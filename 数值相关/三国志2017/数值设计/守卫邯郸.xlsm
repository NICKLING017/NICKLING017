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filterPrivacy="1" codeName="ThisWorkbook"/>
  <xr:revisionPtr revIDLastSave="0" documentId="13_ncr:1_{6F08EA81-5457-461D-B49A-ACACF8DC084B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节奏总纲" sheetId="8" r:id="rId1"/>
    <sheet name="关卡地图" sheetId="6" r:id="rId2"/>
    <sheet name="关卡设计" sheetId="7" r:id="rId3"/>
    <sheet name="奖励设计" sheetId="11" r:id="rId4"/>
    <sheet name="道具信息" sheetId="9" r:id="rId5"/>
  </sheets>
  <functionGroups builtInGroupCount="19"/>
  <externalReferences>
    <externalReference r:id="rId6"/>
    <externalReference r:id="rId7"/>
  </externalReferences>
  <calcPr calcId="181029"/>
</workbook>
</file>

<file path=xl/calcChain.xml><?xml version="1.0" encoding="utf-8"?>
<calcChain xmlns="http://schemas.openxmlformats.org/spreadsheetml/2006/main">
  <c r="AN243" i="7" l="1"/>
  <c r="AN242" i="7"/>
  <c r="AM242" i="7"/>
  <c r="AN241" i="7"/>
  <c r="AN240" i="7"/>
  <c r="AM240" i="7"/>
  <c r="AN239" i="7"/>
  <c r="AM239" i="7"/>
  <c r="AN318" i="7"/>
  <c r="AN317" i="7"/>
  <c r="AN316" i="7"/>
  <c r="AN315" i="7"/>
  <c r="AM315" i="7"/>
  <c r="AN314" i="7"/>
  <c r="AN313" i="7"/>
  <c r="AM313" i="7"/>
  <c r="AN312" i="7"/>
  <c r="AN311" i="7"/>
  <c r="AM311" i="7"/>
  <c r="AM310" i="7"/>
  <c r="AM309" i="7"/>
  <c r="AM308" i="7"/>
  <c r="AM307" i="7"/>
  <c r="AN306" i="7"/>
  <c r="AM306" i="7"/>
  <c r="AN305" i="7"/>
  <c r="AM305" i="7"/>
  <c r="AN304" i="7"/>
  <c r="AM304" i="7"/>
  <c r="AN303" i="7"/>
  <c r="AM303" i="7"/>
  <c r="AN302" i="7"/>
  <c r="AM302" i="7"/>
  <c r="AM301" i="7"/>
  <c r="AM300" i="7"/>
  <c r="AM299" i="7"/>
  <c r="AM298" i="7"/>
  <c r="AN297" i="7"/>
  <c r="AM297" i="7"/>
  <c r="AN296" i="7"/>
  <c r="AM296" i="7"/>
  <c r="AN295" i="7"/>
  <c r="AM295" i="7"/>
  <c r="AN294" i="7"/>
  <c r="AM294" i="7"/>
  <c r="AN293" i="7"/>
  <c r="AM293" i="7"/>
  <c r="AM292" i="7"/>
  <c r="AM291" i="7"/>
  <c r="AM290" i="7"/>
  <c r="AM289" i="7"/>
  <c r="AN288" i="7"/>
  <c r="AM288" i="7"/>
  <c r="AN287" i="7"/>
  <c r="AM287" i="7"/>
  <c r="AN286" i="7"/>
  <c r="AM286" i="7"/>
  <c r="AN285" i="7"/>
  <c r="AM285" i="7"/>
  <c r="AN284" i="7"/>
  <c r="AM284" i="7"/>
  <c r="AM283" i="7"/>
  <c r="AM282" i="7"/>
  <c r="AM281" i="7"/>
  <c r="AM280" i="7"/>
  <c r="AN279" i="7"/>
  <c r="AN278" i="7"/>
  <c r="AM278" i="7"/>
  <c r="AN277" i="7"/>
  <c r="AN276" i="7"/>
  <c r="AM276" i="7"/>
  <c r="AN275" i="7"/>
  <c r="AM275" i="7"/>
  <c r="AN270" i="7"/>
  <c r="AN269" i="7"/>
  <c r="AN268" i="7"/>
  <c r="AN267" i="7"/>
  <c r="AN266" i="7"/>
  <c r="AM193" i="7" l="1"/>
  <c r="AN180" i="7" l="1"/>
  <c r="AM180" i="7"/>
  <c r="AN179" i="7"/>
  <c r="AM179" i="7"/>
  <c r="AN178" i="7"/>
  <c r="AM178" i="7"/>
  <c r="AN177" i="7"/>
  <c r="AM177" i="7"/>
  <c r="AN176" i="7"/>
  <c r="AM176" i="7"/>
  <c r="AN171" i="7"/>
  <c r="AN170" i="7"/>
  <c r="AM170" i="7"/>
  <c r="AN169" i="7"/>
  <c r="AM169" i="7"/>
  <c r="AN168" i="7"/>
  <c r="AM168" i="7"/>
  <c r="AN167" i="7"/>
  <c r="AM167" i="7"/>
  <c r="AT167" i="7" l="1"/>
  <c r="AT149" i="7" l="1"/>
  <c r="X23" i="7" l="1"/>
  <c r="AM78" i="7" l="1"/>
  <c r="AM79" i="7"/>
  <c r="AM80" i="7"/>
  <c r="AM81" i="7"/>
  <c r="AM77" i="7"/>
  <c r="AN81" i="7" l="1"/>
  <c r="AN80" i="7"/>
  <c r="O37" i="11"/>
  <c r="L37" i="11"/>
  <c r="AE59" i="7" l="1"/>
  <c r="AE68" i="7" s="1"/>
  <c r="AT66" i="7"/>
  <c r="AM66" i="7"/>
  <c r="AN61" i="7"/>
  <c r="AN60" i="7"/>
  <c r="AS59" i="7"/>
  <c r="AN59" i="7"/>
  <c r="AT57" i="7"/>
  <c r="AM57" i="7"/>
  <c r="AN52" i="7"/>
  <c r="AN51" i="7"/>
  <c r="AS50" i="7"/>
  <c r="AT50" i="7" s="1"/>
  <c r="AN50" i="7"/>
  <c r="AT75" i="7"/>
  <c r="AM75" i="7"/>
  <c r="AN70" i="7"/>
  <c r="AN69" i="7"/>
  <c r="AT68" i="7"/>
  <c r="AS68" i="7"/>
  <c r="AN68" i="7"/>
  <c r="AE77" i="7" l="1"/>
  <c r="AT59" i="7"/>
  <c r="AE86" i="7" l="1"/>
  <c r="L17" i="11"/>
  <c r="L22" i="11"/>
  <c r="L27" i="11"/>
  <c r="L32" i="11"/>
  <c r="L42" i="11"/>
  <c r="AE95" i="7" l="1"/>
  <c r="AT93" i="7"/>
  <c r="AT94" i="7"/>
  <c r="AT102" i="7"/>
  <c r="AT103" i="7"/>
  <c r="AT112" i="7"/>
  <c r="AT121" i="7"/>
  <c r="AT130" i="7"/>
  <c r="AT139" i="7"/>
  <c r="AT148" i="7"/>
  <c r="AT157" i="7"/>
  <c r="AT166" i="7"/>
  <c r="AT175" i="7"/>
  <c r="AT184" i="7"/>
  <c r="AT193" i="7"/>
  <c r="AT202" i="7"/>
  <c r="AT211" i="7"/>
  <c r="AT220" i="7"/>
  <c r="AT229" i="7"/>
  <c r="AT238" i="7"/>
  <c r="AT247" i="7"/>
  <c r="AT256" i="7"/>
  <c r="AT265" i="7"/>
  <c r="AT274" i="7"/>
  <c r="AT283" i="7"/>
  <c r="AT292" i="7"/>
  <c r="AT301" i="7"/>
  <c r="AT310" i="7"/>
  <c r="AT319" i="7"/>
  <c r="AT84" i="7"/>
  <c r="AT85" i="7"/>
  <c r="AE104" i="7" l="1"/>
  <c r="AM91" i="7"/>
  <c r="AM84" i="7"/>
  <c r="AM85" i="7"/>
  <c r="AM140" i="7"/>
  <c r="AM87" i="7"/>
  <c r="AM88" i="7"/>
  <c r="AM89" i="7"/>
  <c r="AM90" i="7"/>
  <c r="AM92" i="7"/>
  <c r="AM93" i="7"/>
  <c r="AM94" i="7"/>
  <c r="AM95" i="7"/>
  <c r="AM96" i="7"/>
  <c r="AM97" i="7"/>
  <c r="AM98" i="7"/>
  <c r="AM99" i="7"/>
  <c r="AM101" i="7"/>
  <c r="AM102" i="7"/>
  <c r="AM103" i="7"/>
  <c r="AM104" i="7"/>
  <c r="AM105" i="7"/>
  <c r="AM106" i="7"/>
  <c r="AM107" i="7"/>
  <c r="AM108" i="7"/>
  <c r="AM109" i="7"/>
  <c r="AM110" i="7"/>
  <c r="AM111" i="7"/>
  <c r="AM112" i="7"/>
  <c r="AM113" i="7"/>
  <c r="AM114" i="7"/>
  <c r="AM115" i="7"/>
  <c r="AM116" i="7"/>
  <c r="AM117" i="7"/>
  <c r="AM118" i="7"/>
  <c r="AM119" i="7"/>
  <c r="AM120" i="7"/>
  <c r="AM121" i="7"/>
  <c r="AM122" i="7"/>
  <c r="AM123" i="7"/>
  <c r="AM124" i="7"/>
  <c r="AM125" i="7"/>
  <c r="AM126" i="7"/>
  <c r="AM127" i="7"/>
  <c r="AM128" i="7"/>
  <c r="AM129" i="7"/>
  <c r="AM130" i="7"/>
  <c r="AM131" i="7"/>
  <c r="AM132" i="7"/>
  <c r="AM133" i="7"/>
  <c r="AM134" i="7"/>
  <c r="AM135" i="7"/>
  <c r="AM136" i="7"/>
  <c r="AM138" i="7"/>
  <c r="AM139" i="7"/>
  <c r="AM141" i="7"/>
  <c r="AM142" i="7"/>
  <c r="AM143" i="7"/>
  <c r="AM144" i="7"/>
  <c r="AM145" i="7"/>
  <c r="AM146" i="7"/>
  <c r="AM147" i="7"/>
  <c r="AM148" i="7"/>
  <c r="AM149" i="7"/>
  <c r="AM150" i="7"/>
  <c r="AM151" i="7"/>
  <c r="AM152" i="7"/>
  <c r="AM153" i="7"/>
  <c r="AM154" i="7"/>
  <c r="AM155" i="7"/>
  <c r="AM156" i="7"/>
  <c r="AM157" i="7"/>
  <c r="AM158" i="7"/>
  <c r="AM159" i="7"/>
  <c r="AM160" i="7"/>
  <c r="AM161" i="7"/>
  <c r="AM162" i="7"/>
  <c r="AM163" i="7"/>
  <c r="AM164" i="7"/>
  <c r="AM165" i="7"/>
  <c r="AM166" i="7"/>
  <c r="AM172" i="7"/>
  <c r="AM173" i="7"/>
  <c r="AM174" i="7"/>
  <c r="AM175" i="7"/>
  <c r="AM181" i="7"/>
  <c r="AM182" i="7"/>
  <c r="AM183" i="7"/>
  <c r="AM184" i="7"/>
  <c r="AM185" i="7"/>
  <c r="AM186" i="7"/>
  <c r="AM187" i="7"/>
  <c r="AM188" i="7"/>
  <c r="AM189" i="7"/>
  <c r="AM190" i="7"/>
  <c r="AM191" i="7"/>
  <c r="AM192" i="7"/>
  <c r="AM194" i="7"/>
  <c r="AM195" i="7"/>
  <c r="AM196" i="7"/>
  <c r="AM197" i="7"/>
  <c r="AM198" i="7"/>
  <c r="AM199" i="7"/>
  <c r="AM200" i="7"/>
  <c r="AM201" i="7"/>
  <c r="AM202" i="7"/>
  <c r="AM203" i="7"/>
  <c r="AM204" i="7"/>
  <c r="AM205" i="7"/>
  <c r="AM206" i="7"/>
  <c r="AM207" i="7"/>
  <c r="AM208" i="7"/>
  <c r="AM209" i="7"/>
  <c r="AM210" i="7"/>
  <c r="AM211" i="7"/>
  <c r="AM212" i="7"/>
  <c r="AM213" i="7"/>
  <c r="AM214" i="7"/>
  <c r="AM215" i="7"/>
  <c r="AM216" i="7"/>
  <c r="AM217" i="7"/>
  <c r="AM218" i="7"/>
  <c r="AM219" i="7"/>
  <c r="AM220" i="7"/>
  <c r="AM221" i="7"/>
  <c r="AM222" i="7"/>
  <c r="AM223" i="7"/>
  <c r="AM224" i="7"/>
  <c r="AM225" i="7"/>
  <c r="AM228" i="7"/>
  <c r="AM229" i="7"/>
  <c r="AM232" i="7"/>
  <c r="AM233" i="7"/>
  <c r="AM234" i="7"/>
  <c r="AM235" i="7"/>
  <c r="AM236" i="7"/>
  <c r="AM237" i="7"/>
  <c r="AM238" i="7"/>
  <c r="AM244" i="7"/>
  <c r="AM245" i="7"/>
  <c r="AM246" i="7"/>
  <c r="AM247" i="7"/>
  <c r="AM248" i="7"/>
  <c r="AM249" i="7"/>
  <c r="AM250" i="7"/>
  <c r="AM251" i="7"/>
  <c r="AM252" i="7"/>
  <c r="AM253" i="7"/>
  <c r="AM254" i="7"/>
  <c r="AM255" i="7"/>
  <c r="AM256" i="7"/>
  <c r="AM257" i="7"/>
  <c r="AM258" i="7"/>
  <c r="AM259" i="7"/>
  <c r="AM260" i="7"/>
  <c r="AM261" i="7"/>
  <c r="AM262" i="7"/>
  <c r="AM263" i="7"/>
  <c r="AM264" i="7"/>
  <c r="AM265" i="7"/>
  <c r="AM271" i="7"/>
  <c r="AM272" i="7"/>
  <c r="AM273" i="7"/>
  <c r="AM274" i="7"/>
  <c r="AM86" i="7"/>
  <c r="AE113" i="7" l="1"/>
  <c r="AN322" i="7"/>
  <c r="AN321" i="7"/>
  <c r="AS320" i="7"/>
  <c r="AT320" i="7" s="1"/>
  <c r="AN320" i="7"/>
  <c r="AE122" i="7" l="1"/>
  <c r="AE131" i="7" l="1"/>
  <c r="O17" i="11"/>
  <c r="O42" i="11"/>
  <c r="O32" i="11"/>
  <c r="O27" i="11"/>
  <c r="O22" i="11"/>
  <c r="O12" i="11"/>
  <c r="O11" i="11"/>
  <c r="O10" i="11"/>
  <c r="M3" i="11"/>
  <c r="AE140" i="7" l="1"/>
  <c r="AS311" i="7"/>
  <c r="AT311" i="7" s="1"/>
  <c r="AS302" i="7"/>
  <c r="AT302" i="7" s="1"/>
  <c r="AS293" i="7"/>
  <c r="AT293" i="7" s="1"/>
  <c r="AS284" i="7"/>
  <c r="AT284" i="7" s="1"/>
  <c r="AS275" i="7"/>
  <c r="AT275" i="7" s="1"/>
  <c r="AS266" i="7"/>
  <c r="AT266" i="7" s="1"/>
  <c r="AS257" i="7"/>
  <c r="AT257" i="7" s="1"/>
  <c r="AS248" i="7"/>
  <c r="AT248" i="7" s="1"/>
  <c r="AS239" i="7"/>
  <c r="AT239" i="7" s="1"/>
  <c r="AS230" i="7"/>
  <c r="AT230" i="7" s="1"/>
  <c r="AS221" i="7"/>
  <c r="AT221" i="7" s="1"/>
  <c r="AS212" i="7"/>
  <c r="AT212" i="7" s="1"/>
  <c r="AS203" i="7"/>
  <c r="AT203" i="7" s="1"/>
  <c r="AS194" i="7"/>
  <c r="AT194" i="7" s="1"/>
  <c r="AS185" i="7"/>
  <c r="AT185" i="7" s="1"/>
  <c r="AS176" i="7"/>
  <c r="AT176" i="7" s="1"/>
  <c r="AS167" i="7"/>
  <c r="AS158" i="7"/>
  <c r="AT158" i="7" s="1"/>
  <c r="AS149" i="7"/>
  <c r="AS140" i="7"/>
  <c r="AT140" i="7" s="1"/>
  <c r="AS131" i="7"/>
  <c r="AT131" i="7" s="1"/>
  <c r="AS122" i="7"/>
  <c r="AT122" i="7" s="1"/>
  <c r="AS113" i="7"/>
  <c r="AT113" i="7" s="1"/>
  <c r="AS104" i="7"/>
  <c r="AT104" i="7" s="1"/>
  <c r="AT27" i="7"/>
  <c r="AT25" i="7"/>
  <c r="AS41" i="7"/>
  <c r="AS32" i="7"/>
  <c r="AS23" i="7"/>
  <c r="AT23" i="7" s="1"/>
  <c r="BC68" i="7"/>
  <c r="BC72" i="7"/>
  <c r="BC66" i="7"/>
  <c r="BC67" i="7"/>
  <c r="BC69" i="7"/>
  <c r="BC63" i="7"/>
  <c r="BC73" i="7"/>
  <c r="BC70" i="7"/>
  <c r="BC65" i="7"/>
  <c r="BC71" i="7"/>
  <c r="BC64" i="7"/>
  <c r="AE149" i="7" l="1"/>
  <c r="AS95" i="7"/>
  <c r="AT95" i="7" s="1"/>
  <c r="AS86" i="7"/>
  <c r="AT86" i="7" s="1"/>
  <c r="AS77" i="7"/>
  <c r="AT77" i="7" s="1"/>
  <c r="AN261" i="7"/>
  <c r="AN260" i="7"/>
  <c r="AN259" i="7"/>
  <c r="AN258" i="7"/>
  <c r="AN257" i="7"/>
  <c r="AN252" i="7"/>
  <c r="AN251" i="7"/>
  <c r="AN250" i="7"/>
  <c r="AN249" i="7"/>
  <c r="AN248" i="7"/>
  <c r="AN234" i="7"/>
  <c r="AN233" i="7"/>
  <c r="AN232" i="7"/>
  <c r="AN231" i="7"/>
  <c r="AN230" i="7"/>
  <c r="AN227" i="7"/>
  <c r="AN226" i="7"/>
  <c r="AN225" i="7"/>
  <c r="AN224" i="7"/>
  <c r="AN223" i="7"/>
  <c r="AN222" i="7"/>
  <c r="AN221" i="7"/>
  <c r="AN216" i="7"/>
  <c r="AN215" i="7"/>
  <c r="AN214" i="7"/>
  <c r="AN213" i="7"/>
  <c r="AN212" i="7"/>
  <c r="AN207" i="7"/>
  <c r="AN206" i="7"/>
  <c r="AN205" i="7"/>
  <c r="AN204" i="7"/>
  <c r="AN203" i="7"/>
  <c r="AN198" i="7"/>
  <c r="AN197" i="7"/>
  <c r="AN196" i="7"/>
  <c r="AN195" i="7"/>
  <c r="AN194" i="7"/>
  <c r="AN189" i="7"/>
  <c r="AN188" i="7"/>
  <c r="AN187" i="7"/>
  <c r="AN186" i="7"/>
  <c r="AN185" i="7"/>
  <c r="AN162" i="7"/>
  <c r="AN161" i="7"/>
  <c r="AN160" i="7"/>
  <c r="AN159" i="7"/>
  <c r="AN158" i="7"/>
  <c r="AN153" i="7"/>
  <c r="AN152" i="7"/>
  <c r="AN151" i="7"/>
  <c r="AN150" i="7"/>
  <c r="AN149" i="7"/>
  <c r="AN144" i="7"/>
  <c r="AN143" i="7"/>
  <c r="AN142" i="7"/>
  <c r="AN141" i="7"/>
  <c r="AN140" i="7"/>
  <c r="AN137" i="7"/>
  <c r="AN136" i="7"/>
  <c r="AN135" i="7"/>
  <c r="AN134" i="7"/>
  <c r="AN133" i="7"/>
  <c r="AN132" i="7"/>
  <c r="AN131" i="7"/>
  <c r="AN126" i="7"/>
  <c r="AN125" i="7"/>
  <c r="AN124" i="7"/>
  <c r="AN123" i="7"/>
  <c r="AN122" i="7"/>
  <c r="AN117" i="7"/>
  <c r="AN116" i="7"/>
  <c r="AN115" i="7"/>
  <c r="AN114" i="7"/>
  <c r="AN113" i="7"/>
  <c r="AN108" i="7"/>
  <c r="AN107" i="7"/>
  <c r="AN106" i="7"/>
  <c r="AN105" i="7"/>
  <c r="AN104" i="7"/>
  <c r="AN99" i="7"/>
  <c r="AN98" i="7"/>
  <c r="AN97" i="7"/>
  <c r="AN96" i="7"/>
  <c r="AN95" i="7"/>
  <c r="AN91" i="7"/>
  <c r="AN90" i="7"/>
  <c r="AN89" i="7"/>
  <c r="AN88" i="7"/>
  <c r="AN87" i="7"/>
  <c r="AN86" i="7"/>
  <c r="AN79" i="7"/>
  <c r="AN78" i="7"/>
  <c r="AN77" i="7"/>
  <c r="AE41" i="7"/>
  <c r="A2" i="9"/>
  <c r="B2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3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4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5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6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7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8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9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10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11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12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13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14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15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16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17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18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19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20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21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22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23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24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25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26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27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28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29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30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31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32" i="9"/>
  <c r="B32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33" i="9"/>
  <c r="B33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34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35" i="9"/>
  <c r="B35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36" i="9"/>
  <c r="B36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37" i="9"/>
  <c r="B37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38" i="9"/>
  <c r="B38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39" i="9"/>
  <c r="B39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40" i="9"/>
  <c r="B40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41" i="9"/>
  <c r="B41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42" i="9"/>
  <c r="B42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43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44" i="9"/>
  <c r="B44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45" i="9"/>
  <c r="B45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46" i="9"/>
  <c r="B46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47" i="9"/>
  <c r="B47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48" i="9"/>
  <c r="B48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49" i="9"/>
  <c r="B49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50" i="9"/>
  <c r="B50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51" i="9"/>
  <c r="B51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52" i="9"/>
  <c r="B52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53" i="9"/>
  <c r="B53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54" i="9"/>
  <c r="B54" i="9"/>
  <c r="C54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55" i="9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56" i="9"/>
  <c r="B56" i="9"/>
  <c r="C56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57" i="9"/>
  <c r="B57" i="9"/>
  <c r="C57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58" i="9"/>
  <c r="B58" i="9"/>
  <c r="C58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59" i="9"/>
  <c r="B59" i="9"/>
  <c r="C59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60" i="9"/>
  <c r="B60" i="9"/>
  <c r="C60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61" i="9"/>
  <c r="B61" i="9"/>
  <c r="C61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62" i="9"/>
  <c r="B62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63" i="9"/>
  <c r="B63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64" i="9"/>
  <c r="B64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65" i="9"/>
  <c r="B65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66" i="9"/>
  <c r="B66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67" i="9"/>
  <c r="B67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68" i="9"/>
  <c r="B68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69" i="9"/>
  <c r="B69" i="9"/>
  <c r="C69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70" i="9"/>
  <c r="B70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71" i="9"/>
  <c r="B71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72" i="9"/>
  <c r="B72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73" i="9"/>
  <c r="B73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74" i="9"/>
  <c r="B74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75" i="9"/>
  <c r="B75" i="9"/>
  <c r="C75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76" i="9"/>
  <c r="B76" i="9"/>
  <c r="C76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77" i="9"/>
  <c r="B77" i="9"/>
  <c r="C77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78" i="9"/>
  <c r="B78" i="9"/>
  <c r="C78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79" i="9"/>
  <c r="B79" i="9"/>
  <c r="C79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80" i="9"/>
  <c r="B80" i="9"/>
  <c r="C80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81" i="9"/>
  <c r="B81" i="9"/>
  <c r="C81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82" i="9"/>
  <c r="B82" i="9"/>
  <c r="C82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83" i="9"/>
  <c r="B83" i="9"/>
  <c r="C83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84" i="9"/>
  <c r="B84" i="9"/>
  <c r="C84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85" i="9"/>
  <c r="B85" i="9"/>
  <c r="C85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86" i="9"/>
  <c r="B86" i="9"/>
  <c r="C86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87" i="9"/>
  <c r="B87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88" i="9"/>
  <c r="B88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89" i="9"/>
  <c r="B89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90" i="9"/>
  <c r="B90" i="9"/>
  <c r="C90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91" i="9"/>
  <c r="B91" i="9"/>
  <c r="C91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92" i="9"/>
  <c r="B92" i="9"/>
  <c r="C92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93" i="9"/>
  <c r="B93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94" i="9"/>
  <c r="B94" i="9"/>
  <c r="C94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95" i="9"/>
  <c r="B95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96" i="9"/>
  <c r="B96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97" i="9"/>
  <c r="B97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98" i="9"/>
  <c r="B98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99" i="9"/>
  <c r="B99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100" i="9"/>
  <c r="B100" i="9"/>
  <c r="C100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101" i="9"/>
  <c r="B101" i="9"/>
  <c r="C101" i="9"/>
  <c r="D101" i="9"/>
  <c r="E101" i="9"/>
  <c r="F101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102" i="9"/>
  <c r="B102" i="9"/>
  <c r="C102" i="9"/>
  <c r="D102" i="9"/>
  <c r="E102" i="9"/>
  <c r="F102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103" i="9"/>
  <c r="B103" i="9"/>
  <c r="C103" i="9"/>
  <c r="D103" i="9"/>
  <c r="E103" i="9"/>
  <c r="F103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104" i="9"/>
  <c r="B104" i="9"/>
  <c r="C104" i="9"/>
  <c r="D104" i="9"/>
  <c r="E104" i="9"/>
  <c r="F104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105" i="9"/>
  <c r="B105" i="9"/>
  <c r="C105" i="9"/>
  <c r="D105" i="9"/>
  <c r="E105" i="9"/>
  <c r="F105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106" i="9"/>
  <c r="B106" i="9"/>
  <c r="C106" i="9"/>
  <c r="D106" i="9"/>
  <c r="E106" i="9"/>
  <c r="F106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107" i="9"/>
  <c r="B107" i="9"/>
  <c r="C107" i="9"/>
  <c r="D107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108" i="9"/>
  <c r="B108" i="9"/>
  <c r="C108" i="9"/>
  <c r="D108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109" i="9"/>
  <c r="B109" i="9"/>
  <c r="C109" i="9"/>
  <c r="D109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110" i="9"/>
  <c r="B110" i="9"/>
  <c r="C110" i="9"/>
  <c r="D110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111" i="9"/>
  <c r="B111" i="9"/>
  <c r="C111" i="9"/>
  <c r="D111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112" i="9"/>
  <c r="B112" i="9"/>
  <c r="C112" i="9"/>
  <c r="D112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113" i="9"/>
  <c r="B113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W113" i="9"/>
  <c r="X113" i="9"/>
  <c r="Y113" i="9"/>
  <c r="Z113" i="9"/>
  <c r="A114" i="9"/>
  <c r="B114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X114" i="9"/>
  <c r="Y114" i="9"/>
  <c r="Z114" i="9"/>
  <c r="A115" i="9"/>
  <c r="B115" i="9"/>
  <c r="C115" i="9"/>
  <c r="D115" i="9"/>
  <c r="E115" i="9"/>
  <c r="F115" i="9"/>
  <c r="G115" i="9"/>
  <c r="H115" i="9"/>
  <c r="I115" i="9"/>
  <c r="J115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X115" i="9"/>
  <c r="Y115" i="9"/>
  <c r="Z115" i="9"/>
  <c r="A116" i="9"/>
  <c r="B116" i="9"/>
  <c r="C116" i="9"/>
  <c r="D116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W116" i="9"/>
  <c r="X116" i="9"/>
  <c r="Y116" i="9"/>
  <c r="Z116" i="9"/>
  <c r="A117" i="9"/>
  <c r="B117" i="9"/>
  <c r="C117" i="9"/>
  <c r="D117" i="9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118" i="9"/>
  <c r="B118" i="9"/>
  <c r="C118" i="9"/>
  <c r="D118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W118" i="9"/>
  <c r="X118" i="9"/>
  <c r="Y118" i="9"/>
  <c r="Z118" i="9"/>
  <c r="A119" i="9"/>
  <c r="B119" i="9"/>
  <c r="C119" i="9"/>
  <c r="D119" i="9"/>
  <c r="E119" i="9"/>
  <c r="F119" i="9"/>
  <c r="G119" i="9"/>
  <c r="H119" i="9"/>
  <c r="I119" i="9"/>
  <c r="J119" i="9"/>
  <c r="K119" i="9"/>
  <c r="L119" i="9"/>
  <c r="M119" i="9"/>
  <c r="N119" i="9"/>
  <c r="O119" i="9"/>
  <c r="P119" i="9"/>
  <c r="Q119" i="9"/>
  <c r="R119" i="9"/>
  <c r="S119" i="9"/>
  <c r="T119" i="9"/>
  <c r="U119" i="9"/>
  <c r="V119" i="9"/>
  <c r="W119" i="9"/>
  <c r="X119" i="9"/>
  <c r="Y119" i="9"/>
  <c r="Z119" i="9"/>
  <c r="A120" i="9"/>
  <c r="B120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Q120" i="9"/>
  <c r="R120" i="9"/>
  <c r="S120" i="9"/>
  <c r="T120" i="9"/>
  <c r="U120" i="9"/>
  <c r="V120" i="9"/>
  <c r="W120" i="9"/>
  <c r="X120" i="9"/>
  <c r="Y120" i="9"/>
  <c r="Z120" i="9"/>
  <c r="A121" i="9"/>
  <c r="B121" i="9"/>
  <c r="C121" i="9"/>
  <c r="D121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W121" i="9"/>
  <c r="X121" i="9"/>
  <c r="Y121" i="9"/>
  <c r="Z121" i="9"/>
  <c r="A122" i="9"/>
  <c r="B122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W122" i="9"/>
  <c r="X122" i="9"/>
  <c r="Y122" i="9"/>
  <c r="Z122" i="9"/>
  <c r="A123" i="9"/>
  <c r="B123" i="9"/>
  <c r="C123" i="9"/>
  <c r="D123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W123" i="9"/>
  <c r="X123" i="9"/>
  <c r="Y123" i="9"/>
  <c r="Z123" i="9"/>
  <c r="A124" i="9"/>
  <c r="B124" i="9"/>
  <c r="C124" i="9"/>
  <c r="D124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Q124" i="9"/>
  <c r="R124" i="9"/>
  <c r="S124" i="9"/>
  <c r="T124" i="9"/>
  <c r="U124" i="9"/>
  <c r="V124" i="9"/>
  <c r="W124" i="9"/>
  <c r="X124" i="9"/>
  <c r="Y124" i="9"/>
  <c r="Z124" i="9"/>
  <c r="A125" i="9"/>
  <c r="B125" i="9"/>
  <c r="C125" i="9"/>
  <c r="D125" i="9"/>
  <c r="E125" i="9"/>
  <c r="F125" i="9"/>
  <c r="G125" i="9"/>
  <c r="H125" i="9"/>
  <c r="I125" i="9"/>
  <c r="J125" i="9"/>
  <c r="K125" i="9"/>
  <c r="L125" i="9"/>
  <c r="M125" i="9"/>
  <c r="N125" i="9"/>
  <c r="O125" i="9"/>
  <c r="P125" i="9"/>
  <c r="Q125" i="9"/>
  <c r="R125" i="9"/>
  <c r="S125" i="9"/>
  <c r="T125" i="9"/>
  <c r="U125" i="9"/>
  <c r="V125" i="9"/>
  <c r="W125" i="9"/>
  <c r="X125" i="9"/>
  <c r="Y125" i="9"/>
  <c r="Z125" i="9"/>
  <c r="A126" i="9"/>
  <c r="B126" i="9"/>
  <c r="C126" i="9"/>
  <c r="D126" i="9"/>
  <c r="E126" i="9"/>
  <c r="F126" i="9"/>
  <c r="G126" i="9"/>
  <c r="H126" i="9"/>
  <c r="I126" i="9"/>
  <c r="J126" i="9"/>
  <c r="K126" i="9"/>
  <c r="L126" i="9"/>
  <c r="M126" i="9"/>
  <c r="N126" i="9"/>
  <c r="O126" i="9"/>
  <c r="P126" i="9"/>
  <c r="Q126" i="9"/>
  <c r="R126" i="9"/>
  <c r="S126" i="9"/>
  <c r="T126" i="9"/>
  <c r="U126" i="9"/>
  <c r="V126" i="9"/>
  <c r="W126" i="9"/>
  <c r="X126" i="9"/>
  <c r="Y126" i="9"/>
  <c r="Z126" i="9"/>
  <c r="A127" i="9"/>
  <c r="B127" i="9"/>
  <c r="C127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W127" i="9"/>
  <c r="X127" i="9"/>
  <c r="Y127" i="9"/>
  <c r="Z127" i="9"/>
  <c r="A128" i="9"/>
  <c r="B128" i="9"/>
  <c r="C128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X128" i="9"/>
  <c r="Y128" i="9"/>
  <c r="Z128" i="9"/>
  <c r="A129" i="9"/>
  <c r="B129" i="9"/>
  <c r="C129" i="9"/>
  <c r="D129" i="9"/>
  <c r="E129" i="9"/>
  <c r="F129" i="9"/>
  <c r="G129" i="9"/>
  <c r="H129" i="9"/>
  <c r="I129" i="9"/>
  <c r="J129" i="9"/>
  <c r="K129" i="9"/>
  <c r="L129" i="9"/>
  <c r="M129" i="9"/>
  <c r="N129" i="9"/>
  <c r="O129" i="9"/>
  <c r="P129" i="9"/>
  <c r="Q129" i="9"/>
  <c r="R129" i="9"/>
  <c r="S129" i="9"/>
  <c r="T129" i="9"/>
  <c r="U129" i="9"/>
  <c r="V129" i="9"/>
  <c r="W129" i="9"/>
  <c r="X129" i="9"/>
  <c r="Y129" i="9"/>
  <c r="Z129" i="9"/>
  <c r="A130" i="9"/>
  <c r="B130" i="9"/>
  <c r="C130" i="9"/>
  <c r="D130" i="9"/>
  <c r="E130" i="9"/>
  <c r="F130" i="9"/>
  <c r="G130" i="9"/>
  <c r="H130" i="9"/>
  <c r="I130" i="9"/>
  <c r="J130" i="9"/>
  <c r="K130" i="9"/>
  <c r="L130" i="9"/>
  <c r="M130" i="9"/>
  <c r="N130" i="9"/>
  <c r="O130" i="9"/>
  <c r="P130" i="9"/>
  <c r="Q130" i="9"/>
  <c r="R130" i="9"/>
  <c r="S130" i="9"/>
  <c r="T130" i="9"/>
  <c r="U130" i="9"/>
  <c r="V130" i="9"/>
  <c r="W130" i="9"/>
  <c r="X130" i="9"/>
  <c r="Y130" i="9"/>
  <c r="Z130" i="9"/>
  <c r="A131" i="9"/>
  <c r="B131" i="9"/>
  <c r="C131" i="9"/>
  <c r="D131" i="9"/>
  <c r="E131" i="9"/>
  <c r="F131" i="9"/>
  <c r="G131" i="9"/>
  <c r="H131" i="9"/>
  <c r="I131" i="9"/>
  <c r="J131" i="9"/>
  <c r="K131" i="9"/>
  <c r="L131" i="9"/>
  <c r="M131" i="9"/>
  <c r="N131" i="9"/>
  <c r="O131" i="9"/>
  <c r="P131" i="9"/>
  <c r="Q131" i="9"/>
  <c r="R131" i="9"/>
  <c r="S131" i="9"/>
  <c r="T131" i="9"/>
  <c r="U131" i="9"/>
  <c r="V131" i="9"/>
  <c r="W131" i="9"/>
  <c r="X131" i="9"/>
  <c r="Y131" i="9"/>
  <c r="Z131" i="9"/>
  <c r="A132" i="9"/>
  <c r="B132" i="9"/>
  <c r="C132" i="9"/>
  <c r="D132" i="9"/>
  <c r="E132" i="9"/>
  <c r="F132" i="9"/>
  <c r="G132" i="9"/>
  <c r="H132" i="9"/>
  <c r="I132" i="9"/>
  <c r="J132" i="9"/>
  <c r="K132" i="9"/>
  <c r="L132" i="9"/>
  <c r="M132" i="9"/>
  <c r="N132" i="9"/>
  <c r="O132" i="9"/>
  <c r="P132" i="9"/>
  <c r="Q132" i="9"/>
  <c r="R132" i="9"/>
  <c r="S132" i="9"/>
  <c r="T132" i="9"/>
  <c r="U132" i="9"/>
  <c r="V132" i="9"/>
  <c r="W132" i="9"/>
  <c r="X132" i="9"/>
  <c r="Y132" i="9"/>
  <c r="Z132" i="9"/>
  <c r="A133" i="9"/>
  <c r="B133" i="9"/>
  <c r="C133" i="9"/>
  <c r="D133" i="9"/>
  <c r="E133" i="9"/>
  <c r="F133" i="9"/>
  <c r="G133" i="9"/>
  <c r="H133" i="9"/>
  <c r="I133" i="9"/>
  <c r="J133" i="9"/>
  <c r="K133" i="9"/>
  <c r="L133" i="9"/>
  <c r="M133" i="9"/>
  <c r="N133" i="9"/>
  <c r="O133" i="9"/>
  <c r="P133" i="9"/>
  <c r="Q133" i="9"/>
  <c r="R133" i="9"/>
  <c r="S133" i="9"/>
  <c r="T133" i="9"/>
  <c r="U133" i="9"/>
  <c r="V133" i="9"/>
  <c r="W133" i="9"/>
  <c r="X133" i="9"/>
  <c r="Y133" i="9"/>
  <c r="Z133" i="9"/>
  <c r="A134" i="9"/>
  <c r="B134" i="9"/>
  <c r="C134" i="9"/>
  <c r="D134" i="9"/>
  <c r="E134" i="9"/>
  <c r="F134" i="9"/>
  <c r="G134" i="9"/>
  <c r="H134" i="9"/>
  <c r="I134" i="9"/>
  <c r="J134" i="9"/>
  <c r="K134" i="9"/>
  <c r="L134" i="9"/>
  <c r="M134" i="9"/>
  <c r="N134" i="9"/>
  <c r="O134" i="9"/>
  <c r="P134" i="9"/>
  <c r="Q134" i="9"/>
  <c r="R134" i="9"/>
  <c r="S134" i="9"/>
  <c r="T134" i="9"/>
  <c r="U134" i="9"/>
  <c r="V134" i="9"/>
  <c r="W134" i="9"/>
  <c r="X134" i="9"/>
  <c r="Y134" i="9"/>
  <c r="Z134" i="9"/>
  <c r="A135" i="9"/>
  <c r="B135" i="9"/>
  <c r="C135" i="9"/>
  <c r="D135" i="9"/>
  <c r="E135" i="9"/>
  <c r="F135" i="9"/>
  <c r="G135" i="9"/>
  <c r="H135" i="9"/>
  <c r="I135" i="9"/>
  <c r="J135" i="9"/>
  <c r="K135" i="9"/>
  <c r="L135" i="9"/>
  <c r="M135" i="9"/>
  <c r="N135" i="9"/>
  <c r="O135" i="9"/>
  <c r="P135" i="9"/>
  <c r="Q135" i="9"/>
  <c r="R135" i="9"/>
  <c r="S135" i="9"/>
  <c r="T135" i="9"/>
  <c r="U135" i="9"/>
  <c r="V135" i="9"/>
  <c r="W135" i="9"/>
  <c r="X135" i="9"/>
  <c r="Y135" i="9"/>
  <c r="Z135" i="9"/>
  <c r="A136" i="9"/>
  <c r="B136" i="9"/>
  <c r="C136" i="9"/>
  <c r="D136" i="9"/>
  <c r="E136" i="9"/>
  <c r="F136" i="9"/>
  <c r="G136" i="9"/>
  <c r="H136" i="9"/>
  <c r="I136" i="9"/>
  <c r="J136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W136" i="9"/>
  <c r="X136" i="9"/>
  <c r="Y136" i="9"/>
  <c r="Z136" i="9"/>
  <c r="A137" i="9"/>
  <c r="B137" i="9"/>
  <c r="C137" i="9"/>
  <c r="D137" i="9"/>
  <c r="E137" i="9"/>
  <c r="F137" i="9"/>
  <c r="G137" i="9"/>
  <c r="H137" i="9"/>
  <c r="I137" i="9"/>
  <c r="J137" i="9"/>
  <c r="K137" i="9"/>
  <c r="L137" i="9"/>
  <c r="M137" i="9"/>
  <c r="N137" i="9"/>
  <c r="O137" i="9"/>
  <c r="P137" i="9"/>
  <c r="Q137" i="9"/>
  <c r="R137" i="9"/>
  <c r="S137" i="9"/>
  <c r="T137" i="9"/>
  <c r="U137" i="9"/>
  <c r="V137" i="9"/>
  <c r="W137" i="9"/>
  <c r="X137" i="9"/>
  <c r="Y137" i="9"/>
  <c r="Z137" i="9"/>
  <c r="A138" i="9"/>
  <c r="B138" i="9"/>
  <c r="C138" i="9"/>
  <c r="D138" i="9"/>
  <c r="E138" i="9"/>
  <c r="F138" i="9"/>
  <c r="G138" i="9"/>
  <c r="H138" i="9"/>
  <c r="I138" i="9"/>
  <c r="J138" i="9"/>
  <c r="K138" i="9"/>
  <c r="L138" i="9"/>
  <c r="M138" i="9"/>
  <c r="N138" i="9"/>
  <c r="O138" i="9"/>
  <c r="P138" i="9"/>
  <c r="Q138" i="9"/>
  <c r="R138" i="9"/>
  <c r="S138" i="9"/>
  <c r="T138" i="9"/>
  <c r="U138" i="9"/>
  <c r="V138" i="9"/>
  <c r="W138" i="9"/>
  <c r="X138" i="9"/>
  <c r="Y138" i="9"/>
  <c r="Z138" i="9"/>
  <c r="A139" i="9"/>
  <c r="B139" i="9"/>
  <c r="C139" i="9"/>
  <c r="D139" i="9"/>
  <c r="E139" i="9"/>
  <c r="F139" i="9"/>
  <c r="G139" i="9"/>
  <c r="H139" i="9"/>
  <c r="I139" i="9"/>
  <c r="J139" i="9"/>
  <c r="K139" i="9"/>
  <c r="L139" i="9"/>
  <c r="M139" i="9"/>
  <c r="N139" i="9"/>
  <c r="O139" i="9"/>
  <c r="P139" i="9"/>
  <c r="Q139" i="9"/>
  <c r="R139" i="9"/>
  <c r="S139" i="9"/>
  <c r="T139" i="9"/>
  <c r="U139" i="9"/>
  <c r="V139" i="9"/>
  <c r="W139" i="9"/>
  <c r="X139" i="9"/>
  <c r="Y139" i="9"/>
  <c r="Z139" i="9"/>
  <c r="A140" i="9"/>
  <c r="B140" i="9"/>
  <c r="C140" i="9"/>
  <c r="D140" i="9"/>
  <c r="E140" i="9"/>
  <c r="F140" i="9"/>
  <c r="G140" i="9"/>
  <c r="H140" i="9"/>
  <c r="I140" i="9"/>
  <c r="J140" i="9"/>
  <c r="K140" i="9"/>
  <c r="L140" i="9"/>
  <c r="M140" i="9"/>
  <c r="N140" i="9"/>
  <c r="O140" i="9"/>
  <c r="P140" i="9"/>
  <c r="Q140" i="9"/>
  <c r="R140" i="9"/>
  <c r="S140" i="9"/>
  <c r="T140" i="9"/>
  <c r="U140" i="9"/>
  <c r="V140" i="9"/>
  <c r="W140" i="9"/>
  <c r="X140" i="9"/>
  <c r="Y140" i="9"/>
  <c r="Z140" i="9"/>
  <c r="A141" i="9"/>
  <c r="B141" i="9"/>
  <c r="C141" i="9"/>
  <c r="D141" i="9"/>
  <c r="E141" i="9"/>
  <c r="F141" i="9"/>
  <c r="G141" i="9"/>
  <c r="H141" i="9"/>
  <c r="I141" i="9"/>
  <c r="J141" i="9"/>
  <c r="K141" i="9"/>
  <c r="L141" i="9"/>
  <c r="M141" i="9"/>
  <c r="N141" i="9"/>
  <c r="O141" i="9"/>
  <c r="P141" i="9"/>
  <c r="Q141" i="9"/>
  <c r="R141" i="9"/>
  <c r="S141" i="9"/>
  <c r="T141" i="9"/>
  <c r="U141" i="9"/>
  <c r="V141" i="9"/>
  <c r="W141" i="9"/>
  <c r="X141" i="9"/>
  <c r="Y141" i="9"/>
  <c r="Z141" i="9"/>
  <c r="A142" i="9"/>
  <c r="B142" i="9"/>
  <c r="C142" i="9"/>
  <c r="D142" i="9"/>
  <c r="E142" i="9"/>
  <c r="F142" i="9"/>
  <c r="G142" i="9"/>
  <c r="H142" i="9"/>
  <c r="I142" i="9"/>
  <c r="J142" i="9"/>
  <c r="K142" i="9"/>
  <c r="L142" i="9"/>
  <c r="M142" i="9"/>
  <c r="N142" i="9"/>
  <c r="O142" i="9"/>
  <c r="P142" i="9"/>
  <c r="Q142" i="9"/>
  <c r="R142" i="9"/>
  <c r="S142" i="9"/>
  <c r="T142" i="9"/>
  <c r="U142" i="9"/>
  <c r="V142" i="9"/>
  <c r="W142" i="9"/>
  <c r="X142" i="9"/>
  <c r="Y142" i="9"/>
  <c r="Z142" i="9"/>
  <c r="A143" i="9"/>
  <c r="B143" i="9"/>
  <c r="C143" i="9"/>
  <c r="D143" i="9"/>
  <c r="E143" i="9"/>
  <c r="F143" i="9"/>
  <c r="G143" i="9"/>
  <c r="H143" i="9"/>
  <c r="I143" i="9"/>
  <c r="J143" i="9"/>
  <c r="K143" i="9"/>
  <c r="L143" i="9"/>
  <c r="M143" i="9"/>
  <c r="N143" i="9"/>
  <c r="O143" i="9"/>
  <c r="P143" i="9"/>
  <c r="Q143" i="9"/>
  <c r="R143" i="9"/>
  <c r="S143" i="9"/>
  <c r="T143" i="9"/>
  <c r="U143" i="9"/>
  <c r="V143" i="9"/>
  <c r="W143" i="9"/>
  <c r="X143" i="9"/>
  <c r="Y143" i="9"/>
  <c r="Z143" i="9"/>
  <c r="A144" i="9"/>
  <c r="B144" i="9"/>
  <c r="C144" i="9"/>
  <c r="D144" i="9"/>
  <c r="E144" i="9"/>
  <c r="F144" i="9"/>
  <c r="G144" i="9"/>
  <c r="H144" i="9"/>
  <c r="I144" i="9"/>
  <c r="J144" i="9"/>
  <c r="K144" i="9"/>
  <c r="L144" i="9"/>
  <c r="M144" i="9"/>
  <c r="N144" i="9"/>
  <c r="O144" i="9"/>
  <c r="P144" i="9"/>
  <c r="Q144" i="9"/>
  <c r="R144" i="9"/>
  <c r="S144" i="9"/>
  <c r="T144" i="9"/>
  <c r="U144" i="9"/>
  <c r="V144" i="9"/>
  <c r="W144" i="9"/>
  <c r="X144" i="9"/>
  <c r="Y144" i="9"/>
  <c r="Z144" i="9"/>
  <c r="A145" i="9"/>
  <c r="B145" i="9"/>
  <c r="C145" i="9"/>
  <c r="D145" i="9"/>
  <c r="E145" i="9"/>
  <c r="F145" i="9"/>
  <c r="G145" i="9"/>
  <c r="H145" i="9"/>
  <c r="I145" i="9"/>
  <c r="J145" i="9"/>
  <c r="K145" i="9"/>
  <c r="L145" i="9"/>
  <c r="M145" i="9"/>
  <c r="N145" i="9"/>
  <c r="O145" i="9"/>
  <c r="P145" i="9"/>
  <c r="Q145" i="9"/>
  <c r="R145" i="9"/>
  <c r="S145" i="9"/>
  <c r="T145" i="9"/>
  <c r="U145" i="9"/>
  <c r="V145" i="9"/>
  <c r="W145" i="9"/>
  <c r="X145" i="9"/>
  <c r="Y145" i="9"/>
  <c r="Z145" i="9"/>
  <c r="A146" i="9"/>
  <c r="B146" i="9"/>
  <c r="C146" i="9"/>
  <c r="D146" i="9"/>
  <c r="E146" i="9"/>
  <c r="F146" i="9"/>
  <c r="G146" i="9"/>
  <c r="H146" i="9"/>
  <c r="I146" i="9"/>
  <c r="J146" i="9"/>
  <c r="K146" i="9"/>
  <c r="L146" i="9"/>
  <c r="M146" i="9"/>
  <c r="N146" i="9"/>
  <c r="O146" i="9"/>
  <c r="P146" i="9"/>
  <c r="Q146" i="9"/>
  <c r="R146" i="9"/>
  <c r="S146" i="9"/>
  <c r="T146" i="9"/>
  <c r="U146" i="9"/>
  <c r="V146" i="9"/>
  <c r="W146" i="9"/>
  <c r="X146" i="9"/>
  <c r="Y146" i="9"/>
  <c r="Z146" i="9"/>
  <c r="A147" i="9"/>
  <c r="B147" i="9"/>
  <c r="C147" i="9"/>
  <c r="D147" i="9"/>
  <c r="E147" i="9"/>
  <c r="F147" i="9"/>
  <c r="G147" i="9"/>
  <c r="H147" i="9"/>
  <c r="I147" i="9"/>
  <c r="J147" i="9"/>
  <c r="K147" i="9"/>
  <c r="L147" i="9"/>
  <c r="M147" i="9"/>
  <c r="N147" i="9"/>
  <c r="O147" i="9"/>
  <c r="P147" i="9"/>
  <c r="Q147" i="9"/>
  <c r="R147" i="9"/>
  <c r="S147" i="9"/>
  <c r="T147" i="9"/>
  <c r="U147" i="9"/>
  <c r="V147" i="9"/>
  <c r="W147" i="9"/>
  <c r="X147" i="9"/>
  <c r="Y147" i="9"/>
  <c r="Z147" i="9"/>
  <c r="A148" i="9"/>
  <c r="B148" i="9"/>
  <c r="C148" i="9"/>
  <c r="D148" i="9"/>
  <c r="E148" i="9"/>
  <c r="F148" i="9"/>
  <c r="G148" i="9"/>
  <c r="H148" i="9"/>
  <c r="I148" i="9"/>
  <c r="J148" i="9"/>
  <c r="K148" i="9"/>
  <c r="L148" i="9"/>
  <c r="M148" i="9"/>
  <c r="N148" i="9"/>
  <c r="O148" i="9"/>
  <c r="P148" i="9"/>
  <c r="Q148" i="9"/>
  <c r="R148" i="9"/>
  <c r="S148" i="9"/>
  <c r="T148" i="9"/>
  <c r="U148" i="9"/>
  <c r="V148" i="9"/>
  <c r="W148" i="9"/>
  <c r="X148" i="9"/>
  <c r="Y148" i="9"/>
  <c r="Z148" i="9"/>
  <c r="A149" i="9"/>
  <c r="B149" i="9"/>
  <c r="C149" i="9"/>
  <c r="D149" i="9"/>
  <c r="E149" i="9"/>
  <c r="F149" i="9"/>
  <c r="G149" i="9"/>
  <c r="H149" i="9"/>
  <c r="I149" i="9"/>
  <c r="J149" i="9"/>
  <c r="K149" i="9"/>
  <c r="L149" i="9"/>
  <c r="M149" i="9"/>
  <c r="N149" i="9"/>
  <c r="O149" i="9"/>
  <c r="P149" i="9"/>
  <c r="Q149" i="9"/>
  <c r="R149" i="9"/>
  <c r="S149" i="9"/>
  <c r="T149" i="9"/>
  <c r="U149" i="9"/>
  <c r="V149" i="9"/>
  <c r="W149" i="9"/>
  <c r="X149" i="9"/>
  <c r="Y149" i="9"/>
  <c r="Z149" i="9"/>
  <c r="A150" i="9"/>
  <c r="B150" i="9"/>
  <c r="C150" i="9"/>
  <c r="D150" i="9"/>
  <c r="E150" i="9"/>
  <c r="F150" i="9"/>
  <c r="G150" i="9"/>
  <c r="H150" i="9"/>
  <c r="I150" i="9"/>
  <c r="J150" i="9"/>
  <c r="K150" i="9"/>
  <c r="L150" i="9"/>
  <c r="M150" i="9"/>
  <c r="N150" i="9"/>
  <c r="O150" i="9"/>
  <c r="P150" i="9"/>
  <c r="Q150" i="9"/>
  <c r="R150" i="9"/>
  <c r="S150" i="9"/>
  <c r="T150" i="9"/>
  <c r="U150" i="9"/>
  <c r="V150" i="9"/>
  <c r="W150" i="9"/>
  <c r="X150" i="9"/>
  <c r="Y150" i="9"/>
  <c r="Z150" i="9"/>
  <c r="A151" i="9"/>
  <c r="B151" i="9"/>
  <c r="C151" i="9"/>
  <c r="D151" i="9"/>
  <c r="E151" i="9"/>
  <c r="F151" i="9"/>
  <c r="G151" i="9"/>
  <c r="H151" i="9"/>
  <c r="I151" i="9"/>
  <c r="J151" i="9"/>
  <c r="K151" i="9"/>
  <c r="L151" i="9"/>
  <c r="M151" i="9"/>
  <c r="N151" i="9"/>
  <c r="O151" i="9"/>
  <c r="P151" i="9"/>
  <c r="Q151" i="9"/>
  <c r="R151" i="9"/>
  <c r="S151" i="9"/>
  <c r="T151" i="9"/>
  <c r="U151" i="9"/>
  <c r="V151" i="9"/>
  <c r="W151" i="9"/>
  <c r="X151" i="9"/>
  <c r="Y151" i="9"/>
  <c r="Z151" i="9"/>
  <c r="A152" i="9"/>
  <c r="B152" i="9"/>
  <c r="C152" i="9"/>
  <c r="D152" i="9"/>
  <c r="E152" i="9"/>
  <c r="F152" i="9"/>
  <c r="G152" i="9"/>
  <c r="H152" i="9"/>
  <c r="I152" i="9"/>
  <c r="J152" i="9"/>
  <c r="K152" i="9"/>
  <c r="L152" i="9"/>
  <c r="M152" i="9"/>
  <c r="N152" i="9"/>
  <c r="O152" i="9"/>
  <c r="P152" i="9"/>
  <c r="Q152" i="9"/>
  <c r="R152" i="9"/>
  <c r="S152" i="9"/>
  <c r="T152" i="9"/>
  <c r="U152" i="9"/>
  <c r="V152" i="9"/>
  <c r="W152" i="9"/>
  <c r="X152" i="9"/>
  <c r="Y152" i="9"/>
  <c r="Z152" i="9"/>
  <c r="A153" i="9"/>
  <c r="B153" i="9"/>
  <c r="C153" i="9"/>
  <c r="D153" i="9"/>
  <c r="E153" i="9"/>
  <c r="F153" i="9"/>
  <c r="G153" i="9"/>
  <c r="H153" i="9"/>
  <c r="I153" i="9"/>
  <c r="J153" i="9"/>
  <c r="K153" i="9"/>
  <c r="L153" i="9"/>
  <c r="M153" i="9"/>
  <c r="N153" i="9"/>
  <c r="O153" i="9"/>
  <c r="P153" i="9"/>
  <c r="Q153" i="9"/>
  <c r="R153" i="9"/>
  <c r="S153" i="9"/>
  <c r="T153" i="9"/>
  <c r="U153" i="9"/>
  <c r="V153" i="9"/>
  <c r="W153" i="9"/>
  <c r="X153" i="9"/>
  <c r="Y153" i="9"/>
  <c r="Z153" i="9"/>
  <c r="A154" i="9"/>
  <c r="B154" i="9"/>
  <c r="C154" i="9"/>
  <c r="D154" i="9"/>
  <c r="E154" i="9"/>
  <c r="F154" i="9"/>
  <c r="G154" i="9"/>
  <c r="H154" i="9"/>
  <c r="I154" i="9"/>
  <c r="J154" i="9"/>
  <c r="K154" i="9"/>
  <c r="L154" i="9"/>
  <c r="M154" i="9"/>
  <c r="N154" i="9"/>
  <c r="O154" i="9"/>
  <c r="P154" i="9"/>
  <c r="Q154" i="9"/>
  <c r="R154" i="9"/>
  <c r="S154" i="9"/>
  <c r="T154" i="9"/>
  <c r="U154" i="9"/>
  <c r="V154" i="9"/>
  <c r="W154" i="9"/>
  <c r="X154" i="9"/>
  <c r="Y154" i="9"/>
  <c r="Z154" i="9"/>
  <c r="A155" i="9"/>
  <c r="B155" i="9"/>
  <c r="C155" i="9"/>
  <c r="D155" i="9"/>
  <c r="E155" i="9"/>
  <c r="F155" i="9"/>
  <c r="G155" i="9"/>
  <c r="H155" i="9"/>
  <c r="I155" i="9"/>
  <c r="J155" i="9"/>
  <c r="K155" i="9"/>
  <c r="L155" i="9"/>
  <c r="M155" i="9"/>
  <c r="N155" i="9"/>
  <c r="O155" i="9"/>
  <c r="P155" i="9"/>
  <c r="Q155" i="9"/>
  <c r="R155" i="9"/>
  <c r="S155" i="9"/>
  <c r="T155" i="9"/>
  <c r="U155" i="9"/>
  <c r="V155" i="9"/>
  <c r="W155" i="9"/>
  <c r="X155" i="9"/>
  <c r="Y155" i="9"/>
  <c r="Z155" i="9"/>
  <c r="A156" i="9"/>
  <c r="B156" i="9"/>
  <c r="C156" i="9"/>
  <c r="D156" i="9"/>
  <c r="E156" i="9"/>
  <c r="F156" i="9"/>
  <c r="G156" i="9"/>
  <c r="H156" i="9"/>
  <c r="I156" i="9"/>
  <c r="J156" i="9"/>
  <c r="K156" i="9"/>
  <c r="L156" i="9"/>
  <c r="M156" i="9"/>
  <c r="N156" i="9"/>
  <c r="O156" i="9"/>
  <c r="P156" i="9"/>
  <c r="Q156" i="9"/>
  <c r="R156" i="9"/>
  <c r="S156" i="9"/>
  <c r="T156" i="9"/>
  <c r="U156" i="9"/>
  <c r="V156" i="9"/>
  <c r="W156" i="9"/>
  <c r="X156" i="9"/>
  <c r="Y156" i="9"/>
  <c r="Z156" i="9"/>
  <c r="A157" i="9"/>
  <c r="B157" i="9"/>
  <c r="C157" i="9"/>
  <c r="D157" i="9"/>
  <c r="E157" i="9"/>
  <c r="F157" i="9"/>
  <c r="G157" i="9"/>
  <c r="H157" i="9"/>
  <c r="I157" i="9"/>
  <c r="J157" i="9"/>
  <c r="K157" i="9"/>
  <c r="L157" i="9"/>
  <c r="M157" i="9"/>
  <c r="N157" i="9"/>
  <c r="O157" i="9"/>
  <c r="P157" i="9"/>
  <c r="Q157" i="9"/>
  <c r="R157" i="9"/>
  <c r="S157" i="9"/>
  <c r="T157" i="9"/>
  <c r="U157" i="9"/>
  <c r="V157" i="9"/>
  <c r="W157" i="9"/>
  <c r="X157" i="9"/>
  <c r="Y157" i="9"/>
  <c r="Z157" i="9"/>
  <c r="A158" i="9"/>
  <c r="B158" i="9"/>
  <c r="C158" i="9"/>
  <c r="D158" i="9"/>
  <c r="E158" i="9"/>
  <c r="F158" i="9"/>
  <c r="G158" i="9"/>
  <c r="H158" i="9"/>
  <c r="I158" i="9"/>
  <c r="J158" i="9"/>
  <c r="K158" i="9"/>
  <c r="L158" i="9"/>
  <c r="M158" i="9"/>
  <c r="N158" i="9"/>
  <c r="O158" i="9"/>
  <c r="P158" i="9"/>
  <c r="Q158" i="9"/>
  <c r="R158" i="9"/>
  <c r="S158" i="9"/>
  <c r="T158" i="9"/>
  <c r="U158" i="9"/>
  <c r="V158" i="9"/>
  <c r="W158" i="9"/>
  <c r="X158" i="9"/>
  <c r="Y158" i="9"/>
  <c r="Z158" i="9"/>
  <c r="A159" i="9"/>
  <c r="B159" i="9"/>
  <c r="C159" i="9"/>
  <c r="D159" i="9"/>
  <c r="E159" i="9"/>
  <c r="F159" i="9"/>
  <c r="G159" i="9"/>
  <c r="H159" i="9"/>
  <c r="I159" i="9"/>
  <c r="J159" i="9"/>
  <c r="K159" i="9"/>
  <c r="L159" i="9"/>
  <c r="M159" i="9"/>
  <c r="N159" i="9"/>
  <c r="O159" i="9"/>
  <c r="P159" i="9"/>
  <c r="Q159" i="9"/>
  <c r="R159" i="9"/>
  <c r="S159" i="9"/>
  <c r="T159" i="9"/>
  <c r="U159" i="9"/>
  <c r="V159" i="9"/>
  <c r="W159" i="9"/>
  <c r="X159" i="9"/>
  <c r="Y159" i="9"/>
  <c r="Z159" i="9"/>
  <c r="A160" i="9"/>
  <c r="B160" i="9"/>
  <c r="C160" i="9"/>
  <c r="D160" i="9"/>
  <c r="E160" i="9"/>
  <c r="F160" i="9"/>
  <c r="G160" i="9"/>
  <c r="H160" i="9"/>
  <c r="I160" i="9"/>
  <c r="J160" i="9"/>
  <c r="K160" i="9"/>
  <c r="L160" i="9"/>
  <c r="M160" i="9"/>
  <c r="N160" i="9"/>
  <c r="O160" i="9"/>
  <c r="P160" i="9"/>
  <c r="Q160" i="9"/>
  <c r="R160" i="9"/>
  <c r="S160" i="9"/>
  <c r="T160" i="9"/>
  <c r="U160" i="9"/>
  <c r="V160" i="9"/>
  <c r="W160" i="9"/>
  <c r="X160" i="9"/>
  <c r="Y160" i="9"/>
  <c r="Z160" i="9"/>
  <c r="A161" i="9"/>
  <c r="B161" i="9"/>
  <c r="C161" i="9"/>
  <c r="D161" i="9"/>
  <c r="E161" i="9"/>
  <c r="F161" i="9"/>
  <c r="G161" i="9"/>
  <c r="H161" i="9"/>
  <c r="I161" i="9"/>
  <c r="J161" i="9"/>
  <c r="K161" i="9"/>
  <c r="L161" i="9"/>
  <c r="M161" i="9"/>
  <c r="N161" i="9"/>
  <c r="O161" i="9"/>
  <c r="P161" i="9"/>
  <c r="Q161" i="9"/>
  <c r="R161" i="9"/>
  <c r="S161" i="9"/>
  <c r="T161" i="9"/>
  <c r="U161" i="9"/>
  <c r="V161" i="9"/>
  <c r="W161" i="9"/>
  <c r="X161" i="9"/>
  <c r="Y161" i="9"/>
  <c r="Z161" i="9"/>
  <c r="A162" i="9"/>
  <c r="B162" i="9"/>
  <c r="C162" i="9"/>
  <c r="D162" i="9"/>
  <c r="E162" i="9"/>
  <c r="F162" i="9"/>
  <c r="G162" i="9"/>
  <c r="H162" i="9"/>
  <c r="I162" i="9"/>
  <c r="J162" i="9"/>
  <c r="K162" i="9"/>
  <c r="L162" i="9"/>
  <c r="M162" i="9"/>
  <c r="N162" i="9"/>
  <c r="O162" i="9"/>
  <c r="P162" i="9"/>
  <c r="Q162" i="9"/>
  <c r="R162" i="9"/>
  <c r="S162" i="9"/>
  <c r="T162" i="9"/>
  <c r="U162" i="9"/>
  <c r="V162" i="9"/>
  <c r="W162" i="9"/>
  <c r="X162" i="9"/>
  <c r="Y162" i="9"/>
  <c r="Z162" i="9"/>
  <c r="A163" i="9"/>
  <c r="B163" i="9"/>
  <c r="C163" i="9"/>
  <c r="D163" i="9"/>
  <c r="E163" i="9"/>
  <c r="F163" i="9"/>
  <c r="G163" i="9"/>
  <c r="H163" i="9"/>
  <c r="I163" i="9"/>
  <c r="J163" i="9"/>
  <c r="K163" i="9"/>
  <c r="L163" i="9"/>
  <c r="M163" i="9"/>
  <c r="N163" i="9"/>
  <c r="O163" i="9"/>
  <c r="P163" i="9"/>
  <c r="Q163" i="9"/>
  <c r="R163" i="9"/>
  <c r="S163" i="9"/>
  <c r="T163" i="9"/>
  <c r="U163" i="9"/>
  <c r="V163" i="9"/>
  <c r="W163" i="9"/>
  <c r="X163" i="9"/>
  <c r="Y163" i="9"/>
  <c r="Z163" i="9"/>
  <c r="A164" i="9"/>
  <c r="B164" i="9"/>
  <c r="C164" i="9"/>
  <c r="D164" i="9"/>
  <c r="E164" i="9"/>
  <c r="F164" i="9"/>
  <c r="G164" i="9"/>
  <c r="H164" i="9"/>
  <c r="I164" i="9"/>
  <c r="J164" i="9"/>
  <c r="K164" i="9"/>
  <c r="L164" i="9"/>
  <c r="M164" i="9"/>
  <c r="N164" i="9"/>
  <c r="O164" i="9"/>
  <c r="P164" i="9"/>
  <c r="Q164" i="9"/>
  <c r="R164" i="9"/>
  <c r="S164" i="9"/>
  <c r="T164" i="9"/>
  <c r="U164" i="9"/>
  <c r="V164" i="9"/>
  <c r="W164" i="9"/>
  <c r="X164" i="9"/>
  <c r="Y164" i="9"/>
  <c r="Z164" i="9"/>
  <c r="A165" i="9"/>
  <c r="B165" i="9"/>
  <c r="C165" i="9"/>
  <c r="D165" i="9"/>
  <c r="E165" i="9"/>
  <c r="F165" i="9"/>
  <c r="G165" i="9"/>
  <c r="H165" i="9"/>
  <c r="I165" i="9"/>
  <c r="J165" i="9"/>
  <c r="K165" i="9"/>
  <c r="L165" i="9"/>
  <c r="M165" i="9"/>
  <c r="N165" i="9"/>
  <c r="O165" i="9"/>
  <c r="P165" i="9"/>
  <c r="Q165" i="9"/>
  <c r="R165" i="9"/>
  <c r="S165" i="9"/>
  <c r="T165" i="9"/>
  <c r="U165" i="9"/>
  <c r="V165" i="9"/>
  <c r="W165" i="9"/>
  <c r="X165" i="9"/>
  <c r="Y165" i="9"/>
  <c r="Z165" i="9"/>
  <c r="A166" i="9"/>
  <c r="B166" i="9"/>
  <c r="C166" i="9"/>
  <c r="D166" i="9"/>
  <c r="E166" i="9"/>
  <c r="F166" i="9"/>
  <c r="G166" i="9"/>
  <c r="H166" i="9"/>
  <c r="I166" i="9"/>
  <c r="J166" i="9"/>
  <c r="K166" i="9"/>
  <c r="L166" i="9"/>
  <c r="M166" i="9"/>
  <c r="N166" i="9"/>
  <c r="O166" i="9"/>
  <c r="P166" i="9"/>
  <c r="Q166" i="9"/>
  <c r="R166" i="9"/>
  <c r="S166" i="9"/>
  <c r="T166" i="9"/>
  <c r="U166" i="9"/>
  <c r="V166" i="9"/>
  <c r="W166" i="9"/>
  <c r="X166" i="9"/>
  <c r="Y166" i="9"/>
  <c r="Z166" i="9"/>
  <c r="A167" i="9"/>
  <c r="B167" i="9"/>
  <c r="C167" i="9"/>
  <c r="D167" i="9"/>
  <c r="E167" i="9"/>
  <c r="F167" i="9"/>
  <c r="G167" i="9"/>
  <c r="H167" i="9"/>
  <c r="I167" i="9"/>
  <c r="J167" i="9"/>
  <c r="K167" i="9"/>
  <c r="L167" i="9"/>
  <c r="M167" i="9"/>
  <c r="N167" i="9"/>
  <c r="O167" i="9"/>
  <c r="P167" i="9"/>
  <c r="Q167" i="9"/>
  <c r="R167" i="9"/>
  <c r="S167" i="9"/>
  <c r="T167" i="9"/>
  <c r="U167" i="9"/>
  <c r="V167" i="9"/>
  <c r="W167" i="9"/>
  <c r="X167" i="9"/>
  <c r="Y167" i="9"/>
  <c r="Z167" i="9"/>
  <c r="A168" i="9"/>
  <c r="B168" i="9"/>
  <c r="C168" i="9"/>
  <c r="D168" i="9"/>
  <c r="E168" i="9"/>
  <c r="F168" i="9"/>
  <c r="G168" i="9"/>
  <c r="H168" i="9"/>
  <c r="I168" i="9"/>
  <c r="J168" i="9"/>
  <c r="K168" i="9"/>
  <c r="L168" i="9"/>
  <c r="M168" i="9"/>
  <c r="N168" i="9"/>
  <c r="O168" i="9"/>
  <c r="P168" i="9"/>
  <c r="Q168" i="9"/>
  <c r="R168" i="9"/>
  <c r="S168" i="9"/>
  <c r="T168" i="9"/>
  <c r="U168" i="9"/>
  <c r="V168" i="9"/>
  <c r="W168" i="9"/>
  <c r="X168" i="9"/>
  <c r="Y168" i="9"/>
  <c r="Z168" i="9"/>
  <c r="A169" i="9"/>
  <c r="B169" i="9"/>
  <c r="C169" i="9"/>
  <c r="D169" i="9"/>
  <c r="E169" i="9"/>
  <c r="F169" i="9"/>
  <c r="G169" i="9"/>
  <c r="H169" i="9"/>
  <c r="I169" i="9"/>
  <c r="J169" i="9"/>
  <c r="K169" i="9"/>
  <c r="L169" i="9"/>
  <c r="M169" i="9"/>
  <c r="N169" i="9"/>
  <c r="O169" i="9"/>
  <c r="P169" i="9"/>
  <c r="Q169" i="9"/>
  <c r="R169" i="9"/>
  <c r="S169" i="9"/>
  <c r="T169" i="9"/>
  <c r="U169" i="9"/>
  <c r="V169" i="9"/>
  <c r="W169" i="9"/>
  <c r="X169" i="9"/>
  <c r="Y169" i="9"/>
  <c r="Z169" i="9"/>
  <c r="A170" i="9"/>
  <c r="B170" i="9"/>
  <c r="C170" i="9"/>
  <c r="D170" i="9"/>
  <c r="E170" i="9"/>
  <c r="F170" i="9"/>
  <c r="G170" i="9"/>
  <c r="H170" i="9"/>
  <c r="I170" i="9"/>
  <c r="J170" i="9"/>
  <c r="K170" i="9"/>
  <c r="L170" i="9"/>
  <c r="M170" i="9"/>
  <c r="N170" i="9"/>
  <c r="O170" i="9"/>
  <c r="P170" i="9"/>
  <c r="Q170" i="9"/>
  <c r="R170" i="9"/>
  <c r="S170" i="9"/>
  <c r="T170" i="9"/>
  <c r="U170" i="9"/>
  <c r="V170" i="9"/>
  <c r="W170" i="9"/>
  <c r="X170" i="9"/>
  <c r="Y170" i="9"/>
  <c r="Z170" i="9"/>
  <c r="A171" i="9"/>
  <c r="B171" i="9"/>
  <c r="C171" i="9"/>
  <c r="D171" i="9"/>
  <c r="E171" i="9"/>
  <c r="F171" i="9"/>
  <c r="G171" i="9"/>
  <c r="H171" i="9"/>
  <c r="I171" i="9"/>
  <c r="J171" i="9"/>
  <c r="K171" i="9"/>
  <c r="L171" i="9"/>
  <c r="M171" i="9"/>
  <c r="N171" i="9"/>
  <c r="O171" i="9"/>
  <c r="P171" i="9"/>
  <c r="Q171" i="9"/>
  <c r="R171" i="9"/>
  <c r="S171" i="9"/>
  <c r="T171" i="9"/>
  <c r="U171" i="9"/>
  <c r="V171" i="9"/>
  <c r="W171" i="9"/>
  <c r="X171" i="9"/>
  <c r="Y171" i="9"/>
  <c r="Z171" i="9"/>
  <c r="A172" i="9"/>
  <c r="B172" i="9"/>
  <c r="C172" i="9"/>
  <c r="D172" i="9"/>
  <c r="E172" i="9"/>
  <c r="F172" i="9"/>
  <c r="G172" i="9"/>
  <c r="H172" i="9"/>
  <c r="I172" i="9"/>
  <c r="J172" i="9"/>
  <c r="K172" i="9"/>
  <c r="L172" i="9"/>
  <c r="M172" i="9"/>
  <c r="N172" i="9"/>
  <c r="O172" i="9"/>
  <c r="P172" i="9"/>
  <c r="Q172" i="9"/>
  <c r="R172" i="9"/>
  <c r="S172" i="9"/>
  <c r="T172" i="9"/>
  <c r="U172" i="9"/>
  <c r="V172" i="9"/>
  <c r="W172" i="9"/>
  <c r="X172" i="9"/>
  <c r="Y172" i="9"/>
  <c r="Z172" i="9"/>
  <c r="A173" i="9"/>
  <c r="B173" i="9"/>
  <c r="C173" i="9"/>
  <c r="D173" i="9"/>
  <c r="E173" i="9"/>
  <c r="F173" i="9"/>
  <c r="G173" i="9"/>
  <c r="H173" i="9"/>
  <c r="I173" i="9"/>
  <c r="J173" i="9"/>
  <c r="K173" i="9"/>
  <c r="L173" i="9"/>
  <c r="M173" i="9"/>
  <c r="N173" i="9"/>
  <c r="O173" i="9"/>
  <c r="P173" i="9"/>
  <c r="Q173" i="9"/>
  <c r="R173" i="9"/>
  <c r="S173" i="9"/>
  <c r="T173" i="9"/>
  <c r="U173" i="9"/>
  <c r="V173" i="9"/>
  <c r="W173" i="9"/>
  <c r="X173" i="9"/>
  <c r="Y173" i="9"/>
  <c r="Z173" i="9"/>
  <c r="A174" i="9"/>
  <c r="B174" i="9"/>
  <c r="C174" i="9"/>
  <c r="D174" i="9"/>
  <c r="E174" i="9"/>
  <c r="F174" i="9"/>
  <c r="G174" i="9"/>
  <c r="H174" i="9"/>
  <c r="I174" i="9"/>
  <c r="J174" i="9"/>
  <c r="K174" i="9"/>
  <c r="L174" i="9"/>
  <c r="M174" i="9"/>
  <c r="N174" i="9"/>
  <c r="O174" i="9"/>
  <c r="P174" i="9"/>
  <c r="Q174" i="9"/>
  <c r="R174" i="9"/>
  <c r="S174" i="9"/>
  <c r="T174" i="9"/>
  <c r="U174" i="9"/>
  <c r="V174" i="9"/>
  <c r="W174" i="9"/>
  <c r="X174" i="9"/>
  <c r="Y174" i="9"/>
  <c r="Z174" i="9"/>
  <c r="A175" i="9"/>
  <c r="B175" i="9"/>
  <c r="C175" i="9"/>
  <c r="D175" i="9"/>
  <c r="E175" i="9"/>
  <c r="F175" i="9"/>
  <c r="G175" i="9"/>
  <c r="H175" i="9"/>
  <c r="I175" i="9"/>
  <c r="J175" i="9"/>
  <c r="K175" i="9"/>
  <c r="L175" i="9"/>
  <c r="M175" i="9"/>
  <c r="N175" i="9"/>
  <c r="O175" i="9"/>
  <c r="P175" i="9"/>
  <c r="Q175" i="9"/>
  <c r="R175" i="9"/>
  <c r="S175" i="9"/>
  <c r="T175" i="9"/>
  <c r="U175" i="9"/>
  <c r="V175" i="9"/>
  <c r="W175" i="9"/>
  <c r="X175" i="9"/>
  <c r="Y175" i="9"/>
  <c r="Z175" i="9"/>
  <c r="A176" i="9"/>
  <c r="B176" i="9"/>
  <c r="C176" i="9"/>
  <c r="D176" i="9"/>
  <c r="E176" i="9"/>
  <c r="F176" i="9"/>
  <c r="G176" i="9"/>
  <c r="H176" i="9"/>
  <c r="I176" i="9"/>
  <c r="J176" i="9"/>
  <c r="K176" i="9"/>
  <c r="L176" i="9"/>
  <c r="M176" i="9"/>
  <c r="N176" i="9"/>
  <c r="O176" i="9"/>
  <c r="P176" i="9"/>
  <c r="Q176" i="9"/>
  <c r="R176" i="9"/>
  <c r="S176" i="9"/>
  <c r="T176" i="9"/>
  <c r="U176" i="9"/>
  <c r="V176" i="9"/>
  <c r="W176" i="9"/>
  <c r="X176" i="9"/>
  <c r="Y176" i="9"/>
  <c r="Z176" i="9"/>
  <c r="A177" i="9"/>
  <c r="B177" i="9"/>
  <c r="C177" i="9"/>
  <c r="D177" i="9"/>
  <c r="E177" i="9"/>
  <c r="F177" i="9"/>
  <c r="G177" i="9"/>
  <c r="H177" i="9"/>
  <c r="I177" i="9"/>
  <c r="J177" i="9"/>
  <c r="K177" i="9"/>
  <c r="L177" i="9"/>
  <c r="M177" i="9"/>
  <c r="N177" i="9"/>
  <c r="O177" i="9"/>
  <c r="P177" i="9"/>
  <c r="Q177" i="9"/>
  <c r="R177" i="9"/>
  <c r="S177" i="9"/>
  <c r="T177" i="9"/>
  <c r="U177" i="9"/>
  <c r="V177" i="9"/>
  <c r="W177" i="9"/>
  <c r="X177" i="9"/>
  <c r="Y177" i="9"/>
  <c r="Z177" i="9"/>
  <c r="A178" i="9"/>
  <c r="B178" i="9"/>
  <c r="C178" i="9"/>
  <c r="D178" i="9"/>
  <c r="E178" i="9"/>
  <c r="F178" i="9"/>
  <c r="G178" i="9"/>
  <c r="H178" i="9"/>
  <c r="I178" i="9"/>
  <c r="J178" i="9"/>
  <c r="K178" i="9"/>
  <c r="L178" i="9"/>
  <c r="M178" i="9"/>
  <c r="N178" i="9"/>
  <c r="O178" i="9"/>
  <c r="P178" i="9"/>
  <c r="Q178" i="9"/>
  <c r="R178" i="9"/>
  <c r="S178" i="9"/>
  <c r="T178" i="9"/>
  <c r="U178" i="9"/>
  <c r="V178" i="9"/>
  <c r="W178" i="9"/>
  <c r="X178" i="9"/>
  <c r="Y178" i="9"/>
  <c r="Z178" i="9"/>
  <c r="A179" i="9"/>
  <c r="B179" i="9"/>
  <c r="C179" i="9"/>
  <c r="D179" i="9"/>
  <c r="E179" i="9"/>
  <c r="F179" i="9"/>
  <c r="G179" i="9"/>
  <c r="H179" i="9"/>
  <c r="I179" i="9"/>
  <c r="J179" i="9"/>
  <c r="K179" i="9"/>
  <c r="L179" i="9"/>
  <c r="M179" i="9"/>
  <c r="N179" i="9"/>
  <c r="O179" i="9"/>
  <c r="P179" i="9"/>
  <c r="Q179" i="9"/>
  <c r="R179" i="9"/>
  <c r="S179" i="9"/>
  <c r="T179" i="9"/>
  <c r="U179" i="9"/>
  <c r="V179" i="9"/>
  <c r="W179" i="9"/>
  <c r="X179" i="9"/>
  <c r="Y179" i="9"/>
  <c r="Z179" i="9"/>
  <c r="A180" i="9"/>
  <c r="B180" i="9"/>
  <c r="C180" i="9"/>
  <c r="D180" i="9"/>
  <c r="E180" i="9"/>
  <c r="F180" i="9"/>
  <c r="G180" i="9"/>
  <c r="H180" i="9"/>
  <c r="I180" i="9"/>
  <c r="J180" i="9"/>
  <c r="K180" i="9"/>
  <c r="L180" i="9"/>
  <c r="M180" i="9"/>
  <c r="N180" i="9"/>
  <c r="O180" i="9"/>
  <c r="P180" i="9"/>
  <c r="Q180" i="9"/>
  <c r="R180" i="9"/>
  <c r="S180" i="9"/>
  <c r="T180" i="9"/>
  <c r="U180" i="9"/>
  <c r="V180" i="9"/>
  <c r="W180" i="9"/>
  <c r="X180" i="9"/>
  <c r="Y180" i="9"/>
  <c r="Z180" i="9"/>
  <c r="A181" i="9"/>
  <c r="B181" i="9"/>
  <c r="C181" i="9"/>
  <c r="D181" i="9"/>
  <c r="E181" i="9"/>
  <c r="F181" i="9"/>
  <c r="G181" i="9"/>
  <c r="H181" i="9"/>
  <c r="I181" i="9"/>
  <c r="J181" i="9"/>
  <c r="K181" i="9"/>
  <c r="L181" i="9"/>
  <c r="M181" i="9"/>
  <c r="N181" i="9"/>
  <c r="O181" i="9"/>
  <c r="P181" i="9"/>
  <c r="Q181" i="9"/>
  <c r="R181" i="9"/>
  <c r="S181" i="9"/>
  <c r="T181" i="9"/>
  <c r="U181" i="9"/>
  <c r="V181" i="9"/>
  <c r="W181" i="9"/>
  <c r="X181" i="9"/>
  <c r="Y181" i="9"/>
  <c r="Z181" i="9"/>
  <c r="A182" i="9"/>
  <c r="B182" i="9"/>
  <c r="C182" i="9"/>
  <c r="D182" i="9"/>
  <c r="E182" i="9"/>
  <c r="F182" i="9"/>
  <c r="G182" i="9"/>
  <c r="H182" i="9"/>
  <c r="I182" i="9"/>
  <c r="J182" i="9"/>
  <c r="K182" i="9"/>
  <c r="L182" i="9"/>
  <c r="M182" i="9"/>
  <c r="N182" i="9"/>
  <c r="O182" i="9"/>
  <c r="P182" i="9"/>
  <c r="Q182" i="9"/>
  <c r="R182" i="9"/>
  <c r="S182" i="9"/>
  <c r="T182" i="9"/>
  <c r="U182" i="9"/>
  <c r="V182" i="9"/>
  <c r="W182" i="9"/>
  <c r="X182" i="9"/>
  <c r="Y182" i="9"/>
  <c r="Z182" i="9"/>
  <c r="A183" i="9"/>
  <c r="B183" i="9"/>
  <c r="C183" i="9"/>
  <c r="D183" i="9"/>
  <c r="E183" i="9"/>
  <c r="F183" i="9"/>
  <c r="G183" i="9"/>
  <c r="H183" i="9"/>
  <c r="I183" i="9"/>
  <c r="J183" i="9"/>
  <c r="K183" i="9"/>
  <c r="L183" i="9"/>
  <c r="M183" i="9"/>
  <c r="N183" i="9"/>
  <c r="O183" i="9"/>
  <c r="P183" i="9"/>
  <c r="Q183" i="9"/>
  <c r="R183" i="9"/>
  <c r="S183" i="9"/>
  <c r="T183" i="9"/>
  <c r="U183" i="9"/>
  <c r="V183" i="9"/>
  <c r="W183" i="9"/>
  <c r="X183" i="9"/>
  <c r="Y183" i="9"/>
  <c r="Z183" i="9"/>
  <c r="A184" i="9"/>
  <c r="B184" i="9"/>
  <c r="C184" i="9"/>
  <c r="D184" i="9"/>
  <c r="E184" i="9"/>
  <c r="F184" i="9"/>
  <c r="G184" i="9"/>
  <c r="H184" i="9"/>
  <c r="I184" i="9"/>
  <c r="J184" i="9"/>
  <c r="K184" i="9"/>
  <c r="L184" i="9"/>
  <c r="M184" i="9"/>
  <c r="N184" i="9"/>
  <c r="O184" i="9"/>
  <c r="P184" i="9"/>
  <c r="Q184" i="9"/>
  <c r="R184" i="9"/>
  <c r="S184" i="9"/>
  <c r="T184" i="9"/>
  <c r="U184" i="9"/>
  <c r="V184" i="9"/>
  <c r="W184" i="9"/>
  <c r="X184" i="9"/>
  <c r="Y184" i="9"/>
  <c r="Z184" i="9"/>
  <c r="A185" i="9"/>
  <c r="B185" i="9"/>
  <c r="C185" i="9"/>
  <c r="D185" i="9"/>
  <c r="E185" i="9"/>
  <c r="F185" i="9"/>
  <c r="G185" i="9"/>
  <c r="H185" i="9"/>
  <c r="I185" i="9"/>
  <c r="J185" i="9"/>
  <c r="K185" i="9"/>
  <c r="L185" i="9"/>
  <c r="M185" i="9"/>
  <c r="N185" i="9"/>
  <c r="O185" i="9"/>
  <c r="P185" i="9"/>
  <c r="Q185" i="9"/>
  <c r="R185" i="9"/>
  <c r="S185" i="9"/>
  <c r="T185" i="9"/>
  <c r="U185" i="9"/>
  <c r="V185" i="9"/>
  <c r="W185" i="9"/>
  <c r="X185" i="9"/>
  <c r="Y185" i="9"/>
  <c r="Z185" i="9"/>
  <c r="A186" i="9"/>
  <c r="B186" i="9"/>
  <c r="C186" i="9"/>
  <c r="D186" i="9"/>
  <c r="E186" i="9"/>
  <c r="F186" i="9"/>
  <c r="G186" i="9"/>
  <c r="H186" i="9"/>
  <c r="I186" i="9"/>
  <c r="J186" i="9"/>
  <c r="K186" i="9"/>
  <c r="L186" i="9"/>
  <c r="M186" i="9"/>
  <c r="N186" i="9"/>
  <c r="O186" i="9"/>
  <c r="P186" i="9"/>
  <c r="Q186" i="9"/>
  <c r="R186" i="9"/>
  <c r="S186" i="9"/>
  <c r="T186" i="9"/>
  <c r="U186" i="9"/>
  <c r="V186" i="9"/>
  <c r="W186" i="9"/>
  <c r="X186" i="9"/>
  <c r="Y186" i="9"/>
  <c r="Z186" i="9"/>
  <c r="A187" i="9"/>
  <c r="B187" i="9"/>
  <c r="C187" i="9"/>
  <c r="D187" i="9"/>
  <c r="E187" i="9"/>
  <c r="F187" i="9"/>
  <c r="G187" i="9"/>
  <c r="H187" i="9"/>
  <c r="I187" i="9"/>
  <c r="J187" i="9"/>
  <c r="K187" i="9"/>
  <c r="L187" i="9"/>
  <c r="M187" i="9"/>
  <c r="N187" i="9"/>
  <c r="O187" i="9"/>
  <c r="P187" i="9"/>
  <c r="Q187" i="9"/>
  <c r="R187" i="9"/>
  <c r="S187" i="9"/>
  <c r="T187" i="9"/>
  <c r="U187" i="9"/>
  <c r="V187" i="9"/>
  <c r="W187" i="9"/>
  <c r="X187" i="9"/>
  <c r="Y187" i="9"/>
  <c r="Z187" i="9"/>
  <c r="A188" i="9"/>
  <c r="B188" i="9"/>
  <c r="C188" i="9"/>
  <c r="D188" i="9"/>
  <c r="E188" i="9"/>
  <c r="F188" i="9"/>
  <c r="G188" i="9"/>
  <c r="H188" i="9"/>
  <c r="I188" i="9"/>
  <c r="J188" i="9"/>
  <c r="K188" i="9"/>
  <c r="L188" i="9"/>
  <c r="M188" i="9"/>
  <c r="N188" i="9"/>
  <c r="O188" i="9"/>
  <c r="P188" i="9"/>
  <c r="Q188" i="9"/>
  <c r="R188" i="9"/>
  <c r="S188" i="9"/>
  <c r="T188" i="9"/>
  <c r="U188" i="9"/>
  <c r="V188" i="9"/>
  <c r="W188" i="9"/>
  <c r="X188" i="9"/>
  <c r="Y188" i="9"/>
  <c r="Z188" i="9"/>
  <c r="A189" i="9"/>
  <c r="B189" i="9"/>
  <c r="C189" i="9"/>
  <c r="D189" i="9"/>
  <c r="E189" i="9"/>
  <c r="F189" i="9"/>
  <c r="G189" i="9"/>
  <c r="H189" i="9"/>
  <c r="I189" i="9"/>
  <c r="J189" i="9"/>
  <c r="K189" i="9"/>
  <c r="L189" i="9"/>
  <c r="M189" i="9"/>
  <c r="N189" i="9"/>
  <c r="O189" i="9"/>
  <c r="P189" i="9"/>
  <c r="Q189" i="9"/>
  <c r="R189" i="9"/>
  <c r="S189" i="9"/>
  <c r="T189" i="9"/>
  <c r="U189" i="9"/>
  <c r="V189" i="9"/>
  <c r="W189" i="9"/>
  <c r="X189" i="9"/>
  <c r="Y189" i="9"/>
  <c r="Z189" i="9"/>
  <c r="A190" i="9"/>
  <c r="B190" i="9"/>
  <c r="C190" i="9"/>
  <c r="D190" i="9"/>
  <c r="E190" i="9"/>
  <c r="F190" i="9"/>
  <c r="G190" i="9"/>
  <c r="H190" i="9"/>
  <c r="I190" i="9"/>
  <c r="J190" i="9"/>
  <c r="K190" i="9"/>
  <c r="L190" i="9"/>
  <c r="M190" i="9"/>
  <c r="N190" i="9"/>
  <c r="O190" i="9"/>
  <c r="P190" i="9"/>
  <c r="Q190" i="9"/>
  <c r="R190" i="9"/>
  <c r="S190" i="9"/>
  <c r="T190" i="9"/>
  <c r="U190" i="9"/>
  <c r="V190" i="9"/>
  <c r="W190" i="9"/>
  <c r="X190" i="9"/>
  <c r="Y190" i="9"/>
  <c r="Z190" i="9"/>
  <c r="A191" i="9"/>
  <c r="B191" i="9"/>
  <c r="C191" i="9"/>
  <c r="D191" i="9"/>
  <c r="E191" i="9"/>
  <c r="F191" i="9"/>
  <c r="G191" i="9"/>
  <c r="H191" i="9"/>
  <c r="I191" i="9"/>
  <c r="J191" i="9"/>
  <c r="K191" i="9"/>
  <c r="L191" i="9"/>
  <c r="M191" i="9"/>
  <c r="N191" i="9"/>
  <c r="O191" i="9"/>
  <c r="P191" i="9"/>
  <c r="Q191" i="9"/>
  <c r="R191" i="9"/>
  <c r="S191" i="9"/>
  <c r="T191" i="9"/>
  <c r="U191" i="9"/>
  <c r="V191" i="9"/>
  <c r="W191" i="9"/>
  <c r="X191" i="9"/>
  <c r="Y191" i="9"/>
  <c r="Z191" i="9"/>
  <c r="A192" i="9"/>
  <c r="B192" i="9"/>
  <c r="C192" i="9"/>
  <c r="D192" i="9"/>
  <c r="E192" i="9"/>
  <c r="F192" i="9"/>
  <c r="G192" i="9"/>
  <c r="H192" i="9"/>
  <c r="I192" i="9"/>
  <c r="J192" i="9"/>
  <c r="K192" i="9"/>
  <c r="L192" i="9"/>
  <c r="M192" i="9"/>
  <c r="N192" i="9"/>
  <c r="O192" i="9"/>
  <c r="P192" i="9"/>
  <c r="Q192" i="9"/>
  <c r="R192" i="9"/>
  <c r="S192" i="9"/>
  <c r="T192" i="9"/>
  <c r="U192" i="9"/>
  <c r="V192" i="9"/>
  <c r="W192" i="9"/>
  <c r="X192" i="9"/>
  <c r="Y192" i="9"/>
  <c r="Z192" i="9"/>
  <c r="A193" i="9"/>
  <c r="B193" i="9"/>
  <c r="C193" i="9"/>
  <c r="D193" i="9"/>
  <c r="E193" i="9"/>
  <c r="F193" i="9"/>
  <c r="G193" i="9"/>
  <c r="H193" i="9"/>
  <c r="I193" i="9"/>
  <c r="J193" i="9"/>
  <c r="K193" i="9"/>
  <c r="L193" i="9"/>
  <c r="M193" i="9"/>
  <c r="N193" i="9"/>
  <c r="O193" i="9"/>
  <c r="P193" i="9"/>
  <c r="Q193" i="9"/>
  <c r="R193" i="9"/>
  <c r="S193" i="9"/>
  <c r="T193" i="9"/>
  <c r="U193" i="9"/>
  <c r="V193" i="9"/>
  <c r="W193" i="9"/>
  <c r="X193" i="9"/>
  <c r="Y193" i="9"/>
  <c r="Z193" i="9"/>
  <c r="A194" i="9"/>
  <c r="B194" i="9"/>
  <c r="C194" i="9"/>
  <c r="D194" i="9"/>
  <c r="E194" i="9"/>
  <c r="F194" i="9"/>
  <c r="G194" i="9"/>
  <c r="H194" i="9"/>
  <c r="I194" i="9"/>
  <c r="J194" i="9"/>
  <c r="K194" i="9"/>
  <c r="L194" i="9"/>
  <c r="M194" i="9"/>
  <c r="N194" i="9"/>
  <c r="O194" i="9"/>
  <c r="P194" i="9"/>
  <c r="Q194" i="9"/>
  <c r="R194" i="9"/>
  <c r="S194" i="9"/>
  <c r="T194" i="9"/>
  <c r="U194" i="9"/>
  <c r="V194" i="9"/>
  <c r="W194" i="9"/>
  <c r="X194" i="9"/>
  <c r="Y194" i="9"/>
  <c r="Z194" i="9"/>
  <c r="A195" i="9"/>
  <c r="B195" i="9"/>
  <c r="C195" i="9"/>
  <c r="D195" i="9"/>
  <c r="E195" i="9"/>
  <c r="F195" i="9"/>
  <c r="G195" i="9"/>
  <c r="H195" i="9"/>
  <c r="I195" i="9"/>
  <c r="J195" i="9"/>
  <c r="K195" i="9"/>
  <c r="L195" i="9"/>
  <c r="M195" i="9"/>
  <c r="N195" i="9"/>
  <c r="O195" i="9"/>
  <c r="P195" i="9"/>
  <c r="Q195" i="9"/>
  <c r="R195" i="9"/>
  <c r="S195" i="9"/>
  <c r="T195" i="9"/>
  <c r="U195" i="9"/>
  <c r="V195" i="9"/>
  <c r="W195" i="9"/>
  <c r="X195" i="9"/>
  <c r="Y195" i="9"/>
  <c r="Z195" i="9"/>
  <c r="A196" i="9"/>
  <c r="B196" i="9"/>
  <c r="C196" i="9"/>
  <c r="D196" i="9"/>
  <c r="E196" i="9"/>
  <c r="F196" i="9"/>
  <c r="G196" i="9"/>
  <c r="H196" i="9"/>
  <c r="I196" i="9"/>
  <c r="J196" i="9"/>
  <c r="K196" i="9"/>
  <c r="L196" i="9"/>
  <c r="M196" i="9"/>
  <c r="N196" i="9"/>
  <c r="O196" i="9"/>
  <c r="P196" i="9"/>
  <c r="Q196" i="9"/>
  <c r="R196" i="9"/>
  <c r="S196" i="9"/>
  <c r="T196" i="9"/>
  <c r="U196" i="9"/>
  <c r="V196" i="9"/>
  <c r="W196" i="9"/>
  <c r="X196" i="9"/>
  <c r="Y196" i="9"/>
  <c r="Z196" i="9"/>
  <c r="A197" i="9"/>
  <c r="B197" i="9"/>
  <c r="C197" i="9"/>
  <c r="D197" i="9"/>
  <c r="E197" i="9"/>
  <c r="F197" i="9"/>
  <c r="G197" i="9"/>
  <c r="H197" i="9"/>
  <c r="I197" i="9"/>
  <c r="J197" i="9"/>
  <c r="K197" i="9"/>
  <c r="L197" i="9"/>
  <c r="M197" i="9"/>
  <c r="N197" i="9"/>
  <c r="O197" i="9"/>
  <c r="P197" i="9"/>
  <c r="Q197" i="9"/>
  <c r="R197" i="9"/>
  <c r="S197" i="9"/>
  <c r="T197" i="9"/>
  <c r="U197" i="9"/>
  <c r="V197" i="9"/>
  <c r="W197" i="9"/>
  <c r="X197" i="9"/>
  <c r="Y197" i="9"/>
  <c r="Z197" i="9"/>
  <c r="A198" i="9"/>
  <c r="B198" i="9"/>
  <c r="C198" i="9"/>
  <c r="D198" i="9"/>
  <c r="E198" i="9"/>
  <c r="F198" i="9"/>
  <c r="G198" i="9"/>
  <c r="H198" i="9"/>
  <c r="I198" i="9"/>
  <c r="J198" i="9"/>
  <c r="K198" i="9"/>
  <c r="L198" i="9"/>
  <c r="M198" i="9"/>
  <c r="N198" i="9"/>
  <c r="O198" i="9"/>
  <c r="P198" i="9"/>
  <c r="Q198" i="9"/>
  <c r="R198" i="9"/>
  <c r="S198" i="9"/>
  <c r="T198" i="9"/>
  <c r="U198" i="9"/>
  <c r="V198" i="9"/>
  <c r="W198" i="9"/>
  <c r="X198" i="9"/>
  <c r="Y198" i="9"/>
  <c r="Z198" i="9"/>
  <c r="A199" i="9"/>
  <c r="B199" i="9"/>
  <c r="C199" i="9"/>
  <c r="D199" i="9"/>
  <c r="E199" i="9"/>
  <c r="F199" i="9"/>
  <c r="G199" i="9"/>
  <c r="H199" i="9"/>
  <c r="I199" i="9"/>
  <c r="J199" i="9"/>
  <c r="K199" i="9"/>
  <c r="L199" i="9"/>
  <c r="M199" i="9"/>
  <c r="N199" i="9"/>
  <c r="O199" i="9"/>
  <c r="P199" i="9"/>
  <c r="Q199" i="9"/>
  <c r="R199" i="9"/>
  <c r="S199" i="9"/>
  <c r="T199" i="9"/>
  <c r="U199" i="9"/>
  <c r="V199" i="9"/>
  <c r="W199" i="9"/>
  <c r="X199" i="9"/>
  <c r="Y199" i="9"/>
  <c r="Z199" i="9"/>
  <c r="A200" i="9"/>
  <c r="B200" i="9"/>
  <c r="C200" i="9"/>
  <c r="D200" i="9"/>
  <c r="E200" i="9"/>
  <c r="F200" i="9"/>
  <c r="G200" i="9"/>
  <c r="H200" i="9"/>
  <c r="I200" i="9"/>
  <c r="J200" i="9"/>
  <c r="K200" i="9"/>
  <c r="L200" i="9"/>
  <c r="M200" i="9"/>
  <c r="N200" i="9"/>
  <c r="O200" i="9"/>
  <c r="P200" i="9"/>
  <c r="Q200" i="9"/>
  <c r="R200" i="9"/>
  <c r="S200" i="9"/>
  <c r="T200" i="9"/>
  <c r="U200" i="9"/>
  <c r="V200" i="9"/>
  <c r="W200" i="9"/>
  <c r="X200" i="9"/>
  <c r="Y200" i="9"/>
  <c r="Z200" i="9"/>
  <c r="A201" i="9"/>
  <c r="B201" i="9"/>
  <c r="C201" i="9"/>
  <c r="D201" i="9"/>
  <c r="E201" i="9"/>
  <c r="F201" i="9"/>
  <c r="G201" i="9"/>
  <c r="H201" i="9"/>
  <c r="I201" i="9"/>
  <c r="J201" i="9"/>
  <c r="K201" i="9"/>
  <c r="L201" i="9"/>
  <c r="M201" i="9"/>
  <c r="N201" i="9"/>
  <c r="O201" i="9"/>
  <c r="P201" i="9"/>
  <c r="Q201" i="9"/>
  <c r="R201" i="9"/>
  <c r="S201" i="9"/>
  <c r="T201" i="9"/>
  <c r="U201" i="9"/>
  <c r="V201" i="9"/>
  <c r="W201" i="9"/>
  <c r="X201" i="9"/>
  <c r="Y201" i="9"/>
  <c r="Z201" i="9"/>
  <c r="A202" i="9"/>
  <c r="B202" i="9"/>
  <c r="C202" i="9"/>
  <c r="D202" i="9"/>
  <c r="E202" i="9"/>
  <c r="F202" i="9"/>
  <c r="G202" i="9"/>
  <c r="H202" i="9"/>
  <c r="I202" i="9"/>
  <c r="J202" i="9"/>
  <c r="K202" i="9"/>
  <c r="L202" i="9"/>
  <c r="M202" i="9"/>
  <c r="N202" i="9"/>
  <c r="O202" i="9"/>
  <c r="P202" i="9"/>
  <c r="Q202" i="9"/>
  <c r="R202" i="9"/>
  <c r="S202" i="9"/>
  <c r="T202" i="9"/>
  <c r="U202" i="9"/>
  <c r="V202" i="9"/>
  <c r="W202" i="9"/>
  <c r="X202" i="9"/>
  <c r="Y202" i="9"/>
  <c r="Z202" i="9"/>
  <c r="A203" i="9"/>
  <c r="B203" i="9"/>
  <c r="C203" i="9"/>
  <c r="D203" i="9"/>
  <c r="E203" i="9"/>
  <c r="F203" i="9"/>
  <c r="G203" i="9"/>
  <c r="H203" i="9"/>
  <c r="I203" i="9"/>
  <c r="J203" i="9"/>
  <c r="K203" i="9"/>
  <c r="L203" i="9"/>
  <c r="M203" i="9"/>
  <c r="N203" i="9"/>
  <c r="O203" i="9"/>
  <c r="P203" i="9"/>
  <c r="Q203" i="9"/>
  <c r="R203" i="9"/>
  <c r="S203" i="9"/>
  <c r="T203" i="9"/>
  <c r="U203" i="9"/>
  <c r="V203" i="9"/>
  <c r="W203" i="9"/>
  <c r="X203" i="9"/>
  <c r="Y203" i="9"/>
  <c r="Z203" i="9"/>
  <c r="A204" i="9"/>
  <c r="B204" i="9"/>
  <c r="C204" i="9"/>
  <c r="D204" i="9"/>
  <c r="E204" i="9"/>
  <c r="F204" i="9"/>
  <c r="G204" i="9"/>
  <c r="H204" i="9"/>
  <c r="I204" i="9"/>
  <c r="J204" i="9"/>
  <c r="K204" i="9"/>
  <c r="L204" i="9"/>
  <c r="M204" i="9"/>
  <c r="N204" i="9"/>
  <c r="O204" i="9"/>
  <c r="P204" i="9"/>
  <c r="Q204" i="9"/>
  <c r="R204" i="9"/>
  <c r="S204" i="9"/>
  <c r="T204" i="9"/>
  <c r="U204" i="9"/>
  <c r="V204" i="9"/>
  <c r="W204" i="9"/>
  <c r="X204" i="9"/>
  <c r="Y204" i="9"/>
  <c r="Z204" i="9"/>
  <c r="A205" i="9"/>
  <c r="B205" i="9"/>
  <c r="C205" i="9"/>
  <c r="D205" i="9"/>
  <c r="E205" i="9"/>
  <c r="F205" i="9"/>
  <c r="G205" i="9"/>
  <c r="H205" i="9"/>
  <c r="I205" i="9"/>
  <c r="J205" i="9"/>
  <c r="K205" i="9"/>
  <c r="L205" i="9"/>
  <c r="M205" i="9"/>
  <c r="N205" i="9"/>
  <c r="O205" i="9"/>
  <c r="P205" i="9"/>
  <c r="Q205" i="9"/>
  <c r="R205" i="9"/>
  <c r="S205" i="9"/>
  <c r="T205" i="9"/>
  <c r="U205" i="9"/>
  <c r="V205" i="9"/>
  <c r="W205" i="9"/>
  <c r="X205" i="9"/>
  <c r="Y205" i="9"/>
  <c r="Z205" i="9"/>
  <c r="A206" i="9"/>
  <c r="B206" i="9"/>
  <c r="C206" i="9"/>
  <c r="D206" i="9"/>
  <c r="E206" i="9"/>
  <c r="F206" i="9"/>
  <c r="G206" i="9"/>
  <c r="H206" i="9"/>
  <c r="I206" i="9"/>
  <c r="J206" i="9"/>
  <c r="K206" i="9"/>
  <c r="L206" i="9"/>
  <c r="M206" i="9"/>
  <c r="N206" i="9"/>
  <c r="O206" i="9"/>
  <c r="P206" i="9"/>
  <c r="Q206" i="9"/>
  <c r="R206" i="9"/>
  <c r="S206" i="9"/>
  <c r="T206" i="9"/>
  <c r="U206" i="9"/>
  <c r="V206" i="9"/>
  <c r="W206" i="9"/>
  <c r="X206" i="9"/>
  <c r="Y206" i="9"/>
  <c r="Z206" i="9"/>
  <c r="A207" i="9"/>
  <c r="B207" i="9"/>
  <c r="C207" i="9"/>
  <c r="D207" i="9"/>
  <c r="E207" i="9"/>
  <c r="F207" i="9"/>
  <c r="G207" i="9"/>
  <c r="H207" i="9"/>
  <c r="I207" i="9"/>
  <c r="J207" i="9"/>
  <c r="K207" i="9"/>
  <c r="L207" i="9"/>
  <c r="M207" i="9"/>
  <c r="N207" i="9"/>
  <c r="O207" i="9"/>
  <c r="P207" i="9"/>
  <c r="Q207" i="9"/>
  <c r="R207" i="9"/>
  <c r="S207" i="9"/>
  <c r="T207" i="9"/>
  <c r="U207" i="9"/>
  <c r="V207" i="9"/>
  <c r="W207" i="9"/>
  <c r="X207" i="9"/>
  <c r="Y207" i="9"/>
  <c r="Z207" i="9"/>
  <c r="A208" i="9"/>
  <c r="B208" i="9"/>
  <c r="C208" i="9"/>
  <c r="D208" i="9"/>
  <c r="E208" i="9"/>
  <c r="F208" i="9"/>
  <c r="G208" i="9"/>
  <c r="H208" i="9"/>
  <c r="I208" i="9"/>
  <c r="J208" i="9"/>
  <c r="K208" i="9"/>
  <c r="L208" i="9"/>
  <c r="M208" i="9"/>
  <c r="N208" i="9"/>
  <c r="O208" i="9"/>
  <c r="P208" i="9"/>
  <c r="Q208" i="9"/>
  <c r="R208" i="9"/>
  <c r="S208" i="9"/>
  <c r="T208" i="9"/>
  <c r="U208" i="9"/>
  <c r="V208" i="9"/>
  <c r="W208" i="9"/>
  <c r="X208" i="9"/>
  <c r="Y208" i="9"/>
  <c r="Z208" i="9"/>
  <c r="A209" i="9"/>
  <c r="B209" i="9"/>
  <c r="C209" i="9"/>
  <c r="D209" i="9"/>
  <c r="E209" i="9"/>
  <c r="F209" i="9"/>
  <c r="G209" i="9"/>
  <c r="H209" i="9"/>
  <c r="I209" i="9"/>
  <c r="J209" i="9"/>
  <c r="K209" i="9"/>
  <c r="L209" i="9"/>
  <c r="M209" i="9"/>
  <c r="N209" i="9"/>
  <c r="O209" i="9"/>
  <c r="P209" i="9"/>
  <c r="Q209" i="9"/>
  <c r="R209" i="9"/>
  <c r="S209" i="9"/>
  <c r="T209" i="9"/>
  <c r="U209" i="9"/>
  <c r="V209" i="9"/>
  <c r="W209" i="9"/>
  <c r="X209" i="9"/>
  <c r="Y209" i="9"/>
  <c r="Z209" i="9"/>
  <c r="A210" i="9"/>
  <c r="B210" i="9"/>
  <c r="C210" i="9"/>
  <c r="D210" i="9"/>
  <c r="E210" i="9"/>
  <c r="F210" i="9"/>
  <c r="G210" i="9"/>
  <c r="H210" i="9"/>
  <c r="I210" i="9"/>
  <c r="J210" i="9"/>
  <c r="K210" i="9"/>
  <c r="L210" i="9"/>
  <c r="M210" i="9"/>
  <c r="N210" i="9"/>
  <c r="O210" i="9"/>
  <c r="P210" i="9"/>
  <c r="Q210" i="9"/>
  <c r="R210" i="9"/>
  <c r="S210" i="9"/>
  <c r="T210" i="9"/>
  <c r="U210" i="9"/>
  <c r="V210" i="9"/>
  <c r="W210" i="9"/>
  <c r="X210" i="9"/>
  <c r="Y210" i="9"/>
  <c r="Z210" i="9"/>
  <c r="A211" i="9"/>
  <c r="B211" i="9"/>
  <c r="C211" i="9"/>
  <c r="D211" i="9"/>
  <c r="E211" i="9"/>
  <c r="F211" i="9"/>
  <c r="G211" i="9"/>
  <c r="H211" i="9"/>
  <c r="I211" i="9"/>
  <c r="J211" i="9"/>
  <c r="K211" i="9"/>
  <c r="L211" i="9"/>
  <c r="M211" i="9"/>
  <c r="N211" i="9"/>
  <c r="O211" i="9"/>
  <c r="P211" i="9"/>
  <c r="Q211" i="9"/>
  <c r="R211" i="9"/>
  <c r="S211" i="9"/>
  <c r="T211" i="9"/>
  <c r="U211" i="9"/>
  <c r="V211" i="9"/>
  <c r="W211" i="9"/>
  <c r="X211" i="9"/>
  <c r="Y211" i="9"/>
  <c r="Z211" i="9"/>
  <c r="A212" i="9"/>
  <c r="B212" i="9"/>
  <c r="C212" i="9"/>
  <c r="D212" i="9"/>
  <c r="E212" i="9"/>
  <c r="F212" i="9"/>
  <c r="G212" i="9"/>
  <c r="H212" i="9"/>
  <c r="I212" i="9"/>
  <c r="J212" i="9"/>
  <c r="K212" i="9"/>
  <c r="L212" i="9"/>
  <c r="M212" i="9"/>
  <c r="N212" i="9"/>
  <c r="O212" i="9"/>
  <c r="P212" i="9"/>
  <c r="Q212" i="9"/>
  <c r="R212" i="9"/>
  <c r="S212" i="9"/>
  <c r="T212" i="9"/>
  <c r="U212" i="9"/>
  <c r="V212" i="9"/>
  <c r="W212" i="9"/>
  <c r="X212" i="9"/>
  <c r="Y212" i="9"/>
  <c r="Z212" i="9"/>
  <c r="A213" i="9"/>
  <c r="B213" i="9"/>
  <c r="C213" i="9"/>
  <c r="D213" i="9"/>
  <c r="E213" i="9"/>
  <c r="F213" i="9"/>
  <c r="G213" i="9"/>
  <c r="H213" i="9"/>
  <c r="I213" i="9"/>
  <c r="J213" i="9"/>
  <c r="K213" i="9"/>
  <c r="L213" i="9"/>
  <c r="M213" i="9"/>
  <c r="N213" i="9"/>
  <c r="O213" i="9"/>
  <c r="P213" i="9"/>
  <c r="Q213" i="9"/>
  <c r="R213" i="9"/>
  <c r="S213" i="9"/>
  <c r="T213" i="9"/>
  <c r="U213" i="9"/>
  <c r="V213" i="9"/>
  <c r="W213" i="9"/>
  <c r="X213" i="9"/>
  <c r="Y213" i="9"/>
  <c r="Z213" i="9"/>
  <c r="A214" i="9"/>
  <c r="B214" i="9"/>
  <c r="C214" i="9"/>
  <c r="D214" i="9"/>
  <c r="E214" i="9"/>
  <c r="F214" i="9"/>
  <c r="G214" i="9"/>
  <c r="H214" i="9"/>
  <c r="I214" i="9"/>
  <c r="J214" i="9"/>
  <c r="K214" i="9"/>
  <c r="L214" i="9"/>
  <c r="M214" i="9"/>
  <c r="N214" i="9"/>
  <c r="O214" i="9"/>
  <c r="P214" i="9"/>
  <c r="Q214" i="9"/>
  <c r="R214" i="9"/>
  <c r="S214" i="9"/>
  <c r="T214" i="9"/>
  <c r="U214" i="9"/>
  <c r="V214" i="9"/>
  <c r="W214" i="9"/>
  <c r="X214" i="9"/>
  <c r="Y214" i="9"/>
  <c r="Z214" i="9"/>
  <c r="A215" i="9"/>
  <c r="B215" i="9"/>
  <c r="C215" i="9"/>
  <c r="D215" i="9"/>
  <c r="E215" i="9"/>
  <c r="F215" i="9"/>
  <c r="G215" i="9"/>
  <c r="H215" i="9"/>
  <c r="I215" i="9"/>
  <c r="J215" i="9"/>
  <c r="K215" i="9"/>
  <c r="L215" i="9"/>
  <c r="M215" i="9"/>
  <c r="N215" i="9"/>
  <c r="O215" i="9"/>
  <c r="P215" i="9"/>
  <c r="Q215" i="9"/>
  <c r="R215" i="9"/>
  <c r="S215" i="9"/>
  <c r="T215" i="9"/>
  <c r="U215" i="9"/>
  <c r="V215" i="9"/>
  <c r="W215" i="9"/>
  <c r="X215" i="9"/>
  <c r="Y215" i="9"/>
  <c r="Z215" i="9"/>
  <c r="A216" i="9"/>
  <c r="B216" i="9"/>
  <c r="C216" i="9"/>
  <c r="D216" i="9"/>
  <c r="E216" i="9"/>
  <c r="F216" i="9"/>
  <c r="G216" i="9"/>
  <c r="H216" i="9"/>
  <c r="I216" i="9"/>
  <c r="J216" i="9"/>
  <c r="K216" i="9"/>
  <c r="L216" i="9"/>
  <c r="M216" i="9"/>
  <c r="N216" i="9"/>
  <c r="O216" i="9"/>
  <c r="P216" i="9"/>
  <c r="Q216" i="9"/>
  <c r="R216" i="9"/>
  <c r="S216" i="9"/>
  <c r="T216" i="9"/>
  <c r="U216" i="9"/>
  <c r="V216" i="9"/>
  <c r="W216" i="9"/>
  <c r="X216" i="9"/>
  <c r="Y216" i="9"/>
  <c r="Z216" i="9"/>
  <c r="A217" i="9"/>
  <c r="B217" i="9"/>
  <c r="C217" i="9"/>
  <c r="D217" i="9"/>
  <c r="E217" i="9"/>
  <c r="F217" i="9"/>
  <c r="G217" i="9"/>
  <c r="H217" i="9"/>
  <c r="I217" i="9"/>
  <c r="J217" i="9"/>
  <c r="K217" i="9"/>
  <c r="L217" i="9"/>
  <c r="M217" i="9"/>
  <c r="N217" i="9"/>
  <c r="O217" i="9"/>
  <c r="P217" i="9"/>
  <c r="Q217" i="9"/>
  <c r="R217" i="9"/>
  <c r="S217" i="9"/>
  <c r="T217" i="9"/>
  <c r="U217" i="9"/>
  <c r="V217" i="9"/>
  <c r="W217" i="9"/>
  <c r="X217" i="9"/>
  <c r="Y217" i="9"/>
  <c r="Z217" i="9"/>
  <c r="A218" i="9"/>
  <c r="B218" i="9"/>
  <c r="C218" i="9"/>
  <c r="D218" i="9"/>
  <c r="E218" i="9"/>
  <c r="F218" i="9"/>
  <c r="G218" i="9"/>
  <c r="H218" i="9"/>
  <c r="I218" i="9"/>
  <c r="J218" i="9"/>
  <c r="K218" i="9"/>
  <c r="L218" i="9"/>
  <c r="M218" i="9"/>
  <c r="N218" i="9"/>
  <c r="O218" i="9"/>
  <c r="P218" i="9"/>
  <c r="Q218" i="9"/>
  <c r="R218" i="9"/>
  <c r="S218" i="9"/>
  <c r="T218" i="9"/>
  <c r="U218" i="9"/>
  <c r="V218" i="9"/>
  <c r="W218" i="9"/>
  <c r="X218" i="9"/>
  <c r="Y218" i="9"/>
  <c r="Z218" i="9"/>
  <c r="A219" i="9"/>
  <c r="B219" i="9"/>
  <c r="C219" i="9"/>
  <c r="D219" i="9"/>
  <c r="E219" i="9"/>
  <c r="F219" i="9"/>
  <c r="G219" i="9"/>
  <c r="H219" i="9"/>
  <c r="I219" i="9"/>
  <c r="J219" i="9"/>
  <c r="K219" i="9"/>
  <c r="L219" i="9"/>
  <c r="M219" i="9"/>
  <c r="N219" i="9"/>
  <c r="O219" i="9"/>
  <c r="P219" i="9"/>
  <c r="Q219" i="9"/>
  <c r="R219" i="9"/>
  <c r="S219" i="9"/>
  <c r="T219" i="9"/>
  <c r="U219" i="9"/>
  <c r="V219" i="9"/>
  <c r="W219" i="9"/>
  <c r="X219" i="9"/>
  <c r="Y219" i="9"/>
  <c r="Z219" i="9"/>
  <c r="A220" i="9"/>
  <c r="B220" i="9"/>
  <c r="C220" i="9"/>
  <c r="D220" i="9"/>
  <c r="E220" i="9"/>
  <c r="F220" i="9"/>
  <c r="G220" i="9"/>
  <c r="H220" i="9"/>
  <c r="I220" i="9"/>
  <c r="J220" i="9"/>
  <c r="K220" i="9"/>
  <c r="L220" i="9"/>
  <c r="M220" i="9"/>
  <c r="N220" i="9"/>
  <c r="O220" i="9"/>
  <c r="P220" i="9"/>
  <c r="Q220" i="9"/>
  <c r="R220" i="9"/>
  <c r="S220" i="9"/>
  <c r="T220" i="9"/>
  <c r="U220" i="9"/>
  <c r="V220" i="9"/>
  <c r="W220" i="9"/>
  <c r="X220" i="9"/>
  <c r="Y220" i="9"/>
  <c r="Z220" i="9"/>
  <c r="A221" i="9"/>
  <c r="B221" i="9"/>
  <c r="C221" i="9"/>
  <c r="D221" i="9"/>
  <c r="E221" i="9"/>
  <c r="F221" i="9"/>
  <c r="G221" i="9"/>
  <c r="H221" i="9"/>
  <c r="I221" i="9"/>
  <c r="J221" i="9"/>
  <c r="K221" i="9"/>
  <c r="L221" i="9"/>
  <c r="M221" i="9"/>
  <c r="N221" i="9"/>
  <c r="O221" i="9"/>
  <c r="P221" i="9"/>
  <c r="Q221" i="9"/>
  <c r="R221" i="9"/>
  <c r="S221" i="9"/>
  <c r="T221" i="9"/>
  <c r="U221" i="9"/>
  <c r="V221" i="9"/>
  <c r="W221" i="9"/>
  <c r="X221" i="9"/>
  <c r="Y221" i="9"/>
  <c r="Z221" i="9"/>
  <c r="A222" i="9"/>
  <c r="B222" i="9"/>
  <c r="C222" i="9"/>
  <c r="D222" i="9"/>
  <c r="E222" i="9"/>
  <c r="F222" i="9"/>
  <c r="G222" i="9"/>
  <c r="H222" i="9"/>
  <c r="I222" i="9"/>
  <c r="J222" i="9"/>
  <c r="K222" i="9"/>
  <c r="L222" i="9"/>
  <c r="M222" i="9"/>
  <c r="N222" i="9"/>
  <c r="O222" i="9"/>
  <c r="P222" i="9"/>
  <c r="Q222" i="9"/>
  <c r="R222" i="9"/>
  <c r="S222" i="9"/>
  <c r="T222" i="9"/>
  <c r="U222" i="9"/>
  <c r="V222" i="9"/>
  <c r="W222" i="9"/>
  <c r="X222" i="9"/>
  <c r="Y222" i="9"/>
  <c r="Z222" i="9"/>
  <c r="A223" i="9"/>
  <c r="B223" i="9"/>
  <c r="C223" i="9"/>
  <c r="D223" i="9"/>
  <c r="E223" i="9"/>
  <c r="F223" i="9"/>
  <c r="G223" i="9"/>
  <c r="H223" i="9"/>
  <c r="I223" i="9"/>
  <c r="J223" i="9"/>
  <c r="K223" i="9"/>
  <c r="L223" i="9"/>
  <c r="M223" i="9"/>
  <c r="N223" i="9"/>
  <c r="O223" i="9"/>
  <c r="P223" i="9"/>
  <c r="Q223" i="9"/>
  <c r="R223" i="9"/>
  <c r="S223" i="9"/>
  <c r="T223" i="9"/>
  <c r="U223" i="9"/>
  <c r="V223" i="9"/>
  <c r="W223" i="9"/>
  <c r="X223" i="9"/>
  <c r="Y223" i="9"/>
  <c r="Z223" i="9"/>
  <c r="A224" i="9"/>
  <c r="B224" i="9"/>
  <c r="C224" i="9"/>
  <c r="D224" i="9"/>
  <c r="E224" i="9"/>
  <c r="F224" i="9"/>
  <c r="G224" i="9"/>
  <c r="H224" i="9"/>
  <c r="I224" i="9"/>
  <c r="J224" i="9"/>
  <c r="K224" i="9"/>
  <c r="L224" i="9"/>
  <c r="M224" i="9"/>
  <c r="N224" i="9"/>
  <c r="O224" i="9"/>
  <c r="P224" i="9"/>
  <c r="Q224" i="9"/>
  <c r="R224" i="9"/>
  <c r="S224" i="9"/>
  <c r="T224" i="9"/>
  <c r="U224" i="9"/>
  <c r="V224" i="9"/>
  <c r="W224" i="9"/>
  <c r="X224" i="9"/>
  <c r="Y224" i="9"/>
  <c r="Z224" i="9"/>
  <c r="A225" i="9"/>
  <c r="B225" i="9"/>
  <c r="C225" i="9"/>
  <c r="D225" i="9"/>
  <c r="E225" i="9"/>
  <c r="F225" i="9"/>
  <c r="G225" i="9"/>
  <c r="H225" i="9"/>
  <c r="I225" i="9"/>
  <c r="J225" i="9"/>
  <c r="K225" i="9"/>
  <c r="L225" i="9"/>
  <c r="M225" i="9"/>
  <c r="N225" i="9"/>
  <c r="O225" i="9"/>
  <c r="P225" i="9"/>
  <c r="Q225" i="9"/>
  <c r="R225" i="9"/>
  <c r="S225" i="9"/>
  <c r="T225" i="9"/>
  <c r="U225" i="9"/>
  <c r="V225" i="9"/>
  <c r="W225" i="9"/>
  <c r="X225" i="9"/>
  <c r="Y225" i="9"/>
  <c r="Z225" i="9"/>
  <c r="A226" i="9"/>
  <c r="B226" i="9"/>
  <c r="C226" i="9"/>
  <c r="D226" i="9"/>
  <c r="E226" i="9"/>
  <c r="F226" i="9"/>
  <c r="G226" i="9"/>
  <c r="H226" i="9"/>
  <c r="I226" i="9"/>
  <c r="J226" i="9"/>
  <c r="K226" i="9"/>
  <c r="L226" i="9"/>
  <c r="M226" i="9"/>
  <c r="N226" i="9"/>
  <c r="O226" i="9"/>
  <c r="P226" i="9"/>
  <c r="Q226" i="9"/>
  <c r="R226" i="9"/>
  <c r="S226" i="9"/>
  <c r="T226" i="9"/>
  <c r="U226" i="9"/>
  <c r="V226" i="9"/>
  <c r="W226" i="9"/>
  <c r="X226" i="9"/>
  <c r="Y226" i="9"/>
  <c r="Z226" i="9"/>
  <c r="A227" i="9"/>
  <c r="B227" i="9"/>
  <c r="C227" i="9"/>
  <c r="D227" i="9"/>
  <c r="E227" i="9"/>
  <c r="F227" i="9"/>
  <c r="G227" i="9"/>
  <c r="H227" i="9"/>
  <c r="I227" i="9"/>
  <c r="J227" i="9"/>
  <c r="K227" i="9"/>
  <c r="L227" i="9"/>
  <c r="M227" i="9"/>
  <c r="N227" i="9"/>
  <c r="O227" i="9"/>
  <c r="P227" i="9"/>
  <c r="Q227" i="9"/>
  <c r="R227" i="9"/>
  <c r="S227" i="9"/>
  <c r="T227" i="9"/>
  <c r="U227" i="9"/>
  <c r="V227" i="9"/>
  <c r="W227" i="9"/>
  <c r="X227" i="9"/>
  <c r="Y227" i="9"/>
  <c r="Z227" i="9"/>
  <c r="A228" i="9"/>
  <c r="B228" i="9"/>
  <c r="C228" i="9"/>
  <c r="D228" i="9"/>
  <c r="E228" i="9"/>
  <c r="F228" i="9"/>
  <c r="G228" i="9"/>
  <c r="H228" i="9"/>
  <c r="I228" i="9"/>
  <c r="J228" i="9"/>
  <c r="K228" i="9"/>
  <c r="L228" i="9"/>
  <c r="M228" i="9"/>
  <c r="N228" i="9"/>
  <c r="O228" i="9"/>
  <c r="P228" i="9"/>
  <c r="Q228" i="9"/>
  <c r="R228" i="9"/>
  <c r="S228" i="9"/>
  <c r="T228" i="9"/>
  <c r="U228" i="9"/>
  <c r="V228" i="9"/>
  <c r="W228" i="9"/>
  <c r="X228" i="9"/>
  <c r="Y228" i="9"/>
  <c r="Z228" i="9"/>
  <c r="A229" i="9"/>
  <c r="B229" i="9"/>
  <c r="C229" i="9"/>
  <c r="D229" i="9"/>
  <c r="E229" i="9"/>
  <c r="F229" i="9"/>
  <c r="G229" i="9"/>
  <c r="H229" i="9"/>
  <c r="I229" i="9"/>
  <c r="J229" i="9"/>
  <c r="K229" i="9"/>
  <c r="L229" i="9"/>
  <c r="M229" i="9"/>
  <c r="N229" i="9"/>
  <c r="O229" i="9"/>
  <c r="P229" i="9"/>
  <c r="Q229" i="9"/>
  <c r="R229" i="9"/>
  <c r="S229" i="9"/>
  <c r="T229" i="9"/>
  <c r="U229" i="9"/>
  <c r="V229" i="9"/>
  <c r="W229" i="9"/>
  <c r="X229" i="9"/>
  <c r="Y229" i="9"/>
  <c r="Z229" i="9"/>
  <c r="A230" i="9"/>
  <c r="B230" i="9"/>
  <c r="C230" i="9"/>
  <c r="D230" i="9"/>
  <c r="E230" i="9"/>
  <c r="F230" i="9"/>
  <c r="G230" i="9"/>
  <c r="H230" i="9"/>
  <c r="I230" i="9"/>
  <c r="J230" i="9"/>
  <c r="K230" i="9"/>
  <c r="L230" i="9"/>
  <c r="M230" i="9"/>
  <c r="N230" i="9"/>
  <c r="O230" i="9"/>
  <c r="P230" i="9"/>
  <c r="Q230" i="9"/>
  <c r="R230" i="9"/>
  <c r="S230" i="9"/>
  <c r="T230" i="9"/>
  <c r="U230" i="9"/>
  <c r="V230" i="9"/>
  <c r="W230" i="9"/>
  <c r="X230" i="9"/>
  <c r="Y230" i="9"/>
  <c r="Z230" i="9"/>
  <c r="A231" i="9"/>
  <c r="B231" i="9"/>
  <c r="C231" i="9"/>
  <c r="D231" i="9"/>
  <c r="E231" i="9"/>
  <c r="F231" i="9"/>
  <c r="G231" i="9"/>
  <c r="H231" i="9"/>
  <c r="I231" i="9"/>
  <c r="J231" i="9"/>
  <c r="K231" i="9"/>
  <c r="L231" i="9"/>
  <c r="M231" i="9"/>
  <c r="N231" i="9"/>
  <c r="O231" i="9"/>
  <c r="P231" i="9"/>
  <c r="Q231" i="9"/>
  <c r="R231" i="9"/>
  <c r="S231" i="9"/>
  <c r="T231" i="9"/>
  <c r="U231" i="9"/>
  <c r="V231" i="9"/>
  <c r="W231" i="9"/>
  <c r="X231" i="9"/>
  <c r="Y231" i="9"/>
  <c r="Z231" i="9"/>
  <c r="A232" i="9"/>
  <c r="B232" i="9"/>
  <c r="C232" i="9"/>
  <c r="D232" i="9"/>
  <c r="E232" i="9"/>
  <c r="F232" i="9"/>
  <c r="G232" i="9"/>
  <c r="H232" i="9"/>
  <c r="I232" i="9"/>
  <c r="J232" i="9"/>
  <c r="K232" i="9"/>
  <c r="L232" i="9"/>
  <c r="M232" i="9"/>
  <c r="N232" i="9"/>
  <c r="O232" i="9"/>
  <c r="P232" i="9"/>
  <c r="Q232" i="9"/>
  <c r="R232" i="9"/>
  <c r="S232" i="9"/>
  <c r="T232" i="9"/>
  <c r="U232" i="9"/>
  <c r="V232" i="9"/>
  <c r="W232" i="9"/>
  <c r="X232" i="9"/>
  <c r="Y232" i="9"/>
  <c r="Z232" i="9"/>
  <c r="A233" i="9"/>
  <c r="B233" i="9"/>
  <c r="C233" i="9"/>
  <c r="D233" i="9"/>
  <c r="E233" i="9"/>
  <c r="F233" i="9"/>
  <c r="G233" i="9"/>
  <c r="H233" i="9"/>
  <c r="I233" i="9"/>
  <c r="J233" i="9"/>
  <c r="K233" i="9"/>
  <c r="L233" i="9"/>
  <c r="M233" i="9"/>
  <c r="N233" i="9"/>
  <c r="O233" i="9"/>
  <c r="P233" i="9"/>
  <c r="Q233" i="9"/>
  <c r="R233" i="9"/>
  <c r="S233" i="9"/>
  <c r="T233" i="9"/>
  <c r="U233" i="9"/>
  <c r="V233" i="9"/>
  <c r="W233" i="9"/>
  <c r="X233" i="9"/>
  <c r="Y233" i="9"/>
  <c r="Z233" i="9"/>
  <c r="A234" i="9"/>
  <c r="B234" i="9"/>
  <c r="C234" i="9"/>
  <c r="D234" i="9"/>
  <c r="E234" i="9"/>
  <c r="F234" i="9"/>
  <c r="G234" i="9"/>
  <c r="H234" i="9"/>
  <c r="I234" i="9"/>
  <c r="J234" i="9"/>
  <c r="K234" i="9"/>
  <c r="L234" i="9"/>
  <c r="M234" i="9"/>
  <c r="N234" i="9"/>
  <c r="O234" i="9"/>
  <c r="P234" i="9"/>
  <c r="Q234" i="9"/>
  <c r="R234" i="9"/>
  <c r="S234" i="9"/>
  <c r="T234" i="9"/>
  <c r="U234" i="9"/>
  <c r="V234" i="9"/>
  <c r="W234" i="9"/>
  <c r="X234" i="9"/>
  <c r="Y234" i="9"/>
  <c r="Z234" i="9"/>
  <c r="A235" i="9"/>
  <c r="B235" i="9"/>
  <c r="C235" i="9"/>
  <c r="D235" i="9"/>
  <c r="E235" i="9"/>
  <c r="F235" i="9"/>
  <c r="G235" i="9"/>
  <c r="H235" i="9"/>
  <c r="I235" i="9"/>
  <c r="J235" i="9"/>
  <c r="K235" i="9"/>
  <c r="L235" i="9"/>
  <c r="M235" i="9"/>
  <c r="N235" i="9"/>
  <c r="O235" i="9"/>
  <c r="P235" i="9"/>
  <c r="Q235" i="9"/>
  <c r="R235" i="9"/>
  <c r="S235" i="9"/>
  <c r="T235" i="9"/>
  <c r="U235" i="9"/>
  <c r="V235" i="9"/>
  <c r="W235" i="9"/>
  <c r="X235" i="9"/>
  <c r="Y235" i="9"/>
  <c r="Z235" i="9"/>
  <c r="A236" i="9"/>
  <c r="B236" i="9"/>
  <c r="C236" i="9"/>
  <c r="D236" i="9"/>
  <c r="E236" i="9"/>
  <c r="F236" i="9"/>
  <c r="G236" i="9"/>
  <c r="H236" i="9"/>
  <c r="I236" i="9"/>
  <c r="J236" i="9"/>
  <c r="K236" i="9"/>
  <c r="L236" i="9"/>
  <c r="M236" i="9"/>
  <c r="N236" i="9"/>
  <c r="O236" i="9"/>
  <c r="P236" i="9"/>
  <c r="Q236" i="9"/>
  <c r="R236" i="9"/>
  <c r="S236" i="9"/>
  <c r="T236" i="9"/>
  <c r="U236" i="9"/>
  <c r="V236" i="9"/>
  <c r="W236" i="9"/>
  <c r="X236" i="9"/>
  <c r="Y236" i="9"/>
  <c r="Z236" i="9"/>
  <c r="A237" i="9"/>
  <c r="B237" i="9"/>
  <c r="C237" i="9"/>
  <c r="D237" i="9"/>
  <c r="E237" i="9"/>
  <c r="F237" i="9"/>
  <c r="G237" i="9"/>
  <c r="H237" i="9"/>
  <c r="I237" i="9"/>
  <c r="J237" i="9"/>
  <c r="K237" i="9"/>
  <c r="L237" i="9"/>
  <c r="M237" i="9"/>
  <c r="N237" i="9"/>
  <c r="O237" i="9"/>
  <c r="P237" i="9"/>
  <c r="Q237" i="9"/>
  <c r="R237" i="9"/>
  <c r="S237" i="9"/>
  <c r="T237" i="9"/>
  <c r="U237" i="9"/>
  <c r="V237" i="9"/>
  <c r="W237" i="9"/>
  <c r="X237" i="9"/>
  <c r="Y237" i="9"/>
  <c r="Z237" i="9"/>
  <c r="A238" i="9"/>
  <c r="B238" i="9"/>
  <c r="C238" i="9"/>
  <c r="D238" i="9"/>
  <c r="E238" i="9"/>
  <c r="F238" i="9"/>
  <c r="G238" i="9"/>
  <c r="H238" i="9"/>
  <c r="I238" i="9"/>
  <c r="J238" i="9"/>
  <c r="K238" i="9"/>
  <c r="L238" i="9"/>
  <c r="M238" i="9"/>
  <c r="N238" i="9"/>
  <c r="O238" i="9"/>
  <c r="P238" i="9"/>
  <c r="Q238" i="9"/>
  <c r="R238" i="9"/>
  <c r="S238" i="9"/>
  <c r="T238" i="9"/>
  <c r="U238" i="9"/>
  <c r="V238" i="9"/>
  <c r="W238" i="9"/>
  <c r="X238" i="9"/>
  <c r="Y238" i="9"/>
  <c r="Z238" i="9"/>
  <c r="A239" i="9"/>
  <c r="B239" i="9"/>
  <c r="C239" i="9"/>
  <c r="D239" i="9"/>
  <c r="E239" i="9"/>
  <c r="F239" i="9"/>
  <c r="G239" i="9"/>
  <c r="H239" i="9"/>
  <c r="I239" i="9"/>
  <c r="J239" i="9"/>
  <c r="K239" i="9"/>
  <c r="L239" i="9"/>
  <c r="M239" i="9"/>
  <c r="N239" i="9"/>
  <c r="O239" i="9"/>
  <c r="P239" i="9"/>
  <c r="Q239" i="9"/>
  <c r="R239" i="9"/>
  <c r="S239" i="9"/>
  <c r="T239" i="9"/>
  <c r="U239" i="9"/>
  <c r="V239" i="9"/>
  <c r="W239" i="9"/>
  <c r="X239" i="9"/>
  <c r="Y239" i="9"/>
  <c r="Z239" i="9"/>
  <c r="A240" i="9"/>
  <c r="B240" i="9"/>
  <c r="C240" i="9"/>
  <c r="D240" i="9"/>
  <c r="E240" i="9"/>
  <c r="F240" i="9"/>
  <c r="G240" i="9"/>
  <c r="H240" i="9"/>
  <c r="I240" i="9"/>
  <c r="J240" i="9"/>
  <c r="K240" i="9"/>
  <c r="L240" i="9"/>
  <c r="M240" i="9"/>
  <c r="N240" i="9"/>
  <c r="O240" i="9"/>
  <c r="P240" i="9"/>
  <c r="Q240" i="9"/>
  <c r="R240" i="9"/>
  <c r="S240" i="9"/>
  <c r="T240" i="9"/>
  <c r="U240" i="9"/>
  <c r="V240" i="9"/>
  <c r="W240" i="9"/>
  <c r="X240" i="9"/>
  <c r="Y240" i="9"/>
  <c r="Z240" i="9"/>
  <c r="A241" i="9"/>
  <c r="B241" i="9"/>
  <c r="C241" i="9"/>
  <c r="D241" i="9"/>
  <c r="E241" i="9"/>
  <c r="F241" i="9"/>
  <c r="G241" i="9"/>
  <c r="H241" i="9"/>
  <c r="I241" i="9"/>
  <c r="J241" i="9"/>
  <c r="K241" i="9"/>
  <c r="L241" i="9"/>
  <c r="M241" i="9"/>
  <c r="N241" i="9"/>
  <c r="O241" i="9"/>
  <c r="P241" i="9"/>
  <c r="Q241" i="9"/>
  <c r="R241" i="9"/>
  <c r="S241" i="9"/>
  <c r="T241" i="9"/>
  <c r="U241" i="9"/>
  <c r="V241" i="9"/>
  <c r="W241" i="9"/>
  <c r="X241" i="9"/>
  <c r="Y241" i="9"/>
  <c r="Z241" i="9"/>
  <c r="A242" i="9"/>
  <c r="B242" i="9"/>
  <c r="C242" i="9"/>
  <c r="D242" i="9"/>
  <c r="E242" i="9"/>
  <c r="F242" i="9"/>
  <c r="G242" i="9"/>
  <c r="H242" i="9"/>
  <c r="I242" i="9"/>
  <c r="J242" i="9"/>
  <c r="K242" i="9"/>
  <c r="L242" i="9"/>
  <c r="M242" i="9"/>
  <c r="N242" i="9"/>
  <c r="O242" i="9"/>
  <c r="P242" i="9"/>
  <c r="Q242" i="9"/>
  <c r="R242" i="9"/>
  <c r="S242" i="9"/>
  <c r="T242" i="9"/>
  <c r="U242" i="9"/>
  <c r="V242" i="9"/>
  <c r="W242" i="9"/>
  <c r="X242" i="9"/>
  <c r="Y242" i="9"/>
  <c r="Z242" i="9"/>
  <c r="A243" i="9"/>
  <c r="B243" i="9"/>
  <c r="C243" i="9"/>
  <c r="D243" i="9"/>
  <c r="E243" i="9"/>
  <c r="F243" i="9"/>
  <c r="G243" i="9"/>
  <c r="H243" i="9"/>
  <c r="I243" i="9"/>
  <c r="J243" i="9"/>
  <c r="K243" i="9"/>
  <c r="L243" i="9"/>
  <c r="M243" i="9"/>
  <c r="N243" i="9"/>
  <c r="O243" i="9"/>
  <c r="P243" i="9"/>
  <c r="Q243" i="9"/>
  <c r="R243" i="9"/>
  <c r="S243" i="9"/>
  <c r="T243" i="9"/>
  <c r="U243" i="9"/>
  <c r="V243" i="9"/>
  <c r="W243" i="9"/>
  <c r="X243" i="9"/>
  <c r="Y243" i="9"/>
  <c r="Z243" i="9"/>
  <c r="A244" i="9"/>
  <c r="B244" i="9"/>
  <c r="C244" i="9"/>
  <c r="D244" i="9"/>
  <c r="E244" i="9"/>
  <c r="F244" i="9"/>
  <c r="G244" i="9"/>
  <c r="H244" i="9"/>
  <c r="I244" i="9"/>
  <c r="J244" i="9"/>
  <c r="K244" i="9"/>
  <c r="L244" i="9"/>
  <c r="M244" i="9"/>
  <c r="N244" i="9"/>
  <c r="O244" i="9"/>
  <c r="P244" i="9"/>
  <c r="Q244" i="9"/>
  <c r="R244" i="9"/>
  <c r="S244" i="9"/>
  <c r="T244" i="9"/>
  <c r="U244" i="9"/>
  <c r="V244" i="9"/>
  <c r="W244" i="9"/>
  <c r="X244" i="9"/>
  <c r="Y244" i="9"/>
  <c r="Z244" i="9"/>
  <c r="A245" i="9"/>
  <c r="B245" i="9"/>
  <c r="C245" i="9"/>
  <c r="D245" i="9"/>
  <c r="E245" i="9"/>
  <c r="F245" i="9"/>
  <c r="G245" i="9"/>
  <c r="H245" i="9"/>
  <c r="I245" i="9"/>
  <c r="J245" i="9"/>
  <c r="K245" i="9"/>
  <c r="L245" i="9"/>
  <c r="M245" i="9"/>
  <c r="N245" i="9"/>
  <c r="O245" i="9"/>
  <c r="P245" i="9"/>
  <c r="Q245" i="9"/>
  <c r="R245" i="9"/>
  <c r="S245" i="9"/>
  <c r="T245" i="9"/>
  <c r="U245" i="9"/>
  <c r="V245" i="9"/>
  <c r="W245" i="9"/>
  <c r="X245" i="9"/>
  <c r="Y245" i="9"/>
  <c r="Z245" i="9"/>
  <c r="A246" i="9"/>
  <c r="B246" i="9"/>
  <c r="C246" i="9"/>
  <c r="D246" i="9"/>
  <c r="E246" i="9"/>
  <c r="F246" i="9"/>
  <c r="G246" i="9"/>
  <c r="H246" i="9"/>
  <c r="I246" i="9"/>
  <c r="J246" i="9"/>
  <c r="K246" i="9"/>
  <c r="L246" i="9"/>
  <c r="M246" i="9"/>
  <c r="N246" i="9"/>
  <c r="O246" i="9"/>
  <c r="P246" i="9"/>
  <c r="Q246" i="9"/>
  <c r="R246" i="9"/>
  <c r="S246" i="9"/>
  <c r="T246" i="9"/>
  <c r="U246" i="9"/>
  <c r="V246" i="9"/>
  <c r="W246" i="9"/>
  <c r="X246" i="9"/>
  <c r="Y246" i="9"/>
  <c r="Z246" i="9"/>
  <c r="A247" i="9"/>
  <c r="B247" i="9"/>
  <c r="C247" i="9"/>
  <c r="D247" i="9"/>
  <c r="E247" i="9"/>
  <c r="F247" i="9"/>
  <c r="G247" i="9"/>
  <c r="H247" i="9"/>
  <c r="I247" i="9"/>
  <c r="J247" i="9"/>
  <c r="K247" i="9"/>
  <c r="L247" i="9"/>
  <c r="M247" i="9"/>
  <c r="N247" i="9"/>
  <c r="O247" i="9"/>
  <c r="P247" i="9"/>
  <c r="Q247" i="9"/>
  <c r="R247" i="9"/>
  <c r="S247" i="9"/>
  <c r="T247" i="9"/>
  <c r="U247" i="9"/>
  <c r="V247" i="9"/>
  <c r="W247" i="9"/>
  <c r="X247" i="9"/>
  <c r="Y247" i="9"/>
  <c r="Z247" i="9"/>
  <c r="A248" i="9"/>
  <c r="B248" i="9"/>
  <c r="C248" i="9"/>
  <c r="D248" i="9"/>
  <c r="E248" i="9"/>
  <c r="F248" i="9"/>
  <c r="G248" i="9"/>
  <c r="H248" i="9"/>
  <c r="I248" i="9"/>
  <c r="J248" i="9"/>
  <c r="K248" i="9"/>
  <c r="L248" i="9"/>
  <c r="M248" i="9"/>
  <c r="N248" i="9"/>
  <c r="O248" i="9"/>
  <c r="P248" i="9"/>
  <c r="Q248" i="9"/>
  <c r="R248" i="9"/>
  <c r="S248" i="9"/>
  <c r="T248" i="9"/>
  <c r="U248" i="9"/>
  <c r="V248" i="9"/>
  <c r="W248" i="9"/>
  <c r="X248" i="9"/>
  <c r="Y248" i="9"/>
  <c r="Z248" i="9"/>
  <c r="A249" i="9"/>
  <c r="B249" i="9"/>
  <c r="C249" i="9"/>
  <c r="D249" i="9"/>
  <c r="E249" i="9"/>
  <c r="F249" i="9"/>
  <c r="G249" i="9"/>
  <c r="H249" i="9"/>
  <c r="I249" i="9"/>
  <c r="J249" i="9"/>
  <c r="K249" i="9"/>
  <c r="L249" i="9"/>
  <c r="M249" i="9"/>
  <c r="N249" i="9"/>
  <c r="O249" i="9"/>
  <c r="P249" i="9"/>
  <c r="Q249" i="9"/>
  <c r="R249" i="9"/>
  <c r="S249" i="9"/>
  <c r="T249" i="9"/>
  <c r="U249" i="9"/>
  <c r="V249" i="9"/>
  <c r="W249" i="9"/>
  <c r="X249" i="9"/>
  <c r="Y249" i="9"/>
  <c r="Z249" i="9"/>
  <c r="A250" i="9"/>
  <c r="B250" i="9"/>
  <c r="C250" i="9"/>
  <c r="D250" i="9"/>
  <c r="E250" i="9"/>
  <c r="F250" i="9"/>
  <c r="G250" i="9"/>
  <c r="H250" i="9"/>
  <c r="I250" i="9"/>
  <c r="J250" i="9"/>
  <c r="K250" i="9"/>
  <c r="L250" i="9"/>
  <c r="M250" i="9"/>
  <c r="N250" i="9"/>
  <c r="O250" i="9"/>
  <c r="P250" i="9"/>
  <c r="Q250" i="9"/>
  <c r="R250" i="9"/>
  <c r="S250" i="9"/>
  <c r="T250" i="9"/>
  <c r="U250" i="9"/>
  <c r="V250" i="9"/>
  <c r="W250" i="9"/>
  <c r="X250" i="9"/>
  <c r="Y250" i="9"/>
  <c r="Z250" i="9"/>
  <c r="A251" i="9"/>
  <c r="B251" i="9"/>
  <c r="C251" i="9"/>
  <c r="D251" i="9"/>
  <c r="E251" i="9"/>
  <c r="F251" i="9"/>
  <c r="G251" i="9"/>
  <c r="H251" i="9"/>
  <c r="I251" i="9"/>
  <c r="J251" i="9"/>
  <c r="K251" i="9"/>
  <c r="L251" i="9"/>
  <c r="M251" i="9"/>
  <c r="N251" i="9"/>
  <c r="O251" i="9"/>
  <c r="P251" i="9"/>
  <c r="Q251" i="9"/>
  <c r="R251" i="9"/>
  <c r="S251" i="9"/>
  <c r="T251" i="9"/>
  <c r="U251" i="9"/>
  <c r="V251" i="9"/>
  <c r="W251" i="9"/>
  <c r="X251" i="9"/>
  <c r="Y251" i="9"/>
  <c r="Z251" i="9"/>
  <c r="A252" i="9"/>
  <c r="B252" i="9"/>
  <c r="C252" i="9"/>
  <c r="D252" i="9"/>
  <c r="E252" i="9"/>
  <c r="F252" i="9"/>
  <c r="G252" i="9"/>
  <c r="H252" i="9"/>
  <c r="I252" i="9"/>
  <c r="J252" i="9"/>
  <c r="K252" i="9"/>
  <c r="L252" i="9"/>
  <c r="M252" i="9"/>
  <c r="N252" i="9"/>
  <c r="O252" i="9"/>
  <c r="P252" i="9"/>
  <c r="Q252" i="9"/>
  <c r="R252" i="9"/>
  <c r="S252" i="9"/>
  <c r="T252" i="9"/>
  <c r="U252" i="9"/>
  <c r="V252" i="9"/>
  <c r="W252" i="9"/>
  <c r="X252" i="9"/>
  <c r="Y252" i="9"/>
  <c r="Z252" i="9"/>
  <c r="A253" i="9"/>
  <c r="B253" i="9"/>
  <c r="C253" i="9"/>
  <c r="D253" i="9"/>
  <c r="E253" i="9"/>
  <c r="F253" i="9"/>
  <c r="G253" i="9"/>
  <c r="H253" i="9"/>
  <c r="I253" i="9"/>
  <c r="J253" i="9"/>
  <c r="K253" i="9"/>
  <c r="L253" i="9"/>
  <c r="M253" i="9"/>
  <c r="N253" i="9"/>
  <c r="O253" i="9"/>
  <c r="P253" i="9"/>
  <c r="Q253" i="9"/>
  <c r="R253" i="9"/>
  <c r="S253" i="9"/>
  <c r="T253" i="9"/>
  <c r="U253" i="9"/>
  <c r="V253" i="9"/>
  <c r="W253" i="9"/>
  <c r="X253" i="9"/>
  <c r="Y253" i="9"/>
  <c r="Z253" i="9"/>
  <c r="A254" i="9"/>
  <c r="B254" i="9"/>
  <c r="C254" i="9"/>
  <c r="D254" i="9"/>
  <c r="E254" i="9"/>
  <c r="F254" i="9"/>
  <c r="G254" i="9"/>
  <c r="H254" i="9"/>
  <c r="I254" i="9"/>
  <c r="J254" i="9"/>
  <c r="K254" i="9"/>
  <c r="L254" i="9"/>
  <c r="M254" i="9"/>
  <c r="N254" i="9"/>
  <c r="O254" i="9"/>
  <c r="P254" i="9"/>
  <c r="Q254" i="9"/>
  <c r="R254" i="9"/>
  <c r="S254" i="9"/>
  <c r="T254" i="9"/>
  <c r="U254" i="9"/>
  <c r="V254" i="9"/>
  <c r="W254" i="9"/>
  <c r="X254" i="9"/>
  <c r="Y254" i="9"/>
  <c r="Z254" i="9"/>
  <c r="A255" i="9"/>
  <c r="B255" i="9"/>
  <c r="C255" i="9"/>
  <c r="D255" i="9"/>
  <c r="E255" i="9"/>
  <c r="F255" i="9"/>
  <c r="G255" i="9"/>
  <c r="H255" i="9"/>
  <c r="I255" i="9"/>
  <c r="J255" i="9"/>
  <c r="K255" i="9"/>
  <c r="L255" i="9"/>
  <c r="M255" i="9"/>
  <c r="N255" i="9"/>
  <c r="O255" i="9"/>
  <c r="P255" i="9"/>
  <c r="Q255" i="9"/>
  <c r="R255" i="9"/>
  <c r="S255" i="9"/>
  <c r="T255" i="9"/>
  <c r="U255" i="9"/>
  <c r="V255" i="9"/>
  <c r="W255" i="9"/>
  <c r="X255" i="9"/>
  <c r="Y255" i="9"/>
  <c r="Z255" i="9"/>
  <c r="A256" i="9"/>
  <c r="B256" i="9"/>
  <c r="C256" i="9"/>
  <c r="D256" i="9"/>
  <c r="E256" i="9"/>
  <c r="F256" i="9"/>
  <c r="G256" i="9"/>
  <c r="H256" i="9"/>
  <c r="I256" i="9"/>
  <c r="J256" i="9"/>
  <c r="K256" i="9"/>
  <c r="L256" i="9"/>
  <c r="M256" i="9"/>
  <c r="N256" i="9"/>
  <c r="O256" i="9"/>
  <c r="P256" i="9"/>
  <c r="Q256" i="9"/>
  <c r="R256" i="9"/>
  <c r="S256" i="9"/>
  <c r="T256" i="9"/>
  <c r="U256" i="9"/>
  <c r="V256" i="9"/>
  <c r="W256" i="9"/>
  <c r="X256" i="9"/>
  <c r="Y256" i="9"/>
  <c r="Z256" i="9"/>
  <c r="A257" i="9"/>
  <c r="B257" i="9"/>
  <c r="C257" i="9"/>
  <c r="D257" i="9"/>
  <c r="E257" i="9"/>
  <c r="F257" i="9"/>
  <c r="G257" i="9"/>
  <c r="H257" i="9"/>
  <c r="I257" i="9"/>
  <c r="J257" i="9"/>
  <c r="K257" i="9"/>
  <c r="L257" i="9"/>
  <c r="M257" i="9"/>
  <c r="N257" i="9"/>
  <c r="O257" i="9"/>
  <c r="P257" i="9"/>
  <c r="Q257" i="9"/>
  <c r="R257" i="9"/>
  <c r="S257" i="9"/>
  <c r="T257" i="9"/>
  <c r="U257" i="9"/>
  <c r="V257" i="9"/>
  <c r="W257" i="9"/>
  <c r="X257" i="9"/>
  <c r="Y257" i="9"/>
  <c r="Z257" i="9"/>
  <c r="A258" i="9"/>
  <c r="B258" i="9"/>
  <c r="C258" i="9"/>
  <c r="D258" i="9"/>
  <c r="E258" i="9"/>
  <c r="F258" i="9"/>
  <c r="G258" i="9"/>
  <c r="H258" i="9"/>
  <c r="I258" i="9"/>
  <c r="J258" i="9"/>
  <c r="K258" i="9"/>
  <c r="L258" i="9"/>
  <c r="M258" i="9"/>
  <c r="N258" i="9"/>
  <c r="O258" i="9"/>
  <c r="P258" i="9"/>
  <c r="Q258" i="9"/>
  <c r="R258" i="9"/>
  <c r="S258" i="9"/>
  <c r="T258" i="9"/>
  <c r="U258" i="9"/>
  <c r="V258" i="9"/>
  <c r="W258" i="9"/>
  <c r="X258" i="9"/>
  <c r="Y258" i="9"/>
  <c r="Z258" i="9"/>
  <c r="A259" i="9"/>
  <c r="B259" i="9"/>
  <c r="C259" i="9"/>
  <c r="D259" i="9"/>
  <c r="E259" i="9"/>
  <c r="F259" i="9"/>
  <c r="G259" i="9"/>
  <c r="H259" i="9"/>
  <c r="I259" i="9"/>
  <c r="J259" i="9"/>
  <c r="K259" i="9"/>
  <c r="L259" i="9"/>
  <c r="M259" i="9"/>
  <c r="N259" i="9"/>
  <c r="O259" i="9"/>
  <c r="P259" i="9"/>
  <c r="Q259" i="9"/>
  <c r="R259" i="9"/>
  <c r="S259" i="9"/>
  <c r="T259" i="9"/>
  <c r="U259" i="9"/>
  <c r="V259" i="9"/>
  <c r="W259" i="9"/>
  <c r="X259" i="9"/>
  <c r="Y259" i="9"/>
  <c r="Z259" i="9"/>
  <c r="A260" i="9"/>
  <c r="B260" i="9"/>
  <c r="C260" i="9"/>
  <c r="D260" i="9"/>
  <c r="E260" i="9"/>
  <c r="F260" i="9"/>
  <c r="G260" i="9"/>
  <c r="H260" i="9"/>
  <c r="I260" i="9"/>
  <c r="J260" i="9"/>
  <c r="K260" i="9"/>
  <c r="L260" i="9"/>
  <c r="M260" i="9"/>
  <c r="N260" i="9"/>
  <c r="O260" i="9"/>
  <c r="P260" i="9"/>
  <c r="Q260" i="9"/>
  <c r="R260" i="9"/>
  <c r="S260" i="9"/>
  <c r="T260" i="9"/>
  <c r="U260" i="9"/>
  <c r="V260" i="9"/>
  <c r="W260" i="9"/>
  <c r="X260" i="9"/>
  <c r="Y260" i="9"/>
  <c r="Z260" i="9"/>
  <c r="A261" i="9"/>
  <c r="B261" i="9"/>
  <c r="C261" i="9"/>
  <c r="D261" i="9"/>
  <c r="E261" i="9"/>
  <c r="F261" i="9"/>
  <c r="G261" i="9"/>
  <c r="H261" i="9"/>
  <c r="I261" i="9"/>
  <c r="J261" i="9"/>
  <c r="K261" i="9"/>
  <c r="L261" i="9"/>
  <c r="M261" i="9"/>
  <c r="N261" i="9"/>
  <c r="O261" i="9"/>
  <c r="P261" i="9"/>
  <c r="Q261" i="9"/>
  <c r="R261" i="9"/>
  <c r="S261" i="9"/>
  <c r="T261" i="9"/>
  <c r="U261" i="9"/>
  <c r="V261" i="9"/>
  <c r="W261" i="9"/>
  <c r="X261" i="9"/>
  <c r="Y261" i="9"/>
  <c r="Z261" i="9"/>
  <c r="A262" i="9"/>
  <c r="B262" i="9"/>
  <c r="C262" i="9"/>
  <c r="D262" i="9"/>
  <c r="E262" i="9"/>
  <c r="F262" i="9"/>
  <c r="G262" i="9"/>
  <c r="H262" i="9"/>
  <c r="I262" i="9"/>
  <c r="J262" i="9"/>
  <c r="K262" i="9"/>
  <c r="L262" i="9"/>
  <c r="M262" i="9"/>
  <c r="N262" i="9"/>
  <c r="O262" i="9"/>
  <c r="P262" i="9"/>
  <c r="Q262" i="9"/>
  <c r="R262" i="9"/>
  <c r="S262" i="9"/>
  <c r="T262" i="9"/>
  <c r="U262" i="9"/>
  <c r="V262" i="9"/>
  <c r="W262" i="9"/>
  <c r="X262" i="9"/>
  <c r="Y262" i="9"/>
  <c r="Z262" i="9"/>
  <c r="A263" i="9"/>
  <c r="B263" i="9"/>
  <c r="C263" i="9"/>
  <c r="D263" i="9"/>
  <c r="E263" i="9"/>
  <c r="F263" i="9"/>
  <c r="G263" i="9"/>
  <c r="H263" i="9"/>
  <c r="I263" i="9"/>
  <c r="J263" i="9"/>
  <c r="K263" i="9"/>
  <c r="L263" i="9"/>
  <c r="M263" i="9"/>
  <c r="N263" i="9"/>
  <c r="O263" i="9"/>
  <c r="P263" i="9"/>
  <c r="Q263" i="9"/>
  <c r="R263" i="9"/>
  <c r="S263" i="9"/>
  <c r="T263" i="9"/>
  <c r="U263" i="9"/>
  <c r="V263" i="9"/>
  <c r="W263" i="9"/>
  <c r="X263" i="9"/>
  <c r="Y263" i="9"/>
  <c r="Z263" i="9"/>
  <c r="A264" i="9"/>
  <c r="B264" i="9"/>
  <c r="C264" i="9"/>
  <c r="D264" i="9"/>
  <c r="E264" i="9"/>
  <c r="F264" i="9"/>
  <c r="G264" i="9"/>
  <c r="H264" i="9"/>
  <c r="I264" i="9"/>
  <c r="J264" i="9"/>
  <c r="K264" i="9"/>
  <c r="L264" i="9"/>
  <c r="M264" i="9"/>
  <c r="N264" i="9"/>
  <c r="O264" i="9"/>
  <c r="P264" i="9"/>
  <c r="Q264" i="9"/>
  <c r="R264" i="9"/>
  <c r="S264" i="9"/>
  <c r="T264" i="9"/>
  <c r="U264" i="9"/>
  <c r="V264" i="9"/>
  <c r="W264" i="9"/>
  <c r="X264" i="9"/>
  <c r="Y264" i="9"/>
  <c r="Z264" i="9"/>
  <c r="A265" i="9"/>
  <c r="B265" i="9"/>
  <c r="C265" i="9"/>
  <c r="D265" i="9"/>
  <c r="E265" i="9"/>
  <c r="F265" i="9"/>
  <c r="G265" i="9"/>
  <c r="H265" i="9"/>
  <c r="I265" i="9"/>
  <c r="J265" i="9"/>
  <c r="K265" i="9"/>
  <c r="L265" i="9"/>
  <c r="M265" i="9"/>
  <c r="N265" i="9"/>
  <c r="O265" i="9"/>
  <c r="P265" i="9"/>
  <c r="Q265" i="9"/>
  <c r="R265" i="9"/>
  <c r="S265" i="9"/>
  <c r="T265" i="9"/>
  <c r="U265" i="9"/>
  <c r="V265" i="9"/>
  <c r="W265" i="9"/>
  <c r="X265" i="9"/>
  <c r="Y265" i="9"/>
  <c r="Z265" i="9"/>
  <c r="A266" i="9"/>
  <c r="B266" i="9"/>
  <c r="C266" i="9"/>
  <c r="D266" i="9"/>
  <c r="E266" i="9"/>
  <c r="F266" i="9"/>
  <c r="G266" i="9"/>
  <c r="H266" i="9"/>
  <c r="I266" i="9"/>
  <c r="J266" i="9"/>
  <c r="K266" i="9"/>
  <c r="L266" i="9"/>
  <c r="M266" i="9"/>
  <c r="N266" i="9"/>
  <c r="O266" i="9"/>
  <c r="P266" i="9"/>
  <c r="Q266" i="9"/>
  <c r="R266" i="9"/>
  <c r="S266" i="9"/>
  <c r="T266" i="9"/>
  <c r="U266" i="9"/>
  <c r="V266" i="9"/>
  <c r="W266" i="9"/>
  <c r="X266" i="9"/>
  <c r="Y266" i="9"/>
  <c r="Z266" i="9"/>
  <c r="A267" i="9"/>
  <c r="B267" i="9"/>
  <c r="C267" i="9"/>
  <c r="D267" i="9"/>
  <c r="E267" i="9"/>
  <c r="F267" i="9"/>
  <c r="G267" i="9"/>
  <c r="H267" i="9"/>
  <c r="I267" i="9"/>
  <c r="J267" i="9"/>
  <c r="K267" i="9"/>
  <c r="L267" i="9"/>
  <c r="M267" i="9"/>
  <c r="N267" i="9"/>
  <c r="O267" i="9"/>
  <c r="P267" i="9"/>
  <c r="Q267" i="9"/>
  <c r="R267" i="9"/>
  <c r="S267" i="9"/>
  <c r="T267" i="9"/>
  <c r="U267" i="9"/>
  <c r="V267" i="9"/>
  <c r="W267" i="9"/>
  <c r="X267" i="9"/>
  <c r="Y267" i="9"/>
  <c r="Z267" i="9"/>
  <c r="A268" i="9"/>
  <c r="B268" i="9"/>
  <c r="C268" i="9"/>
  <c r="D268" i="9"/>
  <c r="E268" i="9"/>
  <c r="F268" i="9"/>
  <c r="G268" i="9"/>
  <c r="H268" i="9"/>
  <c r="I268" i="9"/>
  <c r="J268" i="9"/>
  <c r="K268" i="9"/>
  <c r="L268" i="9"/>
  <c r="M268" i="9"/>
  <c r="N268" i="9"/>
  <c r="O268" i="9"/>
  <c r="P268" i="9"/>
  <c r="Q268" i="9"/>
  <c r="R268" i="9"/>
  <c r="S268" i="9"/>
  <c r="T268" i="9"/>
  <c r="U268" i="9"/>
  <c r="V268" i="9"/>
  <c r="W268" i="9"/>
  <c r="X268" i="9"/>
  <c r="Y268" i="9"/>
  <c r="Z268" i="9"/>
  <c r="A269" i="9"/>
  <c r="B269" i="9"/>
  <c r="C269" i="9"/>
  <c r="D269" i="9"/>
  <c r="E269" i="9"/>
  <c r="F269" i="9"/>
  <c r="G269" i="9"/>
  <c r="H269" i="9"/>
  <c r="I269" i="9"/>
  <c r="J269" i="9"/>
  <c r="K269" i="9"/>
  <c r="L269" i="9"/>
  <c r="M269" i="9"/>
  <c r="N269" i="9"/>
  <c r="O269" i="9"/>
  <c r="P269" i="9"/>
  <c r="Q269" i="9"/>
  <c r="R269" i="9"/>
  <c r="S269" i="9"/>
  <c r="T269" i="9"/>
  <c r="U269" i="9"/>
  <c r="V269" i="9"/>
  <c r="W269" i="9"/>
  <c r="X269" i="9"/>
  <c r="Y269" i="9"/>
  <c r="Z269" i="9"/>
  <c r="A270" i="9"/>
  <c r="B270" i="9"/>
  <c r="C270" i="9"/>
  <c r="D270" i="9"/>
  <c r="E270" i="9"/>
  <c r="F270" i="9"/>
  <c r="G270" i="9"/>
  <c r="H270" i="9"/>
  <c r="I270" i="9"/>
  <c r="J270" i="9"/>
  <c r="K270" i="9"/>
  <c r="L270" i="9"/>
  <c r="M270" i="9"/>
  <c r="N270" i="9"/>
  <c r="O270" i="9"/>
  <c r="P270" i="9"/>
  <c r="Q270" i="9"/>
  <c r="R270" i="9"/>
  <c r="S270" i="9"/>
  <c r="T270" i="9"/>
  <c r="U270" i="9"/>
  <c r="V270" i="9"/>
  <c r="W270" i="9"/>
  <c r="X270" i="9"/>
  <c r="Y270" i="9"/>
  <c r="Z270" i="9"/>
  <c r="A271" i="9"/>
  <c r="B271" i="9"/>
  <c r="C271" i="9"/>
  <c r="D271" i="9"/>
  <c r="E271" i="9"/>
  <c r="F271" i="9"/>
  <c r="G271" i="9"/>
  <c r="H271" i="9"/>
  <c r="I271" i="9"/>
  <c r="J271" i="9"/>
  <c r="K271" i="9"/>
  <c r="L271" i="9"/>
  <c r="M271" i="9"/>
  <c r="N271" i="9"/>
  <c r="O271" i="9"/>
  <c r="P271" i="9"/>
  <c r="Q271" i="9"/>
  <c r="R271" i="9"/>
  <c r="S271" i="9"/>
  <c r="T271" i="9"/>
  <c r="U271" i="9"/>
  <c r="V271" i="9"/>
  <c r="W271" i="9"/>
  <c r="X271" i="9"/>
  <c r="Y271" i="9"/>
  <c r="Z271" i="9"/>
  <c r="A272" i="9"/>
  <c r="B272" i="9"/>
  <c r="C272" i="9"/>
  <c r="D272" i="9"/>
  <c r="E272" i="9"/>
  <c r="F272" i="9"/>
  <c r="G272" i="9"/>
  <c r="H272" i="9"/>
  <c r="I272" i="9"/>
  <c r="J272" i="9"/>
  <c r="K272" i="9"/>
  <c r="L272" i="9"/>
  <c r="M272" i="9"/>
  <c r="N272" i="9"/>
  <c r="O272" i="9"/>
  <c r="P272" i="9"/>
  <c r="Q272" i="9"/>
  <c r="R272" i="9"/>
  <c r="S272" i="9"/>
  <c r="T272" i="9"/>
  <c r="U272" i="9"/>
  <c r="V272" i="9"/>
  <c r="W272" i="9"/>
  <c r="X272" i="9"/>
  <c r="Y272" i="9"/>
  <c r="Z272" i="9"/>
  <c r="A273" i="9"/>
  <c r="B273" i="9"/>
  <c r="C273" i="9"/>
  <c r="D273" i="9"/>
  <c r="E273" i="9"/>
  <c r="F273" i="9"/>
  <c r="G273" i="9"/>
  <c r="H273" i="9"/>
  <c r="I273" i="9"/>
  <c r="J273" i="9"/>
  <c r="K273" i="9"/>
  <c r="L273" i="9"/>
  <c r="M273" i="9"/>
  <c r="N273" i="9"/>
  <c r="O273" i="9"/>
  <c r="P273" i="9"/>
  <c r="Q273" i="9"/>
  <c r="R273" i="9"/>
  <c r="S273" i="9"/>
  <c r="T273" i="9"/>
  <c r="U273" i="9"/>
  <c r="V273" i="9"/>
  <c r="W273" i="9"/>
  <c r="X273" i="9"/>
  <c r="Y273" i="9"/>
  <c r="Z273" i="9"/>
  <c r="A274" i="9"/>
  <c r="B274" i="9"/>
  <c r="C274" i="9"/>
  <c r="D274" i="9"/>
  <c r="E274" i="9"/>
  <c r="F274" i="9"/>
  <c r="G274" i="9"/>
  <c r="H274" i="9"/>
  <c r="I274" i="9"/>
  <c r="J274" i="9"/>
  <c r="K274" i="9"/>
  <c r="L274" i="9"/>
  <c r="M274" i="9"/>
  <c r="N274" i="9"/>
  <c r="O274" i="9"/>
  <c r="P274" i="9"/>
  <c r="Q274" i="9"/>
  <c r="R274" i="9"/>
  <c r="S274" i="9"/>
  <c r="T274" i="9"/>
  <c r="U274" i="9"/>
  <c r="V274" i="9"/>
  <c r="W274" i="9"/>
  <c r="X274" i="9"/>
  <c r="Y274" i="9"/>
  <c r="Z274" i="9"/>
  <c r="A275" i="9"/>
  <c r="B275" i="9"/>
  <c r="C275" i="9"/>
  <c r="D275" i="9"/>
  <c r="E275" i="9"/>
  <c r="F275" i="9"/>
  <c r="G275" i="9"/>
  <c r="H275" i="9"/>
  <c r="I275" i="9"/>
  <c r="J275" i="9"/>
  <c r="K275" i="9"/>
  <c r="L275" i="9"/>
  <c r="M275" i="9"/>
  <c r="N275" i="9"/>
  <c r="O275" i="9"/>
  <c r="P275" i="9"/>
  <c r="Q275" i="9"/>
  <c r="R275" i="9"/>
  <c r="S275" i="9"/>
  <c r="T275" i="9"/>
  <c r="U275" i="9"/>
  <c r="V275" i="9"/>
  <c r="W275" i="9"/>
  <c r="X275" i="9"/>
  <c r="Y275" i="9"/>
  <c r="Z275" i="9"/>
  <c r="A276" i="9"/>
  <c r="B276" i="9"/>
  <c r="C276" i="9"/>
  <c r="D276" i="9"/>
  <c r="E276" i="9"/>
  <c r="F276" i="9"/>
  <c r="G276" i="9"/>
  <c r="H276" i="9"/>
  <c r="I276" i="9"/>
  <c r="J276" i="9"/>
  <c r="K276" i="9"/>
  <c r="L276" i="9"/>
  <c r="M276" i="9"/>
  <c r="N276" i="9"/>
  <c r="O276" i="9"/>
  <c r="P276" i="9"/>
  <c r="Q276" i="9"/>
  <c r="R276" i="9"/>
  <c r="S276" i="9"/>
  <c r="T276" i="9"/>
  <c r="U276" i="9"/>
  <c r="V276" i="9"/>
  <c r="W276" i="9"/>
  <c r="X276" i="9"/>
  <c r="Y276" i="9"/>
  <c r="Z276" i="9"/>
  <c r="A277" i="9"/>
  <c r="B277" i="9"/>
  <c r="C277" i="9"/>
  <c r="D277" i="9"/>
  <c r="E277" i="9"/>
  <c r="F277" i="9"/>
  <c r="G277" i="9"/>
  <c r="H277" i="9"/>
  <c r="I277" i="9"/>
  <c r="J277" i="9"/>
  <c r="K277" i="9"/>
  <c r="L277" i="9"/>
  <c r="M277" i="9"/>
  <c r="N277" i="9"/>
  <c r="O277" i="9"/>
  <c r="P277" i="9"/>
  <c r="Q277" i="9"/>
  <c r="R277" i="9"/>
  <c r="S277" i="9"/>
  <c r="T277" i="9"/>
  <c r="U277" i="9"/>
  <c r="V277" i="9"/>
  <c r="W277" i="9"/>
  <c r="X277" i="9"/>
  <c r="Y277" i="9"/>
  <c r="Z277" i="9"/>
  <c r="A278" i="9"/>
  <c r="B278" i="9"/>
  <c r="C278" i="9"/>
  <c r="D278" i="9"/>
  <c r="E278" i="9"/>
  <c r="F278" i="9"/>
  <c r="G278" i="9"/>
  <c r="H278" i="9"/>
  <c r="I278" i="9"/>
  <c r="J278" i="9"/>
  <c r="K278" i="9"/>
  <c r="L278" i="9"/>
  <c r="M278" i="9"/>
  <c r="N278" i="9"/>
  <c r="O278" i="9"/>
  <c r="P278" i="9"/>
  <c r="Q278" i="9"/>
  <c r="R278" i="9"/>
  <c r="S278" i="9"/>
  <c r="T278" i="9"/>
  <c r="U278" i="9"/>
  <c r="V278" i="9"/>
  <c r="W278" i="9"/>
  <c r="X278" i="9"/>
  <c r="Y278" i="9"/>
  <c r="Z278" i="9"/>
  <c r="A279" i="9"/>
  <c r="B279" i="9"/>
  <c r="C279" i="9"/>
  <c r="D279" i="9"/>
  <c r="E279" i="9"/>
  <c r="F279" i="9"/>
  <c r="G279" i="9"/>
  <c r="H279" i="9"/>
  <c r="I279" i="9"/>
  <c r="J279" i="9"/>
  <c r="K279" i="9"/>
  <c r="L279" i="9"/>
  <c r="M279" i="9"/>
  <c r="N279" i="9"/>
  <c r="O279" i="9"/>
  <c r="P279" i="9"/>
  <c r="Q279" i="9"/>
  <c r="R279" i="9"/>
  <c r="S279" i="9"/>
  <c r="T279" i="9"/>
  <c r="U279" i="9"/>
  <c r="V279" i="9"/>
  <c r="W279" i="9"/>
  <c r="X279" i="9"/>
  <c r="Y279" i="9"/>
  <c r="Z279" i="9"/>
  <c r="A280" i="9"/>
  <c r="B280" i="9"/>
  <c r="C280" i="9"/>
  <c r="D280" i="9"/>
  <c r="E280" i="9"/>
  <c r="F280" i="9"/>
  <c r="G280" i="9"/>
  <c r="H280" i="9"/>
  <c r="I280" i="9"/>
  <c r="J280" i="9"/>
  <c r="K280" i="9"/>
  <c r="L280" i="9"/>
  <c r="M280" i="9"/>
  <c r="N280" i="9"/>
  <c r="O280" i="9"/>
  <c r="P280" i="9"/>
  <c r="Q280" i="9"/>
  <c r="R280" i="9"/>
  <c r="S280" i="9"/>
  <c r="T280" i="9"/>
  <c r="U280" i="9"/>
  <c r="V280" i="9"/>
  <c r="W280" i="9"/>
  <c r="X280" i="9"/>
  <c r="Y280" i="9"/>
  <c r="Z280" i="9"/>
  <c r="A281" i="9"/>
  <c r="B281" i="9"/>
  <c r="C281" i="9"/>
  <c r="D281" i="9"/>
  <c r="E281" i="9"/>
  <c r="F281" i="9"/>
  <c r="G281" i="9"/>
  <c r="H281" i="9"/>
  <c r="I281" i="9"/>
  <c r="J281" i="9"/>
  <c r="K281" i="9"/>
  <c r="L281" i="9"/>
  <c r="M281" i="9"/>
  <c r="N281" i="9"/>
  <c r="O281" i="9"/>
  <c r="P281" i="9"/>
  <c r="Q281" i="9"/>
  <c r="R281" i="9"/>
  <c r="S281" i="9"/>
  <c r="T281" i="9"/>
  <c r="U281" i="9"/>
  <c r="V281" i="9"/>
  <c r="W281" i="9"/>
  <c r="X281" i="9"/>
  <c r="Y281" i="9"/>
  <c r="Z281" i="9"/>
  <c r="A282" i="9"/>
  <c r="B282" i="9"/>
  <c r="C282" i="9"/>
  <c r="D282" i="9"/>
  <c r="E282" i="9"/>
  <c r="F282" i="9"/>
  <c r="G282" i="9"/>
  <c r="H282" i="9"/>
  <c r="I282" i="9"/>
  <c r="J282" i="9"/>
  <c r="K282" i="9"/>
  <c r="L282" i="9"/>
  <c r="M282" i="9"/>
  <c r="N282" i="9"/>
  <c r="O282" i="9"/>
  <c r="P282" i="9"/>
  <c r="Q282" i="9"/>
  <c r="R282" i="9"/>
  <c r="S282" i="9"/>
  <c r="T282" i="9"/>
  <c r="U282" i="9"/>
  <c r="V282" i="9"/>
  <c r="W282" i="9"/>
  <c r="X282" i="9"/>
  <c r="Y282" i="9"/>
  <c r="Z282" i="9"/>
  <c r="A283" i="9"/>
  <c r="B283" i="9"/>
  <c r="C283" i="9"/>
  <c r="D283" i="9"/>
  <c r="E283" i="9"/>
  <c r="F283" i="9"/>
  <c r="G283" i="9"/>
  <c r="H283" i="9"/>
  <c r="I283" i="9"/>
  <c r="J283" i="9"/>
  <c r="K283" i="9"/>
  <c r="L283" i="9"/>
  <c r="M283" i="9"/>
  <c r="N283" i="9"/>
  <c r="O283" i="9"/>
  <c r="P283" i="9"/>
  <c r="Q283" i="9"/>
  <c r="R283" i="9"/>
  <c r="S283" i="9"/>
  <c r="T283" i="9"/>
  <c r="U283" i="9"/>
  <c r="V283" i="9"/>
  <c r="W283" i="9"/>
  <c r="X283" i="9"/>
  <c r="Y283" i="9"/>
  <c r="Z283" i="9"/>
  <c r="A284" i="9"/>
  <c r="B284" i="9"/>
  <c r="C284" i="9"/>
  <c r="D284" i="9"/>
  <c r="E284" i="9"/>
  <c r="F284" i="9"/>
  <c r="G284" i="9"/>
  <c r="H284" i="9"/>
  <c r="I284" i="9"/>
  <c r="J284" i="9"/>
  <c r="K284" i="9"/>
  <c r="L284" i="9"/>
  <c r="M284" i="9"/>
  <c r="N284" i="9"/>
  <c r="O284" i="9"/>
  <c r="P284" i="9"/>
  <c r="Q284" i="9"/>
  <c r="R284" i="9"/>
  <c r="S284" i="9"/>
  <c r="T284" i="9"/>
  <c r="U284" i="9"/>
  <c r="V284" i="9"/>
  <c r="W284" i="9"/>
  <c r="X284" i="9"/>
  <c r="Y284" i="9"/>
  <c r="Z284" i="9"/>
  <c r="A285" i="9"/>
  <c r="B285" i="9"/>
  <c r="C285" i="9"/>
  <c r="D285" i="9"/>
  <c r="E285" i="9"/>
  <c r="F285" i="9"/>
  <c r="G285" i="9"/>
  <c r="H285" i="9"/>
  <c r="I285" i="9"/>
  <c r="J285" i="9"/>
  <c r="K285" i="9"/>
  <c r="L285" i="9"/>
  <c r="M285" i="9"/>
  <c r="N285" i="9"/>
  <c r="O285" i="9"/>
  <c r="P285" i="9"/>
  <c r="Q285" i="9"/>
  <c r="R285" i="9"/>
  <c r="S285" i="9"/>
  <c r="T285" i="9"/>
  <c r="U285" i="9"/>
  <c r="V285" i="9"/>
  <c r="W285" i="9"/>
  <c r="X285" i="9"/>
  <c r="Y285" i="9"/>
  <c r="Z285" i="9"/>
  <c r="A286" i="9"/>
  <c r="B286" i="9"/>
  <c r="C286" i="9"/>
  <c r="D286" i="9"/>
  <c r="E286" i="9"/>
  <c r="F286" i="9"/>
  <c r="G286" i="9"/>
  <c r="H286" i="9"/>
  <c r="I286" i="9"/>
  <c r="J286" i="9"/>
  <c r="K286" i="9"/>
  <c r="L286" i="9"/>
  <c r="M286" i="9"/>
  <c r="N286" i="9"/>
  <c r="O286" i="9"/>
  <c r="P286" i="9"/>
  <c r="Q286" i="9"/>
  <c r="R286" i="9"/>
  <c r="S286" i="9"/>
  <c r="T286" i="9"/>
  <c r="U286" i="9"/>
  <c r="V286" i="9"/>
  <c r="W286" i="9"/>
  <c r="X286" i="9"/>
  <c r="Y286" i="9"/>
  <c r="Z286" i="9"/>
  <c r="A287" i="9"/>
  <c r="B287" i="9"/>
  <c r="C287" i="9"/>
  <c r="D287" i="9"/>
  <c r="E287" i="9"/>
  <c r="F287" i="9"/>
  <c r="G287" i="9"/>
  <c r="H287" i="9"/>
  <c r="I287" i="9"/>
  <c r="J287" i="9"/>
  <c r="K287" i="9"/>
  <c r="L287" i="9"/>
  <c r="M287" i="9"/>
  <c r="N287" i="9"/>
  <c r="O287" i="9"/>
  <c r="P287" i="9"/>
  <c r="Q287" i="9"/>
  <c r="R287" i="9"/>
  <c r="S287" i="9"/>
  <c r="T287" i="9"/>
  <c r="U287" i="9"/>
  <c r="V287" i="9"/>
  <c r="W287" i="9"/>
  <c r="X287" i="9"/>
  <c r="Y287" i="9"/>
  <c r="Z287" i="9"/>
  <c r="A288" i="9"/>
  <c r="B288" i="9"/>
  <c r="C288" i="9"/>
  <c r="D288" i="9"/>
  <c r="E288" i="9"/>
  <c r="F288" i="9"/>
  <c r="G288" i="9"/>
  <c r="H288" i="9"/>
  <c r="I288" i="9"/>
  <c r="J288" i="9"/>
  <c r="K288" i="9"/>
  <c r="L288" i="9"/>
  <c r="M288" i="9"/>
  <c r="N288" i="9"/>
  <c r="O288" i="9"/>
  <c r="P288" i="9"/>
  <c r="Q288" i="9"/>
  <c r="R288" i="9"/>
  <c r="S288" i="9"/>
  <c r="T288" i="9"/>
  <c r="U288" i="9"/>
  <c r="V288" i="9"/>
  <c r="W288" i="9"/>
  <c r="X288" i="9"/>
  <c r="Y288" i="9"/>
  <c r="Z288" i="9"/>
  <c r="A289" i="9"/>
  <c r="B289" i="9"/>
  <c r="C289" i="9"/>
  <c r="D289" i="9"/>
  <c r="E289" i="9"/>
  <c r="F289" i="9"/>
  <c r="G289" i="9"/>
  <c r="H289" i="9"/>
  <c r="I289" i="9"/>
  <c r="J289" i="9"/>
  <c r="K289" i="9"/>
  <c r="L289" i="9"/>
  <c r="M289" i="9"/>
  <c r="N289" i="9"/>
  <c r="O289" i="9"/>
  <c r="P289" i="9"/>
  <c r="Q289" i="9"/>
  <c r="R289" i="9"/>
  <c r="S289" i="9"/>
  <c r="T289" i="9"/>
  <c r="U289" i="9"/>
  <c r="V289" i="9"/>
  <c r="W289" i="9"/>
  <c r="X289" i="9"/>
  <c r="Y289" i="9"/>
  <c r="Z289" i="9"/>
  <c r="A290" i="9"/>
  <c r="B290" i="9"/>
  <c r="C290" i="9"/>
  <c r="D290" i="9"/>
  <c r="E290" i="9"/>
  <c r="F290" i="9"/>
  <c r="G290" i="9"/>
  <c r="H290" i="9"/>
  <c r="I290" i="9"/>
  <c r="J290" i="9"/>
  <c r="K290" i="9"/>
  <c r="L290" i="9"/>
  <c r="M290" i="9"/>
  <c r="N290" i="9"/>
  <c r="O290" i="9"/>
  <c r="P290" i="9"/>
  <c r="Q290" i="9"/>
  <c r="R290" i="9"/>
  <c r="S290" i="9"/>
  <c r="T290" i="9"/>
  <c r="U290" i="9"/>
  <c r="V290" i="9"/>
  <c r="W290" i="9"/>
  <c r="X290" i="9"/>
  <c r="Y290" i="9"/>
  <c r="Z290" i="9"/>
  <c r="A291" i="9"/>
  <c r="B291" i="9"/>
  <c r="C291" i="9"/>
  <c r="D291" i="9"/>
  <c r="E291" i="9"/>
  <c r="F291" i="9"/>
  <c r="G291" i="9"/>
  <c r="H291" i="9"/>
  <c r="I291" i="9"/>
  <c r="J291" i="9"/>
  <c r="K291" i="9"/>
  <c r="L291" i="9"/>
  <c r="M291" i="9"/>
  <c r="N291" i="9"/>
  <c r="O291" i="9"/>
  <c r="P291" i="9"/>
  <c r="Q291" i="9"/>
  <c r="R291" i="9"/>
  <c r="S291" i="9"/>
  <c r="T291" i="9"/>
  <c r="U291" i="9"/>
  <c r="V291" i="9"/>
  <c r="W291" i="9"/>
  <c r="X291" i="9"/>
  <c r="Y291" i="9"/>
  <c r="Z291" i="9"/>
  <c r="A292" i="9"/>
  <c r="B292" i="9"/>
  <c r="C292" i="9"/>
  <c r="D292" i="9"/>
  <c r="E292" i="9"/>
  <c r="F292" i="9"/>
  <c r="G292" i="9"/>
  <c r="H292" i="9"/>
  <c r="I292" i="9"/>
  <c r="J292" i="9"/>
  <c r="K292" i="9"/>
  <c r="L292" i="9"/>
  <c r="M292" i="9"/>
  <c r="N292" i="9"/>
  <c r="O292" i="9"/>
  <c r="P292" i="9"/>
  <c r="Q292" i="9"/>
  <c r="R292" i="9"/>
  <c r="S292" i="9"/>
  <c r="T292" i="9"/>
  <c r="U292" i="9"/>
  <c r="V292" i="9"/>
  <c r="W292" i="9"/>
  <c r="X292" i="9"/>
  <c r="Y292" i="9"/>
  <c r="Z292" i="9"/>
  <c r="A293" i="9"/>
  <c r="B293" i="9"/>
  <c r="C293" i="9"/>
  <c r="D293" i="9"/>
  <c r="E293" i="9"/>
  <c r="F293" i="9"/>
  <c r="G293" i="9"/>
  <c r="H293" i="9"/>
  <c r="I293" i="9"/>
  <c r="J293" i="9"/>
  <c r="K293" i="9"/>
  <c r="L293" i="9"/>
  <c r="M293" i="9"/>
  <c r="N293" i="9"/>
  <c r="O293" i="9"/>
  <c r="P293" i="9"/>
  <c r="Q293" i="9"/>
  <c r="R293" i="9"/>
  <c r="S293" i="9"/>
  <c r="T293" i="9"/>
  <c r="U293" i="9"/>
  <c r="V293" i="9"/>
  <c r="W293" i="9"/>
  <c r="X293" i="9"/>
  <c r="Y293" i="9"/>
  <c r="Z293" i="9"/>
  <c r="A294" i="9"/>
  <c r="B294" i="9"/>
  <c r="C294" i="9"/>
  <c r="D294" i="9"/>
  <c r="E294" i="9"/>
  <c r="F294" i="9"/>
  <c r="G294" i="9"/>
  <c r="H294" i="9"/>
  <c r="I294" i="9"/>
  <c r="J294" i="9"/>
  <c r="K294" i="9"/>
  <c r="L294" i="9"/>
  <c r="M294" i="9"/>
  <c r="N294" i="9"/>
  <c r="O294" i="9"/>
  <c r="P294" i="9"/>
  <c r="Q294" i="9"/>
  <c r="R294" i="9"/>
  <c r="S294" i="9"/>
  <c r="T294" i="9"/>
  <c r="U294" i="9"/>
  <c r="V294" i="9"/>
  <c r="W294" i="9"/>
  <c r="X294" i="9"/>
  <c r="Y294" i="9"/>
  <c r="Z294" i="9"/>
  <c r="A295" i="9"/>
  <c r="B295" i="9"/>
  <c r="C295" i="9"/>
  <c r="D295" i="9"/>
  <c r="E295" i="9"/>
  <c r="F295" i="9"/>
  <c r="G295" i="9"/>
  <c r="H295" i="9"/>
  <c r="I295" i="9"/>
  <c r="J295" i="9"/>
  <c r="K295" i="9"/>
  <c r="L295" i="9"/>
  <c r="M295" i="9"/>
  <c r="N295" i="9"/>
  <c r="O295" i="9"/>
  <c r="P295" i="9"/>
  <c r="Q295" i="9"/>
  <c r="R295" i="9"/>
  <c r="S295" i="9"/>
  <c r="T295" i="9"/>
  <c r="U295" i="9"/>
  <c r="V295" i="9"/>
  <c r="W295" i="9"/>
  <c r="X295" i="9"/>
  <c r="Y295" i="9"/>
  <c r="Z295" i="9"/>
  <c r="A296" i="9"/>
  <c r="B296" i="9"/>
  <c r="C296" i="9"/>
  <c r="D296" i="9"/>
  <c r="E296" i="9"/>
  <c r="F296" i="9"/>
  <c r="G296" i="9"/>
  <c r="H296" i="9"/>
  <c r="I296" i="9"/>
  <c r="J296" i="9"/>
  <c r="K296" i="9"/>
  <c r="L296" i="9"/>
  <c r="M296" i="9"/>
  <c r="N296" i="9"/>
  <c r="O296" i="9"/>
  <c r="P296" i="9"/>
  <c r="Q296" i="9"/>
  <c r="R296" i="9"/>
  <c r="S296" i="9"/>
  <c r="T296" i="9"/>
  <c r="U296" i="9"/>
  <c r="V296" i="9"/>
  <c r="W296" i="9"/>
  <c r="X296" i="9"/>
  <c r="Y296" i="9"/>
  <c r="Z296" i="9"/>
  <c r="A297" i="9"/>
  <c r="B297" i="9"/>
  <c r="C297" i="9"/>
  <c r="D297" i="9"/>
  <c r="E297" i="9"/>
  <c r="F297" i="9"/>
  <c r="G297" i="9"/>
  <c r="H297" i="9"/>
  <c r="I297" i="9"/>
  <c r="J297" i="9"/>
  <c r="K297" i="9"/>
  <c r="L297" i="9"/>
  <c r="M297" i="9"/>
  <c r="N297" i="9"/>
  <c r="O297" i="9"/>
  <c r="P297" i="9"/>
  <c r="Q297" i="9"/>
  <c r="R297" i="9"/>
  <c r="S297" i="9"/>
  <c r="T297" i="9"/>
  <c r="U297" i="9"/>
  <c r="V297" i="9"/>
  <c r="W297" i="9"/>
  <c r="X297" i="9"/>
  <c r="Y297" i="9"/>
  <c r="Z297" i="9"/>
  <c r="A298" i="9"/>
  <c r="B298" i="9"/>
  <c r="C298" i="9"/>
  <c r="D298" i="9"/>
  <c r="E298" i="9"/>
  <c r="F298" i="9"/>
  <c r="G298" i="9"/>
  <c r="H298" i="9"/>
  <c r="I298" i="9"/>
  <c r="J298" i="9"/>
  <c r="K298" i="9"/>
  <c r="L298" i="9"/>
  <c r="M298" i="9"/>
  <c r="N298" i="9"/>
  <c r="O298" i="9"/>
  <c r="P298" i="9"/>
  <c r="Q298" i="9"/>
  <c r="R298" i="9"/>
  <c r="S298" i="9"/>
  <c r="T298" i="9"/>
  <c r="U298" i="9"/>
  <c r="V298" i="9"/>
  <c r="W298" i="9"/>
  <c r="X298" i="9"/>
  <c r="Y298" i="9"/>
  <c r="Z298" i="9"/>
  <c r="A299" i="9"/>
  <c r="B299" i="9"/>
  <c r="C299" i="9"/>
  <c r="D299" i="9"/>
  <c r="E299" i="9"/>
  <c r="F299" i="9"/>
  <c r="G299" i="9"/>
  <c r="H299" i="9"/>
  <c r="I299" i="9"/>
  <c r="J299" i="9"/>
  <c r="K299" i="9"/>
  <c r="L299" i="9"/>
  <c r="M299" i="9"/>
  <c r="N299" i="9"/>
  <c r="O299" i="9"/>
  <c r="P299" i="9"/>
  <c r="Q299" i="9"/>
  <c r="R299" i="9"/>
  <c r="S299" i="9"/>
  <c r="T299" i="9"/>
  <c r="U299" i="9"/>
  <c r="V299" i="9"/>
  <c r="W299" i="9"/>
  <c r="X299" i="9"/>
  <c r="Y299" i="9"/>
  <c r="Z299" i="9"/>
  <c r="A300" i="9"/>
  <c r="B300" i="9"/>
  <c r="C300" i="9"/>
  <c r="D300" i="9"/>
  <c r="E300" i="9"/>
  <c r="F300" i="9"/>
  <c r="G300" i="9"/>
  <c r="H300" i="9"/>
  <c r="I300" i="9"/>
  <c r="J300" i="9"/>
  <c r="K300" i="9"/>
  <c r="L300" i="9"/>
  <c r="M300" i="9"/>
  <c r="N300" i="9"/>
  <c r="O300" i="9"/>
  <c r="P300" i="9"/>
  <c r="Q300" i="9"/>
  <c r="R300" i="9"/>
  <c r="S300" i="9"/>
  <c r="T300" i="9"/>
  <c r="U300" i="9"/>
  <c r="V300" i="9"/>
  <c r="W300" i="9"/>
  <c r="X300" i="9"/>
  <c r="Y300" i="9"/>
  <c r="Z300" i="9"/>
  <c r="A301" i="9"/>
  <c r="B301" i="9"/>
  <c r="C301" i="9"/>
  <c r="D301" i="9"/>
  <c r="E301" i="9"/>
  <c r="F301" i="9"/>
  <c r="G301" i="9"/>
  <c r="H301" i="9"/>
  <c r="I301" i="9"/>
  <c r="J301" i="9"/>
  <c r="K301" i="9"/>
  <c r="L301" i="9"/>
  <c r="M301" i="9"/>
  <c r="N301" i="9"/>
  <c r="O301" i="9"/>
  <c r="P301" i="9"/>
  <c r="Q301" i="9"/>
  <c r="R301" i="9"/>
  <c r="S301" i="9"/>
  <c r="T301" i="9"/>
  <c r="U301" i="9"/>
  <c r="V301" i="9"/>
  <c r="W301" i="9"/>
  <c r="X301" i="9"/>
  <c r="Y301" i="9"/>
  <c r="Z301" i="9"/>
  <c r="A302" i="9"/>
  <c r="B302" i="9"/>
  <c r="C302" i="9"/>
  <c r="D302" i="9"/>
  <c r="E302" i="9"/>
  <c r="F302" i="9"/>
  <c r="G302" i="9"/>
  <c r="H302" i="9"/>
  <c r="I302" i="9"/>
  <c r="J302" i="9"/>
  <c r="K302" i="9"/>
  <c r="L302" i="9"/>
  <c r="M302" i="9"/>
  <c r="N302" i="9"/>
  <c r="O302" i="9"/>
  <c r="P302" i="9"/>
  <c r="Q302" i="9"/>
  <c r="R302" i="9"/>
  <c r="S302" i="9"/>
  <c r="T302" i="9"/>
  <c r="U302" i="9"/>
  <c r="V302" i="9"/>
  <c r="W302" i="9"/>
  <c r="X302" i="9"/>
  <c r="Y302" i="9"/>
  <c r="Z302" i="9"/>
  <c r="A303" i="9"/>
  <c r="B303" i="9"/>
  <c r="C303" i="9"/>
  <c r="D303" i="9"/>
  <c r="E303" i="9"/>
  <c r="F303" i="9"/>
  <c r="G303" i="9"/>
  <c r="H303" i="9"/>
  <c r="I303" i="9"/>
  <c r="J303" i="9"/>
  <c r="K303" i="9"/>
  <c r="L303" i="9"/>
  <c r="M303" i="9"/>
  <c r="N303" i="9"/>
  <c r="O303" i="9"/>
  <c r="P303" i="9"/>
  <c r="Q303" i="9"/>
  <c r="R303" i="9"/>
  <c r="S303" i="9"/>
  <c r="T303" i="9"/>
  <c r="U303" i="9"/>
  <c r="V303" i="9"/>
  <c r="W303" i="9"/>
  <c r="X303" i="9"/>
  <c r="Y303" i="9"/>
  <c r="Z303" i="9"/>
  <c r="A304" i="9"/>
  <c r="B304" i="9"/>
  <c r="C304" i="9"/>
  <c r="D304" i="9"/>
  <c r="E304" i="9"/>
  <c r="F304" i="9"/>
  <c r="G304" i="9"/>
  <c r="H304" i="9"/>
  <c r="I304" i="9"/>
  <c r="J304" i="9"/>
  <c r="K304" i="9"/>
  <c r="L304" i="9"/>
  <c r="M304" i="9"/>
  <c r="N304" i="9"/>
  <c r="O304" i="9"/>
  <c r="P304" i="9"/>
  <c r="Q304" i="9"/>
  <c r="R304" i="9"/>
  <c r="S304" i="9"/>
  <c r="T304" i="9"/>
  <c r="U304" i="9"/>
  <c r="V304" i="9"/>
  <c r="W304" i="9"/>
  <c r="X304" i="9"/>
  <c r="Y304" i="9"/>
  <c r="Z304" i="9"/>
  <c r="A305" i="9"/>
  <c r="B305" i="9"/>
  <c r="C305" i="9"/>
  <c r="D305" i="9"/>
  <c r="E305" i="9"/>
  <c r="F305" i="9"/>
  <c r="G305" i="9"/>
  <c r="H305" i="9"/>
  <c r="I305" i="9"/>
  <c r="J305" i="9"/>
  <c r="K305" i="9"/>
  <c r="L305" i="9"/>
  <c r="M305" i="9"/>
  <c r="N305" i="9"/>
  <c r="O305" i="9"/>
  <c r="P305" i="9"/>
  <c r="Q305" i="9"/>
  <c r="R305" i="9"/>
  <c r="S305" i="9"/>
  <c r="T305" i="9"/>
  <c r="U305" i="9"/>
  <c r="V305" i="9"/>
  <c r="W305" i="9"/>
  <c r="X305" i="9"/>
  <c r="Y305" i="9"/>
  <c r="Z305" i="9"/>
  <c r="A306" i="9"/>
  <c r="B306" i="9"/>
  <c r="C306" i="9"/>
  <c r="D306" i="9"/>
  <c r="E306" i="9"/>
  <c r="F306" i="9"/>
  <c r="G306" i="9"/>
  <c r="H306" i="9"/>
  <c r="I306" i="9"/>
  <c r="J306" i="9"/>
  <c r="K306" i="9"/>
  <c r="L306" i="9"/>
  <c r="M306" i="9"/>
  <c r="N306" i="9"/>
  <c r="O306" i="9"/>
  <c r="P306" i="9"/>
  <c r="Q306" i="9"/>
  <c r="R306" i="9"/>
  <c r="S306" i="9"/>
  <c r="T306" i="9"/>
  <c r="U306" i="9"/>
  <c r="V306" i="9"/>
  <c r="W306" i="9"/>
  <c r="X306" i="9"/>
  <c r="Y306" i="9"/>
  <c r="Z306" i="9"/>
  <c r="A307" i="9"/>
  <c r="B307" i="9"/>
  <c r="C307" i="9"/>
  <c r="D307" i="9"/>
  <c r="E307" i="9"/>
  <c r="F307" i="9"/>
  <c r="G307" i="9"/>
  <c r="H307" i="9"/>
  <c r="I307" i="9"/>
  <c r="J307" i="9"/>
  <c r="K307" i="9"/>
  <c r="L307" i="9"/>
  <c r="M307" i="9"/>
  <c r="N307" i="9"/>
  <c r="O307" i="9"/>
  <c r="P307" i="9"/>
  <c r="Q307" i="9"/>
  <c r="R307" i="9"/>
  <c r="S307" i="9"/>
  <c r="T307" i="9"/>
  <c r="U307" i="9"/>
  <c r="V307" i="9"/>
  <c r="W307" i="9"/>
  <c r="X307" i="9"/>
  <c r="Y307" i="9"/>
  <c r="Z307" i="9"/>
  <c r="A308" i="9"/>
  <c r="B308" i="9"/>
  <c r="C308" i="9"/>
  <c r="D308" i="9"/>
  <c r="E308" i="9"/>
  <c r="F308" i="9"/>
  <c r="G308" i="9"/>
  <c r="H308" i="9"/>
  <c r="I308" i="9"/>
  <c r="J308" i="9"/>
  <c r="K308" i="9"/>
  <c r="L308" i="9"/>
  <c r="M308" i="9"/>
  <c r="N308" i="9"/>
  <c r="O308" i="9"/>
  <c r="P308" i="9"/>
  <c r="Q308" i="9"/>
  <c r="R308" i="9"/>
  <c r="S308" i="9"/>
  <c r="T308" i="9"/>
  <c r="U308" i="9"/>
  <c r="V308" i="9"/>
  <c r="W308" i="9"/>
  <c r="X308" i="9"/>
  <c r="Y308" i="9"/>
  <c r="Z308" i="9"/>
  <c r="A309" i="9"/>
  <c r="B309" i="9"/>
  <c r="C309" i="9"/>
  <c r="D309" i="9"/>
  <c r="E309" i="9"/>
  <c r="F309" i="9"/>
  <c r="G309" i="9"/>
  <c r="H309" i="9"/>
  <c r="I309" i="9"/>
  <c r="J309" i="9"/>
  <c r="K309" i="9"/>
  <c r="L309" i="9"/>
  <c r="M309" i="9"/>
  <c r="N309" i="9"/>
  <c r="O309" i="9"/>
  <c r="P309" i="9"/>
  <c r="Q309" i="9"/>
  <c r="R309" i="9"/>
  <c r="S309" i="9"/>
  <c r="T309" i="9"/>
  <c r="U309" i="9"/>
  <c r="V309" i="9"/>
  <c r="W309" i="9"/>
  <c r="X309" i="9"/>
  <c r="Y309" i="9"/>
  <c r="Z309" i="9"/>
  <c r="A310" i="9"/>
  <c r="B310" i="9"/>
  <c r="C310" i="9"/>
  <c r="D310" i="9"/>
  <c r="E310" i="9"/>
  <c r="F310" i="9"/>
  <c r="G310" i="9"/>
  <c r="H310" i="9"/>
  <c r="I310" i="9"/>
  <c r="J310" i="9"/>
  <c r="K310" i="9"/>
  <c r="L310" i="9"/>
  <c r="M310" i="9"/>
  <c r="N310" i="9"/>
  <c r="O310" i="9"/>
  <c r="P310" i="9"/>
  <c r="Q310" i="9"/>
  <c r="R310" i="9"/>
  <c r="S310" i="9"/>
  <c r="T310" i="9"/>
  <c r="U310" i="9"/>
  <c r="V310" i="9"/>
  <c r="W310" i="9"/>
  <c r="X310" i="9"/>
  <c r="Y310" i="9"/>
  <c r="Z310" i="9"/>
  <c r="A311" i="9"/>
  <c r="B311" i="9"/>
  <c r="C311" i="9"/>
  <c r="D311" i="9"/>
  <c r="E311" i="9"/>
  <c r="F311" i="9"/>
  <c r="G311" i="9"/>
  <c r="H311" i="9"/>
  <c r="I311" i="9"/>
  <c r="J311" i="9"/>
  <c r="K311" i="9"/>
  <c r="L311" i="9"/>
  <c r="M311" i="9"/>
  <c r="N311" i="9"/>
  <c r="O311" i="9"/>
  <c r="P311" i="9"/>
  <c r="Q311" i="9"/>
  <c r="R311" i="9"/>
  <c r="S311" i="9"/>
  <c r="T311" i="9"/>
  <c r="U311" i="9"/>
  <c r="V311" i="9"/>
  <c r="W311" i="9"/>
  <c r="X311" i="9"/>
  <c r="Y311" i="9"/>
  <c r="Z311" i="9"/>
  <c r="A312" i="9"/>
  <c r="B312" i="9"/>
  <c r="C312" i="9"/>
  <c r="D312" i="9"/>
  <c r="E312" i="9"/>
  <c r="F312" i="9"/>
  <c r="G312" i="9"/>
  <c r="H312" i="9"/>
  <c r="I312" i="9"/>
  <c r="J312" i="9"/>
  <c r="K312" i="9"/>
  <c r="L312" i="9"/>
  <c r="M312" i="9"/>
  <c r="N312" i="9"/>
  <c r="O312" i="9"/>
  <c r="P312" i="9"/>
  <c r="Q312" i="9"/>
  <c r="R312" i="9"/>
  <c r="S312" i="9"/>
  <c r="T312" i="9"/>
  <c r="U312" i="9"/>
  <c r="V312" i="9"/>
  <c r="W312" i="9"/>
  <c r="X312" i="9"/>
  <c r="Y312" i="9"/>
  <c r="Z312" i="9"/>
  <c r="A313" i="9"/>
  <c r="B313" i="9"/>
  <c r="C313" i="9"/>
  <c r="D313" i="9"/>
  <c r="E313" i="9"/>
  <c r="F313" i="9"/>
  <c r="G313" i="9"/>
  <c r="H313" i="9"/>
  <c r="I313" i="9"/>
  <c r="J313" i="9"/>
  <c r="K313" i="9"/>
  <c r="L313" i="9"/>
  <c r="M313" i="9"/>
  <c r="N313" i="9"/>
  <c r="O313" i="9"/>
  <c r="P313" i="9"/>
  <c r="Q313" i="9"/>
  <c r="R313" i="9"/>
  <c r="S313" i="9"/>
  <c r="T313" i="9"/>
  <c r="U313" i="9"/>
  <c r="V313" i="9"/>
  <c r="W313" i="9"/>
  <c r="X313" i="9"/>
  <c r="Y313" i="9"/>
  <c r="Z313" i="9"/>
  <c r="A314" i="9"/>
  <c r="B314" i="9"/>
  <c r="C314" i="9"/>
  <c r="D314" i="9"/>
  <c r="E314" i="9"/>
  <c r="F314" i="9"/>
  <c r="G314" i="9"/>
  <c r="H314" i="9"/>
  <c r="I314" i="9"/>
  <c r="J314" i="9"/>
  <c r="K314" i="9"/>
  <c r="L314" i="9"/>
  <c r="M314" i="9"/>
  <c r="N314" i="9"/>
  <c r="O314" i="9"/>
  <c r="P314" i="9"/>
  <c r="Q314" i="9"/>
  <c r="R314" i="9"/>
  <c r="S314" i="9"/>
  <c r="T314" i="9"/>
  <c r="U314" i="9"/>
  <c r="V314" i="9"/>
  <c r="W314" i="9"/>
  <c r="X314" i="9"/>
  <c r="Y314" i="9"/>
  <c r="Z314" i="9"/>
  <c r="A315" i="9"/>
  <c r="B315" i="9"/>
  <c r="C315" i="9"/>
  <c r="D315" i="9"/>
  <c r="E315" i="9"/>
  <c r="F315" i="9"/>
  <c r="G315" i="9"/>
  <c r="H315" i="9"/>
  <c r="I315" i="9"/>
  <c r="J315" i="9"/>
  <c r="K315" i="9"/>
  <c r="L315" i="9"/>
  <c r="M315" i="9"/>
  <c r="N315" i="9"/>
  <c r="O315" i="9"/>
  <c r="P315" i="9"/>
  <c r="Q315" i="9"/>
  <c r="R315" i="9"/>
  <c r="S315" i="9"/>
  <c r="T315" i="9"/>
  <c r="U315" i="9"/>
  <c r="V315" i="9"/>
  <c r="W315" i="9"/>
  <c r="X315" i="9"/>
  <c r="Y315" i="9"/>
  <c r="Z315" i="9"/>
  <c r="A316" i="9"/>
  <c r="B316" i="9"/>
  <c r="C316" i="9"/>
  <c r="D316" i="9"/>
  <c r="E316" i="9"/>
  <c r="F316" i="9"/>
  <c r="G316" i="9"/>
  <c r="H316" i="9"/>
  <c r="I316" i="9"/>
  <c r="J316" i="9"/>
  <c r="K316" i="9"/>
  <c r="L316" i="9"/>
  <c r="M316" i="9"/>
  <c r="N316" i="9"/>
  <c r="O316" i="9"/>
  <c r="P316" i="9"/>
  <c r="Q316" i="9"/>
  <c r="R316" i="9"/>
  <c r="S316" i="9"/>
  <c r="T316" i="9"/>
  <c r="U316" i="9"/>
  <c r="V316" i="9"/>
  <c r="W316" i="9"/>
  <c r="X316" i="9"/>
  <c r="Y316" i="9"/>
  <c r="Z316" i="9"/>
  <c r="A317" i="9"/>
  <c r="B317" i="9"/>
  <c r="C317" i="9"/>
  <c r="D317" i="9"/>
  <c r="E317" i="9"/>
  <c r="F317" i="9"/>
  <c r="G317" i="9"/>
  <c r="H317" i="9"/>
  <c r="I317" i="9"/>
  <c r="J317" i="9"/>
  <c r="K317" i="9"/>
  <c r="L317" i="9"/>
  <c r="M317" i="9"/>
  <c r="N317" i="9"/>
  <c r="O317" i="9"/>
  <c r="P317" i="9"/>
  <c r="Q317" i="9"/>
  <c r="R317" i="9"/>
  <c r="S317" i="9"/>
  <c r="T317" i="9"/>
  <c r="U317" i="9"/>
  <c r="V317" i="9"/>
  <c r="W317" i="9"/>
  <c r="X317" i="9"/>
  <c r="Y317" i="9"/>
  <c r="Z317" i="9"/>
  <c r="A318" i="9"/>
  <c r="B318" i="9"/>
  <c r="C318" i="9"/>
  <c r="D318" i="9"/>
  <c r="E318" i="9"/>
  <c r="F318" i="9"/>
  <c r="G318" i="9"/>
  <c r="H318" i="9"/>
  <c r="I318" i="9"/>
  <c r="J318" i="9"/>
  <c r="K318" i="9"/>
  <c r="L318" i="9"/>
  <c r="M318" i="9"/>
  <c r="N318" i="9"/>
  <c r="O318" i="9"/>
  <c r="P318" i="9"/>
  <c r="Q318" i="9"/>
  <c r="R318" i="9"/>
  <c r="S318" i="9"/>
  <c r="T318" i="9"/>
  <c r="U318" i="9"/>
  <c r="V318" i="9"/>
  <c r="W318" i="9"/>
  <c r="X318" i="9"/>
  <c r="Y318" i="9"/>
  <c r="Z318" i="9"/>
  <c r="A319" i="9"/>
  <c r="B319" i="9"/>
  <c r="C319" i="9"/>
  <c r="D319" i="9"/>
  <c r="E319" i="9"/>
  <c r="F319" i="9"/>
  <c r="G319" i="9"/>
  <c r="H319" i="9"/>
  <c r="I319" i="9"/>
  <c r="J319" i="9"/>
  <c r="K319" i="9"/>
  <c r="L319" i="9"/>
  <c r="M319" i="9"/>
  <c r="N319" i="9"/>
  <c r="O319" i="9"/>
  <c r="P319" i="9"/>
  <c r="Q319" i="9"/>
  <c r="R319" i="9"/>
  <c r="S319" i="9"/>
  <c r="T319" i="9"/>
  <c r="U319" i="9"/>
  <c r="V319" i="9"/>
  <c r="W319" i="9"/>
  <c r="X319" i="9"/>
  <c r="Y319" i="9"/>
  <c r="Z319" i="9"/>
  <c r="A320" i="9"/>
  <c r="B320" i="9"/>
  <c r="C320" i="9"/>
  <c r="D320" i="9"/>
  <c r="E320" i="9"/>
  <c r="F320" i="9"/>
  <c r="G320" i="9"/>
  <c r="H320" i="9"/>
  <c r="I320" i="9"/>
  <c r="J320" i="9"/>
  <c r="K320" i="9"/>
  <c r="L320" i="9"/>
  <c r="M320" i="9"/>
  <c r="N320" i="9"/>
  <c r="O320" i="9"/>
  <c r="P320" i="9"/>
  <c r="Q320" i="9"/>
  <c r="R320" i="9"/>
  <c r="S320" i="9"/>
  <c r="T320" i="9"/>
  <c r="U320" i="9"/>
  <c r="V320" i="9"/>
  <c r="W320" i="9"/>
  <c r="X320" i="9"/>
  <c r="Y320" i="9"/>
  <c r="Z320" i="9"/>
  <c r="A321" i="9"/>
  <c r="B321" i="9"/>
  <c r="C321" i="9"/>
  <c r="D321" i="9"/>
  <c r="E321" i="9"/>
  <c r="F321" i="9"/>
  <c r="G321" i="9"/>
  <c r="H321" i="9"/>
  <c r="I321" i="9"/>
  <c r="J321" i="9"/>
  <c r="K321" i="9"/>
  <c r="L321" i="9"/>
  <c r="M321" i="9"/>
  <c r="N321" i="9"/>
  <c r="O321" i="9"/>
  <c r="P321" i="9"/>
  <c r="Q321" i="9"/>
  <c r="R321" i="9"/>
  <c r="S321" i="9"/>
  <c r="T321" i="9"/>
  <c r="U321" i="9"/>
  <c r="V321" i="9"/>
  <c r="W321" i="9"/>
  <c r="X321" i="9"/>
  <c r="Y321" i="9"/>
  <c r="Z321" i="9"/>
  <c r="A322" i="9"/>
  <c r="B322" i="9"/>
  <c r="C322" i="9"/>
  <c r="D322" i="9"/>
  <c r="E322" i="9"/>
  <c r="F322" i="9"/>
  <c r="G322" i="9"/>
  <c r="H322" i="9"/>
  <c r="I322" i="9"/>
  <c r="J322" i="9"/>
  <c r="K322" i="9"/>
  <c r="L322" i="9"/>
  <c r="M322" i="9"/>
  <c r="N322" i="9"/>
  <c r="O322" i="9"/>
  <c r="P322" i="9"/>
  <c r="Q322" i="9"/>
  <c r="R322" i="9"/>
  <c r="S322" i="9"/>
  <c r="T322" i="9"/>
  <c r="U322" i="9"/>
  <c r="V322" i="9"/>
  <c r="W322" i="9"/>
  <c r="X322" i="9"/>
  <c r="Y322" i="9"/>
  <c r="Z322" i="9"/>
  <c r="A323" i="9"/>
  <c r="B323" i="9"/>
  <c r="C323" i="9"/>
  <c r="D323" i="9"/>
  <c r="E323" i="9"/>
  <c r="F323" i="9"/>
  <c r="G323" i="9"/>
  <c r="H323" i="9"/>
  <c r="I323" i="9"/>
  <c r="J323" i="9"/>
  <c r="K323" i="9"/>
  <c r="L323" i="9"/>
  <c r="M323" i="9"/>
  <c r="N323" i="9"/>
  <c r="O323" i="9"/>
  <c r="P323" i="9"/>
  <c r="Q323" i="9"/>
  <c r="R323" i="9"/>
  <c r="S323" i="9"/>
  <c r="T323" i="9"/>
  <c r="U323" i="9"/>
  <c r="V323" i="9"/>
  <c r="W323" i="9"/>
  <c r="X323" i="9"/>
  <c r="Y323" i="9"/>
  <c r="Z323" i="9"/>
  <c r="A324" i="9"/>
  <c r="B324" i="9"/>
  <c r="C324" i="9"/>
  <c r="D324" i="9"/>
  <c r="E324" i="9"/>
  <c r="F324" i="9"/>
  <c r="G324" i="9"/>
  <c r="H324" i="9"/>
  <c r="I324" i="9"/>
  <c r="J324" i="9"/>
  <c r="K324" i="9"/>
  <c r="L324" i="9"/>
  <c r="M324" i="9"/>
  <c r="N324" i="9"/>
  <c r="O324" i="9"/>
  <c r="P324" i="9"/>
  <c r="Q324" i="9"/>
  <c r="R324" i="9"/>
  <c r="S324" i="9"/>
  <c r="T324" i="9"/>
  <c r="U324" i="9"/>
  <c r="V324" i="9"/>
  <c r="W324" i="9"/>
  <c r="X324" i="9"/>
  <c r="Y324" i="9"/>
  <c r="Z324" i="9"/>
  <c r="A325" i="9"/>
  <c r="B325" i="9"/>
  <c r="C325" i="9"/>
  <c r="D325" i="9"/>
  <c r="E325" i="9"/>
  <c r="F325" i="9"/>
  <c r="G325" i="9"/>
  <c r="H325" i="9"/>
  <c r="I325" i="9"/>
  <c r="J325" i="9"/>
  <c r="K325" i="9"/>
  <c r="L325" i="9"/>
  <c r="M325" i="9"/>
  <c r="N325" i="9"/>
  <c r="O325" i="9"/>
  <c r="P325" i="9"/>
  <c r="Q325" i="9"/>
  <c r="R325" i="9"/>
  <c r="S325" i="9"/>
  <c r="T325" i="9"/>
  <c r="U325" i="9"/>
  <c r="V325" i="9"/>
  <c r="W325" i="9"/>
  <c r="X325" i="9"/>
  <c r="Y325" i="9"/>
  <c r="Z325" i="9"/>
  <c r="A326" i="9"/>
  <c r="B326" i="9"/>
  <c r="C326" i="9"/>
  <c r="D326" i="9"/>
  <c r="E326" i="9"/>
  <c r="F326" i="9"/>
  <c r="G326" i="9"/>
  <c r="H326" i="9"/>
  <c r="I326" i="9"/>
  <c r="J326" i="9"/>
  <c r="K326" i="9"/>
  <c r="L326" i="9"/>
  <c r="M326" i="9"/>
  <c r="N326" i="9"/>
  <c r="O326" i="9"/>
  <c r="P326" i="9"/>
  <c r="Q326" i="9"/>
  <c r="R326" i="9"/>
  <c r="S326" i="9"/>
  <c r="T326" i="9"/>
  <c r="U326" i="9"/>
  <c r="V326" i="9"/>
  <c r="W326" i="9"/>
  <c r="X326" i="9"/>
  <c r="Y326" i="9"/>
  <c r="Z326" i="9"/>
  <c r="A327" i="9"/>
  <c r="B327" i="9"/>
  <c r="C327" i="9"/>
  <c r="D327" i="9"/>
  <c r="E327" i="9"/>
  <c r="F327" i="9"/>
  <c r="G327" i="9"/>
  <c r="H327" i="9"/>
  <c r="I327" i="9"/>
  <c r="J327" i="9"/>
  <c r="K327" i="9"/>
  <c r="L327" i="9"/>
  <c r="M327" i="9"/>
  <c r="N327" i="9"/>
  <c r="O327" i="9"/>
  <c r="P327" i="9"/>
  <c r="Q327" i="9"/>
  <c r="R327" i="9"/>
  <c r="S327" i="9"/>
  <c r="T327" i="9"/>
  <c r="U327" i="9"/>
  <c r="V327" i="9"/>
  <c r="W327" i="9"/>
  <c r="X327" i="9"/>
  <c r="Y327" i="9"/>
  <c r="Z327" i="9"/>
  <c r="A328" i="9"/>
  <c r="B328" i="9"/>
  <c r="C328" i="9"/>
  <c r="D328" i="9"/>
  <c r="E328" i="9"/>
  <c r="F328" i="9"/>
  <c r="G328" i="9"/>
  <c r="H328" i="9"/>
  <c r="I328" i="9"/>
  <c r="J328" i="9"/>
  <c r="K328" i="9"/>
  <c r="L328" i="9"/>
  <c r="M328" i="9"/>
  <c r="N328" i="9"/>
  <c r="O328" i="9"/>
  <c r="P328" i="9"/>
  <c r="Q328" i="9"/>
  <c r="R328" i="9"/>
  <c r="S328" i="9"/>
  <c r="T328" i="9"/>
  <c r="U328" i="9"/>
  <c r="V328" i="9"/>
  <c r="W328" i="9"/>
  <c r="X328" i="9"/>
  <c r="Y328" i="9"/>
  <c r="Z328" i="9"/>
  <c r="A329" i="9"/>
  <c r="B329" i="9"/>
  <c r="C329" i="9"/>
  <c r="D329" i="9"/>
  <c r="E329" i="9"/>
  <c r="F329" i="9"/>
  <c r="G329" i="9"/>
  <c r="H329" i="9"/>
  <c r="I329" i="9"/>
  <c r="J329" i="9"/>
  <c r="K329" i="9"/>
  <c r="L329" i="9"/>
  <c r="M329" i="9"/>
  <c r="N329" i="9"/>
  <c r="O329" i="9"/>
  <c r="P329" i="9"/>
  <c r="Q329" i="9"/>
  <c r="R329" i="9"/>
  <c r="S329" i="9"/>
  <c r="T329" i="9"/>
  <c r="U329" i="9"/>
  <c r="V329" i="9"/>
  <c r="W329" i="9"/>
  <c r="X329" i="9"/>
  <c r="Y329" i="9"/>
  <c r="Z329" i="9"/>
  <c r="A330" i="9"/>
  <c r="B330" i="9"/>
  <c r="C330" i="9"/>
  <c r="D330" i="9"/>
  <c r="E330" i="9"/>
  <c r="F330" i="9"/>
  <c r="G330" i="9"/>
  <c r="H330" i="9"/>
  <c r="I330" i="9"/>
  <c r="J330" i="9"/>
  <c r="K330" i="9"/>
  <c r="L330" i="9"/>
  <c r="M330" i="9"/>
  <c r="N330" i="9"/>
  <c r="O330" i="9"/>
  <c r="P330" i="9"/>
  <c r="Q330" i="9"/>
  <c r="R330" i="9"/>
  <c r="S330" i="9"/>
  <c r="T330" i="9"/>
  <c r="U330" i="9"/>
  <c r="V330" i="9"/>
  <c r="W330" i="9"/>
  <c r="X330" i="9"/>
  <c r="Y330" i="9"/>
  <c r="Z330" i="9"/>
  <c r="A331" i="9"/>
  <c r="B331" i="9"/>
  <c r="C331" i="9"/>
  <c r="D331" i="9"/>
  <c r="E331" i="9"/>
  <c r="F331" i="9"/>
  <c r="G331" i="9"/>
  <c r="H331" i="9"/>
  <c r="I331" i="9"/>
  <c r="J331" i="9"/>
  <c r="K331" i="9"/>
  <c r="L331" i="9"/>
  <c r="M331" i="9"/>
  <c r="N331" i="9"/>
  <c r="O331" i="9"/>
  <c r="P331" i="9"/>
  <c r="Q331" i="9"/>
  <c r="R331" i="9"/>
  <c r="S331" i="9"/>
  <c r="T331" i="9"/>
  <c r="U331" i="9"/>
  <c r="V331" i="9"/>
  <c r="W331" i="9"/>
  <c r="X331" i="9"/>
  <c r="Y331" i="9"/>
  <c r="Z331" i="9"/>
  <c r="A332" i="9"/>
  <c r="B332" i="9"/>
  <c r="C332" i="9"/>
  <c r="D332" i="9"/>
  <c r="E332" i="9"/>
  <c r="F332" i="9"/>
  <c r="G332" i="9"/>
  <c r="H332" i="9"/>
  <c r="I332" i="9"/>
  <c r="J332" i="9"/>
  <c r="K332" i="9"/>
  <c r="L332" i="9"/>
  <c r="M332" i="9"/>
  <c r="N332" i="9"/>
  <c r="O332" i="9"/>
  <c r="P332" i="9"/>
  <c r="Q332" i="9"/>
  <c r="R332" i="9"/>
  <c r="S332" i="9"/>
  <c r="T332" i="9"/>
  <c r="U332" i="9"/>
  <c r="V332" i="9"/>
  <c r="W332" i="9"/>
  <c r="X332" i="9"/>
  <c r="Y332" i="9"/>
  <c r="Z332" i="9"/>
  <c r="A333" i="9"/>
  <c r="B333" i="9"/>
  <c r="C333" i="9"/>
  <c r="D333" i="9"/>
  <c r="E333" i="9"/>
  <c r="F333" i="9"/>
  <c r="G333" i="9"/>
  <c r="H333" i="9"/>
  <c r="I333" i="9"/>
  <c r="J333" i="9"/>
  <c r="K333" i="9"/>
  <c r="L333" i="9"/>
  <c r="M333" i="9"/>
  <c r="N333" i="9"/>
  <c r="O333" i="9"/>
  <c r="P333" i="9"/>
  <c r="Q333" i="9"/>
  <c r="R333" i="9"/>
  <c r="S333" i="9"/>
  <c r="T333" i="9"/>
  <c r="U333" i="9"/>
  <c r="V333" i="9"/>
  <c r="W333" i="9"/>
  <c r="X333" i="9"/>
  <c r="Y333" i="9"/>
  <c r="Z333" i="9"/>
  <c r="A334" i="9"/>
  <c r="B334" i="9"/>
  <c r="C334" i="9"/>
  <c r="D334" i="9"/>
  <c r="E334" i="9"/>
  <c r="F334" i="9"/>
  <c r="G334" i="9"/>
  <c r="H334" i="9"/>
  <c r="I334" i="9"/>
  <c r="J334" i="9"/>
  <c r="K334" i="9"/>
  <c r="L334" i="9"/>
  <c r="M334" i="9"/>
  <c r="N334" i="9"/>
  <c r="O334" i="9"/>
  <c r="P334" i="9"/>
  <c r="Q334" i="9"/>
  <c r="R334" i="9"/>
  <c r="S334" i="9"/>
  <c r="T334" i="9"/>
  <c r="U334" i="9"/>
  <c r="V334" i="9"/>
  <c r="W334" i="9"/>
  <c r="X334" i="9"/>
  <c r="Y334" i="9"/>
  <c r="Z334" i="9"/>
  <c r="A335" i="9"/>
  <c r="B335" i="9"/>
  <c r="C335" i="9"/>
  <c r="D335" i="9"/>
  <c r="E335" i="9"/>
  <c r="F335" i="9"/>
  <c r="G335" i="9"/>
  <c r="H335" i="9"/>
  <c r="I335" i="9"/>
  <c r="J335" i="9"/>
  <c r="K335" i="9"/>
  <c r="L335" i="9"/>
  <c r="M335" i="9"/>
  <c r="N335" i="9"/>
  <c r="O335" i="9"/>
  <c r="P335" i="9"/>
  <c r="Q335" i="9"/>
  <c r="R335" i="9"/>
  <c r="S335" i="9"/>
  <c r="T335" i="9"/>
  <c r="U335" i="9"/>
  <c r="V335" i="9"/>
  <c r="W335" i="9"/>
  <c r="X335" i="9"/>
  <c r="Y335" i="9"/>
  <c r="Z335" i="9"/>
  <c r="A336" i="9"/>
  <c r="B336" i="9"/>
  <c r="C336" i="9"/>
  <c r="D336" i="9"/>
  <c r="E336" i="9"/>
  <c r="F336" i="9"/>
  <c r="G336" i="9"/>
  <c r="H336" i="9"/>
  <c r="I336" i="9"/>
  <c r="J336" i="9"/>
  <c r="K336" i="9"/>
  <c r="L336" i="9"/>
  <c r="M336" i="9"/>
  <c r="N336" i="9"/>
  <c r="O336" i="9"/>
  <c r="P336" i="9"/>
  <c r="Q336" i="9"/>
  <c r="R336" i="9"/>
  <c r="S336" i="9"/>
  <c r="T336" i="9"/>
  <c r="U336" i="9"/>
  <c r="V336" i="9"/>
  <c r="W336" i="9"/>
  <c r="X336" i="9"/>
  <c r="Y336" i="9"/>
  <c r="Z336" i="9"/>
  <c r="A337" i="9"/>
  <c r="B337" i="9"/>
  <c r="C337" i="9"/>
  <c r="D337" i="9"/>
  <c r="E337" i="9"/>
  <c r="F337" i="9"/>
  <c r="G337" i="9"/>
  <c r="H337" i="9"/>
  <c r="I337" i="9"/>
  <c r="J337" i="9"/>
  <c r="K337" i="9"/>
  <c r="L337" i="9"/>
  <c r="M337" i="9"/>
  <c r="N337" i="9"/>
  <c r="O337" i="9"/>
  <c r="P337" i="9"/>
  <c r="Q337" i="9"/>
  <c r="R337" i="9"/>
  <c r="S337" i="9"/>
  <c r="T337" i="9"/>
  <c r="U337" i="9"/>
  <c r="V337" i="9"/>
  <c r="W337" i="9"/>
  <c r="X337" i="9"/>
  <c r="Y337" i="9"/>
  <c r="Z337" i="9"/>
  <c r="A338" i="9"/>
  <c r="B338" i="9"/>
  <c r="C338" i="9"/>
  <c r="D338" i="9"/>
  <c r="E338" i="9"/>
  <c r="F338" i="9"/>
  <c r="G338" i="9"/>
  <c r="H338" i="9"/>
  <c r="I338" i="9"/>
  <c r="J338" i="9"/>
  <c r="K338" i="9"/>
  <c r="L338" i="9"/>
  <c r="M338" i="9"/>
  <c r="N338" i="9"/>
  <c r="O338" i="9"/>
  <c r="P338" i="9"/>
  <c r="Q338" i="9"/>
  <c r="R338" i="9"/>
  <c r="S338" i="9"/>
  <c r="T338" i="9"/>
  <c r="U338" i="9"/>
  <c r="V338" i="9"/>
  <c r="W338" i="9"/>
  <c r="X338" i="9"/>
  <c r="Y338" i="9"/>
  <c r="Z338" i="9"/>
  <c r="A339" i="9"/>
  <c r="B339" i="9"/>
  <c r="C339" i="9"/>
  <c r="D339" i="9"/>
  <c r="E339" i="9"/>
  <c r="F339" i="9"/>
  <c r="G339" i="9"/>
  <c r="H339" i="9"/>
  <c r="I339" i="9"/>
  <c r="J339" i="9"/>
  <c r="K339" i="9"/>
  <c r="L339" i="9"/>
  <c r="M339" i="9"/>
  <c r="N339" i="9"/>
  <c r="O339" i="9"/>
  <c r="P339" i="9"/>
  <c r="Q339" i="9"/>
  <c r="R339" i="9"/>
  <c r="S339" i="9"/>
  <c r="T339" i="9"/>
  <c r="U339" i="9"/>
  <c r="V339" i="9"/>
  <c r="W339" i="9"/>
  <c r="X339" i="9"/>
  <c r="Y339" i="9"/>
  <c r="Z339" i="9"/>
  <c r="A340" i="9"/>
  <c r="B340" i="9"/>
  <c r="C340" i="9"/>
  <c r="D340" i="9"/>
  <c r="E340" i="9"/>
  <c r="F340" i="9"/>
  <c r="G340" i="9"/>
  <c r="H340" i="9"/>
  <c r="I340" i="9"/>
  <c r="J340" i="9"/>
  <c r="K340" i="9"/>
  <c r="L340" i="9"/>
  <c r="M340" i="9"/>
  <c r="N340" i="9"/>
  <c r="O340" i="9"/>
  <c r="P340" i="9"/>
  <c r="Q340" i="9"/>
  <c r="R340" i="9"/>
  <c r="S340" i="9"/>
  <c r="T340" i="9"/>
  <c r="U340" i="9"/>
  <c r="V340" i="9"/>
  <c r="W340" i="9"/>
  <c r="X340" i="9"/>
  <c r="Y340" i="9"/>
  <c r="Z340" i="9"/>
  <c r="A341" i="9"/>
  <c r="B341" i="9"/>
  <c r="C341" i="9"/>
  <c r="D341" i="9"/>
  <c r="E341" i="9"/>
  <c r="F341" i="9"/>
  <c r="G341" i="9"/>
  <c r="H341" i="9"/>
  <c r="I341" i="9"/>
  <c r="J341" i="9"/>
  <c r="K341" i="9"/>
  <c r="L341" i="9"/>
  <c r="M341" i="9"/>
  <c r="N341" i="9"/>
  <c r="O341" i="9"/>
  <c r="P341" i="9"/>
  <c r="Q341" i="9"/>
  <c r="R341" i="9"/>
  <c r="S341" i="9"/>
  <c r="T341" i="9"/>
  <c r="U341" i="9"/>
  <c r="V341" i="9"/>
  <c r="W341" i="9"/>
  <c r="X341" i="9"/>
  <c r="Y341" i="9"/>
  <c r="Z341" i="9"/>
  <c r="A342" i="9"/>
  <c r="B342" i="9"/>
  <c r="C342" i="9"/>
  <c r="D342" i="9"/>
  <c r="E342" i="9"/>
  <c r="F342" i="9"/>
  <c r="G342" i="9"/>
  <c r="H342" i="9"/>
  <c r="I342" i="9"/>
  <c r="J342" i="9"/>
  <c r="K342" i="9"/>
  <c r="L342" i="9"/>
  <c r="M342" i="9"/>
  <c r="N342" i="9"/>
  <c r="O342" i="9"/>
  <c r="P342" i="9"/>
  <c r="Q342" i="9"/>
  <c r="R342" i="9"/>
  <c r="S342" i="9"/>
  <c r="T342" i="9"/>
  <c r="U342" i="9"/>
  <c r="V342" i="9"/>
  <c r="W342" i="9"/>
  <c r="X342" i="9"/>
  <c r="Y342" i="9"/>
  <c r="Z342" i="9"/>
  <c r="A343" i="9"/>
  <c r="B343" i="9"/>
  <c r="C343" i="9"/>
  <c r="D343" i="9"/>
  <c r="E343" i="9"/>
  <c r="F343" i="9"/>
  <c r="G343" i="9"/>
  <c r="H343" i="9"/>
  <c r="I343" i="9"/>
  <c r="J343" i="9"/>
  <c r="K343" i="9"/>
  <c r="L343" i="9"/>
  <c r="M343" i="9"/>
  <c r="N343" i="9"/>
  <c r="O343" i="9"/>
  <c r="P343" i="9"/>
  <c r="Q343" i="9"/>
  <c r="R343" i="9"/>
  <c r="S343" i="9"/>
  <c r="T343" i="9"/>
  <c r="U343" i="9"/>
  <c r="V343" i="9"/>
  <c r="W343" i="9"/>
  <c r="X343" i="9"/>
  <c r="Y343" i="9"/>
  <c r="Z343" i="9"/>
  <c r="A344" i="9"/>
  <c r="B344" i="9"/>
  <c r="C344" i="9"/>
  <c r="D344" i="9"/>
  <c r="E344" i="9"/>
  <c r="F344" i="9"/>
  <c r="G344" i="9"/>
  <c r="H344" i="9"/>
  <c r="I344" i="9"/>
  <c r="J344" i="9"/>
  <c r="K344" i="9"/>
  <c r="L344" i="9"/>
  <c r="M344" i="9"/>
  <c r="N344" i="9"/>
  <c r="O344" i="9"/>
  <c r="P344" i="9"/>
  <c r="Q344" i="9"/>
  <c r="R344" i="9"/>
  <c r="S344" i="9"/>
  <c r="T344" i="9"/>
  <c r="U344" i="9"/>
  <c r="V344" i="9"/>
  <c r="W344" i="9"/>
  <c r="X344" i="9"/>
  <c r="Y344" i="9"/>
  <c r="Z344" i="9"/>
  <c r="A345" i="9"/>
  <c r="B345" i="9"/>
  <c r="C345" i="9"/>
  <c r="D345" i="9"/>
  <c r="E345" i="9"/>
  <c r="F345" i="9"/>
  <c r="G345" i="9"/>
  <c r="H345" i="9"/>
  <c r="I345" i="9"/>
  <c r="J345" i="9"/>
  <c r="K345" i="9"/>
  <c r="L345" i="9"/>
  <c r="M345" i="9"/>
  <c r="N345" i="9"/>
  <c r="O345" i="9"/>
  <c r="P345" i="9"/>
  <c r="Q345" i="9"/>
  <c r="R345" i="9"/>
  <c r="S345" i="9"/>
  <c r="T345" i="9"/>
  <c r="U345" i="9"/>
  <c r="V345" i="9"/>
  <c r="W345" i="9"/>
  <c r="X345" i="9"/>
  <c r="Y345" i="9"/>
  <c r="Z345" i="9"/>
  <c r="A346" i="9"/>
  <c r="B346" i="9"/>
  <c r="C346" i="9"/>
  <c r="D346" i="9"/>
  <c r="E346" i="9"/>
  <c r="F346" i="9"/>
  <c r="G346" i="9"/>
  <c r="H346" i="9"/>
  <c r="I346" i="9"/>
  <c r="J346" i="9"/>
  <c r="K346" i="9"/>
  <c r="L346" i="9"/>
  <c r="M346" i="9"/>
  <c r="N346" i="9"/>
  <c r="O346" i="9"/>
  <c r="P346" i="9"/>
  <c r="Q346" i="9"/>
  <c r="R346" i="9"/>
  <c r="S346" i="9"/>
  <c r="T346" i="9"/>
  <c r="U346" i="9"/>
  <c r="V346" i="9"/>
  <c r="W346" i="9"/>
  <c r="X346" i="9"/>
  <c r="Y346" i="9"/>
  <c r="Z346" i="9"/>
  <c r="A347" i="9"/>
  <c r="B347" i="9"/>
  <c r="C347" i="9"/>
  <c r="D347" i="9"/>
  <c r="E347" i="9"/>
  <c r="F347" i="9"/>
  <c r="G347" i="9"/>
  <c r="H347" i="9"/>
  <c r="I347" i="9"/>
  <c r="J347" i="9"/>
  <c r="K347" i="9"/>
  <c r="L347" i="9"/>
  <c r="M347" i="9"/>
  <c r="N347" i="9"/>
  <c r="O347" i="9"/>
  <c r="P347" i="9"/>
  <c r="Q347" i="9"/>
  <c r="R347" i="9"/>
  <c r="S347" i="9"/>
  <c r="T347" i="9"/>
  <c r="U347" i="9"/>
  <c r="V347" i="9"/>
  <c r="W347" i="9"/>
  <c r="X347" i="9"/>
  <c r="Y347" i="9"/>
  <c r="Z347" i="9"/>
  <c r="A348" i="9"/>
  <c r="B348" i="9"/>
  <c r="C348" i="9"/>
  <c r="D348" i="9"/>
  <c r="E348" i="9"/>
  <c r="F348" i="9"/>
  <c r="G348" i="9"/>
  <c r="H348" i="9"/>
  <c r="I348" i="9"/>
  <c r="J348" i="9"/>
  <c r="K348" i="9"/>
  <c r="L348" i="9"/>
  <c r="M348" i="9"/>
  <c r="N348" i="9"/>
  <c r="O348" i="9"/>
  <c r="P348" i="9"/>
  <c r="Q348" i="9"/>
  <c r="R348" i="9"/>
  <c r="S348" i="9"/>
  <c r="T348" i="9"/>
  <c r="U348" i="9"/>
  <c r="V348" i="9"/>
  <c r="W348" i="9"/>
  <c r="X348" i="9"/>
  <c r="Y348" i="9"/>
  <c r="Z348" i="9"/>
  <c r="A349" i="9"/>
  <c r="B349" i="9"/>
  <c r="C349" i="9"/>
  <c r="D349" i="9"/>
  <c r="E349" i="9"/>
  <c r="F349" i="9"/>
  <c r="G349" i="9"/>
  <c r="H349" i="9"/>
  <c r="I349" i="9"/>
  <c r="J349" i="9"/>
  <c r="K349" i="9"/>
  <c r="L349" i="9"/>
  <c r="M349" i="9"/>
  <c r="N349" i="9"/>
  <c r="O349" i="9"/>
  <c r="P349" i="9"/>
  <c r="Q349" i="9"/>
  <c r="R349" i="9"/>
  <c r="S349" i="9"/>
  <c r="T349" i="9"/>
  <c r="U349" i="9"/>
  <c r="V349" i="9"/>
  <c r="W349" i="9"/>
  <c r="X349" i="9"/>
  <c r="Y349" i="9"/>
  <c r="Z349" i="9"/>
  <c r="A350" i="9"/>
  <c r="B350" i="9"/>
  <c r="C350" i="9"/>
  <c r="D350" i="9"/>
  <c r="E350" i="9"/>
  <c r="F350" i="9"/>
  <c r="G350" i="9"/>
  <c r="H350" i="9"/>
  <c r="I350" i="9"/>
  <c r="J350" i="9"/>
  <c r="K350" i="9"/>
  <c r="L350" i="9"/>
  <c r="M350" i="9"/>
  <c r="N350" i="9"/>
  <c r="O350" i="9"/>
  <c r="P350" i="9"/>
  <c r="Q350" i="9"/>
  <c r="R350" i="9"/>
  <c r="S350" i="9"/>
  <c r="T350" i="9"/>
  <c r="U350" i="9"/>
  <c r="V350" i="9"/>
  <c r="W350" i="9"/>
  <c r="X350" i="9"/>
  <c r="Y350" i="9"/>
  <c r="Z350" i="9"/>
  <c r="A351" i="9"/>
  <c r="B351" i="9"/>
  <c r="C351" i="9"/>
  <c r="D351" i="9"/>
  <c r="E351" i="9"/>
  <c r="F351" i="9"/>
  <c r="G351" i="9"/>
  <c r="H351" i="9"/>
  <c r="I351" i="9"/>
  <c r="J351" i="9"/>
  <c r="K351" i="9"/>
  <c r="L351" i="9"/>
  <c r="M351" i="9"/>
  <c r="N351" i="9"/>
  <c r="O351" i="9"/>
  <c r="P351" i="9"/>
  <c r="Q351" i="9"/>
  <c r="R351" i="9"/>
  <c r="S351" i="9"/>
  <c r="T351" i="9"/>
  <c r="U351" i="9"/>
  <c r="V351" i="9"/>
  <c r="W351" i="9"/>
  <c r="X351" i="9"/>
  <c r="Y351" i="9"/>
  <c r="Z351" i="9"/>
  <c r="A352" i="9"/>
  <c r="B352" i="9"/>
  <c r="C352" i="9"/>
  <c r="D352" i="9"/>
  <c r="E352" i="9"/>
  <c r="F352" i="9"/>
  <c r="G352" i="9"/>
  <c r="H352" i="9"/>
  <c r="I352" i="9"/>
  <c r="J352" i="9"/>
  <c r="K352" i="9"/>
  <c r="L352" i="9"/>
  <c r="M352" i="9"/>
  <c r="N352" i="9"/>
  <c r="O352" i="9"/>
  <c r="P352" i="9"/>
  <c r="Q352" i="9"/>
  <c r="R352" i="9"/>
  <c r="S352" i="9"/>
  <c r="T352" i="9"/>
  <c r="U352" i="9"/>
  <c r="V352" i="9"/>
  <c r="W352" i="9"/>
  <c r="X352" i="9"/>
  <c r="Y352" i="9"/>
  <c r="Z352" i="9"/>
  <c r="A353" i="9"/>
  <c r="B353" i="9"/>
  <c r="C353" i="9"/>
  <c r="D353" i="9"/>
  <c r="E353" i="9"/>
  <c r="F353" i="9"/>
  <c r="G353" i="9"/>
  <c r="H353" i="9"/>
  <c r="I353" i="9"/>
  <c r="J353" i="9"/>
  <c r="K353" i="9"/>
  <c r="L353" i="9"/>
  <c r="M353" i="9"/>
  <c r="N353" i="9"/>
  <c r="O353" i="9"/>
  <c r="P353" i="9"/>
  <c r="Q353" i="9"/>
  <c r="R353" i="9"/>
  <c r="S353" i="9"/>
  <c r="T353" i="9"/>
  <c r="U353" i="9"/>
  <c r="V353" i="9"/>
  <c r="W353" i="9"/>
  <c r="X353" i="9"/>
  <c r="Y353" i="9"/>
  <c r="Z353" i="9"/>
  <c r="A354" i="9"/>
  <c r="B354" i="9"/>
  <c r="C354" i="9"/>
  <c r="D354" i="9"/>
  <c r="E354" i="9"/>
  <c r="F354" i="9"/>
  <c r="G354" i="9"/>
  <c r="H354" i="9"/>
  <c r="I354" i="9"/>
  <c r="J354" i="9"/>
  <c r="K354" i="9"/>
  <c r="L354" i="9"/>
  <c r="M354" i="9"/>
  <c r="N354" i="9"/>
  <c r="O354" i="9"/>
  <c r="P354" i="9"/>
  <c r="Q354" i="9"/>
  <c r="R354" i="9"/>
  <c r="S354" i="9"/>
  <c r="T354" i="9"/>
  <c r="U354" i="9"/>
  <c r="V354" i="9"/>
  <c r="W354" i="9"/>
  <c r="X354" i="9"/>
  <c r="Y354" i="9"/>
  <c r="Z354" i="9"/>
  <c r="A355" i="9"/>
  <c r="B355" i="9"/>
  <c r="C355" i="9"/>
  <c r="D355" i="9"/>
  <c r="E355" i="9"/>
  <c r="F355" i="9"/>
  <c r="G355" i="9"/>
  <c r="H355" i="9"/>
  <c r="I355" i="9"/>
  <c r="J355" i="9"/>
  <c r="K355" i="9"/>
  <c r="L355" i="9"/>
  <c r="M355" i="9"/>
  <c r="N355" i="9"/>
  <c r="O355" i="9"/>
  <c r="P355" i="9"/>
  <c r="Q355" i="9"/>
  <c r="R355" i="9"/>
  <c r="S355" i="9"/>
  <c r="T355" i="9"/>
  <c r="U355" i="9"/>
  <c r="V355" i="9"/>
  <c r="W355" i="9"/>
  <c r="X355" i="9"/>
  <c r="Y355" i="9"/>
  <c r="Z355" i="9"/>
  <c r="A356" i="9"/>
  <c r="B356" i="9"/>
  <c r="C356" i="9"/>
  <c r="D356" i="9"/>
  <c r="E356" i="9"/>
  <c r="F356" i="9"/>
  <c r="G356" i="9"/>
  <c r="H356" i="9"/>
  <c r="I356" i="9"/>
  <c r="J356" i="9"/>
  <c r="K356" i="9"/>
  <c r="L356" i="9"/>
  <c r="M356" i="9"/>
  <c r="N356" i="9"/>
  <c r="O356" i="9"/>
  <c r="P356" i="9"/>
  <c r="Q356" i="9"/>
  <c r="R356" i="9"/>
  <c r="S356" i="9"/>
  <c r="T356" i="9"/>
  <c r="U356" i="9"/>
  <c r="V356" i="9"/>
  <c r="W356" i="9"/>
  <c r="X356" i="9"/>
  <c r="Y356" i="9"/>
  <c r="Z356" i="9"/>
  <c r="A357" i="9"/>
  <c r="B357" i="9"/>
  <c r="C357" i="9"/>
  <c r="D357" i="9"/>
  <c r="E357" i="9"/>
  <c r="F357" i="9"/>
  <c r="G357" i="9"/>
  <c r="H357" i="9"/>
  <c r="I357" i="9"/>
  <c r="J357" i="9"/>
  <c r="K357" i="9"/>
  <c r="L357" i="9"/>
  <c r="M357" i="9"/>
  <c r="N357" i="9"/>
  <c r="O357" i="9"/>
  <c r="P357" i="9"/>
  <c r="Q357" i="9"/>
  <c r="R357" i="9"/>
  <c r="S357" i="9"/>
  <c r="T357" i="9"/>
  <c r="U357" i="9"/>
  <c r="V357" i="9"/>
  <c r="W357" i="9"/>
  <c r="X357" i="9"/>
  <c r="Y357" i="9"/>
  <c r="Z357" i="9"/>
  <c r="A358" i="9"/>
  <c r="B358" i="9"/>
  <c r="C358" i="9"/>
  <c r="D358" i="9"/>
  <c r="E358" i="9"/>
  <c r="F358" i="9"/>
  <c r="G358" i="9"/>
  <c r="H358" i="9"/>
  <c r="I358" i="9"/>
  <c r="J358" i="9"/>
  <c r="K358" i="9"/>
  <c r="L358" i="9"/>
  <c r="M358" i="9"/>
  <c r="N358" i="9"/>
  <c r="O358" i="9"/>
  <c r="P358" i="9"/>
  <c r="Q358" i="9"/>
  <c r="R358" i="9"/>
  <c r="S358" i="9"/>
  <c r="T358" i="9"/>
  <c r="U358" i="9"/>
  <c r="V358" i="9"/>
  <c r="W358" i="9"/>
  <c r="X358" i="9"/>
  <c r="Y358" i="9"/>
  <c r="Z358" i="9"/>
  <c r="A359" i="9"/>
  <c r="B359" i="9"/>
  <c r="C359" i="9"/>
  <c r="D359" i="9"/>
  <c r="E359" i="9"/>
  <c r="F359" i="9"/>
  <c r="G359" i="9"/>
  <c r="H359" i="9"/>
  <c r="I359" i="9"/>
  <c r="J359" i="9"/>
  <c r="K359" i="9"/>
  <c r="L359" i="9"/>
  <c r="M359" i="9"/>
  <c r="N359" i="9"/>
  <c r="O359" i="9"/>
  <c r="P359" i="9"/>
  <c r="Q359" i="9"/>
  <c r="R359" i="9"/>
  <c r="S359" i="9"/>
  <c r="T359" i="9"/>
  <c r="U359" i="9"/>
  <c r="V359" i="9"/>
  <c r="W359" i="9"/>
  <c r="X359" i="9"/>
  <c r="Y359" i="9"/>
  <c r="Z359" i="9"/>
  <c r="A360" i="9"/>
  <c r="B360" i="9"/>
  <c r="C360" i="9"/>
  <c r="D360" i="9"/>
  <c r="E360" i="9"/>
  <c r="F360" i="9"/>
  <c r="G360" i="9"/>
  <c r="H360" i="9"/>
  <c r="I360" i="9"/>
  <c r="J360" i="9"/>
  <c r="K360" i="9"/>
  <c r="L360" i="9"/>
  <c r="M360" i="9"/>
  <c r="N360" i="9"/>
  <c r="O360" i="9"/>
  <c r="P360" i="9"/>
  <c r="Q360" i="9"/>
  <c r="R360" i="9"/>
  <c r="S360" i="9"/>
  <c r="T360" i="9"/>
  <c r="U360" i="9"/>
  <c r="V360" i="9"/>
  <c r="W360" i="9"/>
  <c r="X360" i="9"/>
  <c r="Y360" i="9"/>
  <c r="Z360" i="9"/>
  <c r="A361" i="9"/>
  <c r="B361" i="9"/>
  <c r="C361" i="9"/>
  <c r="D361" i="9"/>
  <c r="E361" i="9"/>
  <c r="F361" i="9"/>
  <c r="G361" i="9"/>
  <c r="H361" i="9"/>
  <c r="I361" i="9"/>
  <c r="J361" i="9"/>
  <c r="K361" i="9"/>
  <c r="L361" i="9"/>
  <c r="M361" i="9"/>
  <c r="N361" i="9"/>
  <c r="O361" i="9"/>
  <c r="P361" i="9"/>
  <c r="Q361" i="9"/>
  <c r="R361" i="9"/>
  <c r="S361" i="9"/>
  <c r="T361" i="9"/>
  <c r="U361" i="9"/>
  <c r="V361" i="9"/>
  <c r="W361" i="9"/>
  <c r="X361" i="9"/>
  <c r="Y361" i="9"/>
  <c r="Z361" i="9"/>
  <c r="A362" i="9"/>
  <c r="B362" i="9"/>
  <c r="C362" i="9"/>
  <c r="D362" i="9"/>
  <c r="E362" i="9"/>
  <c r="F362" i="9"/>
  <c r="G362" i="9"/>
  <c r="H362" i="9"/>
  <c r="I362" i="9"/>
  <c r="J362" i="9"/>
  <c r="K362" i="9"/>
  <c r="L362" i="9"/>
  <c r="M362" i="9"/>
  <c r="N362" i="9"/>
  <c r="O362" i="9"/>
  <c r="P362" i="9"/>
  <c r="Q362" i="9"/>
  <c r="R362" i="9"/>
  <c r="S362" i="9"/>
  <c r="T362" i="9"/>
  <c r="U362" i="9"/>
  <c r="V362" i="9"/>
  <c r="W362" i="9"/>
  <c r="X362" i="9"/>
  <c r="Y362" i="9"/>
  <c r="Z362" i="9"/>
  <c r="A363" i="9"/>
  <c r="B363" i="9"/>
  <c r="C363" i="9"/>
  <c r="D363" i="9"/>
  <c r="E363" i="9"/>
  <c r="F363" i="9"/>
  <c r="G363" i="9"/>
  <c r="H363" i="9"/>
  <c r="I363" i="9"/>
  <c r="J363" i="9"/>
  <c r="K363" i="9"/>
  <c r="L363" i="9"/>
  <c r="M363" i="9"/>
  <c r="N363" i="9"/>
  <c r="O363" i="9"/>
  <c r="P363" i="9"/>
  <c r="Q363" i="9"/>
  <c r="R363" i="9"/>
  <c r="S363" i="9"/>
  <c r="T363" i="9"/>
  <c r="U363" i="9"/>
  <c r="V363" i="9"/>
  <c r="W363" i="9"/>
  <c r="X363" i="9"/>
  <c r="Y363" i="9"/>
  <c r="Z363" i="9"/>
  <c r="A364" i="9"/>
  <c r="B364" i="9"/>
  <c r="C364" i="9"/>
  <c r="D364" i="9"/>
  <c r="E364" i="9"/>
  <c r="F364" i="9"/>
  <c r="G364" i="9"/>
  <c r="H364" i="9"/>
  <c r="I364" i="9"/>
  <c r="J364" i="9"/>
  <c r="K364" i="9"/>
  <c r="L364" i="9"/>
  <c r="M364" i="9"/>
  <c r="N364" i="9"/>
  <c r="O364" i="9"/>
  <c r="P364" i="9"/>
  <c r="Q364" i="9"/>
  <c r="R364" i="9"/>
  <c r="S364" i="9"/>
  <c r="T364" i="9"/>
  <c r="U364" i="9"/>
  <c r="V364" i="9"/>
  <c r="W364" i="9"/>
  <c r="X364" i="9"/>
  <c r="Y364" i="9"/>
  <c r="Z364" i="9"/>
  <c r="A365" i="9"/>
  <c r="B365" i="9"/>
  <c r="C365" i="9"/>
  <c r="D365" i="9"/>
  <c r="E365" i="9"/>
  <c r="F365" i="9"/>
  <c r="G365" i="9"/>
  <c r="H365" i="9"/>
  <c r="I365" i="9"/>
  <c r="J365" i="9"/>
  <c r="K365" i="9"/>
  <c r="L365" i="9"/>
  <c r="M365" i="9"/>
  <c r="N365" i="9"/>
  <c r="O365" i="9"/>
  <c r="P365" i="9"/>
  <c r="Q365" i="9"/>
  <c r="R365" i="9"/>
  <c r="S365" i="9"/>
  <c r="T365" i="9"/>
  <c r="U365" i="9"/>
  <c r="V365" i="9"/>
  <c r="W365" i="9"/>
  <c r="X365" i="9"/>
  <c r="Y365" i="9"/>
  <c r="Z365" i="9"/>
  <c r="A366" i="9"/>
  <c r="B366" i="9"/>
  <c r="C366" i="9"/>
  <c r="D366" i="9"/>
  <c r="E366" i="9"/>
  <c r="F366" i="9"/>
  <c r="G366" i="9"/>
  <c r="H366" i="9"/>
  <c r="I366" i="9"/>
  <c r="J366" i="9"/>
  <c r="K366" i="9"/>
  <c r="L366" i="9"/>
  <c r="M366" i="9"/>
  <c r="N366" i="9"/>
  <c r="O366" i="9"/>
  <c r="P366" i="9"/>
  <c r="Q366" i="9"/>
  <c r="R366" i="9"/>
  <c r="S366" i="9"/>
  <c r="T366" i="9"/>
  <c r="U366" i="9"/>
  <c r="V366" i="9"/>
  <c r="W366" i="9"/>
  <c r="X366" i="9"/>
  <c r="Y366" i="9"/>
  <c r="Z366" i="9"/>
  <c r="A367" i="9"/>
  <c r="B367" i="9"/>
  <c r="C367" i="9"/>
  <c r="D367" i="9"/>
  <c r="E367" i="9"/>
  <c r="F367" i="9"/>
  <c r="G367" i="9"/>
  <c r="H367" i="9"/>
  <c r="I367" i="9"/>
  <c r="J367" i="9"/>
  <c r="K367" i="9"/>
  <c r="L367" i="9"/>
  <c r="M367" i="9"/>
  <c r="N367" i="9"/>
  <c r="O367" i="9"/>
  <c r="P367" i="9"/>
  <c r="Q367" i="9"/>
  <c r="R367" i="9"/>
  <c r="S367" i="9"/>
  <c r="T367" i="9"/>
  <c r="U367" i="9"/>
  <c r="V367" i="9"/>
  <c r="W367" i="9"/>
  <c r="X367" i="9"/>
  <c r="Y367" i="9"/>
  <c r="Z367" i="9"/>
  <c r="A368" i="9"/>
  <c r="B368" i="9"/>
  <c r="C368" i="9"/>
  <c r="D368" i="9"/>
  <c r="E368" i="9"/>
  <c r="F368" i="9"/>
  <c r="G368" i="9"/>
  <c r="H368" i="9"/>
  <c r="I368" i="9"/>
  <c r="J368" i="9"/>
  <c r="K368" i="9"/>
  <c r="L368" i="9"/>
  <c r="M368" i="9"/>
  <c r="N368" i="9"/>
  <c r="O368" i="9"/>
  <c r="P368" i="9"/>
  <c r="Q368" i="9"/>
  <c r="R368" i="9"/>
  <c r="S368" i="9"/>
  <c r="T368" i="9"/>
  <c r="U368" i="9"/>
  <c r="V368" i="9"/>
  <c r="W368" i="9"/>
  <c r="X368" i="9"/>
  <c r="Y368" i="9"/>
  <c r="Z368" i="9"/>
  <c r="A369" i="9"/>
  <c r="B369" i="9"/>
  <c r="C369" i="9"/>
  <c r="D369" i="9"/>
  <c r="E369" i="9"/>
  <c r="F369" i="9"/>
  <c r="G369" i="9"/>
  <c r="H369" i="9"/>
  <c r="I369" i="9"/>
  <c r="J369" i="9"/>
  <c r="K369" i="9"/>
  <c r="L369" i="9"/>
  <c r="M369" i="9"/>
  <c r="N369" i="9"/>
  <c r="O369" i="9"/>
  <c r="P369" i="9"/>
  <c r="Q369" i="9"/>
  <c r="R369" i="9"/>
  <c r="S369" i="9"/>
  <c r="T369" i="9"/>
  <c r="U369" i="9"/>
  <c r="V369" i="9"/>
  <c r="W369" i="9"/>
  <c r="X369" i="9"/>
  <c r="Y369" i="9"/>
  <c r="Z369" i="9"/>
  <c r="A370" i="9"/>
  <c r="B370" i="9"/>
  <c r="C370" i="9"/>
  <c r="D370" i="9"/>
  <c r="E370" i="9"/>
  <c r="F370" i="9"/>
  <c r="G370" i="9"/>
  <c r="H370" i="9"/>
  <c r="I370" i="9"/>
  <c r="J370" i="9"/>
  <c r="K370" i="9"/>
  <c r="L370" i="9"/>
  <c r="M370" i="9"/>
  <c r="N370" i="9"/>
  <c r="O370" i="9"/>
  <c r="P370" i="9"/>
  <c r="Q370" i="9"/>
  <c r="R370" i="9"/>
  <c r="S370" i="9"/>
  <c r="T370" i="9"/>
  <c r="U370" i="9"/>
  <c r="V370" i="9"/>
  <c r="W370" i="9"/>
  <c r="X370" i="9"/>
  <c r="Y370" i="9"/>
  <c r="Z370" i="9"/>
  <c r="A371" i="9"/>
  <c r="B371" i="9"/>
  <c r="C371" i="9"/>
  <c r="D371" i="9"/>
  <c r="E371" i="9"/>
  <c r="F371" i="9"/>
  <c r="G371" i="9"/>
  <c r="H371" i="9"/>
  <c r="I371" i="9"/>
  <c r="J371" i="9"/>
  <c r="K371" i="9"/>
  <c r="L371" i="9"/>
  <c r="M371" i="9"/>
  <c r="N371" i="9"/>
  <c r="O371" i="9"/>
  <c r="P371" i="9"/>
  <c r="Q371" i="9"/>
  <c r="R371" i="9"/>
  <c r="S371" i="9"/>
  <c r="T371" i="9"/>
  <c r="U371" i="9"/>
  <c r="V371" i="9"/>
  <c r="W371" i="9"/>
  <c r="X371" i="9"/>
  <c r="Y371" i="9"/>
  <c r="Z371" i="9"/>
  <c r="A372" i="9"/>
  <c r="B372" i="9"/>
  <c r="C372" i="9"/>
  <c r="D372" i="9"/>
  <c r="E372" i="9"/>
  <c r="F372" i="9"/>
  <c r="G372" i="9"/>
  <c r="H372" i="9"/>
  <c r="I372" i="9"/>
  <c r="J372" i="9"/>
  <c r="K372" i="9"/>
  <c r="L372" i="9"/>
  <c r="M372" i="9"/>
  <c r="N372" i="9"/>
  <c r="O372" i="9"/>
  <c r="P372" i="9"/>
  <c r="Q372" i="9"/>
  <c r="R372" i="9"/>
  <c r="S372" i="9"/>
  <c r="T372" i="9"/>
  <c r="U372" i="9"/>
  <c r="V372" i="9"/>
  <c r="W372" i="9"/>
  <c r="X372" i="9"/>
  <c r="Y372" i="9"/>
  <c r="Z372" i="9"/>
  <c r="A373" i="9"/>
  <c r="B373" i="9"/>
  <c r="C373" i="9"/>
  <c r="D373" i="9"/>
  <c r="E373" i="9"/>
  <c r="F373" i="9"/>
  <c r="G373" i="9"/>
  <c r="H373" i="9"/>
  <c r="I373" i="9"/>
  <c r="J373" i="9"/>
  <c r="K373" i="9"/>
  <c r="L373" i="9"/>
  <c r="M373" i="9"/>
  <c r="N373" i="9"/>
  <c r="O373" i="9"/>
  <c r="P373" i="9"/>
  <c r="Q373" i="9"/>
  <c r="R373" i="9"/>
  <c r="S373" i="9"/>
  <c r="T373" i="9"/>
  <c r="U373" i="9"/>
  <c r="V373" i="9"/>
  <c r="W373" i="9"/>
  <c r="X373" i="9"/>
  <c r="Y373" i="9"/>
  <c r="Z373" i="9"/>
  <c r="A374" i="9"/>
  <c r="B374" i="9"/>
  <c r="C374" i="9"/>
  <c r="D374" i="9"/>
  <c r="E374" i="9"/>
  <c r="F374" i="9"/>
  <c r="G374" i="9"/>
  <c r="H374" i="9"/>
  <c r="I374" i="9"/>
  <c r="J374" i="9"/>
  <c r="K374" i="9"/>
  <c r="L374" i="9"/>
  <c r="M374" i="9"/>
  <c r="N374" i="9"/>
  <c r="O374" i="9"/>
  <c r="P374" i="9"/>
  <c r="Q374" i="9"/>
  <c r="R374" i="9"/>
  <c r="S374" i="9"/>
  <c r="T374" i="9"/>
  <c r="U374" i="9"/>
  <c r="V374" i="9"/>
  <c r="W374" i="9"/>
  <c r="X374" i="9"/>
  <c r="Y374" i="9"/>
  <c r="Z374" i="9"/>
  <c r="A375" i="9"/>
  <c r="B375" i="9"/>
  <c r="C375" i="9"/>
  <c r="D375" i="9"/>
  <c r="E375" i="9"/>
  <c r="F375" i="9"/>
  <c r="G375" i="9"/>
  <c r="H375" i="9"/>
  <c r="I375" i="9"/>
  <c r="J375" i="9"/>
  <c r="K375" i="9"/>
  <c r="L375" i="9"/>
  <c r="M375" i="9"/>
  <c r="N375" i="9"/>
  <c r="O375" i="9"/>
  <c r="P375" i="9"/>
  <c r="Q375" i="9"/>
  <c r="R375" i="9"/>
  <c r="S375" i="9"/>
  <c r="T375" i="9"/>
  <c r="U375" i="9"/>
  <c r="V375" i="9"/>
  <c r="W375" i="9"/>
  <c r="X375" i="9"/>
  <c r="Y375" i="9"/>
  <c r="Z375" i="9"/>
  <c r="A376" i="9"/>
  <c r="B376" i="9"/>
  <c r="C376" i="9"/>
  <c r="D376" i="9"/>
  <c r="E376" i="9"/>
  <c r="F376" i="9"/>
  <c r="G376" i="9"/>
  <c r="H376" i="9"/>
  <c r="I376" i="9"/>
  <c r="J376" i="9"/>
  <c r="K376" i="9"/>
  <c r="L376" i="9"/>
  <c r="M376" i="9"/>
  <c r="N376" i="9"/>
  <c r="O376" i="9"/>
  <c r="P376" i="9"/>
  <c r="Q376" i="9"/>
  <c r="R376" i="9"/>
  <c r="S376" i="9"/>
  <c r="T376" i="9"/>
  <c r="U376" i="9"/>
  <c r="V376" i="9"/>
  <c r="W376" i="9"/>
  <c r="X376" i="9"/>
  <c r="Y376" i="9"/>
  <c r="Z376" i="9"/>
  <c r="A377" i="9"/>
  <c r="B377" i="9"/>
  <c r="C377" i="9"/>
  <c r="D377" i="9"/>
  <c r="E377" i="9"/>
  <c r="F377" i="9"/>
  <c r="G377" i="9"/>
  <c r="H377" i="9"/>
  <c r="I377" i="9"/>
  <c r="J377" i="9"/>
  <c r="K377" i="9"/>
  <c r="L377" i="9"/>
  <c r="M377" i="9"/>
  <c r="N377" i="9"/>
  <c r="O377" i="9"/>
  <c r="P377" i="9"/>
  <c r="Q377" i="9"/>
  <c r="R377" i="9"/>
  <c r="S377" i="9"/>
  <c r="T377" i="9"/>
  <c r="U377" i="9"/>
  <c r="V377" i="9"/>
  <c r="W377" i="9"/>
  <c r="X377" i="9"/>
  <c r="Y377" i="9"/>
  <c r="Z377" i="9"/>
  <c r="A378" i="9"/>
  <c r="B378" i="9"/>
  <c r="C378" i="9"/>
  <c r="D378" i="9"/>
  <c r="E378" i="9"/>
  <c r="F378" i="9"/>
  <c r="G378" i="9"/>
  <c r="H378" i="9"/>
  <c r="I378" i="9"/>
  <c r="J378" i="9"/>
  <c r="K378" i="9"/>
  <c r="L378" i="9"/>
  <c r="M378" i="9"/>
  <c r="N378" i="9"/>
  <c r="O378" i="9"/>
  <c r="P378" i="9"/>
  <c r="Q378" i="9"/>
  <c r="R378" i="9"/>
  <c r="S378" i="9"/>
  <c r="T378" i="9"/>
  <c r="U378" i="9"/>
  <c r="V378" i="9"/>
  <c r="W378" i="9"/>
  <c r="X378" i="9"/>
  <c r="Y378" i="9"/>
  <c r="Z378" i="9"/>
  <c r="A379" i="9"/>
  <c r="B379" i="9"/>
  <c r="C379" i="9"/>
  <c r="D379" i="9"/>
  <c r="E379" i="9"/>
  <c r="F379" i="9"/>
  <c r="G379" i="9"/>
  <c r="H379" i="9"/>
  <c r="I379" i="9"/>
  <c r="J379" i="9"/>
  <c r="K379" i="9"/>
  <c r="L379" i="9"/>
  <c r="M379" i="9"/>
  <c r="N379" i="9"/>
  <c r="O379" i="9"/>
  <c r="P379" i="9"/>
  <c r="Q379" i="9"/>
  <c r="R379" i="9"/>
  <c r="S379" i="9"/>
  <c r="T379" i="9"/>
  <c r="U379" i="9"/>
  <c r="V379" i="9"/>
  <c r="W379" i="9"/>
  <c r="X379" i="9"/>
  <c r="Y379" i="9"/>
  <c r="Z379" i="9"/>
  <c r="A380" i="9"/>
  <c r="B380" i="9"/>
  <c r="C380" i="9"/>
  <c r="D380" i="9"/>
  <c r="E380" i="9"/>
  <c r="F380" i="9"/>
  <c r="G380" i="9"/>
  <c r="H380" i="9"/>
  <c r="I380" i="9"/>
  <c r="J380" i="9"/>
  <c r="K380" i="9"/>
  <c r="L380" i="9"/>
  <c r="M380" i="9"/>
  <c r="N380" i="9"/>
  <c r="O380" i="9"/>
  <c r="P380" i="9"/>
  <c r="Q380" i="9"/>
  <c r="R380" i="9"/>
  <c r="S380" i="9"/>
  <c r="T380" i="9"/>
  <c r="U380" i="9"/>
  <c r="V380" i="9"/>
  <c r="W380" i="9"/>
  <c r="X380" i="9"/>
  <c r="Y380" i="9"/>
  <c r="Z380" i="9"/>
  <c r="A381" i="9"/>
  <c r="B381" i="9"/>
  <c r="C381" i="9"/>
  <c r="D381" i="9"/>
  <c r="E381" i="9"/>
  <c r="F381" i="9"/>
  <c r="G381" i="9"/>
  <c r="H381" i="9"/>
  <c r="I381" i="9"/>
  <c r="J381" i="9"/>
  <c r="K381" i="9"/>
  <c r="L381" i="9"/>
  <c r="M381" i="9"/>
  <c r="N381" i="9"/>
  <c r="O381" i="9"/>
  <c r="P381" i="9"/>
  <c r="Q381" i="9"/>
  <c r="R381" i="9"/>
  <c r="S381" i="9"/>
  <c r="T381" i="9"/>
  <c r="U381" i="9"/>
  <c r="V381" i="9"/>
  <c r="W381" i="9"/>
  <c r="X381" i="9"/>
  <c r="Y381" i="9"/>
  <c r="Z381" i="9"/>
  <c r="A382" i="9"/>
  <c r="B382" i="9"/>
  <c r="C382" i="9"/>
  <c r="D382" i="9"/>
  <c r="E382" i="9"/>
  <c r="F382" i="9"/>
  <c r="G382" i="9"/>
  <c r="H382" i="9"/>
  <c r="I382" i="9"/>
  <c r="J382" i="9"/>
  <c r="K382" i="9"/>
  <c r="L382" i="9"/>
  <c r="M382" i="9"/>
  <c r="N382" i="9"/>
  <c r="O382" i="9"/>
  <c r="P382" i="9"/>
  <c r="Q382" i="9"/>
  <c r="R382" i="9"/>
  <c r="S382" i="9"/>
  <c r="T382" i="9"/>
  <c r="U382" i="9"/>
  <c r="V382" i="9"/>
  <c r="W382" i="9"/>
  <c r="X382" i="9"/>
  <c r="Y382" i="9"/>
  <c r="Z382" i="9"/>
  <c r="A383" i="9"/>
  <c r="B383" i="9"/>
  <c r="C383" i="9"/>
  <c r="D383" i="9"/>
  <c r="E383" i="9"/>
  <c r="F383" i="9"/>
  <c r="G383" i="9"/>
  <c r="H383" i="9"/>
  <c r="I383" i="9"/>
  <c r="J383" i="9"/>
  <c r="K383" i="9"/>
  <c r="L383" i="9"/>
  <c r="M383" i="9"/>
  <c r="N383" i="9"/>
  <c r="O383" i="9"/>
  <c r="P383" i="9"/>
  <c r="Q383" i="9"/>
  <c r="R383" i="9"/>
  <c r="S383" i="9"/>
  <c r="T383" i="9"/>
  <c r="U383" i="9"/>
  <c r="V383" i="9"/>
  <c r="W383" i="9"/>
  <c r="X383" i="9"/>
  <c r="Y383" i="9"/>
  <c r="Z383" i="9"/>
  <c r="A384" i="9"/>
  <c r="B384" i="9"/>
  <c r="C384" i="9"/>
  <c r="D384" i="9"/>
  <c r="E384" i="9"/>
  <c r="F384" i="9"/>
  <c r="G384" i="9"/>
  <c r="H384" i="9"/>
  <c r="I384" i="9"/>
  <c r="J384" i="9"/>
  <c r="K384" i="9"/>
  <c r="L384" i="9"/>
  <c r="M384" i="9"/>
  <c r="N384" i="9"/>
  <c r="O384" i="9"/>
  <c r="P384" i="9"/>
  <c r="Q384" i="9"/>
  <c r="R384" i="9"/>
  <c r="S384" i="9"/>
  <c r="T384" i="9"/>
  <c r="U384" i="9"/>
  <c r="V384" i="9"/>
  <c r="W384" i="9"/>
  <c r="X384" i="9"/>
  <c r="Y384" i="9"/>
  <c r="Z384" i="9"/>
  <c r="A385" i="9"/>
  <c r="B385" i="9"/>
  <c r="C385" i="9"/>
  <c r="D385" i="9"/>
  <c r="E385" i="9"/>
  <c r="F385" i="9"/>
  <c r="G385" i="9"/>
  <c r="H385" i="9"/>
  <c r="I385" i="9"/>
  <c r="J385" i="9"/>
  <c r="K385" i="9"/>
  <c r="L385" i="9"/>
  <c r="M385" i="9"/>
  <c r="N385" i="9"/>
  <c r="O385" i="9"/>
  <c r="P385" i="9"/>
  <c r="Q385" i="9"/>
  <c r="R385" i="9"/>
  <c r="S385" i="9"/>
  <c r="T385" i="9"/>
  <c r="U385" i="9"/>
  <c r="V385" i="9"/>
  <c r="W385" i="9"/>
  <c r="X385" i="9"/>
  <c r="Y385" i="9"/>
  <c r="Z385" i="9"/>
  <c r="A386" i="9"/>
  <c r="B386" i="9"/>
  <c r="C386" i="9"/>
  <c r="D386" i="9"/>
  <c r="E386" i="9"/>
  <c r="F386" i="9"/>
  <c r="G386" i="9"/>
  <c r="H386" i="9"/>
  <c r="I386" i="9"/>
  <c r="J386" i="9"/>
  <c r="K386" i="9"/>
  <c r="L386" i="9"/>
  <c r="M386" i="9"/>
  <c r="N386" i="9"/>
  <c r="O386" i="9"/>
  <c r="P386" i="9"/>
  <c r="Q386" i="9"/>
  <c r="R386" i="9"/>
  <c r="S386" i="9"/>
  <c r="T386" i="9"/>
  <c r="U386" i="9"/>
  <c r="V386" i="9"/>
  <c r="W386" i="9"/>
  <c r="X386" i="9"/>
  <c r="Y386" i="9"/>
  <c r="Z386" i="9"/>
  <c r="A387" i="9"/>
  <c r="B387" i="9"/>
  <c r="C387" i="9"/>
  <c r="D387" i="9"/>
  <c r="E387" i="9"/>
  <c r="F387" i="9"/>
  <c r="G387" i="9"/>
  <c r="H387" i="9"/>
  <c r="I387" i="9"/>
  <c r="J387" i="9"/>
  <c r="K387" i="9"/>
  <c r="L387" i="9"/>
  <c r="M387" i="9"/>
  <c r="N387" i="9"/>
  <c r="O387" i="9"/>
  <c r="P387" i="9"/>
  <c r="Q387" i="9"/>
  <c r="R387" i="9"/>
  <c r="S387" i="9"/>
  <c r="T387" i="9"/>
  <c r="U387" i="9"/>
  <c r="V387" i="9"/>
  <c r="W387" i="9"/>
  <c r="X387" i="9"/>
  <c r="Y387" i="9"/>
  <c r="Z387" i="9"/>
  <c r="A388" i="9"/>
  <c r="B388" i="9"/>
  <c r="C388" i="9"/>
  <c r="D388" i="9"/>
  <c r="E388" i="9"/>
  <c r="F388" i="9"/>
  <c r="G388" i="9"/>
  <c r="H388" i="9"/>
  <c r="I388" i="9"/>
  <c r="J388" i="9"/>
  <c r="K388" i="9"/>
  <c r="L388" i="9"/>
  <c r="M388" i="9"/>
  <c r="N388" i="9"/>
  <c r="O388" i="9"/>
  <c r="P388" i="9"/>
  <c r="Q388" i="9"/>
  <c r="R388" i="9"/>
  <c r="S388" i="9"/>
  <c r="T388" i="9"/>
  <c r="U388" i="9"/>
  <c r="V388" i="9"/>
  <c r="W388" i="9"/>
  <c r="X388" i="9"/>
  <c r="Y388" i="9"/>
  <c r="Z388" i="9"/>
  <c r="A389" i="9"/>
  <c r="B389" i="9"/>
  <c r="C389" i="9"/>
  <c r="D389" i="9"/>
  <c r="E389" i="9"/>
  <c r="F389" i="9"/>
  <c r="G389" i="9"/>
  <c r="H389" i="9"/>
  <c r="I389" i="9"/>
  <c r="J389" i="9"/>
  <c r="K389" i="9"/>
  <c r="L389" i="9"/>
  <c r="M389" i="9"/>
  <c r="N389" i="9"/>
  <c r="O389" i="9"/>
  <c r="P389" i="9"/>
  <c r="Q389" i="9"/>
  <c r="R389" i="9"/>
  <c r="S389" i="9"/>
  <c r="T389" i="9"/>
  <c r="U389" i="9"/>
  <c r="V389" i="9"/>
  <c r="W389" i="9"/>
  <c r="X389" i="9"/>
  <c r="Y389" i="9"/>
  <c r="Z389" i="9"/>
  <c r="A390" i="9"/>
  <c r="B390" i="9"/>
  <c r="C390" i="9"/>
  <c r="D390" i="9"/>
  <c r="E390" i="9"/>
  <c r="F390" i="9"/>
  <c r="G390" i="9"/>
  <c r="H390" i="9"/>
  <c r="I390" i="9"/>
  <c r="J390" i="9"/>
  <c r="K390" i="9"/>
  <c r="L390" i="9"/>
  <c r="M390" i="9"/>
  <c r="N390" i="9"/>
  <c r="O390" i="9"/>
  <c r="P390" i="9"/>
  <c r="Q390" i="9"/>
  <c r="R390" i="9"/>
  <c r="S390" i="9"/>
  <c r="T390" i="9"/>
  <c r="U390" i="9"/>
  <c r="V390" i="9"/>
  <c r="W390" i="9"/>
  <c r="X390" i="9"/>
  <c r="Y390" i="9"/>
  <c r="Z390" i="9"/>
  <c r="A391" i="9"/>
  <c r="B391" i="9"/>
  <c r="C391" i="9"/>
  <c r="D391" i="9"/>
  <c r="E391" i="9"/>
  <c r="F391" i="9"/>
  <c r="G391" i="9"/>
  <c r="H391" i="9"/>
  <c r="I391" i="9"/>
  <c r="J391" i="9"/>
  <c r="K391" i="9"/>
  <c r="L391" i="9"/>
  <c r="M391" i="9"/>
  <c r="N391" i="9"/>
  <c r="O391" i="9"/>
  <c r="P391" i="9"/>
  <c r="Q391" i="9"/>
  <c r="R391" i="9"/>
  <c r="S391" i="9"/>
  <c r="T391" i="9"/>
  <c r="U391" i="9"/>
  <c r="V391" i="9"/>
  <c r="W391" i="9"/>
  <c r="X391" i="9"/>
  <c r="Y391" i="9"/>
  <c r="Z391" i="9"/>
  <c r="A392" i="9"/>
  <c r="B392" i="9"/>
  <c r="C392" i="9"/>
  <c r="D392" i="9"/>
  <c r="E392" i="9"/>
  <c r="F392" i="9"/>
  <c r="G392" i="9"/>
  <c r="H392" i="9"/>
  <c r="I392" i="9"/>
  <c r="J392" i="9"/>
  <c r="K392" i="9"/>
  <c r="L392" i="9"/>
  <c r="M392" i="9"/>
  <c r="N392" i="9"/>
  <c r="O392" i="9"/>
  <c r="P392" i="9"/>
  <c r="Q392" i="9"/>
  <c r="R392" i="9"/>
  <c r="S392" i="9"/>
  <c r="T392" i="9"/>
  <c r="U392" i="9"/>
  <c r="V392" i="9"/>
  <c r="W392" i="9"/>
  <c r="X392" i="9"/>
  <c r="Y392" i="9"/>
  <c r="Z392" i="9"/>
  <c r="A393" i="9"/>
  <c r="B393" i="9"/>
  <c r="C393" i="9"/>
  <c r="D393" i="9"/>
  <c r="E393" i="9"/>
  <c r="F393" i="9"/>
  <c r="G393" i="9"/>
  <c r="H393" i="9"/>
  <c r="I393" i="9"/>
  <c r="J393" i="9"/>
  <c r="K393" i="9"/>
  <c r="L393" i="9"/>
  <c r="M393" i="9"/>
  <c r="N393" i="9"/>
  <c r="O393" i="9"/>
  <c r="P393" i="9"/>
  <c r="Q393" i="9"/>
  <c r="R393" i="9"/>
  <c r="S393" i="9"/>
  <c r="T393" i="9"/>
  <c r="U393" i="9"/>
  <c r="V393" i="9"/>
  <c r="W393" i="9"/>
  <c r="X393" i="9"/>
  <c r="Y393" i="9"/>
  <c r="Z393" i="9"/>
  <c r="A394" i="9"/>
  <c r="B394" i="9"/>
  <c r="C394" i="9"/>
  <c r="D394" i="9"/>
  <c r="E394" i="9"/>
  <c r="F394" i="9"/>
  <c r="G394" i="9"/>
  <c r="H394" i="9"/>
  <c r="I394" i="9"/>
  <c r="J394" i="9"/>
  <c r="K394" i="9"/>
  <c r="L394" i="9"/>
  <c r="M394" i="9"/>
  <c r="N394" i="9"/>
  <c r="O394" i="9"/>
  <c r="P394" i="9"/>
  <c r="Q394" i="9"/>
  <c r="R394" i="9"/>
  <c r="S394" i="9"/>
  <c r="T394" i="9"/>
  <c r="U394" i="9"/>
  <c r="V394" i="9"/>
  <c r="W394" i="9"/>
  <c r="X394" i="9"/>
  <c r="Y394" i="9"/>
  <c r="Z394" i="9"/>
  <c r="A395" i="9"/>
  <c r="B395" i="9"/>
  <c r="C395" i="9"/>
  <c r="D395" i="9"/>
  <c r="E395" i="9"/>
  <c r="F395" i="9"/>
  <c r="G395" i="9"/>
  <c r="H395" i="9"/>
  <c r="I395" i="9"/>
  <c r="J395" i="9"/>
  <c r="K395" i="9"/>
  <c r="L395" i="9"/>
  <c r="M395" i="9"/>
  <c r="N395" i="9"/>
  <c r="O395" i="9"/>
  <c r="P395" i="9"/>
  <c r="Q395" i="9"/>
  <c r="R395" i="9"/>
  <c r="S395" i="9"/>
  <c r="T395" i="9"/>
  <c r="U395" i="9"/>
  <c r="V395" i="9"/>
  <c r="W395" i="9"/>
  <c r="X395" i="9"/>
  <c r="Y395" i="9"/>
  <c r="Z395" i="9"/>
  <c r="A396" i="9"/>
  <c r="B396" i="9"/>
  <c r="C396" i="9"/>
  <c r="D396" i="9"/>
  <c r="E396" i="9"/>
  <c r="F396" i="9"/>
  <c r="G396" i="9"/>
  <c r="H396" i="9"/>
  <c r="I396" i="9"/>
  <c r="J396" i="9"/>
  <c r="K396" i="9"/>
  <c r="L396" i="9"/>
  <c r="M396" i="9"/>
  <c r="N396" i="9"/>
  <c r="O396" i="9"/>
  <c r="P396" i="9"/>
  <c r="Q396" i="9"/>
  <c r="R396" i="9"/>
  <c r="S396" i="9"/>
  <c r="T396" i="9"/>
  <c r="U396" i="9"/>
  <c r="V396" i="9"/>
  <c r="W396" i="9"/>
  <c r="X396" i="9"/>
  <c r="Y396" i="9"/>
  <c r="Z396" i="9"/>
  <c r="A397" i="9"/>
  <c r="B397" i="9"/>
  <c r="C397" i="9"/>
  <c r="D397" i="9"/>
  <c r="E397" i="9"/>
  <c r="F397" i="9"/>
  <c r="G397" i="9"/>
  <c r="H397" i="9"/>
  <c r="I397" i="9"/>
  <c r="J397" i="9"/>
  <c r="K397" i="9"/>
  <c r="L397" i="9"/>
  <c r="M397" i="9"/>
  <c r="N397" i="9"/>
  <c r="O397" i="9"/>
  <c r="P397" i="9"/>
  <c r="Q397" i="9"/>
  <c r="R397" i="9"/>
  <c r="S397" i="9"/>
  <c r="T397" i="9"/>
  <c r="U397" i="9"/>
  <c r="V397" i="9"/>
  <c r="W397" i="9"/>
  <c r="X397" i="9"/>
  <c r="Y397" i="9"/>
  <c r="Z397" i="9"/>
  <c r="A398" i="9"/>
  <c r="B398" i="9"/>
  <c r="C398" i="9"/>
  <c r="D398" i="9"/>
  <c r="E398" i="9"/>
  <c r="F398" i="9"/>
  <c r="G398" i="9"/>
  <c r="H398" i="9"/>
  <c r="I398" i="9"/>
  <c r="J398" i="9"/>
  <c r="K398" i="9"/>
  <c r="L398" i="9"/>
  <c r="M398" i="9"/>
  <c r="N398" i="9"/>
  <c r="O398" i="9"/>
  <c r="P398" i="9"/>
  <c r="Q398" i="9"/>
  <c r="R398" i="9"/>
  <c r="S398" i="9"/>
  <c r="T398" i="9"/>
  <c r="U398" i="9"/>
  <c r="V398" i="9"/>
  <c r="W398" i="9"/>
  <c r="X398" i="9"/>
  <c r="Y398" i="9"/>
  <c r="Z398" i="9"/>
  <c r="A399" i="9"/>
  <c r="B399" i="9"/>
  <c r="C399" i="9"/>
  <c r="D399" i="9"/>
  <c r="E399" i="9"/>
  <c r="F399" i="9"/>
  <c r="G399" i="9"/>
  <c r="H399" i="9"/>
  <c r="I399" i="9"/>
  <c r="J399" i="9"/>
  <c r="K399" i="9"/>
  <c r="L399" i="9"/>
  <c r="M399" i="9"/>
  <c r="N399" i="9"/>
  <c r="O399" i="9"/>
  <c r="P399" i="9"/>
  <c r="Q399" i="9"/>
  <c r="R399" i="9"/>
  <c r="S399" i="9"/>
  <c r="T399" i="9"/>
  <c r="U399" i="9"/>
  <c r="V399" i="9"/>
  <c r="W399" i="9"/>
  <c r="X399" i="9"/>
  <c r="Y399" i="9"/>
  <c r="Z399" i="9"/>
  <c r="A400" i="9"/>
  <c r="B400" i="9"/>
  <c r="C400" i="9"/>
  <c r="D400" i="9"/>
  <c r="E400" i="9"/>
  <c r="F400" i="9"/>
  <c r="G400" i="9"/>
  <c r="H400" i="9"/>
  <c r="I400" i="9"/>
  <c r="J400" i="9"/>
  <c r="K400" i="9"/>
  <c r="L400" i="9"/>
  <c r="M400" i="9"/>
  <c r="N400" i="9"/>
  <c r="O400" i="9"/>
  <c r="P400" i="9"/>
  <c r="Q400" i="9"/>
  <c r="R400" i="9"/>
  <c r="S400" i="9"/>
  <c r="T400" i="9"/>
  <c r="U400" i="9"/>
  <c r="V400" i="9"/>
  <c r="W400" i="9"/>
  <c r="X400" i="9"/>
  <c r="Y400" i="9"/>
  <c r="Z400" i="9"/>
  <c r="A401" i="9"/>
  <c r="B401" i="9"/>
  <c r="C401" i="9"/>
  <c r="D401" i="9"/>
  <c r="E401" i="9"/>
  <c r="F401" i="9"/>
  <c r="G401" i="9"/>
  <c r="H401" i="9"/>
  <c r="I401" i="9"/>
  <c r="J401" i="9"/>
  <c r="K401" i="9"/>
  <c r="L401" i="9"/>
  <c r="M401" i="9"/>
  <c r="N401" i="9"/>
  <c r="O401" i="9"/>
  <c r="P401" i="9"/>
  <c r="Q401" i="9"/>
  <c r="R401" i="9"/>
  <c r="S401" i="9"/>
  <c r="T401" i="9"/>
  <c r="U401" i="9"/>
  <c r="V401" i="9"/>
  <c r="W401" i="9"/>
  <c r="X401" i="9"/>
  <c r="Y401" i="9"/>
  <c r="Z401" i="9"/>
  <c r="A402" i="9"/>
  <c r="B402" i="9"/>
  <c r="C402" i="9"/>
  <c r="D402" i="9"/>
  <c r="E402" i="9"/>
  <c r="F402" i="9"/>
  <c r="G402" i="9"/>
  <c r="H402" i="9"/>
  <c r="I402" i="9"/>
  <c r="J402" i="9"/>
  <c r="K402" i="9"/>
  <c r="L402" i="9"/>
  <c r="M402" i="9"/>
  <c r="N402" i="9"/>
  <c r="O402" i="9"/>
  <c r="P402" i="9"/>
  <c r="Q402" i="9"/>
  <c r="R402" i="9"/>
  <c r="S402" i="9"/>
  <c r="T402" i="9"/>
  <c r="U402" i="9"/>
  <c r="V402" i="9"/>
  <c r="W402" i="9"/>
  <c r="X402" i="9"/>
  <c r="Y402" i="9"/>
  <c r="Z402" i="9"/>
  <c r="A403" i="9"/>
  <c r="B403" i="9"/>
  <c r="C403" i="9"/>
  <c r="D403" i="9"/>
  <c r="E403" i="9"/>
  <c r="F403" i="9"/>
  <c r="G403" i="9"/>
  <c r="H403" i="9"/>
  <c r="I403" i="9"/>
  <c r="J403" i="9"/>
  <c r="K403" i="9"/>
  <c r="L403" i="9"/>
  <c r="M403" i="9"/>
  <c r="N403" i="9"/>
  <c r="O403" i="9"/>
  <c r="P403" i="9"/>
  <c r="Q403" i="9"/>
  <c r="R403" i="9"/>
  <c r="S403" i="9"/>
  <c r="T403" i="9"/>
  <c r="U403" i="9"/>
  <c r="V403" i="9"/>
  <c r="W403" i="9"/>
  <c r="X403" i="9"/>
  <c r="Y403" i="9"/>
  <c r="Z403" i="9"/>
  <c r="A404" i="9"/>
  <c r="B404" i="9"/>
  <c r="C404" i="9"/>
  <c r="D404" i="9"/>
  <c r="E404" i="9"/>
  <c r="F404" i="9"/>
  <c r="G404" i="9"/>
  <c r="H404" i="9"/>
  <c r="I404" i="9"/>
  <c r="J404" i="9"/>
  <c r="K404" i="9"/>
  <c r="L404" i="9"/>
  <c r="M404" i="9"/>
  <c r="N404" i="9"/>
  <c r="O404" i="9"/>
  <c r="P404" i="9"/>
  <c r="Q404" i="9"/>
  <c r="R404" i="9"/>
  <c r="S404" i="9"/>
  <c r="T404" i="9"/>
  <c r="U404" i="9"/>
  <c r="V404" i="9"/>
  <c r="W404" i="9"/>
  <c r="X404" i="9"/>
  <c r="Y404" i="9"/>
  <c r="Z404" i="9"/>
  <c r="A405" i="9"/>
  <c r="B405" i="9"/>
  <c r="C405" i="9"/>
  <c r="D405" i="9"/>
  <c r="E405" i="9"/>
  <c r="F405" i="9"/>
  <c r="G405" i="9"/>
  <c r="H405" i="9"/>
  <c r="I405" i="9"/>
  <c r="J405" i="9"/>
  <c r="K405" i="9"/>
  <c r="L405" i="9"/>
  <c r="M405" i="9"/>
  <c r="N405" i="9"/>
  <c r="O405" i="9"/>
  <c r="P405" i="9"/>
  <c r="Q405" i="9"/>
  <c r="R405" i="9"/>
  <c r="S405" i="9"/>
  <c r="T405" i="9"/>
  <c r="U405" i="9"/>
  <c r="V405" i="9"/>
  <c r="W405" i="9"/>
  <c r="X405" i="9"/>
  <c r="Y405" i="9"/>
  <c r="Z405" i="9"/>
  <c r="A406" i="9"/>
  <c r="B406" i="9"/>
  <c r="C406" i="9"/>
  <c r="D406" i="9"/>
  <c r="E406" i="9"/>
  <c r="F406" i="9"/>
  <c r="G406" i="9"/>
  <c r="H406" i="9"/>
  <c r="I406" i="9"/>
  <c r="J406" i="9"/>
  <c r="K406" i="9"/>
  <c r="L406" i="9"/>
  <c r="M406" i="9"/>
  <c r="N406" i="9"/>
  <c r="O406" i="9"/>
  <c r="P406" i="9"/>
  <c r="Q406" i="9"/>
  <c r="R406" i="9"/>
  <c r="S406" i="9"/>
  <c r="T406" i="9"/>
  <c r="U406" i="9"/>
  <c r="V406" i="9"/>
  <c r="W406" i="9"/>
  <c r="X406" i="9"/>
  <c r="Y406" i="9"/>
  <c r="Z406" i="9"/>
  <c r="A407" i="9"/>
  <c r="B407" i="9"/>
  <c r="C407" i="9"/>
  <c r="D407" i="9"/>
  <c r="E407" i="9"/>
  <c r="F407" i="9"/>
  <c r="G407" i="9"/>
  <c r="H407" i="9"/>
  <c r="I407" i="9"/>
  <c r="J407" i="9"/>
  <c r="K407" i="9"/>
  <c r="L407" i="9"/>
  <c r="M407" i="9"/>
  <c r="N407" i="9"/>
  <c r="O407" i="9"/>
  <c r="P407" i="9"/>
  <c r="Q407" i="9"/>
  <c r="R407" i="9"/>
  <c r="S407" i="9"/>
  <c r="T407" i="9"/>
  <c r="U407" i="9"/>
  <c r="V407" i="9"/>
  <c r="W407" i="9"/>
  <c r="X407" i="9"/>
  <c r="Y407" i="9"/>
  <c r="Z407" i="9"/>
  <c r="A408" i="9"/>
  <c r="B408" i="9"/>
  <c r="C408" i="9"/>
  <c r="D408" i="9"/>
  <c r="E408" i="9"/>
  <c r="F408" i="9"/>
  <c r="G408" i="9"/>
  <c r="H408" i="9"/>
  <c r="I408" i="9"/>
  <c r="J408" i="9"/>
  <c r="K408" i="9"/>
  <c r="L408" i="9"/>
  <c r="M408" i="9"/>
  <c r="N408" i="9"/>
  <c r="O408" i="9"/>
  <c r="P408" i="9"/>
  <c r="Q408" i="9"/>
  <c r="R408" i="9"/>
  <c r="S408" i="9"/>
  <c r="T408" i="9"/>
  <c r="U408" i="9"/>
  <c r="V408" i="9"/>
  <c r="W408" i="9"/>
  <c r="X408" i="9"/>
  <c r="Y408" i="9"/>
  <c r="Z408" i="9"/>
  <c r="A409" i="9"/>
  <c r="B409" i="9"/>
  <c r="C409" i="9"/>
  <c r="D409" i="9"/>
  <c r="E409" i="9"/>
  <c r="F409" i="9"/>
  <c r="G409" i="9"/>
  <c r="H409" i="9"/>
  <c r="I409" i="9"/>
  <c r="J409" i="9"/>
  <c r="K409" i="9"/>
  <c r="L409" i="9"/>
  <c r="M409" i="9"/>
  <c r="N409" i="9"/>
  <c r="O409" i="9"/>
  <c r="P409" i="9"/>
  <c r="Q409" i="9"/>
  <c r="R409" i="9"/>
  <c r="S409" i="9"/>
  <c r="T409" i="9"/>
  <c r="U409" i="9"/>
  <c r="V409" i="9"/>
  <c r="W409" i="9"/>
  <c r="X409" i="9"/>
  <c r="Y409" i="9"/>
  <c r="Z409" i="9"/>
  <c r="A410" i="9"/>
  <c r="B410" i="9"/>
  <c r="C410" i="9"/>
  <c r="D410" i="9"/>
  <c r="E410" i="9"/>
  <c r="F410" i="9"/>
  <c r="G410" i="9"/>
  <c r="H410" i="9"/>
  <c r="I410" i="9"/>
  <c r="J410" i="9"/>
  <c r="K410" i="9"/>
  <c r="L410" i="9"/>
  <c r="M410" i="9"/>
  <c r="N410" i="9"/>
  <c r="O410" i="9"/>
  <c r="P410" i="9"/>
  <c r="Q410" i="9"/>
  <c r="R410" i="9"/>
  <c r="S410" i="9"/>
  <c r="T410" i="9"/>
  <c r="U410" i="9"/>
  <c r="V410" i="9"/>
  <c r="W410" i="9"/>
  <c r="X410" i="9"/>
  <c r="Y410" i="9"/>
  <c r="Z410" i="9"/>
  <c r="A411" i="9"/>
  <c r="B411" i="9"/>
  <c r="C411" i="9"/>
  <c r="D411" i="9"/>
  <c r="E411" i="9"/>
  <c r="F411" i="9"/>
  <c r="G411" i="9"/>
  <c r="H411" i="9"/>
  <c r="I411" i="9"/>
  <c r="J411" i="9"/>
  <c r="K411" i="9"/>
  <c r="L411" i="9"/>
  <c r="M411" i="9"/>
  <c r="N411" i="9"/>
  <c r="O411" i="9"/>
  <c r="P411" i="9"/>
  <c r="Q411" i="9"/>
  <c r="R411" i="9"/>
  <c r="S411" i="9"/>
  <c r="T411" i="9"/>
  <c r="U411" i="9"/>
  <c r="V411" i="9"/>
  <c r="W411" i="9"/>
  <c r="X411" i="9"/>
  <c r="Y411" i="9"/>
  <c r="Z411" i="9"/>
  <c r="A412" i="9"/>
  <c r="B412" i="9"/>
  <c r="C412" i="9"/>
  <c r="D412" i="9"/>
  <c r="E412" i="9"/>
  <c r="F412" i="9"/>
  <c r="G412" i="9"/>
  <c r="H412" i="9"/>
  <c r="I412" i="9"/>
  <c r="J412" i="9"/>
  <c r="K412" i="9"/>
  <c r="L412" i="9"/>
  <c r="M412" i="9"/>
  <c r="N412" i="9"/>
  <c r="O412" i="9"/>
  <c r="P412" i="9"/>
  <c r="Q412" i="9"/>
  <c r="R412" i="9"/>
  <c r="S412" i="9"/>
  <c r="T412" i="9"/>
  <c r="U412" i="9"/>
  <c r="V412" i="9"/>
  <c r="W412" i="9"/>
  <c r="X412" i="9"/>
  <c r="Y412" i="9"/>
  <c r="Z412" i="9"/>
  <c r="A413" i="9"/>
  <c r="B413" i="9"/>
  <c r="C413" i="9"/>
  <c r="D413" i="9"/>
  <c r="E413" i="9"/>
  <c r="F413" i="9"/>
  <c r="G413" i="9"/>
  <c r="H413" i="9"/>
  <c r="I413" i="9"/>
  <c r="J413" i="9"/>
  <c r="K413" i="9"/>
  <c r="L413" i="9"/>
  <c r="M413" i="9"/>
  <c r="N413" i="9"/>
  <c r="O413" i="9"/>
  <c r="P413" i="9"/>
  <c r="Q413" i="9"/>
  <c r="R413" i="9"/>
  <c r="S413" i="9"/>
  <c r="T413" i="9"/>
  <c r="U413" i="9"/>
  <c r="V413" i="9"/>
  <c r="W413" i="9"/>
  <c r="X413" i="9"/>
  <c r="Y413" i="9"/>
  <c r="Z413" i="9"/>
  <c r="A414" i="9"/>
  <c r="B414" i="9"/>
  <c r="C414" i="9"/>
  <c r="D414" i="9"/>
  <c r="E414" i="9"/>
  <c r="F414" i="9"/>
  <c r="G414" i="9"/>
  <c r="H414" i="9"/>
  <c r="I414" i="9"/>
  <c r="J414" i="9"/>
  <c r="K414" i="9"/>
  <c r="L414" i="9"/>
  <c r="M414" i="9"/>
  <c r="N414" i="9"/>
  <c r="O414" i="9"/>
  <c r="P414" i="9"/>
  <c r="Q414" i="9"/>
  <c r="R414" i="9"/>
  <c r="S414" i="9"/>
  <c r="T414" i="9"/>
  <c r="U414" i="9"/>
  <c r="V414" i="9"/>
  <c r="W414" i="9"/>
  <c r="X414" i="9"/>
  <c r="Y414" i="9"/>
  <c r="Z414" i="9"/>
  <c r="A415" i="9"/>
  <c r="B415" i="9"/>
  <c r="C415" i="9"/>
  <c r="D415" i="9"/>
  <c r="E415" i="9"/>
  <c r="F415" i="9"/>
  <c r="G415" i="9"/>
  <c r="H415" i="9"/>
  <c r="I415" i="9"/>
  <c r="J415" i="9"/>
  <c r="K415" i="9"/>
  <c r="L415" i="9"/>
  <c r="M415" i="9"/>
  <c r="N415" i="9"/>
  <c r="O415" i="9"/>
  <c r="P415" i="9"/>
  <c r="Q415" i="9"/>
  <c r="R415" i="9"/>
  <c r="S415" i="9"/>
  <c r="T415" i="9"/>
  <c r="U415" i="9"/>
  <c r="V415" i="9"/>
  <c r="W415" i="9"/>
  <c r="X415" i="9"/>
  <c r="Y415" i="9"/>
  <c r="Z415" i="9"/>
  <c r="A416" i="9"/>
  <c r="B416" i="9"/>
  <c r="C416" i="9"/>
  <c r="D416" i="9"/>
  <c r="E416" i="9"/>
  <c r="F416" i="9"/>
  <c r="G416" i="9"/>
  <c r="H416" i="9"/>
  <c r="I416" i="9"/>
  <c r="J416" i="9"/>
  <c r="K416" i="9"/>
  <c r="L416" i="9"/>
  <c r="M416" i="9"/>
  <c r="N416" i="9"/>
  <c r="O416" i="9"/>
  <c r="P416" i="9"/>
  <c r="Q416" i="9"/>
  <c r="R416" i="9"/>
  <c r="S416" i="9"/>
  <c r="T416" i="9"/>
  <c r="U416" i="9"/>
  <c r="V416" i="9"/>
  <c r="W416" i="9"/>
  <c r="X416" i="9"/>
  <c r="Y416" i="9"/>
  <c r="Z416" i="9"/>
  <c r="A417" i="9"/>
  <c r="B417" i="9"/>
  <c r="C417" i="9"/>
  <c r="D417" i="9"/>
  <c r="E417" i="9"/>
  <c r="F417" i="9"/>
  <c r="G417" i="9"/>
  <c r="H417" i="9"/>
  <c r="I417" i="9"/>
  <c r="J417" i="9"/>
  <c r="K417" i="9"/>
  <c r="L417" i="9"/>
  <c r="M417" i="9"/>
  <c r="N417" i="9"/>
  <c r="O417" i="9"/>
  <c r="P417" i="9"/>
  <c r="Q417" i="9"/>
  <c r="R417" i="9"/>
  <c r="S417" i="9"/>
  <c r="T417" i="9"/>
  <c r="U417" i="9"/>
  <c r="V417" i="9"/>
  <c r="W417" i="9"/>
  <c r="X417" i="9"/>
  <c r="Y417" i="9"/>
  <c r="Z417" i="9"/>
  <c r="A418" i="9"/>
  <c r="B418" i="9"/>
  <c r="C418" i="9"/>
  <c r="D418" i="9"/>
  <c r="E418" i="9"/>
  <c r="F418" i="9"/>
  <c r="G418" i="9"/>
  <c r="H418" i="9"/>
  <c r="I418" i="9"/>
  <c r="J418" i="9"/>
  <c r="K418" i="9"/>
  <c r="L418" i="9"/>
  <c r="M418" i="9"/>
  <c r="N418" i="9"/>
  <c r="O418" i="9"/>
  <c r="P418" i="9"/>
  <c r="Q418" i="9"/>
  <c r="R418" i="9"/>
  <c r="S418" i="9"/>
  <c r="T418" i="9"/>
  <c r="U418" i="9"/>
  <c r="V418" i="9"/>
  <c r="W418" i="9"/>
  <c r="X418" i="9"/>
  <c r="Y418" i="9"/>
  <c r="Z418" i="9"/>
  <c r="A419" i="9"/>
  <c r="B419" i="9"/>
  <c r="C419" i="9"/>
  <c r="D419" i="9"/>
  <c r="E419" i="9"/>
  <c r="F419" i="9"/>
  <c r="G419" i="9"/>
  <c r="H419" i="9"/>
  <c r="I419" i="9"/>
  <c r="J419" i="9"/>
  <c r="K419" i="9"/>
  <c r="L419" i="9"/>
  <c r="M419" i="9"/>
  <c r="N419" i="9"/>
  <c r="O419" i="9"/>
  <c r="P419" i="9"/>
  <c r="Q419" i="9"/>
  <c r="R419" i="9"/>
  <c r="S419" i="9"/>
  <c r="T419" i="9"/>
  <c r="U419" i="9"/>
  <c r="V419" i="9"/>
  <c r="W419" i="9"/>
  <c r="X419" i="9"/>
  <c r="Y419" i="9"/>
  <c r="Z419" i="9"/>
  <c r="A420" i="9"/>
  <c r="B420" i="9"/>
  <c r="C420" i="9"/>
  <c r="D420" i="9"/>
  <c r="E420" i="9"/>
  <c r="F420" i="9"/>
  <c r="G420" i="9"/>
  <c r="H420" i="9"/>
  <c r="I420" i="9"/>
  <c r="J420" i="9"/>
  <c r="K420" i="9"/>
  <c r="L420" i="9"/>
  <c r="M420" i="9"/>
  <c r="N420" i="9"/>
  <c r="O420" i="9"/>
  <c r="P420" i="9"/>
  <c r="Q420" i="9"/>
  <c r="R420" i="9"/>
  <c r="S420" i="9"/>
  <c r="T420" i="9"/>
  <c r="U420" i="9"/>
  <c r="V420" i="9"/>
  <c r="W420" i="9"/>
  <c r="X420" i="9"/>
  <c r="Y420" i="9"/>
  <c r="Z420" i="9"/>
  <c r="A421" i="9"/>
  <c r="B421" i="9"/>
  <c r="C421" i="9"/>
  <c r="D421" i="9"/>
  <c r="E421" i="9"/>
  <c r="F421" i="9"/>
  <c r="G421" i="9"/>
  <c r="H421" i="9"/>
  <c r="I421" i="9"/>
  <c r="J421" i="9"/>
  <c r="K421" i="9"/>
  <c r="L421" i="9"/>
  <c r="M421" i="9"/>
  <c r="N421" i="9"/>
  <c r="O421" i="9"/>
  <c r="P421" i="9"/>
  <c r="Q421" i="9"/>
  <c r="R421" i="9"/>
  <c r="S421" i="9"/>
  <c r="T421" i="9"/>
  <c r="U421" i="9"/>
  <c r="V421" i="9"/>
  <c r="W421" i="9"/>
  <c r="X421" i="9"/>
  <c r="Y421" i="9"/>
  <c r="Z421" i="9"/>
  <c r="A422" i="9"/>
  <c r="B422" i="9"/>
  <c r="C422" i="9"/>
  <c r="D422" i="9"/>
  <c r="E422" i="9"/>
  <c r="F422" i="9"/>
  <c r="G422" i="9"/>
  <c r="H422" i="9"/>
  <c r="I422" i="9"/>
  <c r="J422" i="9"/>
  <c r="K422" i="9"/>
  <c r="L422" i="9"/>
  <c r="M422" i="9"/>
  <c r="N422" i="9"/>
  <c r="O422" i="9"/>
  <c r="P422" i="9"/>
  <c r="Q422" i="9"/>
  <c r="R422" i="9"/>
  <c r="S422" i="9"/>
  <c r="T422" i="9"/>
  <c r="U422" i="9"/>
  <c r="V422" i="9"/>
  <c r="W422" i="9"/>
  <c r="X422" i="9"/>
  <c r="Y422" i="9"/>
  <c r="Z422" i="9"/>
  <c r="A423" i="9"/>
  <c r="B423" i="9"/>
  <c r="C423" i="9"/>
  <c r="D423" i="9"/>
  <c r="E423" i="9"/>
  <c r="F423" i="9"/>
  <c r="G423" i="9"/>
  <c r="H423" i="9"/>
  <c r="I423" i="9"/>
  <c r="J423" i="9"/>
  <c r="K423" i="9"/>
  <c r="L423" i="9"/>
  <c r="M423" i="9"/>
  <c r="N423" i="9"/>
  <c r="O423" i="9"/>
  <c r="P423" i="9"/>
  <c r="Q423" i="9"/>
  <c r="R423" i="9"/>
  <c r="S423" i="9"/>
  <c r="T423" i="9"/>
  <c r="U423" i="9"/>
  <c r="V423" i="9"/>
  <c r="W423" i="9"/>
  <c r="X423" i="9"/>
  <c r="Y423" i="9"/>
  <c r="Z423" i="9"/>
  <c r="A424" i="9"/>
  <c r="B424" i="9"/>
  <c r="C424" i="9"/>
  <c r="D424" i="9"/>
  <c r="E424" i="9"/>
  <c r="F424" i="9"/>
  <c r="G424" i="9"/>
  <c r="H424" i="9"/>
  <c r="I424" i="9"/>
  <c r="J424" i="9"/>
  <c r="K424" i="9"/>
  <c r="L424" i="9"/>
  <c r="M424" i="9"/>
  <c r="N424" i="9"/>
  <c r="O424" i="9"/>
  <c r="P424" i="9"/>
  <c r="Q424" i="9"/>
  <c r="R424" i="9"/>
  <c r="S424" i="9"/>
  <c r="T424" i="9"/>
  <c r="U424" i="9"/>
  <c r="V424" i="9"/>
  <c r="W424" i="9"/>
  <c r="X424" i="9"/>
  <c r="Y424" i="9"/>
  <c r="Z424" i="9"/>
  <c r="A425" i="9"/>
  <c r="B425" i="9"/>
  <c r="C425" i="9"/>
  <c r="D425" i="9"/>
  <c r="E425" i="9"/>
  <c r="F425" i="9"/>
  <c r="G425" i="9"/>
  <c r="H425" i="9"/>
  <c r="I425" i="9"/>
  <c r="J425" i="9"/>
  <c r="K425" i="9"/>
  <c r="L425" i="9"/>
  <c r="M425" i="9"/>
  <c r="N425" i="9"/>
  <c r="O425" i="9"/>
  <c r="P425" i="9"/>
  <c r="Q425" i="9"/>
  <c r="R425" i="9"/>
  <c r="S425" i="9"/>
  <c r="T425" i="9"/>
  <c r="U425" i="9"/>
  <c r="V425" i="9"/>
  <c r="W425" i="9"/>
  <c r="X425" i="9"/>
  <c r="Y425" i="9"/>
  <c r="Z425" i="9"/>
  <c r="A426" i="9"/>
  <c r="B426" i="9"/>
  <c r="C426" i="9"/>
  <c r="D426" i="9"/>
  <c r="E426" i="9"/>
  <c r="F426" i="9"/>
  <c r="G426" i="9"/>
  <c r="H426" i="9"/>
  <c r="I426" i="9"/>
  <c r="J426" i="9"/>
  <c r="K426" i="9"/>
  <c r="L426" i="9"/>
  <c r="M426" i="9"/>
  <c r="N426" i="9"/>
  <c r="O426" i="9"/>
  <c r="P426" i="9"/>
  <c r="Q426" i="9"/>
  <c r="R426" i="9"/>
  <c r="S426" i="9"/>
  <c r="T426" i="9"/>
  <c r="U426" i="9"/>
  <c r="V426" i="9"/>
  <c r="W426" i="9"/>
  <c r="X426" i="9"/>
  <c r="Y426" i="9"/>
  <c r="Z426" i="9"/>
  <c r="A427" i="9"/>
  <c r="B427" i="9"/>
  <c r="C427" i="9"/>
  <c r="D427" i="9"/>
  <c r="E427" i="9"/>
  <c r="F427" i="9"/>
  <c r="G427" i="9"/>
  <c r="H427" i="9"/>
  <c r="I427" i="9"/>
  <c r="J427" i="9"/>
  <c r="K427" i="9"/>
  <c r="L427" i="9"/>
  <c r="M427" i="9"/>
  <c r="N427" i="9"/>
  <c r="O427" i="9"/>
  <c r="P427" i="9"/>
  <c r="Q427" i="9"/>
  <c r="R427" i="9"/>
  <c r="S427" i="9"/>
  <c r="T427" i="9"/>
  <c r="U427" i="9"/>
  <c r="V427" i="9"/>
  <c r="W427" i="9"/>
  <c r="X427" i="9"/>
  <c r="Y427" i="9"/>
  <c r="Z427" i="9"/>
  <c r="A428" i="9"/>
  <c r="B428" i="9"/>
  <c r="C428" i="9"/>
  <c r="D428" i="9"/>
  <c r="E428" i="9"/>
  <c r="F428" i="9"/>
  <c r="G428" i="9"/>
  <c r="H428" i="9"/>
  <c r="I428" i="9"/>
  <c r="J428" i="9"/>
  <c r="K428" i="9"/>
  <c r="L428" i="9"/>
  <c r="M428" i="9"/>
  <c r="N428" i="9"/>
  <c r="O428" i="9"/>
  <c r="P428" i="9"/>
  <c r="Q428" i="9"/>
  <c r="R428" i="9"/>
  <c r="S428" i="9"/>
  <c r="T428" i="9"/>
  <c r="U428" i="9"/>
  <c r="V428" i="9"/>
  <c r="W428" i="9"/>
  <c r="X428" i="9"/>
  <c r="Y428" i="9"/>
  <c r="Z428" i="9"/>
  <c r="A429" i="9"/>
  <c r="B429" i="9"/>
  <c r="C429" i="9"/>
  <c r="D429" i="9"/>
  <c r="E429" i="9"/>
  <c r="F429" i="9"/>
  <c r="G429" i="9"/>
  <c r="H429" i="9"/>
  <c r="I429" i="9"/>
  <c r="J429" i="9"/>
  <c r="K429" i="9"/>
  <c r="L429" i="9"/>
  <c r="M429" i="9"/>
  <c r="N429" i="9"/>
  <c r="O429" i="9"/>
  <c r="P429" i="9"/>
  <c r="Q429" i="9"/>
  <c r="R429" i="9"/>
  <c r="S429" i="9"/>
  <c r="T429" i="9"/>
  <c r="U429" i="9"/>
  <c r="V429" i="9"/>
  <c r="W429" i="9"/>
  <c r="X429" i="9"/>
  <c r="Y429" i="9"/>
  <c r="Z429" i="9"/>
  <c r="A430" i="9"/>
  <c r="B430" i="9"/>
  <c r="C430" i="9"/>
  <c r="D430" i="9"/>
  <c r="E430" i="9"/>
  <c r="F430" i="9"/>
  <c r="G430" i="9"/>
  <c r="H430" i="9"/>
  <c r="I430" i="9"/>
  <c r="J430" i="9"/>
  <c r="K430" i="9"/>
  <c r="L430" i="9"/>
  <c r="M430" i="9"/>
  <c r="N430" i="9"/>
  <c r="O430" i="9"/>
  <c r="P430" i="9"/>
  <c r="Q430" i="9"/>
  <c r="R430" i="9"/>
  <c r="S430" i="9"/>
  <c r="T430" i="9"/>
  <c r="U430" i="9"/>
  <c r="V430" i="9"/>
  <c r="W430" i="9"/>
  <c r="X430" i="9"/>
  <c r="Y430" i="9"/>
  <c r="Z430" i="9"/>
  <c r="A431" i="9"/>
  <c r="B431" i="9"/>
  <c r="C431" i="9"/>
  <c r="D431" i="9"/>
  <c r="E431" i="9"/>
  <c r="F431" i="9"/>
  <c r="G431" i="9"/>
  <c r="H431" i="9"/>
  <c r="I431" i="9"/>
  <c r="J431" i="9"/>
  <c r="K431" i="9"/>
  <c r="L431" i="9"/>
  <c r="M431" i="9"/>
  <c r="N431" i="9"/>
  <c r="O431" i="9"/>
  <c r="P431" i="9"/>
  <c r="Q431" i="9"/>
  <c r="R431" i="9"/>
  <c r="S431" i="9"/>
  <c r="T431" i="9"/>
  <c r="U431" i="9"/>
  <c r="V431" i="9"/>
  <c r="W431" i="9"/>
  <c r="X431" i="9"/>
  <c r="Y431" i="9"/>
  <c r="Z431" i="9"/>
  <c r="A432" i="9"/>
  <c r="B432" i="9"/>
  <c r="C432" i="9"/>
  <c r="D432" i="9"/>
  <c r="E432" i="9"/>
  <c r="F432" i="9"/>
  <c r="G432" i="9"/>
  <c r="H432" i="9"/>
  <c r="I432" i="9"/>
  <c r="J432" i="9"/>
  <c r="K432" i="9"/>
  <c r="L432" i="9"/>
  <c r="M432" i="9"/>
  <c r="N432" i="9"/>
  <c r="O432" i="9"/>
  <c r="P432" i="9"/>
  <c r="Q432" i="9"/>
  <c r="R432" i="9"/>
  <c r="S432" i="9"/>
  <c r="T432" i="9"/>
  <c r="U432" i="9"/>
  <c r="V432" i="9"/>
  <c r="W432" i="9"/>
  <c r="X432" i="9"/>
  <c r="Y432" i="9"/>
  <c r="Z432" i="9"/>
  <c r="A433" i="9"/>
  <c r="B433" i="9"/>
  <c r="C433" i="9"/>
  <c r="D433" i="9"/>
  <c r="E433" i="9"/>
  <c r="F433" i="9"/>
  <c r="G433" i="9"/>
  <c r="H433" i="9"/>
  <c r="I433" i="9"/>
  <c r="J433" i="9"/>
  <c r="K433" i="9"/>
  <c r="L433" i="9"/>
  <c r="M433" i="9"/>
  <c r="N433" i="9"/>
  <c r="O433" i="9"/>
  <c r="P433" i="9"/>
  <c r="Q433" i="9"/>
  <c r="R433" i="9"/>
  <c r="S433" i="9"/>
  <c r="T433" i="9"/>
  <c r="U433" i="9"/>
  <c r="V433" i="9"/>
  <c r="W433" i="9"/>
  <c r="X433" i="9"/>
  <c r="Y433" i="9"/>
  <c r="Z433" i="9"/>
  <c r="A434" i="9"/>
  <c r="B434" i="9"/>
  <c r="C434" i="9"/>
  <c r="D434" i="9"/>
  <c r="E434" i="9"/>
  <c r="F434" i="9"/>
  <c r="G434" i="9"/>
  <c r="H434" i="9"/>
  <c r="I434" i="9"/>
  <c r="J434" i="9"/>
  <c r="K434" i="9"/>
  <c r="L434" i="9"/>
  <c r="M434" i="9"/>
  <c r="N434" i="9"/>
  <c r="O434" i="9"/>
  <c r="P434" i="9"/>
  <c r="Q434" i="9"/>
  <c r="R434" i="9"/>
  <c r="S434" i="9"/>
  <c r="T434" i="9"/>
  <c r="U434" i="9"/>
  <c r="V434" i="9"/>
  <c r="W434" i="9"/>
  <c r="X434" i="9"/>
  <c r="Y434" i="9"/>
  <c r="Z434" i="9"/>
  <c r="A435" i="9"/>
  <c r="B435" i="9"/>
  <c r="C435" i="9"/>
  <c r="D435" i="9"/>
  <c r="E435" i="9"/>
  <c r="F435" i="9"/>
  <c r="G435" i="9"/>
  <c r="H435" i="9"/>
  <c r="I435" i="9"/>
  <c r="J435" i="9"/>
  <c r="K435" i="9"/>
  <c r="L435" i="9"/>
  <c r="M435" i="9"/>
  <c r="N435" i="9"/>
  <c r="O435" i="9"/>
  <c r="P435" i="9"/>
  <c r="Q435" i="9"/>
  <c r="R435" i="9"/>
  <c r="S435" i="9"/>
  <c r="T435" i="9"/>
  <c r="U435" i="9"/>
  <c r="V435" i="9"/>
  <c r="W435" i="9"/>
  <c r="X435" i="9"/>
  <c r="Y435" i="9"/>
  <c r="Z435" i="9"/>
  <c r="A436" i="9"/>
  <c r="B436" i="9"/>
  <c r="C436" i="9"/>
  <c r="D436" i="9"/>
  <c r="E436" i="9"/>
  <c r="F436" i="9"/>
  <c r="G436" i="9"/>
  <c r="H436" i="9"/>
  <c r="I436" i="9"/>
  <c r="J436" i="9"/>
  <c r="K436" i="9"/>
  <c r="L436" i="9"/>
  <c r="M436" i="9"/>
  <c r="N436" i="9"/>
  <c r="O436" i="9"/>
  <c r="P436" i="9"/>
  <c r="Q436" i="9"/>
  <c r="R436" i="9"/>
  <c r="S436" i="9"/>
  <c r="T436" i="9"/>
  <c r="U436" i="9"/>
  <c r="V436" i="9"/>
  <c r="W436" i="9"/>
  <c r="X436" i="9"/>
  <c r="Y436" i="9"/>
  <c r="Z436" i="9"/>
  <c r="A437" i="9"/>
  <c r="B437" i="9"/>
  <c r="C437" i="9"/>
  <c r="D437" i="9"/>
  <c r="E437" i="9"/>
  <c r="F437" i="9"/>
  <c r="G437" i="9"/>
  <c r="H437" i="9"/>
  <c r="I437" i="9"/>
  <c r="J437" i="9"/>
  <c r="K437" i="9"/>
  <c r="L437" i="9"/>
  <c r="M437" i="9"/>
  <c r="N437" i="9"/>
  <c r="O437" i="9"/>
  <c r="P437" i="9"/>
  <c r="Q437" i="9"/>
  <c r="R437" i="9"/>
  <c r="S437" i="9"/>
  <c r="T437" i="9"/>
  <c r="U437" i="9"/>
  <c r="V437" i="9"/>
  <c r="W437" i="9"/>
  <c r="X437" i="9"/>
  <c r="Y437" i="9"/>
  <c r="Z437" i="9"/>
  <c r="A438" i="9"/>
  <c r="B438" i="9"/>
  <c r="C438" i="9"/>
  <c r="D438" i="9"/>
  <c r="E438" i="9"/>
  <c r="F438" i="9"/>
  <c r="G438" i="9"/>
  <c r="H438" i="9"/>
  <c r="I438" i="9"/>
  <c r="J438" i="9"/>
  <c r="K438" i="9"/>
  <c r="L438" i="9"/>
  <c r="M438" i="9"/>
  <c r="N438" i="9"/>
  <c r="O438" i="9"/>
  <c r="P438" i="9"/>
  <c r="Q438" i="9"/>
  <c r="R438" i="9"/>
  <c r="S438" i="9"/>
  <c r="T438" i="9"/>
  <c r="U438" i="9"/>
  <c r="V438" i="9"/>
  <c r="W438" i="9"/>
  <c r="X438" i="9"/>
  <c r="Y438" i="9"/>
  <c r="Z438" i="9"/>
  <c r="A439" i="9"/>
  <c r="B439" i="9"/>
  <c r="C439" i="9"/>
  <c r="D439" i="9"/>
  <c r="E439" i="9"/>
  <c r="F439" i="9"/>
  <c r="G439" i="9"/>
  <c r="H439" i="9"/>
  <c r="I439" i="9"/>
  <c r="J439" i="9"/>
  <c r="K439" i="9"/>
  <c r="L439" i="9"/>
  <c r="M439" i="9"/>
  <c r="N439" i="9"/>
  <c r="O439" i="9"/>
  <c r="P439" i="9"/>
  <c r="Q439" i="9"/>
  <c r="R439" i="9"/>
  <c r="S439" i="9"/>
  <c r="T439" i="9"/>
  <c r="U439" i="9"/>
  <c r="V439" i="9"/>
  <c r="W439" i="9"/>
  <c r="X439" i="9"/>
  <c r="Y439" i="9"/>
  <c r="Z439" i="9"/>
  <c r="A440" i="9"/>
  <c r="B440" i="9"/>
  <c r="C440" i="9"/>
  <c r="D440" i="9"/>
  <c r="E440" i="9"/>
  <c r="F440" i="9"/>
  <c r="G440" i="9"/>
  <c r="H440" i="9"/>
  <c r="I440" i="9"/>
  <c r="J440" i="9"/>
  <c r="K440" i="9"/>
  <c r="L440" i="9"/>
  <c r="M440" i="9"/>
  <c r="N440" i="9"/>
  <c r="O440" i="9"/>
  <c r="P440" i="9"/>
  <c r="Q440" i="9"/>
  <c r="R440" i="9"/>
  <c r="S440" i="9"/>
  <c r="T440" i="9"/>
  <c r="U440" i="9"/>
  <c r="V440" i="9"/>
  <c r="W440" i="9"/>
  <c r="X440" i="9"/>
  <c r="Y440" i="9"/>
  <c r="Z440" i="9"/>
  <c r="A441" i="9"/>
  <c r="B441" i="9"/>
  <c r="C441" i="9"/>
  <c r="D441" i="9"/>
  <c r="E441" i="9"/>
  <c r="F441" i="9"/>
  <c r="G441" i="9"/>
  <c r="H441" i="9"/>
  <c r="I441" i="9"/>
  <c r="J441" i="9"/>
  <c r="K441" i="9"/>
  <c r="L441" i="9"/>
  <c r="M441" i="9"/>
  <c r="N441" i="9"/>
  <c r="O441" i="9"/>
  <c r="P441" i="9"/>
  <c r="Q441" i="9"/>
  <c r="R441" i="9"/>
  <c r="S441" i="9"/>
  <c r="T441" i="9"/>
  <c r="U441" i="9"/>
  <c r="V441" i="9"/>
  <c r="W441" i="9"/>
  <c r="X441" i="9"/>
  <c r="Y441" i="9"/>
  <c r="Z441" i="9"/>
  <c r="A442" i="9"/>
  <c r="B442" i="9"/>
  <c r="C442" i="9"/>
  <c r="D442" i="9"/>
  <c r="E442" i="9"/>
  <c r="F442" i="9"/>
  <c r="G442" i="9"/>
  <c r="H442" i="9"/>
  <c r="I442" i="9"/>
  <c r="J442" i="9"/>
  <c r="K442" i="9"/>
  <c r="L442" i="9"/>
  <c r="M442" i="9"/>
  <c r="N442" i="9"/>
  <c r="O442" i="9"/>
  <c r="P442" i="9"/>
  <c r="Q442" i="9"/>
  <c r="R442" i="9"/>
  <c r="S442" i="9"/>
  <c r="T442" i="9"/>
  <c r="U442" i="9"/>
  <c r="V442" i="9"/>
  <c r="W442" i="9"/>
  <c r="X442" i="9"/>
  <c r="Y442" i="9"/>
  <c r="Z442" i="9"/>
  <c r="A443" i="9"/>
  <c r="B443" i="9"/>
  <c r="C443" i="9"/>
  <c r="D443" i="9"/>
  <c r="E443" i="9"/>
  <c r="F443" i="9"/>
  <c r="G443" i="9"/>
  <c r="H443" i="9"/>
  <c r="I443" i="9"/>
  <c r="J443" i="9"/>
  <c r="K443" i="9"/>
  <c r="L443" i="9"/>
  <c r="M443" i="9"/>
  <c r="N443" i="9"/>
  <c r="O443" i="9"/>
  <c r="P443" i="9"/>
  <c r="Q443" i="9"/>
  <c r="R443" i="9"/>
  <c r="S443" i="9"/>
  <c r="T443" i="9"/>
  <c r="U443" i="9"/>
  <c r="V443" i="9"/>
  <c r="W443" i="9"/>
  <c r="X443" i="9"/>
  <c r="Y443" i="9"/>
  <c r="Z443" i="9"/>
  <c r="A444" i="9"/>
  <c r="B444" i="9"/>
  <c r="C444" i="9"/>
  <c r="D444" i="9"/>
  <c r="E444" i="9"/>
  <c r="F444" i="9"/>
  <c r="G444" i="9"/>
  <c r="H444" i="9"/>
  <c r="I444" i="9"/>
  <c r="J444" i="9"/>
  <c r="K444" i="9"/>
  <c r="L444" i="9"/>
  <c r="M444" i="9"/>
  <c r="N444" i="9"/>
  <c r="O444" i="9"/>
  <c r="P444" i="9"/>
  <c r="Q444" i="9"/>
  <c r="R444" i="9"/>
  <c r="S444" i="9"/>
  <c r="T444" i="9"/>
  <c r="U444" i="9"/>
  <c r="V444" i="9"/>
  <c r="W444" i="9"/>
  <c r="X444" i="9"/>
  <c r="Y444" i="9"/>
  <c r="Z444" i="9"/>
  <c r="A445" i="9"/>
  <c r="B445" i="9"/>
  <c r="C445" i="9"/>
  <c r="D445" i="9"/>
  <c r="E445" i="9"/>
  <c r="F445" i="9"/>
  <c r="G445" i="9"/>
  <c r="H445" i="9"/>
  <c r="I445" i="9"/>
  <c r="J445" i="9"/>
  <c r="K445" i="9"/>
  <c r="L445" i="9"/>
  <c r="M445" i="9"/>
  <c r="N445" i="9"/>
  <c r="O445" i="9"/>
  <c r="P445" i="9"/>
  <c r="Q445" i="9"/>
  <c r="R445" i="9"/>
  <c r="S445" i="9"/>
  <c r="T445" i="9"/>
  <c r="U445" i="9"/>
  <c r="V445" i="9"/>
  <c r="W445" i="9"/>
  <c r="X445" i="9"/>
  <c r="Y445" i="9"/>
  <c r="Z445" i="9"/>
  <c r="A446" i="9"/>
  <c r="B446" i="9"/>
  <c r="C446" i="9"/>
  <c r="D446" i="9"/>
  <c r="E446" i="9"/>
  <c r="F446" i="9"/>
  <c r="G446" i="9"/>
  <c r="H446" i="9"/>
  <c r="I446" i="9"/>
  <c r="J446" i="9"/>
  <c r="K446" i="9"/>
  <c r="L446" i="9"/>
  <c r="M446" i="9"/>
  <c r="N446" i="9"/>
  <c r="O446" i="9"/>
  <c r="P446" i="9"/>
  <c r="Q446" i="9"/>
  <c r="R446" i="9"/>
  <c r="S446" i="9"/>
  <c r="T446" i="9"/>
  <c r="U446" i="9"/>
  <c r="V446" i="9"/>
  <c r="W446" i="9"/>
  <c r="X446" i="9"/>
  <c r="Y446" i="9"/>
  <c r="Z446" i="9"/>
  <c r="A447" i="9"/>
  <c r="B447" i="9"/>
  <c r="C447" i="9"/>
  <c r="D447" i="9"/>
  <c r="E447" i="9"/>
  <c r="F447" i="9"/>
  <c r="G447" i="9"/>
  <c r="H447" i="9"/>
  <c r="I447" i="9"/>
  <c r="J447" i="9"/>
  <c r="K447" i="9"/>
  <c r="L447" i="9"/>
  <c r="M447" i="9"/>
  <c r="N447" i="9"/>
  <c r="O447" i="9"/>
  <c r="P447" i="9"/>
  <c r="Q447" i="9"/>
  <c r="R447" i="9"/>
  <c r="S447" i="9"/>
  <c r="T447" i="9"/>
  <c r="U447" i="9"/>
  <c r="V447" i="9"/>
  <c r="W447" i="9"/>
  <c r="X447" i="9"/>
  <c r="Y447" i="9"/>
  <c r="Z447" i="9"/>
  <c r="A448" i="9"/>
  <c r="B448" i="9"/>
  <c r="C448" i="9"/>
  <c r="D448" i="9"/>
  <c r="E448" i="9"/>
  <c r="F448" i="9"/>
  <c r="G448" i="9"/>
  <c r="H448" i="9"/>
  <c r="I448" i="9"/>
  <c r="J448" i="9"/>
  <c r="K448" i="9"/>
  <c r="L448" i="9"/>
  <c r="M448" i="9"/>
  <c r="N448" i="9"/>
  <c r="O448" i="9"/>
  <c r="P448" i="9"/>
  <c r="Q448" i="9"/>
  <c r="R448" i="9"/>
  <c r="S448" i="9"/>
  <c r="T448" i="9"/>
  <c r="U448" i="9"/>
  <c r="V448" i="9"/>
  <c r="W448" i="9"/>
  <c r="X448" i="9"/>
  <c r="Y448" i="9"/>
  <c r="Z448" i="9"/>
  <c r="A449" i="9"/>
  <c r="B449" i="9"/>
  <c r="C449" i="9"/>
  <c r="D449" i="9"/>
  <c r="E449" i="9"/>
  <c r="F449" i="9"/>
  <c r="G449" i="9"/>
  <c r="H449" i="9"/>
  <c r="I449" i="9"/>
  <c r="J449" i="9"/>
  <c r="K449" i="9"/>
  <c r="L449" i="9"/>
  <c r="M449" i="9"/>
  <c r="N449" i="9"/>
  <c r="O449" i="9"/>
  <c r="P449" i="9"/>
  <c r="Q449" i="9"/>
  <c r="R449" i="9"/>
  <c r="S449" i="9"/>
  <c r="T449" i="9"/>
  <c r="U449" i="9"/>
  <c r="V449" i="9"/>
  <c r="W449" i="9"/>
  <c r="X449" i="9"/>
  <c r="Y449" i="9"/>
  <c r="Z449" i="9"/>
  <c r="A450" i="9"/>
  <c r="B450" i="9"/>
  <c r="C450" i="9"/>
  <c r="D450" i="9"/>
  <c r="E450" i="9"/>
  <c r="F450" i="9"/>
  <c r="G450" i="9"/>
  <c r="H450" i="9"/>
  <c r="I450" i="9"/>
  <c r="J450" i="9"/>
  <c r="K450" i="9"/>
  <c r="L450" i="9"/>
  <c r="M450" i="9"/>
  <c r="N450" i="9"/>
  <c r="O450" i="9"/>
  <c r="P450" i="9"/>
  <c r="Q450" i="9"/>
  <c r="R450" i="9"/>
  <c r="S450" i="9"/>
  <c r="T450" i="9"/>
  <c r="U450" i="9"/>
  <c r="V450" i="9"/>
  <c r="W450" i="9"/>
  <c r="X450" i="9"/>
  <c r="Y450" i="9"/>
  <c r="Z450" i="9"/>
  <c r="A451" i="9"/>
  <c r="B451" i="9"/>
  <c r="C451" i="9"/>
  <c r="D451" i="9"/>
  <c r="E451" i="9"/>
  <c r="F451" i="9"/>
  <c r="G451" i="9"/>
  <c r="H451" i="9"/>
  <c r="I451" i="9"/>
  <c r="J451" i="9"/>
  <c r="K451" i="9"/>
  <c r="L451" i="9"/>
  <c r="M451" i="9"/>
  <c r="N451" i="9"/>
  <c r="O451" i="9"/>
  <c r="P451" i="9"/>
  <c r="Q451" i="9"/>
  <c r="R451" i="9"/>
  <c r="S451" i="9"/>
  <c r="T451" i="9"/>
  <c r="U451" i="9"/>
  <c r="V451" i="9"/>
  <c r="W451" i="9"/>
  <c r="X451" i="9"/>
  <c r="Y451" i="9"/>
  <c r="Z451" i="9"/>
  <c r="A452" i="9"/>
  <c r="B452" i="9"/>
  <c r="C452" i="9"/>
  <c r="D452" i="9"/>
  <c r="E452" i="9"/>
  <c r="F452" i="9"/>
  <c r="G452" i="9"/>
  <c r="H452" i="9"/>
  <c r="I452" i="9"/>
  <c r="J452" i="9"/>
  <c r="K452" i="9"/>
  <c r="L452" i="9"/>
  <c r="M452" i="9"/>
  <c r="N452" i="9"/>
  <c r="O452" i="9"/>
  <c r="P452" i="9"/>
  <c r="Q452" i="9"/>
  <c r="R452" i="9"/>
  <c r="S452" i="9"/>
  <c r="T452" i="9"/>
  <c r="U452" i="9"/>
  <c r="V452" i="9"/>
  <c r="W452" i="9"/>
  <c r="X452" i="9"/>
  <c r="Y452" i="9"/>
  <c r="Z452" i="9"/>
  <c r="A453" i="9"/>
  <c r="B453" i="9"/>
  <c r="C453" i="9"/>
  <c r="D453" i="9"/>
  <c r="E453" i="9"/>
  <c r="F453" i="9"/>
  <c r="G453" i="9"/>
  <c r="H453" i="9"/>
  <c r="I453" i="9"/>
  <c r="J453" i="9"/>
  <c r="K453" i="9"/>
  <c r="L453" i="9"/>
  <c r="M453" i="9"/>
  <c r="N453" i="9"/>
  <c r="O453" i="9"/>
  <c r="P453" i="9"/>
  <c r="Q453" i="9"/>
  <c r="R453" i="9"/>
  <c r="S453" i="9"/>
  <c r="T453" i="9"/>
  <c r="U453" i="9"/>
  <c r="V453" i="9"/>
  <c r="W453" i="9"/>
  <c r="X453" i="9"/>
  <c r="Y453" i="9"/>
  <c r="Z453" i="9"/>
  <c r="A454" i="9"/>
  <c r="B454" i="9"/>
  <c r="C454" i="9"/>
  <c r="D454" i="9"/>
  <c r="E454" i="9"/>
  <c r="F454" i="9"/>
  <c r="G454" i="9"/>
  <c r="H454" i="9"/>
  <c r="I454" i="9"/>
  <c r="J454" i="9"/>
  <c r="K454" i="9"/>
  <c r="L454" i="9"/>
  <c r="M454" i="9"/>
  <c r="N454" i="9"/>
  <c r="O454" i="9"/>
  <c r="P454" i="9"/>
  <c r="Q454" i="9"/>
  <c r="R454" i="9"/>
  <c r="S454" i="9"/>
  <c r="T454" i="9"/>
  <c r="U454" i="9"/>
  <c r="V454" i="9"/>
  <c r="W454" i="9"/>
  <c r="X454" i="9"/>
  <c r="Y454" i="9"/>
  <c r="Z454" i="9"/>
  <c r="A455" i="9"/>
  <c r="B455" i="9"/>
  <c r="C455" i="9"/>
  <c r="D455" i="9"/>
  <c r="E455" i="9"/>
  <c r="F455" i="9"/>
  <c r="G455" i="9"/>
  <c r="H455" i="9"/>
  <c r="I455" i="9"/>
  <c r="J455" i="9"/>
  <c r="K455" i="9"/>
  <c r="L455" i="9"/>
  <c r="M455" i="9"/>
  <c r="N455" i="9"/>
  <c r="O455" i="9"/>
  <c r="P455" i="9"/>
  <c r="Q455" i="9"/>
  <c r="R455" i="9"/>
  <c r="S455" i="9"/>
  <c r="T455" i="9"/>
  <c r="U455" i="9"/>
  <c r="V455" i="9"/>
  <c r="W455" i="9"/>
  <c r="X455" i="9"/>
  <c r="Y455" i="9"/>
  <c r="Z455" i="9"/>
  <c r="A456" i="9"/>
  <c r="B456" i="9"/>
  <c r="C456" i="9"/>
  <c r="D456" i="9"/>
  <c r="E456" i="9"/>
  <c r="F456" i="9"/>
  <c r="G456" i="9"/>
  <c r="H456" i="9"/>
  <c r="I456" i="9"/>
  <c r="J456" i="9"/>
  <c r="K456" i="9"/>
  <c r="L456" i="9"/>
  <c r="M456" i="9"/>
  <c r="N456" i="9"/>
  <c r="O456" i="9"/>
  <c r="P456" i="9"/>
  <c r="Q456" i="9"/>
  <c r="R456" i="9"/>
  <c r="S456" i="9"/>
  <c r="T456" i="9"/>
  <c r="U456" i="9"/>
  <c r="V456" i="9"/>
  <c r="W456" i="9"/>
  <c r="X456" i="9"/>
  <c r="Y456" i="9"/>
  <c r="Z456" i="9"/>
  <c r="A457" i="9"/>
  <c r="B457" i="9"/>
  <c r="C457" i="9"/>
  <c r="D457" i="9"/>
  <c r="E457" i="9"/>
  <c r="F457" i="9"/>
  <c r="G457" i="9"/>
  <c r="H457" i="9"/>
  <c r="I457" i="9"/>
  <c r="J457" i="9"/>
  <c r="K457" i="9"/>
  <c r="L457" i="9"/>
  <c r="M457" i="9"/>
  <c r="N457" i="9"/>
  <c r="O457" i="9"/>
  <c r="P457" i="9"/>
  <c r="Q457" i="9"/>
  <c r="R457" i="9"/>
  <c r="S457" i="9"/>
  <c r="T457" i="9"/>
  <c r="U457" i="9"/>
  <c r="V457" i="9"/>
  <c r="W457" i="9"/>
  <c r="X457" i="9"/>
  <c r="Y457" i="9"/>
  <c r="Z457" i="9"/>
  <c r="A458" i="9"/>
  <c r="B458" i="9"/>
  <c r="C458" i="9"/>
  <c r="D458" i="9"/>
  <c r="E458" i="9"/>
  <c r="F458" i="9"/>
  <c r="G458" i="9"/>
  <c r="H458" i="9"/>
  <c r="I458" i="9"/>
  <c r="J458" i="9"/>
  <c r="K458" i="9"/>
  <c r="L458" i="9"/>
  <c r="M458" i="9"/>
  <c r="N458" i="9"/>
  <c r="O458" i="9"/>
  <c r="P458" i="9"/>
  <c r="Q458" i="9"/>
  <c r="R458" i="9"/>
  <c r="S458" i="9"/>
  <c r="T458" i="9"/>
  <c r="U458" i="9"/>
  <c r="V458" i="9"/>
  <c r="W458" i="9"/>
  <c r="X458" i="9"/>
  <c r="Y458" i="9"/>
  <c r="Z458" i="9"/>
  <c r="A459" i="9"/>
  <c r="B459" i="9"/>
  <c r="C459" i="9"/>
  <c r="D459" i="9"/>
  <c r="E459" i="9"/>
  <c r="F459" i="9"/>
  <c r="G459" i="9"/>
  <c r="H459" i="9"/>
  <c r="I459" i="9"/>
  <c r="J459" i="9"/>
  <c r="K459" i="9"/>
  <c r="L459" i="9"/>
  <c r="M459" i="9"/>
  <c r="N459" i="9"/>
  <c r="O459" i="9"/>
  <c r="P459" i="9"/>
  <c r="Q459" i="9"/>
  <c r="R459" i="9"/>
  <c r="S459" i="9"/>
  <c r="T459" i="9"/>
  <c r="U459" i="9"/>
  <c r="V459" i="9"/>
  <c r="W459" i="9"/>
  <c r="X459" i="9"/>
  <c r="Y459" i="9"/>
  <c r="Z459" i="9"/>
  <c r="A460" i="9"/>
  <c r="B460" i="9"/>
  <c r="C460" i="9"/>
  <c r="D460" i="9"/>
  <c r="E460" i="9"/>
  <c r="F460" i="9"/>
  <c r="G460" i="9"/>
  <c r="H460" i="9"/>
  <c r="I460" i="9"/>
  <c r="J460" i="9"/>
  <c r="K460" i="9"/>
  <c r="L460" i="9"/>
  <c r="M460" i="9"/>
  <c r="N460" i="9"/>
  <c r="O460" i="9"/>
  <c r="P460" i="9"/>
  <c r="Q460" i="9"/>
  <c r="R460" i="9"/>
  <c r="S460" i="9"/>
  <c r="T460" i="9"/>
  <c r="U460" i="9"/>
  <c r="V460" i="9"/>
  <c r="W460" i="9"/>
  <c r="X460" i="9"/>
  <c r="Y460" i="9"/>
  <c r="Z460" i="9"/>
  <c r="A461" i="9"/>
  <c r="B461" i="9"/>
  <c r="C461" i="9"/>
  <c r="D461" i="9"/>
  <c r="E461" i="9"/>
  <c r="F461" i="9"/>
  <c r="G461" i="9"/>
  <c r="H461" i="9"/>
  <c r="I461" i="9"/>
  <c r="J461" i="9"/>
  <c r="K461" i="9"/>
  <c r="L461" i="9"/>
  <c r="M461" i="9"/>
  <c r="N461" i="9"/>
  <c r="O461" i="9"/>
  <c r="P461" i="9"/>
  <c r="Q461" i="9"/>
  <c r="R461" i="9"/>
  <c r="S461" i="9"/>
  <c r="T461" i="9"/>
  <c r="U461" i="9"/>
  <c r="V461" i="9"/>
  <c r="W461" i="9"/>
  <c r="X461" i="9"/>
  <c r="Y461" i="9"/>
  <c r="Z461" i="9"/>
  <c r="A462" i="9"/>
  <c r="B462" i="9"/>
  <c r="C462" i="9"/>
  <c r="D462" i="9"/>
  <c r="E462" i="9"/>
  <c r="F462" i="9"/>
  <c r="G462" i="9"/>
  <c r="H462" i="9"/>
  <c r="I462" i="9"/>
  <c r="J462" i="9"/>
  <c r="K462" i="9"/>
  <c r="L462" i="9"/>
  <c r="M462" i="9"/>
  <c r="N462" i="9"/>
  <c r="O462" i="9"/>
  <c r="P462" i="9"/>
  <c r="Q462" i="9"/>
  <c r="R462" i="9"/>
  <c r="S462" i="9"/>
  <c r="T462" i="9"/>
  <c r="U462" i="9"/>
  <c r="V462" i="9"/>
  <c r="W462" i="9"/>
  <c r="X462" i="9"/>
  <c r="Y462" i="9"/>
  <c r="Z462" i="9"/>
  <c r="A463" i="9"/>
  <c r="B463" i="9"/>
  <c r="C463" i="9"/>
  <c r="D463" i="9"/>
  <c r="E463" i="9"/>
  <c r="F463" i="9"/>
  <c r="G463" i="9"/>
  <c r="H463" i="9"/>
  <c r="I463" i="9"/>
  <c r="J463" i="9"/>
  <c r="K463" i="9"/>
  <c r="L463" i="9"/>
  <c r="M463" i="9"/>
  <c r="N463" i="9"/>
  <c r="O463" i="9"/>
  <c r="P463" i="9"/>
  <c r="Q463" i="9"/>
  <c r="R463" i="9"/>
  <c r="S463" i="9"/>
  <c r="T463" i="9"/>
  <c r="U463" i="9"/>
  <c r="V463" i="9"/>
  <c r="W463" i="9"/>
  <c r="X463" i="9"/>
  <c r="Y463" i="9"/>
  <c r="Z463" i="9"/>
  <c r="A464" i="9"/>
  <c r="B464" i="9"/>
  <c r="C464" i="9"/>
  <c r="D464" i="9"/>
  <c r="E464" i="9"/>
  <c r="F464" i="9"/>
  <c r="G464" i="9"/>
  <c r="H464" i="9"/>
  <c r="I464" i="9"/>
  <c r="J464" i="9"/>
  <c r="K464" i="9"/>
  <c r="L464" i="9"/>
  <c r="M464" i="9"/>
  <c r="N464" i="9"/>
  <c r="O464" i="9"/>
  <c r="P464" i="9"/>
  <c r="Q464" i="9"/>
  <c r="R464" i="9"/>
  <c r="S464" i="9"/>
  <c r="T464" i="9"/>
  <c r="U464" i="9"/>
  <c r="V464" i="9"/>
  <c r="W464" i="9"/>
  <c r="X464" i="9"/>
  <c r="Y464" i="9"/>
  <c r="Z464" i="9"/>
  <c r="A465" i="9"/>
  <c r="B465" i="9"/>
  <c r="C465" i="9"/>
  <c r="D465" i="9"/>
  <c r="E465" i="9"/>
  <c r="F465" i="9"/>
  <c r="G465" i="9"/>
  <c r="H465" i="9"/>
  <c r="I465" i="9"/>
  <c r="J465" i="9"/>
  <c r="K465" i="9"/>
  <c r="L465" i="9"/>
  <c r="M465" i="9"/>
  <c r="N465" i="9"/>
  <c r="O465" i="9"/>
  <c r="P465" i="9"/>
  <c r="Q465" i="9"/>
  <c r="R465" i="9"/>
  <c r="S465" i="9"/>
  <c r="T465" i="9"/>
  <c r="U465" i="9"/>
  <c r="V465" i="9"/>
  <c r="W465" i="9"/>
  <c r="X465" i="9"/>
  <c r="Y465" i="9"/>
  <c r="Z465" i="9"/>
  <c r="A466" i="9"/>
  <c r="B466" i="9"/>
  <c r="C466" i="9"/>
  <c r="D466" i="9"/>
  <c r="E466" i="9"/>
  <c r="F466" i="9"/>
  <c r="G466" i="9"/>
  <c r="H466" i="9"/>
  <c r="I466" i="9"/>
  <c r="J466" i="9"/>
  <c r="K466" i="9"/>
  <c r="L466" i="9"/>
  <c r="M466" i="9"/>
  <c r="N466" i="9"/>
  <c r="O466" i="9"/>
  <c r="P466" i="9"/>
  <c r="Q466" i="9"/>
  <c r="R466" i="9"/>
  <c r="S466" i="9"/>
  <c r="T466" i="9"/>
  <c r="U466" i="9"/>
  <c r="V466" i="9"/>
  <c r="W466" i="9"/>
  <c r="X466" i="9"/>
  <c r="Y466" i="9"/>
  <c r="Z466" i="9"/>
  <c r="A467" i="9"/>
  <c r="B467" i="9"/>
  <c r="C467" i="9"/>
  <c r="D467" i="9"/>
  <c r="E467" i="9"/>
  <c r="F467" i="9"/>
  <c r="G467" i="9"/>
  <c r="H467" i="9"/>
  <c r="I467" i="9"/>
  <c r="J467" i="9"/>
  <c r="K467" i="9"/>
  <c r="L467" i="9"/>
  <c r="M467" i="9"/>
  <c r="N467" i="9"/>
  <c r="O467" i="9"/>
  <c r="P467" i="9"/>
  <c r="Q467" i="9"/>
  <c r="R467" i="9"/>
  <c r="S467" i="9"/>
  <c r="T467" i="9"/>
  <c r="U467" i="9"/>
  <c r="V467" i="9"/>
  <c r="W467" i="9"/>
  <c r="X467" i="9"/>
  <c r="Y467" i="9"/>
  <c r="Z467" i="9"/>
  <c r="A468" i="9"/>
  <c r="B468" i="9"/>
  <c r="C468" i="9"/>
  <c r="D468" i="9"/>
  <c r="E468" i="9"/>
  <c r="F468" i="9"/>
  <c r="G468" i="9"/>
  <c r="H468" i="9"/>
  <c r="I468" i="9"/>
  <c r="J468" i="9"/>
  <c r="K468" i="9"/>
  <c r="L468" i="9"/>
  <c r="M468" i="9"/>
  <c r="N468" i="9"/>
  <c r="O468" i="9"/>
  <c r="P468" i="9"/>
  <c r="Q468" i="9"/>
  <c r="R468" i="9"/>
  <c r="S468" i="9"/>
  <c r="T468" i="9"/>
  <c r="U468" i="9"/>
  <c r="V468" i="9"/>
  <c r="W468" i="9"/>
  <c r="X468" i="9"/>
  <c r="Y468" i="9"/>
  <c r="Z468" i="9"/>
  <c r="A469" i="9"/>
  <c r="B469" i="9"/>
  <c r="C469" i="9"/>
  <c r="D469" i="9"/>
  <c r="E469" i="9"/>
  <c r="F469" i="9"/>
  <c r="G469" i="9"/>
  <c r="H469" i="9"/>
  <c r="I469" i="9"/>
  <c r="J469" i="9"/>
  <c r="K469" i="9"/>
  <c r="L469" i="9"/>
  <c r="M469" i="9"/>
  <c r="N469" i="9"/>
  <c r="O469" i="9"/>
  <c r="P469" i="9"/>
  <c r="Q469" i="9"/>
  <c r="R469" i="9"/>
  <c r="S469" i="9"/>
  <c r="T469" i="9"/>
  <c r="U469" i="9"/>
  <c r="V469" i="9"/>
  <c r="W469" i="9"/>
  <c r="X469" i="9"/>
  <c r="Y469" i="9"/>
  <c r="Z469" i="9"/>
  <c r="A470" i="9"/>
  <c r="B470" i="9"/>
  <c r="C470" i="9"/>
  <c r="D470" i="9"/>
  <c r="E470" i="9"/>
  <c r="F470" i="9"/>
  <c r="G470" i="9"/>
  <c r="H470" i="9"/>
  <c r="I470" i="9"/>
  <c r="J470" i="9"/>
  <c r="K470" i="9"/>
  <c r="L470" i="9"/>
  <c r="M470" i="9"/>
  <c r="N470" i="9"/>
  <c r="O470" i="9"/>
  <c r="P470" i="9"/>
  <c r="Q470" i="9"/>
  <c r="R470" i="9"/>
  <c r="S470" i="9"/>
  <c r="T470" i="9"/>
  <c r="U470" i="9"/>
  <c r="V470" i="9"/>
  <c r="W470" i="9"/>
  <c r="X470" i="9"/>
  <c r="Y470" i="9"/>
  <c r="Z470" i="9"/>
  <c r="A471" i="9"/>
  <c r="B471" i="9"/>
  <c r="C471" i="9"/>
  <c r="D471" i="9"/>
  <c r="E471" i="9"/>
  <c r="F471" i="9"/>
  <c r="G471" i="9"/>
  <c r="H471" i="9"/>
  <c r="I471" i="9"/>
  <c r="J471" i="9"/>
  <c r="K471" i="9"/>
  <c r="L471" i="9"/>
  <c r="M471" i="9"/>
  <c r="N471" i="9"/>
  <c r="O471" i="9"/>
  <c r="P471" i="9"/>
  <c r="Q471" i="9"/>
  <c r="R471" i="9"/>
  <c r="S471" i="9"/>
  <c r="T471" i="9"/>
  <c r="U471" i="9"/>
  <c r="V471" i="9"/>
  <c r="W471" i="9"/>
  <c r="X471" i="9"/>
  <c r="Y471" i="9"/>
  <c r="Z471" i="9"/>
  <c r="A472" i="9"/>
  <c r="B472" i="9"/>
  <c r="C472" i="9"/>
  <c r="D472" i="9"/>
  <c r="E472" i="9"/>
  <c r="F472" i="9"/>
  <c r="G472" i="9"/>
  <c r="H472" i="9"/>
  <c r="I472" i="9"/>
  <c r="J472" i="9"/>
  <c r="K472" i="9"/>
  <c r="L472" i="9"/>
  <c r="M472" i="9"/>
  <c r="N472" i="9"/>
  <c r="O472" i="9"/>
  <c r="P472" i="9"/>
  <c r="Q472" i="9"/>
  <c r="R472" i="9"/>
  <c r="S472" i="9"/>
  <c r="T472" i="9"/>
  <c r="U472" i="9"/>
  <c r="V472" i="9"/>
  <c r="W472" i="9"/>
  <c r="X472" i="9"/>
  <c r="Y472" i="9"/>
  <c r="Z472" i="9"/>
  <c r="A473" i="9"/>
  <c r="B473" i="9"/>
  <c r="C473" i="9"/>
  <c r="D473" i="9"/>
  <c r="E473" i="9"/>
  <c r="F473" i="9"/>
  <c r="G473" i="9"/>
  <c r="H473" i="9"/>
  <c r="I473" i="9"/>
  <c r="J473" i="9"/>
  <c r="K473" i="9"/>
  <c r="L473" i="9"/>
  <c r="M473" i="9"/>
  <c r="N473" i="9"/>
  <c r="O473" i="9"/>
  <c r="P473" i="9"/>
  <c r="Q473" i="9"/>
  <c r="R473" i="9"/>
  <c r="S473" i="9"/>
  <c r="T473" i="9"/>
  <c r="U473" i="9"/>
  <c r="V473" i="9"/>
  <c r="W473" i="9"/>
  <c r="X473" i="9"/>
  <c r="Y473" i="9"/>
  <c r="Z473" i="9"/>
  <c r="A474" i="9"/>
  <c r="B474" i="9"/>
  <c r="C474" i="9"/>
  <c r="D474" i="9"/>
  <c r="E474" i="9"/>
  <c r="F474" i="9"/>
  <c r="G474" i="9"/>
  <c r="H474" i="9"/>
  <c r="I474" i="9"/>
  <c r="J474" i="9"/>
  <c r="K474" i="9"/>
  <c r="L474" i="9"/>
  <c r="M474" i="9"/>
  <c r="N474" i="9"/>
  <c r="O474" i="9"/>
  <c r="P474" i="9"/>
  <c r="Q474" i="9"/>
  <c r="R474" i="9"/>
  <c r="S474" i="9"/>
  <c r="T474" i="9"/>
  <c r="U474" i="9"/>
  <c r="V474" i="9"/>
  <c r="W474" i="9"/>
  <c r="X474" i="9"/>
  <c r="Y474" i="9"/>
  <c r="Z474" i="9"/>
  <c r="A475" i="9"/>
  <c r="B475" i="9"/>
  <c r="C475" i="9"/>
  <c r="D475" i="9"/>
  <c r="E475" i="9"/>
  <c r="F475" i="9"/>
  <c r="G475" i="9"/>
  <c r="H475" i="9"/>
  <c r="I475" i="9"/>
  <c r="J475" i="9"/>
  <c r="K475" i="9"/>
  <c r="L475" i="9"/>
  <c r="M475" i="9"/>
  <c r="N475" i="9"/>
  <c r="O475" i="9"/>
  <c r="P475" i="9"/>
  <c r="Q475" i="9"/>
  <c r="R475" i="9"/>
  <c r="S475" i="9"/>
  <c r="T475" i="9"/>
  <c r="U475" i="9"/>
  <c r="V475" i="9"/>
  <c r="W475" i="9"/>
  <c r="X475" i="9"/>
  <c r="Y475" i="9"/>
  <c r="Z475" i="9"/>
  <c r="A476" i="9"/>
  <c r="B476" i="9"/>
  <c r="C476" i="9"/>
  <c r="D476" i="9"/>
  <c r="E476" i="9"/>
  <c r="F476" i="9"/>
  <c r="G476" i="9"/>
  <c r="H476" i="9"/>
  <c r="I476" i="9"/>
  <c r="J476" i="9"/>
  <c r="K476" i="9"/>
  <c r="L476" i="9"/>
  <c r="M476" i="9"/>
  <c r="N476" i="9"/>
  <c r="O476" i="9"/>
  <c r="P476" i="9"/>
  <c r="Q476" i="9"/>
  <c r="R476" i="9"/>
  <c r="S476" i="9"/>
  <c r="T476" i="9"/>
  <c r="U476" i="9"/>
  <c r="V476" i="9"/>
  <c r="W476" i="9"/>
  <c r="X476" i="9"/>
  <c r="Y476" i="9"/>
  <c r="Z476" i="9"/>
  <c r="A477" i="9"/>
  <c r="B477" i="9"/>
  <c r="C477" i="9"/>
  <c r="D477" i="9"/>
  <c r="E477" i="9"/>
  <c r="F477" i="9"/>
  <c r="G477" i="9"/>
  <c r="H477" i="9"/>
  <c r="I477" i="9"/>
  <c r="J477" i="9"/>
  <c r="K477" i="9"/>
  <c r="L477" i="9"/>
  <c r="M477" i="9"/>
  <c r="N477" i="9"/>
  <c r="O477" i="9"/>
  <c r="P477" i="9"/>
  <c r="Q477" i="9"/>
  <c r="R477" i="9"/>
  <c r="S477" i="9"/>
  <c r="T477" i="9"/>
  <c r="U477" i="9"/>
  <c r="V477" i="9"/>
  <c r="W477" i="9"/>
  <c r="X477" i="9"/>
  <c r="Y477" i="9"/>
  <c r="Z477" i="9"/>
  <c r="A478" i="9"/>
  <c r="B478" i="9"/>
  <c r="C478" i="9"/>
  <c r="D478" i="9"/>
  <c r="E478" i="9"/>
  <c r="F478" i="9"/>
  <c r="G478" i="9"/>
  <c r="H478" i="9"/>
  <c r="I478" i="9"/>
  <c r="J478" i="9"/>
  <c r="K478" i="9"/>
  <c r="L478" i="9"/>
  <c r="M478" i="9"/>
  <c r="N478" i="9"/>
  <c r="O478" i="9"/>
  <c r="P478" i="9"/>
  <c r="Q478" i="9"/>
  <c r="R478" i="9"/>
  <c r="S478" i="9"/>
  <c r="T478" i="9"/>
  <c r="U478" i="9"/>
  <c r="V478" i="9"/>
  <c r="W478" i="9"/>
  <c r="X478" i="9"/>
  <c r="Y478" i="9"/>
  <c r="Z478" i="9"/>
  <c r="A479" i="9"/>
  <c r="B479" i="9"/>
  <c r="C479" i="9"/>
  <c r="D479" i="9"/>
  <c r="E479" i="9"/>
  <c r="F479" i="9"/>
  <c r="G479" i="9"/>
  <c r="H479" i="9"/>
  <c r="I479" i="9"/>
  <c r="J479" i="9"/>
  <c r="K479" i="9"/>
  <c r="L479" i="9"/>
  <c r="M479" i="9"/>
  <c r="N479" i="9"/>
  <c r="O479" i="9"/>
  <c r="P479" i="9"/>
  <c r="Q479" i="9"/>
  <c r="R479" i="9"/>
  <c r="S479" i="9"/>
  <c r="T479" i="9"/>
  <c r="U479" i="9"/>
  <c r="V479" i="9"/>
  <c r="W479" i="9"/>
  <c r="X479" i="9"/>
  <c r="Y479" i="9"/>
  <c r="Z479" i="9"/>
  <c r="A480" i="9"/>
  <c r="B480" i="9"/>
  <c r="C480" i="9"/>
  <c r="D480" i="9"/>
  <c r="E480" i="9"/>
  <c r="F480" i="9"/>
  <c r="G480" i="9"/>
  <c r="H480" i="9"/>
  <c r="I480" i="9"/>
  <c r="J480" i="9"/>
  <c r="K480" i="9"/>
  <c r="L480" i="9"/>
  <c r="M480" i="9"/>
  <c r="N480" i="9"/>
  <c r="O480" i="9"/>
  <c r="P480" i="9"/>
  <c r="Q480" i="9"/>
  <c r="R480" i="9"/>
  <c r="S480" i="9"/>
  <c r="T480" i="9"/>
  <c r="U480" i="9"/>
  <c r="V480" i="9"/>
  <c r="W480" i="9"/>
  <c r="X480" i="9"/>
  <c r="Y480" i="9"/>
  <c r="Z480" i="9"/>
  <c r="A481" i="9"/>
  <c r="B481" i="9"/>
  <c r="C481" i="9"/>
  <c r="D481" i="9"/>
  <c r="E481" i="9"/>
  <c r="F481" i="9"/>
  <c r="G481" i="9"/>
  <c r="H481" i="9"/>
  <c r="I481" i="9"/>
  <c r="J481" i="9"/>
  <c r="K481" i="9"/>
  <c r="L481" i="9"/>
  <c r="M481" i="9"/>
  <c r="N481" i="9"/>
  <c r="O481" i="9"/>
  <c r="P481" i="9"/>
  <c r="Q481" i="9"/>
  <c r="R481" i="9"/>
  <c r="S481" i="9"/>
  <c r="T481" i="9"/>
  <c r="U481" i="9"/>
  <c r="V481" i="9"/>
  <c r="W481" i="9"/>
  <c r="X481" i="9"/>
  <c r="Y481" i="9"/>
  <c r="Z481" i="9"/>
  <c r="A482" i="9"/>
  <c r="B482" i="9"/>
  <c r="C482" i="9"/>
  <c r="D482" i="9"/>
  <c r="E482" i="9"/>
  <c r="F482" i="9"/>
  <c r="G482" i="9"/>
  <c r="H482" i="9"/>
  <c r="I482" i="9"/>
  <c r="J482" i="9"/>
  <c r="K482" i="9"/>
  <c r="L482" i="9"/>
  <c r="M482" i="9"/>
  <c r="N482" i="9"/>
  <c r="O482" i="9"/>
  <c r="P482" i="9"/>
  <c r="Q482" i="9"/>
  <c r="R482" i="9"/>
  <c r="S482" i="9"/>
  <c r="T482" i="9"/>
  <c r="U482" i="9"/>
  <c r="V482" i="9"/>
  <c r="W482" i="9"/>
  <c r="X482" i="9"/>
  <c r="Y482" i="9"/>
  <c r="Z482" i="9"/>
  <c r="A483" i="9"/>
  <c r="B483" i="9"/>
  <c r="C483" i="9"/>
  <c r="D483" i="9"/>
  <c r="E483" i="9"/>
  <c r="F483" i="9"/>
  <c r="G483" i="9"/>
  <c r="H483" i="9"/>
  <c r="I483" i="9"/>
  <c r="J483" i="9"/>
  <c r="K483" i="9"/>
  <c r="L483" i="9"/>
  <c r="M483" i="9"/>
  <c r="N483" i="9"/>
  <c r="O483" i="9"/>
  <c r="P483" i="9"/>
  <c r="Q483" i="9"/>
  <c r="R483" i="9"/>
  <c r="S483" i="9"/>
  <c r="T483" i="9"/>
  <c r="U483" i="9"/>
  <c r="V483" i="9"/>
  <c r="W483" i="9"/>
  <c r="X483" i="9"/>
  <c r="Y483" i="9"/>
  <c r="Z483" i="9"/>
  <c r="A484" i="9"/>
  <c r="B484" i="9"/>
  <c r="C484" i="9"/>
  <c r="D484" i="9"/>
  <c r="E484" i="9"/>
  <c r="F484" i="9"/>
  <c r="G484" i="9"/>
  <c r="H484" i="9"/>
  <c r="I484" i="9"/>
  <c r="J484" i="9"/>
  <c r="K484" i="9"/>
  <c r="L484" i="9"/>
  <c r="M484" i="9"/>
  <c r="N484" i="9"/>
  <c r="O484" i="9"/>
  <c r="P484" i="9"/>
  <c r="Q484" i="9"/>
  <c r="R484" i="9"/>
  <c r="S484" i="9"/>
  <c r="T484" i="9"/>
  <c r="U484" i="9"/>
  <c r="V484" i="9"/>
  <c r="W484" i="9"/>
  <c r="X484" i="9"/>
  <c r="Y484" i="9"/>
  <c r="Z484" i="9"/>
  <c r="A485" i="9"/>
  <c r="B485" i="9"/>
  <c r="C485" i="9"/>
  <c r="D485" i="9"/>
  <c r="E485" i="9"/>
  <c r="F485" i="9"/>
  <c r="G485" i="9"/>
  <c r="H485" i="9"/>
  <c r="I485" i="9"/>
  <c r="J485" i="9"/>
  <c r="K485" i="9"/>
  <c r="L485" i="9"/>
  <c r="M485" i="9"/>
  <c r="N485" i="9"/>
  <c r="O485" i="9"/>
  <c r="P485" i="9"/>
  <c r="Q485" i="9"/>
  <c r="R485" i="9"/>
  <c r="S485" i="9"/>
  <c r="T485" i="9"/>
  <c r="U485" i="9"/>
  <c r="V485" i="9"/>
  <c r="W485" i="9"/>
  <c r="X485" i="9"/>
  <c r="Y485" i="9"/>
  <c r="Z485" i="9"/>
  <c r="A486" i="9"/>
  <c r="B486" i="9"/>
  <c r="C486" i="9"/>
  <c r="D486" i="9"/>
  <c r="E486" i="9"/>
  <c r="F486" i="9"/>
  <c r="G486" i="9"/>
  <c r="H486" i="9"/>
  <c r="I486" i="9"/>
  <c r="J486" i="9"/>
  <c r="K486" i="9"/>
  <c r="L486" i="9"/>
  <c r="M486" i="9"/>
  <c r="N486" i="9"/>
  <c r="O486" i="9"/>
  <c r="P486" i="9"/>
  <c r="Q486" i="9"/>
  <c r="R486" i="9"/>
  <c r="S486" i="9"/>
  <c r="T486" i="9"/>
  <c r="U486" i="9"/>
  <c r="V486" i="9"/>
  <c r="W486" i="9"/>
  <c r="X486" i="9"/>
  <c r="Y486" i="9"/>
  <c r="Z486" i="9"/>
  <c r="A487" i="9"/>
  <c r="B487" i="9"/>
  <c r="C487" i="9"/>
  <c r="D487" i="9"/>
  <c r="E487" i="9"/>
  <c r="F487" i="9"/>
  <c r="G487" i="9"/>
  <c r="H487" i="9"/>
  <c r="I487" i="9"/>
  <c r="J487" i="9"/>
  <c r="K487" i="9"/>
  <c r="L487" i="9"/>
  <c r="M487" i="9"/>
  <c r="N487" i="9"/>
  <c r="O487" i="9"/>
  <c r="P487" i="9"/>
  <c r="Q487" i="9"/>
  <c r="R487" i="9"/>
  <c r="S487" i="9"/>
  <c r="T487" i="9"/>
  <c r="U487" i="9"/>
  <c r="V487" i="9"/>
  <c r="W487" i="9"/>
  <c r="X487" i="9"/>
  <c r="Y487" i="9"/>
  <c r="Z487" i="9"/>
  <c r="A488" i="9"/>
  <c r="B488" i="9"/>
  <c r="C488" i="9"/>
  <c r="D488" i="9"/>
  <c r="E488" i="9"/>
  <c r="F488" i="9"/>
  <c r="G488" i="9"/>
  <c r="H488" i="9"/>
  <c r="I488" i="9"/>
  <c r="J488" i="9"/>
  <c r="K488" i="9"/>
  <c r="L488" i="9"/>
  <c r="M488" i="9"/>
  <c r="N488" i="9"/>
  <c r="O488" i="9"/>
  <c r="P488" i="9"/>
  <c r="Q488" i="9"/>
  <c r="R488" i="9"/>
  <c r="S488" i="9"/>
  <c r="T488" i="9"/>
  <c r="U488" i="9"/>
  <c r="V488" i="9"/>
  <c r="W488" i="9"/>
  <c r="X488" i="9"/>
  <c r="Y488" i="9"/>
  <c r="Z488" i="9"/>
  <c r="A489" i="9"/>
  <c r="B489" i="9"/>
  <c r="C489" i="9"/>
  <c r="D489" i="9"/>
  <c r="E489" i="9"/>
  <c r="F489" i="9"/>
  <c r="G489" i="9"/>
  <c r="H489" i="9"/>
  <c r="I489" i="9"/>
  <c r="J489" i="9"/>
  <c r="K489" i="9"/>
  <c r="L489" i="9"/>
  <c r="M489" i="9"/>
  <c r="N489" i="9"/>
  <c r="O489" i="9"/>
  <c r="P489" i="9"/>
  <c r="Q489" i="9"/>
  <c r="R489" i="9"/>
  <c r="S489" i="9"/>
  <c r="T489" i="9"/>
  <c r="U489" i="9"/>
  <c r="V489" i="9"/>
  <c r="W489" i="9"/>
  <c r="X489" i="9"/>
  <c r="Y489" i="9"/>
  <c r="Z489" i="9"/>
  <c r="A490" i="9"/>
  <c r="B490" i="9"/>
  <c r="C490" i="9"/>
  <c r="D490" i="9"/>
  <c r="E490" i="9"/>
  <c r="F490" i="9"/>
  <c r="G490" i="9"/>
  <c r="H490" i="9"/>
  <c r="I490" i="9"/>
  <c r="J490" i="9"/>
  <c r="K490" i="9"/>
  <c r="L490" i="9"/>
  <c r="M490" i="9"/>
  <c r="N490" i="9"/>
  <c r="O490" i="9"/>
  <c r="P490" i="9"/>
  <c r="Q490" i="9"/>
  <c r="R490" i="9"/>
  <c r="S490" i="9"/>
  <c r="T490" i="9"/>
  <c r="U490" i="9"/>
  <c r="V490" i="9"/>
  <c r="W490" i="9"/>
  <c r="X490" i="9"/>
  <c r="Y490" i="9"/>
  <c r="Z490" i="9"/>
  <c r="A491" i="9"/>
  <c r="B491" i="9"/>
  <c r="C491" i="9"/>
  <c r="D491" i="9"/>
  <c r="E491" i="9"/>
  <c r="F491" i="9"/>
  <c r="G491" i="9"/>
  <c r="H491" i="9"/>
  <c r="I491" i="9"/>
  <c r="J491" i="9"/>
  <c r="K491" i="9"/>
  <c r="L491" i="9"/>
  <c r="M491" i="9"/>
  <c r="N491" i="9"/>
  <c r="O491" i="9"/>
  <c r="P491" i="9"/>
  <c r="Q491" i="9"/>
  <c r="R491" i="9"/>
  <c r="S491" i="9"/>
  <c r="T491" i="9"/>
  <c r="U491" i="9"/>
  <c r="V491" i="9"/>
  <c r="W491" i="9"/>
  <c r="X491" i="9"/>
  <c r="Y491" i="9"/>
  <c r="Z491" i="9"/>
  <c r="A492" i="9"/>
  <c r="B492" i="9"/>
  <c r="C492" i="9"/>
  <c r="D492" i="9"/>
  <c r="E492" i="9"/>
  <c r="F492" i="9"/>
  <c r="G492" i="9"/>
  <c r="H492" i="9"/>
  <c r="I492" i="9"/>
  <c r="J492" i="9"/>
  <c r="K492" i="9"/>
  <c r="L492" i="9"/>
  <c r="M492" i="9"/>
  <c r="N492" i="9"/>
  <c r="O492" i="9"/>
  <c r="P492" i="9"/>
  <c r="Q492" i="9"/>
  <c r="R492" i="9"/>
  <c r="S492" i="9"/>
  <c r="T492" i="9"/>
  <c r="U492" i="9"/>
  <c r="V492" i="9"/>
  <c r="W492" i="9"/>
  <c r="X492" i="9"/>
  <c r="Y492" i="9"/>
  <c r="Z492" i="9"/>
  <c r="A493" i="9"/>
  <c r="B493" i="9"/>
  <c r="C493" i="9"/>
  <c r="D493" i="9"/>
  <c r="E493" i="9"/>
  <c r="F493" i="9"/>
  <c r="G493" i="9"/>
  <c r="H493" i="9"/>
  <c r="I493" i="9"/>
  <c r="J493" i="9"/>
  <c r="K493" i="9"/>
  <c r="L493" i="9"/>
  <c r="M493" i="9"/>
  <c r="N493" i="9"/>
  <c r="O493" i="9"/>
  <c r="P493" i="9"/>
  <c r="Q493" i="9"/>
  <c r="R493" i="9"/>
  <c r="S493" i="9"/>
  <c r="T493" i="9"/>
  <c r="U493" i="9"/>
  <c r="V493" i="9"/>
  <c r="W493" i="9"/>
  <c r="X493" i="9"/>
  <c r="Y493" i="9"/>
  <c r="Z493" i="9"/>
  <c r="A494" i="9"/>
  <c r="B494" i="9"/>
  <c r="C494" i="9"/>
  <c r="D494" i="9"/>
  <c r="E494" i="9"/>
  <c r="F494" i="9"/>
  <c r="G494" i="9"/>
  <c r="H494" i="9"/>
  <c r="I494" i="9"/>
  <c r="J494" i="9"/>
  <c r="K494" i="9"/>
  <c r="L494" i="9"/>
  <c r="M494" i="9"/>
  <c r="N494" i="9"/>
  <c r="O494" i="9"/>
  <c r="P494" i="9"/>
  <c r="Q494" i="9"/>
  <c r="R494" i="9"/>
  <c r="S494" i="9"/>
  <c r="T494" i="9"/>
  <c r="U494" i="9"/>
  <c r="V494" i="9"/>
  <c r="W494" i="9"/>
  <c r="X494" i="9"/>
  <c r="Y494" i="9"/>
  <c r="Z494" i="9"/>
  <c r="A495" i="9"/>
  <c r="B495" i="9"/>
  <c r="C495" i="9"/>
  <c r="D495" i="9"/>
  <c r="E495" i="9"/>
  <c r="F495" i="9"/>
  <c r="G495" i="9"/>
  <c r="H495" i="9"/>
  <c r="I495" i="9"/>
  <c r="J495" i="9"/>
  <c r="K495" i="9"/>
  <c r="L495" i="9"/>
  <c r="M495" i="9"/>
  <c r="N495" i="9"/>
  <c r="O495" i="9"/>
  <c r="P495" i="9"/>
  <c r="Q495" i="9"/>
  <c r="R495" i="9"/>
  <c r="S495" i="9"/>
  <c r="T495" i="9"/>
  <c r="U495" i="9"/>
  <c r="V495" i="9"/>
  <c r="W495" i="9"/>
  <c r="X495" i="9"/>
  <c r="Y495" i="9"/>
  <c r="Z495" i="9"/>
  <c r="A496" i="9"/>
  <c r="B496" i="9"/>
  <c r="C496" i="9"/>
  <c r="D496" i="9"/>
  <c r="E496" i="9"/>
  <c r="F496" i="9"/>
  <c r="G496" i="9"/>
  <c r="H496" i="9"/>
  <c r="I496" i="9"/>
  <c r="J496" i="9"/>
  <c r="K496" i="9"/>
  <c r="L496" i="9"/>
  <c r="M496" i="9"/>
  <c r="N496" i="9"/>
  <c r="O496" i="9"/>
  <c r="P496" i="9"/>
  <c r="Q496" i="9"/>
  <c r="R496" i="9"/>
  <c r="S496" i="9"/>
  <c r="T496" i="9"/>
  <c r="U496" i="9"/>
  <c r="V496" i="9"/>
  <c r="W496" i="9"/>
  <c r="X496" i="9"/>
  <c r="Y496" i="9"/>
  <c r="Z496" i="9"/>
  <c r="A497" i="9"/>
  <c r="B497" i="9"/>
  <c r="C497" i="9"/>
  <c r="D497" i="9"/>
  <c r="E497" i="9"/>
  <c r="F497" i="9"/>
  <c r="G497" i="9"/>
  <c r="H497" i="9"/>
  <c r="I497" i="9"/>
  <c r="J497" i="9"/>
  <c r="K497" i="9"/>
  <c r="L497" i="9"/>
  <c r="M497" i="9"/>
  <c r="N497" i="9"/>
  <c r="O497" i="9"/>
  <c r="P497" i="9"/>
  <c r="Q497" i="9"/>
  <c r="R497" i="9"/>
  <c r="S497" i="9"/>
  <c r="T497" i="9"/>
  <c r="U497" i="9"/>
  <c r="V497" i="9"/>
  <c r="W497" i="9"/>
  <c r="X497" i="9"/>
  <c r="Y497" i="9"/>
  <c r="Z497" i="9"/>
  <c r="A498" i="9"/>
  <c r="B498" i="9"/>
  <c r="C498" i="9"/>
  <c r="D498" i="9"/>
  <c r="E498" i="9"/>
  <c r="F498" i="9"/>
  <c r="G498" i="9"/>
  <c r="H498" i="9"/>
  <c r="I498" i="9"/>
  <c r="J498" i="9"/>
  <c r="K498" i="9"/>
  <c r="L498" i="9"/>
  <c r="M498" i="9"/>
  <c r="N498" i="9"/>
  <c r="O498" i="9"/>
  <c r="P498" i="9"/>
  <c r="Q498" i="9"/>
  <c r="R498" i="9"/>
  <c r="S498" i="9"/>
  <c r="T498" i="9"/>
  <c r="U498" i="9"/>
  <c r="V498" i="9"/>
  <c r="W498" i="9"/>
  <c r="X498" i="9"/>
  <c r="Y498" i="9"/>
  <c r="Z498" i="9"/>
  <c r="A499" i="9"/>
  <c r="B499" i="9"/>
  <c r="C499" i="9"/>
  <c r="D499" i="9"/>
  <c r="E499" i="9"/>
  <c r="F499" i="9"/>
  <c r="G499" i="9"/>
  <c r="H499" i="9"/>
  <c r="I499" i="9"/>
  <c r="J499" i="9"/>
  <c r="K499" i="9"/>
  <c r="L499" i="9"/>
  <c r="M499" i="9"/>
  <c r="N499" i="9"/>
  <c r="O499" i="9"/>
  <c r="P499" i="9"/>
  <c r="Q499" i="9"/>
  <c r="R499" i="9"/>
  <c r="S499" i="9"/>
  <c r="T499" i="9"/>
  <c r="U499" i="9"/>
  <c r="V499" i="9"/>
  <c r="W499" i="9"/>
  <c r="X499" i="9"/>
  <c r="Y499" i="9"/>
  <c r="Z499" i="9"/>
  <c r="A500" i="9"/>
  <c r="B500" i="9"/>
  <c r="C500" i="9"/>
  <c r="D500" i="9"/>
  <c r="E500" i="9"/>
  <c r="F500" i="9"/>
  <c r="G500" i="9"/>
  <c r="H500" i="9"/>
  <c r="I500" i="9"/>
  <c r="J500" i="9"/>
  <c r="K500" i="9"/>
  <c r="L500" i="9"/>
  <c r="M500" i="9"/>
  <c r="N500" i="9"/>
  <c r="O500" i="9"/>
  <c r="P500" i="9"/>
  <c r="Q500" i="9"/>
  <c r="R500" i="9"/>
  <c r="S500" i="9"/>
  <c r="T500" i="9"/>
  <c r="U500" i="9"/>
  <c r="V500" i="9"/>
  <c r="W500" i="9"/>
  <c r="X500" i="9"/>
  <c r="Y500" i="9"/>
  <c r="Z500" i="9"/>
  <c r="A501" i="9"/>
  <c r="B501" i="9"/>
  <c r="C501" i="9"/>
  <c r="D501" i="9"/>
  <c r="E501" i="9"/>
  <c r="F501" i="9"/>
  <c r="G501" i="9"/>
  <c r="H501" i="9"/>
  <c r="I501" i="9"/>
  <c r="J501" i="9"/>
  <c r="K501" i="9"/>
  <c r="L501" i="9"/>
  <c r="M501" i="9"/>
  <c r="N501" i="9"/>
  <c r="O501" i="9"/>
  <c r="P501" i="9"/>
  <c r="Q501" i="9"/>
  <c r="R501" i="9"/>
  <c r="S501" i="9"/>
  <c r="T501" i="9"/>
  <c r="U501" i="9"/>
  <c r="V501" i="9"/>
  <c r="W501" i="9"/>
  <c r="X501" i="9"/>
  <c r="Y501" i="9"/>
  <c r="Z501" i="9"/>
  <c r="A502" i="9"/>
  <c r="B502" i="9"/>
  <c r="C502" i="9"/>
  <c r="D502" i="9"/>
  <c r="E502" i="9"/>
  <c r="F502" i="9"/>
  <c r="G502" i="9"/>
  <c r="H502" i="9"/>
  <c r="I502" i="9"/>
  <c r="J502" i="9"/>
  <c r="K502" i="9"/>
  <c r="L502" i="9"/>
  <c r="M502" i="9"/>
  <c r="N502" i="9"/>
  <c r="O502" i="9"/>
  <c r="P502" i="9"/>
  <c r="Q502" i="9"/>
  <c r="R502" i="9"/>
  <c r="S502" i="9"/>
  <c r="T502" i="9"/>
  <c r="U502" i="9"/>
  <c r="V502" i="9"/>
  <c r="W502" i="9"/>
  <c r="X502" i="9"/>
  <c r="Y502" i="9"/>
  <c r="Z502" i="9"/>
  <c r="A503" i="9"/>
  <c r="B503" i="9"/>
  <c r="C503" i="9"/>
  <c r="D503" i="9"/>
  <c r="E503" i="9"/>
  <c r="F503" i="9"/>
  <c r="G503" i="9"/>
  <c r="H503" i="9"/>
  <c r="I503" i="9"/>
  <c r="J503" i="9"/>
  <c r="K503" i="9"/>
  <c r="L503" i="9"/>
  <c r="M503" i="9"/>
  <c r="N503" i="9"/>
  <c r="O503" i="9"/>
  <c r="P503" i="9"/>
  <c r="Q503" i="9"/>
  <c r="R503" i="9"/>
  <c r="S503" i="9"/>
  <c r="T503" i="9"/>
  <c r="U503" i="9"/>
  <c r="V503" i="9"/>
  <c r="W503" i="9"/>
  <c r="X503" i="9"/>
  <c r="Y503" i="9"/>
  <c r="Z503" i="9"/>
  <c r="A504" i="9"/>
  <c r="B504" i="9"/>
  <c r="C504" i="9"/>
  <c r="D504" i="9"/>
  <c r="E504" i="9"/>
  <c r="F504" i="9"/>
  <c r="G504" i="9"/>
  <c r="H504" i="9"/>
  <c r="I504" i="9"/>
  <c r="J504" i="9"/>
  <c r="K504" i="9"/>
  <c r="L504" i="9"/>
  <c r="M504" i="9"/>
  <c r="N504" i="9"/>
  <c r="O504" i="9"/>
  <c r="P504" i="9"/>
  <c r="Q504" i="9"/>
  <c r="R504" i="9"/>
  <c r="S504" i="9"/>
  <c r="T504" i="9"/>
  <c r="U504" i="9"/>
  <c r="V504" i="9"/>
  <c r="W504" i="9"/>
  <c r="X504" i="9"/>
  <c r="Y504" i="9"/>
  <c r="Z504" i="9"/>
  <c r="A505" i="9"/>
  <c r="B505" i="9"/>
  <c r="C505" i="9"/>
  <c r="D505" i="9"/>
  <c r="E505" i="9"/>
  <c r="F505" i="9"/>
  <c r="G505" i="9"/>
  <c r="H505" i="9"/>
  <c r="I505" i="9"/>
  <c r="J505" i="9"/>
  <c r="K505" i="9"/>
  <c r="L505" i="9"/>
  <c r="M505" i="9"/>
  <c r="N505" i="9"/>
  <c r="O505" i="9"/>
  <c r="P505" i="9"/>
  <c r="Q505" i="9"/>
  <c r="R505" i="9"/>
  <c r="S505" i="9"/>
  <c r="T505" i="9"/>
  <c r="U505" i="9"/>
  <c r="V505" i="9"/>
  <c r="W505" i="9"/>
  <c r="X505" i="9"/>
  <c r="Y505" i="9"/>
  <c r="Z505" i="9"/>
  <c r="A506" i="9"/>
  <c r="B506" i="9"/>
  <c r="C506" i="9"/>
  <c r="D506" i="9"/>
  <c r="E506" i="9"/>
  <c r="F506" i="9"/>
  <c r="G506" i="9"/>
  <c r="H506" i="9"/>
  <c r="I506" i="9"/>
  <c r="J506" i="9"/>
  <c r="K506" i="9"/>
  <c r="L506" i="9"/>
  <c r="M506" i="9"/>
  <c r="N506" i="9"/>
  <c r="O506" i="9"/>
  <c r="P506" i="9"/>
  <c r="Q506" i="9"/>
  <c r="R506" i="9"/>
  <c r="S506" i="9"/>
  <c r="T506" i="9"/>
  <c r="U506" i="9"/>
  <c r="V506" i="9"/>
  <c r="W506" i="9"/>
  <c r="X506" i="9"/>
  <c r="Y506" i="9"/>
  <c r="Z506" i="9"/>
  <c r="A507" i="9"/>
  <c r="B507" i="9"/>
  <c r="C507" i="9"/>
  <c r="D507" i="9"/>
  <c r="E507" i="9"/>
  <c r="F507" i="9"/>
  <c r="G507" i="9"/>
  <c r="H507" i="9"/>
  <c r="I507" i="9"/>
  <c r="J507" i="9"/>
  <c r="K507" i="9"/>
  <c r="L507" i="9"/>
  <c r="M507" i="9"/>
  <c r="N507" i="9"/>
  <c r="O507" i="9"/>
  <c r="P507" i="9"/>
  <c r="Q507" i="9"/>
  <c r="R507" i="9"/>
  <c r="S507" i="9"/>
  <c r="T507" i="9"/>
  <c r="U507" i="9"/>
  <c r="V507" i="9"/>
  <c r="W507" i="9"/>
  <c r="X507" i="9"/>
  <c r="Y507" i="9"/>
  <c r="Z507" i="9"/>
  <c r="A508" i="9"/>
  <c r="B508" i="9"/>
  <c r="C508" i="9"/>
  <c r="D508" i="9"/>
  <c r="E508" i="9"/>
  <c r="F508" i="9"/>
  <c r="G508" i="9"/>
  <c r="H508" i="9"/>
  <c r="I508" i="9"/>
  <c r="J508" i="9"/>
  <c r="K508" i="9"/>
  <c r="L508" i="9"/>
  <c r="M508" i="9"/>
  <c r="N508" i="9"/>
  <c r="O508" i="9"/>
  <c r="P508" i="9"/>
  <c r="Q508" i="9"/>
  <c r="R508" i="9"/>
  <c r="S508" i="9"/>
  <c r="T508" i="9"/>
  <c r="U508" i="9"/>
  <c r="V508" i="9"/>
  <c r="W508" i="9"/>
  <c r="X508" i="9"/>
  <c r="Y508" i="9"/>
  <c r="Z508" i="9"/>
  <c r="A509" i="9"/>
  <c r="B509" i="9"/>
  <c r="C509" i="9"/>
  <c r="D509" i="9"/>
  <c r="E509" i="9"/>
  <c r="F509" i="9"/>
  <c r="G509" i="9"/>
  <c r="H509" i="9"/>
  <c r="I509" i="9"/>
  <c r="J509" i="9"/>
  <c r="K509" i="9"/>
  <c r="L509" i="9"/>
  <c r="M509" i="9"/>
  <c r="N509" i="9"/>
  <c r="O509" i="9"/>
  <c r="P509" i="9"/>
  <c r="Q509" i="9"/>
  <c r="R509" i="9"/>
  <c r="S509" i="9"/>
  <c r="T509" i="9"/>
  <c r="U509" i="9"/>
  <c r="V509" i="9"/>
  <c r="W509" i="9"/>
  <c r="X509" i="9"/>
  <c r="Y509" i="9"/>
  <c r="Z509" i="9"/>
  <c r="A510" i="9"/>
  <c r="B510" i="9"/>
  <c r="C510" i="9"/>
  <c r="D510" i="9"/>
  <c r="E510" i="9"/>
  <c r="F510" i="9"/>
  <c r="G510" i="9"/>
  <c r="H510" i="9"/>
  <c r="I510" i="9"/>
  <c r="J510" i="9"/>
  <c r="K510" i="9"/>
  <c r="L510" i="9"/>
  <c r="M510" i="9"/>
  <c r="N510" i="9"/>
  <c r="O510" i="9"/>
  <c r="P510" i="9"/>
  <c r="Q510" i="9"/>
  <c r="R510" i="9"/>
  <c r="S510" i="9"/>
  <c r="T510" i="9"/>
  <c r="U510" i="9"/>
  <c r="V510" i="9"/>
  <c r="W510" i="9"/>
  <c r="X510" i="9"/>
  <c r="Y510" i="9"/>
  <c r="Z510" i="9"/>
  <c r="A511" i="9"/>
  <c r="B511" i="9"/>
  <c r="C511" i="9"/>
  <c r="D511" i="9"/>
  <c r="E511" i="9"/>
  <c r="F511" i="9"/>
  <c r="G511" i="9"/>
  <c r="H511" i="9"/>
  <c r="I511" i="9"/>
  <c r="J511" i="9"/>
  <c r="K511" i="9"/>
  <c r="L511" i="9"/>
  <c r="M511" i="9"/>
  <c r="N511" i="9"/>
  <c r="O511" i="9"/>
  <c r="P511" i="9"/>
  <c r="Q511" i="9"/>
  <c r="R511" i="9"/>
  <c r="S511" i="9"/>
  <c r="T511" i="9"/>
  <c r="U511" i="9"/>
  <c r="V511" i="9"/>
  <c r="W511" i="9"/>
  <c r="X511" i="9"/>
  <c r="Y511" i="9"/>
  <c r="Z511" i="9"/>
  <c r="A512" i="9"/>
  <c r="B512" i="9"/>
  <c r="C512" i="9"/>
  <c r="D512" i="9"/>
  <c r="E512" i="9"/>
  <c r="F512" i="9"/>
  <c r="G512" i="9"/>
  <c r="H512" i="9"/>
  <c r="I512" i="9"/>
  <c r="J512" i="9"/>
  <c r="K512" i="9"/>
  <c r="L512" i="9"/>
  <c r="M512" i="9"/>
  <c r="N512" i="9"/>
  <c r="O512" i="9"/>
  <c r="P512" i="9"/>
  <c r="Q512" i="9"/>
  <c r="R512" i="9"/>
  <c r="S512" i="9"/>
  <c r="T512" i="9"/>
  <c r="U512" i="9"/>
  <c r="V512" i="9"/>
  <c r="W512" i="9"/>
  <c r="X512" i="9"/>
  <c r="Y512" i="9"/>
  <c r="Z512" i="9"/>
  <c r="A513" i="9"/>
  <c r="B513" i="9"/>
  <c r="C513" i="9"/>
  <c r="D513" i="9"/>
  <c r="E513" i="9"/>
  <c r="F513" i="9"/>
  <c r="G513" i="9"/>
  <c r="H513" i="9"/>
  <c r="I513" i="9"/>
  <c r="J513" i="9"/>
  <c r="K513" i="9"/>
  <c r="L513" i="9"/>
  <c r="M513" i="9"/>
  <c r="N513" i="9"/>
  <c r="O513" i="9"/>
  <c r="P513" i="9"/>
  <c r="Q513" i="9"/>
  <c r="R513" i="9"/>
  <c r="S513" i="9"/>
  <c r="T513" i="9"/>
  <c r="U513" i="9"/>
  <c r="V513" i="9"/>
  <c r="W513" i="9"/>
  <c r="X513" i="9"/>
  <c r="Y513" i="9"/>
  <c r="Z513" i="9"/>
  <c r="A514" i="9"/>
  <c r="B514" i="9"/>
  <c r="C514" i="9"/>
  <c r="D514" i="9"/>
  <c r="E514" i="9"/>
  <c r="F514" i="9"/>
  <c r="G514" i="9"/>
  <c r="H514" i="9"/>
  <c r="I514" i="9"/>
  <c r="J514" i="9"/>
  <c r="K514" i="9"/>
  <c r="L514" i="9"/>
  <c r="M514" i="9"/>
  <c r="N514" i="9"/>
  <c r="O514" i="9"/>
  <c r="P514" i="9"/>
  <c r="Q514" i="9"/>
  <c r="R514" i="9"/>
  <c r="S514" i="9"/>
  <c r="T514" i="9"/>
  <c r="U514" i="9"/>
  <c r="V514" i="9"/>
  <c r="W514" i="9"/>
  <c r="X514" i="9"/>
  <c r="Y514" i="9"/>
  <c r="Z514" i="9"/>
  <c r="A515" i="9"/>
  <c r="B515" i="9"/>
  <c r="C515" i="9"/>
  <c r="D515" i="9"/>
  <c r="E515" i="9"/>
  <c r="F515" i="9"/>
  <c r="G515" i="9"/>
  <c r="H515" i="9"/>
  <c r="I515" i="9"/>
  <c r="J515" i="9"/>
  <c r="K515" i="9"/>
  <c r="L515" i="9"/>
  <c r="M515" i="9"/>
  <c r="N515" i="9"/>
  <c r="O515" i="9"/>
  <c r="P515" i="9"/>
  <c r="Q515" i="9"/>
  <c r="R515" i="9"/>
  <c r="S515" i="9"/>
  <c r="T515" i="9"/>
  <c r="U515" i="9"/>
  <c r="V515" i="9"/>
  <c r="W515" i="9"/>
  <c r="X515" i="9"/>
  <c r="Y515" i="9"/>
  <c r="Z515" i="9"/>
  <c r="A516" i="9"/>
  <c r="B516" i="9"/>
  <c r="C516" i="9"/>
  <c r="D516" i="9"/>
  <c r="E516" i="9"/>
  <c r="F516" i="9"/>
  <c r="G516" i="9"/>
  <c r="H516" i="9"/>
  <c r="I516" i="9"/>
  <c r="J516" i="9"/>
  <c r="K516" i="9"/>
  <c r="L516" i="9"/>
  <c r="M516" i="9"/>
  <c r="N516" i="9"/>
  <c r="O516" i="9"/>
  <c r="P516" i="9"/>
  <c r="Q516" i="9"/>
  <c r="R516" i="9"/>
  <c r="S516" i="9"/>
  <c r="T516" i="9"/>
  <c r="U516" i="9"/>
  <c r="V516" i="9"/>
  <c r="W516" i="9"/>
  <c r="X516" i="9"/>
  <c r="Y516" i="9"/>
  <c r="Z516" i="9"/>
  <c r="A517" i="9"/>
  <c r="B517" i="9"/>
  <c r="C517" i="9"/>
  <c r="D517" i="9"/>
  <c r="E517" i="9"/>
  <c r="F517" i="9"/>
  <c r="G517" i="9"/>
  <c r="H517" i="9"/>
  <c r="I517" i="9"/>
  <c r="J517" i="9"/>
  <c r="K517" i="9"/>
  <c r="L517" i="9"/>
  <c r="M517" i="9"/>
  <c r="N517" i="9"/>
  <c r="O517" i="9"/>
  <c r="P517" i="9"/>
  <c r="Q517" i="9"/>
  <c r="R517" i="9"/>
  <c r="S517" i="9"/>
  <c r="T517" i="9"/>
  <c r="U517" i="9"/>
  <c r="V517" i="9"/>
  <c r="W517" i="9"/>
  <c r="X517" i="9"/>
  <c r="Y517" i="9"/>
  <c r="Z517" i="9"/>
  <c r="A518" i="9"/>
  <c r="B518" i="9"/>
  <c r="C518" i="9"/>
  <c r="D518" i="9"/>
  <c r="E518" i="9"/>
  <c r="F518" i="9"/>
  <c r="G518" i="9"/>
  <c r="H518" i="9"/>
  <c r="I518" i="9"/>
  <c r="J518" i="9"/>
  <c r="K518" i="9"/>
  <c r="L518" i="9"/>
  <c r="M518" i="9"/>
  <c r="N518" i="9"/>
  <c r="O518" i="9"/>
  <c r="P518" i="9"/>
  <c r="Q518" i="9"/>
  <c r="R518" i="9"/>
  <c r="S518" i="9"/>
  <c r="T518" i="9"/>
  <c r="U518" i="9"/>
  <c r="V518" i="9"/>
  <c r="W518" i="9"/>
  <c r="X518" i="9"/>
  <c r="Y518" i="9"/>
  <c r="Z518" i="9"/>
  <c r="A519" i="9"/>
  <c r="B519" i="9"/>
  <c r="C519" i="9"/>
  <c r="D519" i="9"/>
  <c r="E519" i="9"/>
  <c r="F519" i="9"/>
  <c r="G519" i="9"/>
  <c r="H519" i="9"/>
  <c r="I519" i="9"/>
  <c r="J519" i="9"/>
  <c r="K519" i="9"/>
  <c r="L519" i="9"/>
  <c r="M519" i="9"/>
  <c r="N519" i="9"/>
  <c r="O519" i="9"/>
  <c r="P519" i="9"/>
  <c r="Q519" i="9"/>
  <c r="R519" i="9"/>
  <c r="S519" i="9"/>
  <c r="T519" i="9"/>
  <c r="U519" i="9"/>
  <c r="V519" i="9"/>
  <c r="W519" i="9"/>
  <c r="X519" i="9"/>
  <c r="Y519" i="9"/>
  <c r="Z519" i="9"/>
  <c r="A520" i="9"/>
  <c r="B520" i="9"/>
  <c r="C520" i="9"/>
  <c r="D520" i="9"/>
  <c r="E520" i="9"/>
  <c r="F520" i="9"/>
  <c r="G520" i="9"/>
  <c r="H520" i="9"/>
  <c r="I520" i="9"/>
  <c r="J520" i="9"/>
  <c r="K520" i="9"/>
  <c r="L520" i="9"/>
  <c r="M520" i="9"/>
  <c r="N520" i="9"/>
  <c r="O520" i="9"/>
  <c r="P520" i="9"/>
  <c r="Q520" i="9"/>
  <c r="R520" i="9"/>
  <c r="S520" i="9"/>
  <c r="T520" i="9"/>
  <c r="U520" i="9"/>
  <c r="V520" i="9"/>
  <c r="W520" i="9"/>
  <c r="X520" i="9"/>
  <c r="Y520" i="9"/>
  <c r="Z520" i="9"/>
  <c r="A521" i="9"/>
  <c r="B521" i="9"/>
  <c r="C521" i="9"/>
  <c r="D521" i="9"/>
  <c r="E521" i="9"/>
  <c r="F521" i="9"/>
  <c r="G521" i="9"/>
  <c r="H521" i="9"/>
  <c r="I521" i="9"/>
  <c r="J521" i="9"/>
  <c r="K521" i="9"/>
  <c r="L521" i="9"/>
  <c r="M521" i="9"/>
  <c r="N521" i="9"/>
  <c r="O521" i="9"/>
  <c r="P521" i="9"/>
  <c r="Q521" i="9"/>
  <c r="R521" i="9"/>
  <c r="S521" i="9"/>
  <c r="T521" i="9"/>
  <c r="U521" i="9"/>
  <c r="V521" i="9"/>
  <c r="W521" i="9"/>
  <c r="X521" i="9"/>
  <c r="Y521" i="9"/>
  <c r="Z521" i="9"/>
  <c r="A522" i="9"/>
  <c r="B522" i="9"/>
  <c r="C522" i="9"/>
  <c r="D522" i="9"/>
  <c r="E522" i="9"/>
  <c r="F522" i="9"/>
  <c r="G522" i="9"/>
  <c r="H522" i="9"/>
  <c r="I522" i="9"/>
  <c r="J522" i="9"/>
  <c r="K522" i="9"/>
  <c r="L522" i="9"/>
  <c r="M522" i="9"/>
  <c r="N522" i="9"/>
  <c r="O522" i="9"/>
  <c r="P522" i="9"/>
  <c r="Q522" i="9"/>
  <c r="R522" i="9"/>
  <c r="S522" i="9"/>
  <c r="T522" i="9"/>
  <c r="U522" i="9"/>
  <c r="V522" i="9"/>
  <c r="W522" i="9"/>
  <c r="X522" i="9"/>
  <c r="Y522" i="9"/>
  <c r="Z522" i="9"/>
  <c r="A523" i="9"/>
  <c r="B523" i="9"/>
  <c r="C523" i="9"/>
  <c r="D523" i="9"/>
  <c r="E523" i="9"/>
  <c r="F523" i="9"/>
  <c r="G523" i="9"/>
  <c r="H523" i="9"/>
  <c r="I523" i="9"/>
  <c r="J523" i="9"/>
  <c r="K523" i="9"/>
  <c r="L523" i="9"/>
  <c r="M523" i="9"/>
  <c r="N523" i="9"/>
  <c r="O523" i="9"/>
  <c r="P523" i="9"/>
  <c r="Q523" i="9"/>
  <c r="R523" i="9"/>
  <c r="S523" i="9"/>
  <c r="T523" i="9"/>
  <c r="U523" i="9"/>
  <c r="V523" i="9"/>
  <c r="W523" i="9"/>
  <c r="X523" i="9"/>
  <c r="Y523" i="9"/>
  <c r="Z523" i="9"/>
  <c r="A524" i="9"/>
  <c r="B524" i="9"/>
  <c r="C524" i="9"/>
  <c r="D524" i="9"/>
  <c r="E524" i="9"/>
  <c r="F524" i="9"/>
  <c r="G524" i="9"/>
  <c r="H524" i="9"/>
  <c r="I524" i="9"/>
  <c r="J524" i="9"/>
  <c r="K524" i="9"/>
  <c r="L524" i="9"/>
  <c r="M524" i="9"/>
  <c r="N524" i="9"/>
  <c r="O524" i="9"/>
  <c r="P524" i="9"/>
  <c r="Q524" i="9"/>
  <c r="R524" i="9"/>
  <c r="S524" i="9"/>
  <c r="T524" i="9"/>
  <c r="U524" i="9"/>
  <c r="V524" i="9"/>
  <c r="W524" i="9"/>
  <c r="X524" i="9"/>
  <c r="Y524" i="9"/>
  <c r="Z524" i="9"/>
  <c r="A525" i="9"/>
  <c r="B525" i="9"/>
  <c r="C525" i="9"/>
  <c r="D525" i="9"/>
  <c r="E525" i="9"/>
  <c r="F525" i="9"/>
  <c r="G525" i="9"/>
  <c r="H525" i="9"/>
  <c r="I525" i="9"/>
  <c r="J525" i="9"/>
  <c r="K525" i="9"/>
  <c r="L525" i="9"/>
  <c r="M525" i="9"/>
  <c r="N525" i="9"/>
  <c r="O525" i="9"/>
  <c r="P525" i="9"/>
  <c r="Q525" i="9"/>
  <c r="R525" i="9"/>
  <c r="S525" i="9"/>
  <c r="T525" i="9"/>
  <c r="U525" i="9"/>
  <c r="V525" i="9"/>
  <c r="W525" i="9"/>
  <c r="X525" i="9"/>
  <c r="Y525" i="9"/>
  <c r="Z525" i="9"/>
  <c r="A526" i="9"/>
  <c r="B526" i="9"/>
  <c r="C526" i="9"/>
  <c r="D526" i="9"/>
  <c r="E526" i="9"/>
  <c r="F526" i="9"/>
  <c r="G526" i="9"/>
  <c r="H526" i="9"/>
  <c r="I526" i="9"/>
  <c r="J526" i="9"/>
  <c r="K526" i="9"/>
  <c r="L526" i="9"/>
  <c r="M526" i="9"/>
  <c r="N526" i="9"/>
  <c r="O526" i="9"/>
  <c r="P526" i="9"/>
  <c r="Q526" i="9"/>
  <c r="R526" i="9"/>
  <c r="S526" i="9"/>
  <c r="T526" i="9"/>
  <c r="U526" i="9"/>
  <c r="V526" i="9"/>
  <c r="W526" i="9"/>
  <c r="X526" i="9"/>
  <c r="Y526" i="9"/>
  <c r="Z526" i="9"/>
  <c r="A527" i="9"/>
  <c r="B527" i="9"/>
  <c r="C527" i="9"/>
  <c r="D527" i="9"/>
  <c r="E527" i="9"/>
  <c r="F527" i="9"/>
  <c r="G527" i="9"/>
  <c r="H527" i="9"/>
  <c r="I527" i="9"/>
  <c r="J527" i="9"/>
  <c r="K527" i="9"/>
  <c r="L527" i="9"/>
  <c r="M527" i="9"/>
  <c r="N527" i="9"/>
  <c r="O527" i="9"/>
  <c r="P527" i="9"/>
  <c r="Q527" i="9"/>
  <c r="R527" i="9"/>
  <c r="S527" i="9"/>
  <c r="T527" i="9"/>
  <c r="U527" i="9"/>
  <c r="V527" i="9"/>
  <c r="W527" i="9"/>
  <c r="X527" i="9"/>
  <c r="Y527" i="9"/>
  <c r="Z527" i="9"/>
  <c r="A528" i="9"/>
  <c r="B528" i="9"/>
  <c r="C528" i="9"/>
  <c r="D528" i="9"/>
  <c r="E528" i="9"/>
  <c r="F528" i="9"/>
  <c r="G528" i="9"/>
  <c r="H528" i="9"/>
  <c r="I528" i="9"/>
  <c r="J528" i="9"/>
  <c r="K528" i="9"/>
  <c r="L528" i="9"/>
  <c r="M528" i="9"/>
  <c r="N528" i="9"/>
  <c r="O528" i="9"/>
  <c r="P528" i="9"/>
  <c r="Q528" i="9"/>
  <c r="R528" i="9"/>
  <c r="S528" i="9"/>
  <c r="T528" i="9"/>
  <c r="U528" i="9"/>
  <c r="V528" i="9"/>
  <c r="W528" i="9"/>
  <c r="X528" i="9"/>
  <c r="Y528" i="9"/>
  <c r="Z528" i="9"/>
  <c r="A529" i="9"/>
  <c r="B529" i="9"/>
  <c r="C529" i="9"/>
  <c r="D529" i="9"/>
  <c r="E529" i="9"/>
  <c r="F529" i="9"/>
  <c r="G529" i="9"/>
  <c r="H529" i="9"/>
  <c r="I529" i="9"/>
  <c r="J529" i="9"/>
  <c r="K529" i="9"/>
  <c r="L529" i="9"/>
  <c r="M529" i="9"/>
  <c r="N529" i="9"/>
  <c r="O529" i="9"/>
  <c r="P529" i="9"/>
  <c r="Q529" i="9"/>
  <c r="R529" i="9"/>
  <c r="S529" i="9"/>
  <c r="T529" i="9"/>
  <c r="U529" i="9"/>
  <c r="V529" i="9"/>
  <c r="W529" i="9"/>
  <c r="X529" i="9"/>
  <c r="Y529" i="9"/>
  <c r="Z529" i="9"/>
  <c r="A530" i="9"/>
  <c r="B530" i="9"/>
  <c r="C530" i="9"/>
  <c r="D530" i="9"/>
  <c r="E530" i="9"/>
  <c r="F530" i="9"/>
  <c r="G530" i="9"/>
  <c r="H530" i="9"/>
  <c r="I530" i="9"/>
  <c r="J530" i="9"/>
  <c r="K530" i="9"/>
  <c r="L530" i="9"/>
  <c r="M530" i="9"/>
  <c r="N530" i="9"/>
  <c r="O530" i="9"/>
  <c r="P530" i="9"/>
  <c r="Q530" i="9"/>
  <c r="R530" i="9"/>
  <c r="S530" i="9"/>
  <c r="T530" i="9"/>
  <c r="U530" i="9"/>
  <c r="V530" i="9"/>
  <c r="W530" i="9"/>
  <c r="X530" i="9"/>
  <c r="Y530" i="9"/>
  <c r="Z530" i="9"/>
  <c r="A531" i="9"/>
  <c r="B531" i="9"/>
  <c r="C531" i="9"/>
  <c r="D531" i="9"/>
  <c r="E531" i="9"/>
  <c r="F531" i="9"/>
  <c r="G531" i="9"/>
  <c r="H531" i="9"/>
  <c r="I531" i="9"/>
  <c r="J531" i="9"/>
  <c r="K531" i="9"/>
  <c r="L531" i="9"/>
  <c r="M531" i="9"/>
  <c r="N531" i="9"/>
  <c r="O531" i="9"/>
  <c r="P531" i="9"/>
  <c r="Q531" i="9"/>
  <c r="R531" i="9"/>
  <c r="S531" i="9"/>
  <c r="T531" i="9"/>
  <c r="U531" i="9"/>
  <c r="V531" i="9"/>
  <c r="W531" i="9"/>
  <c r="X531" i="9"/>
  <c r="Y531" i="9"/>
  <c r="Z531" i="9"/>
  <c r="A532" i="9"/>
  <c r="B532" i="9"/>
  <c r="C532" i="9"/>
  <c r="D532" i="9"/>
  <c r="E532" i="9"/>
  <c r="F532" i="9"/>
  <c r="G532" i="9"/>
  <c r="H532" i="9"/>
  <c r="I532" i="9"/>
  <c r="J532" i="9"/>
  <c r="K532" i="9"/>
  <c r="L532" i="9"/>
  <c r="M532" i="9"/>
  <c r="N532" i="9"/>
  <c r="O532" i="9"/>
  <c r="P532" i="9"/>
  <c r="Q532" i="9"/>
  <c r="R532" i="9"/>
  <c r="S532" i="9"/>
  <c r="T532" i="9"/>
  <c r="U532" i="9"/>
  <c r="V532" i="9"/>
  <c r="W532" i="9"/>
  <c r="X532" i="9"/>
  <c r="Y532" i="9"/>
  <c r="Z532" i="9"/>
  <c r="A533" i="9"/>
  <c r="B533" i="9"/>
  <c r="C533" i="9"/>
  <c r="D533" i="9"/>
  <c r="E533" i="9"/>
  <c r="F533" i="9"/>
  <c r="G533" i="9"/>
  <c r="H533" i="9"/>
  <c r="I533" i="9"/>
  <c r="J533" i="9"/>
  <c r="K533" i="9"/>
  <c r="L533" i="9"/>
  <c r="M533" i="9"/>
  <c r="N533" i="9"/>
  <c r="O533" i="9"/>
  <c r="P533" i="9"/>
  <c r="Q533" i="9"/>
  <c r="R533" i="9"/>
  <c r="S533" i="9"/>
  <c r="T533" i="9"/>
  <c r="U533" i="9"/>
  <c r="V533" i="9"/>
  <c r="W533" i="9"/>
  <c r="X533" i="9"/>
  <c r="Y533" i="9"/>
  <c r="Z533" i="9"/>
  <c r="A534" i="9"/>
  <c r="B534" i="9"/>
  <c r="C534" i="9"/>
  <c r="D534" i="9"/>
  <c r="E534" i="9"/>
  <c r="F534" i="9"/>
  <c r="G534" i="9"/>
  <c r="H534" i="9"/>
  <c r="I534" i="9"/>
  <c r="J534" i="9"/>
  <c r="K534" i="9"/>
  <c r="L534" i="9"/>
  <c r="M534" i="9"/>
  <c r="N534" i="9"/>
  <c r="O534" i="9"/>
  <c r="P534" i="9"/>
  <c r="Q534" i="9"/>
  <c r="R534" i="9"/>
  <c r="S534" i="9"/>
  <c r="T534" i="9"/>
  <c r="U534" i="9"/>
  <c r="V534" i="9"/>
  <c r="W534" i="9"/>
  <c r="X534" i="9"/>
  <c r="Y534" i="9"/>
  <c r="Z534" i="9"/>
  <c r="A535" i="9"/>
  <c r="B535" i="9"/>
  <c r="C535" i="9"/>
  <c r="D535" i="9"/>
  <c r="E535" i="9"/>
  <c r="F535" i="9"/>
  <c r="G535" i="9"/>
  <c r="H535" i="9"/>
  <c r="I535" i="9"/>
  <c r="J535" i="9"/>
  <c r="K535" i="9"/>
  <c r="L535" i="9"/>
  <c r="M535" i="9"/>
  <c r="N535" i="9"/>
  <c r="O535" i="9"/>
  <c r="P535" i="9"/>
  <c r="Q535" i="9"/>
  <c r="R535" i="9"/>
  <c r="S535" i="9"/>
  <c r="T535" i="9"/>
  <c r="U535" i="9"/>
  <c r="V535" i="9"/>
  <c r="W535" i="9"/>
  <c r="X535" i="9"/>
  <c r="Y535" i="9"/>
  <c r="Z535" i="9"/>
  <c r="A536" i="9"/>
  <c r="B536" i="9"/>
  <c r="C536" i="9"/>
  <c r="D536" i="9"/>
  <c r="E536" i="9"/>
  <c r="F536" i="9"/>
  <c r="G536" i="9"/>
  <c r="H536" i="9"/>
  <c r="I536" i="9"/>
  <c r="J536" i="9"/>
  <c r="K536" i="9"/>
  <c r="L536" i="9"/>
  <c r="M536" i="9"/>
  <c r="N536" i="9"/>
  <c r="O536" i="9"/>
  <c r="P536" i="9"/>
  <c r="Q536" i="9"/>
  <c r="R536" i="9"/>
  <c r="S536" i="9"/>
  <c r="T536" i="9"/>
  <c r="U536" i="9"/>
  <c r="V536" i="9"/>
  <c r="W536" i="9"/>
  <c r="X536" i="9"/>
  <c r="Y536" i="9"/>
  <c r="Z536" i="9"/>
  <c r="A537" i="9"/>
  <c r="B537" i="9"/>
  <c r="C537" i="9"/>
  <c r="D537" i="9"/>
  <c r="E537" i="9"/>
  <c r="F537" i="9"/>
  <c r="G537" i="9"/>
  <c r="H537" i="9"/>
  <c r="I537" i="9"/>
  <c r="J537" i="9"/>
  <c r="K537" i="9"/>
  <c r="L537" i="9"/>
  <c r="M537" i="9"/>
  <c r="N537" i="9"/>
  <c r="O537" i="9"/>
  <c r="P537" i="9"/>
  <c r="Q537" i="9"/>
  <c r="R537" i="9"/>
  <c r="S537" i="9"/>
  <c r="T537" i="9"/>
  <c r="U537" i="9"/>
  <c r="V537" i="9"/>
  <c r="W537" i="9"/>
  <c r="X537" i="9"/>
  <c r="Y537" i="9"/>
  <c r="Z537" i="9"/>
  <c r="A538" i="9"/>
  <c r="B538" i="9"/>
  <c r="C538" i="9"/>
  <c r="D538" i="9"/>
  <c r="E538" i="9"/>
  <c r="F538" i="9"/>
  <c r="G538" i="9"/>
  <c r="H538" i="9"/>
  <c r="I538" i="9"/>
  <c r="J538" i="9"/>
  <c r="K538" i="9"/>
  <c r="L538" i="9"/>
  <c r="M538" i="9"/>
  <c r="N538" i="9"/>
  <c r="O538" i="9"/>
  <c r="P538" i="9"/>
  <c r="Q538" i="9"/>
  <c r="R538" i="9"/>
  <c r="S538" i="9"/>
  <c r="T538" i="9"/>
  <c r="U538" i="9"/>
  <c r="V538" i="9"/>
  <c r="W538" i="9"/>
  <c r="X538" i="9"/>
  <c r="Y538" i="9"/>
  <c r="Z538" i="9"/>
  <c r="A539" i="9"/>
  <c r="B539" i="9"/>
  <c r="C539" i="9"/>
  <c r="D539" i="9"/>
  <c r="E539" i="9"/>
  <c r="F539" i="9"/>
  <c r="G539" i="9"/>
  <c r="H539" i="9"/>
  <c r="I539" i="9"/>
  <c r="J539" i="9"/>
  <c r="K539" i="9"/>
  <c r="L539" i="9"/>
  <c r="M539" i="9"/>
  <c r="N539" i="9"/>
  <c r="O539" i="9"/>
  <c r="P539" i="9"/>
  <c r="Q539" i="9"/>
  <c r="R539" i="9"/>
  <c r="S539" i="9"/>
  <c r="T539" i="9"/>
  <c r="U539" i="9"/>
  <c r="V539" i="9"/>
  <c r="W539" i="9"/>
  <c r="X539" i="9"/>
  <c r="Y539" i="9"/>
  <c r="Z539" i="9"/>
  <c r="A540" i="9"/>
  <c r="B540" i="9"/>
  <c r="C540" i="9"/>
  <c r="D540" i="9"/>
  <c r="E540" i="9"/>
  <c r="F540" i="9"/>
  <c r="G540" i="9"/>
  <c r="H540" i="9"/>
  <c r="I540" i="9"/>
  <c r="J540" i="9"/>
  <c r="K540" i="9"/>
  <c r="L540" i="9"/>
  <c r="M540" i="9"/>
  <c r="N540" i="9"/>
  <c r="O540" i="9"/>
  <c r="P540" i="9"/>
  <c r="Q540" i="9"/>
  <c r="R540" i="9"/>
  <c r="S540" i="9"/>
  <c r="T540" i="9"/>
  <c r="U540" i="9"/>
  <c r="V540" i="9"/>
  <c r="W540" i="9"/>
  <c r="X540" i="9"/>
  <c r="Y540" i="9"/>
  <c r="Z540" i="9"/>
  <c r="A541" i="9"/>
  <c r="B541" i="9"/>
  <c r="C541" i="9"/>
  <c r="D541" i="9"/>
  <c r="E541" i="9"/>
  <c r="F541" i="9"/>
  <c r="G541" i="9"/>
  <c r="H541" i="9"/>
  <c r="I541" i="9"/>
  <c r="J541" i="9"/>
  <c r="K541" i="9"/>
  <c r="L541" i="9"/>
  <c r="M541" i="9"/>
  <c r="N541" i="9"/>
  <c r="O541" i="9"/>
  <c r="P541" i="9"/>
  <c r="Q541" i="9"/>
  <c r="R541" i="9"/>
  <c r="S541" i="9"/>
  <c r="T541" i="9"/>
  <c r="U541" i="9"/>
  <c r="V541" i="9"/>
  <c r="W541" i="9"/>
  <c r="X541" i="9"/>
  <c r="Y541" i="9"/>
  <c r="Z541" i="9"/>
  <c r="A542" i="9"/>
  <c r="B542" i="9"/>
  <c r="C542" i="9"/>
  <c r="D542" i="9"/>
  <c r="E542" i="9"/>
  <c r="F542" i="9"/>
  <c r="G542" i="9"/>
  <c r="H542" i="9"/>
  <c r="I542" i="9"/>
  <c r="J542" i="9"/>
  <c r="K542" i="9"/>
  <c r="L542" i="9"/>
  <c r="M542" i="9"/>
  <c r="N542" i="9"/>
  <c r="O542" i="9"/>
  <c r="P542" i="9"/>
  <c r="Q542" i="9"/>
  <c r="R542" i="9"/>
  <c r="S542" i="9"/>
  <c r="T542" i="9"/>
  <c r="U542" i="9"/>
  <c r="V542" i="9"/>
  <c r="W542" i="9"/>
  <c r="X542" i="9"/>
  <c r="Y542" i="9"/>
  <c r="Z542" i="9"/>
  <c r="A543" i="9"/>
  <c r="B543" i="9"/>
  <c r="C543" i="9"/>
  <c r="D543" i="9"/>
  <c r="E543" i="9"/>
  <c r="F543" i="9"/>
  <c r="G543" i="9"/>
  <c r="H543" i="9"/>
  <c r="I543" i="9"/>
  <c r="J543" i="9"/>
  <c r="K543" i="9"/>
  <c r="L543" i="9"/>
  <c r="M543" i="9"/>
  <c r="N543" i="9"/>
  <c r="O543" i="9"/>
  <c r="P543" i="9"/>
  <c r="Q543" i="9"/>
  <c r="R543" i="9"/>
  <c r="S543" i="9"/>
  <c r="T543" i="9"/>
  <c r="U543" i="9"/>
  <c r="V543" i="9"/>
  <c r="W543" i="9"/>
  <c r="X543" i="9"/>
  <c r="Y543" i="9"/>
  <c r="Z543" i="9"/>
  <c r="A544" i="9"/>
  <c r="B544" i="9"/>
  <c r="C544" i="9"/>
  <c r="D544" i="9"/>
  <c r="E544" i="9"/>
  <c r="F544" i="9"/>
  <c r="G544" i="9"/>
  <c r="H544" i="9"/>
  <c r="I544" i="9"/>
  <c r="J544" i="9"/>
  <c r="K544" i="9"/>
  <c r="L544" i="9"/>
  <c r="M544" i="9"/>
  <c r="N544" i="9"/>
  <c r="O544" i="9"/>
  <c r="P544" i="9"/>
  <c r="Q544" i="9"/>
  <c r="R544" i="9"/>
  <c r="S544" i="9"/>
  <c r="T544" i="9"/>
  <c r="U544" i="9"/>
  <c r="V544" i="9"/>
  <c r="W544" i="9"/>
  <c r="X544" i="9"/>
  <c r="Y544" i="9"/>
  <c r="Z544" i="9"/>
  <c r="A545" i="9"/>
  <c r="B545" i="9"/>
  <c r="C545" i="9"/>
  <c r="D545" i="9"/>
  <c r="E545" i="9"/>
  <c r="F545" i="9"/>
  <c r="G545" i="9"/>
  <c r="H545" i="9"/>
  <c r="I545" i="9"/>
  <c r="J545" i="9"/>
  <c r="K545" i="9"/>
  <c r="L545" i="9"/>
  <c r="M545" i="9"/>
  <c r="N545" i="9"/>
  <c r="O545" i="9"/>
  <c r="P545" i="9"/>
  <c r="Q545" i="9"/>
  <c r="R545" i="9"/>
  <c r="S545" i="9"/>
  <c r="T545" i="9"/>
  <c r="U545" i="9"/>
  <c r="V545" i="9"/>
  <c r="W545" i="9"/>
  <c r="X545" i="9"/>
  <c r="Y545" i="9"/>
  <c r="Z545" i="9"/>
  <c r="A546" i="9"/>
  <c r="B546" i="9"/>
  <c r="C546" i="9"/>
  <c r="D546" i="9"/>
  <c r="E546" i="9"/>
  <c r="F546" i="9"/>
  <c r="G546" i="9"/>
  <c r="H546" i="9"/>
  <c r="I546" i="9"/>
  <c r="J546" i="9"/>
  <c r="K546" i="9"/>
  <c r="L546" i="9"/>
  <c r="M546" i="9"/>
  <c r="N546" i="9"/>
  <c r="O546" i="9"/>
  <c r="P546" i="9"/>
  <c r="Q546" i="9"/>
  <c r="R546" i="9"/>
  <c r="S546" i="9"/>
  <c r="T546" i="9"/>
  <c r="U546" i="9"/>
  <c r="V546" i="9"/>
  <c r="W546" i="9"/>
  <c r="X546" i="9"/>
  <c r="Y546" i="9"/>
  <c r="Z546" i="9"/>
  <c r="A547" i="9"/>
  <c r="B547" i="9"/>
  <c r="C547" i="9"/>
  <c r="D547" i="9"/>
  <c r="E547" i="9"/>
  <c r="F547" i="9"/>
  <c r="G547" i="9"/>
  <c r="H547" i="9"/>
  <c r="I547" i="9"/>
  <c r="J547" i="9"/>
  <c r="K547" i="9"/>
  <c r="L547" i="9"/>
  <c r="M547" i="9"/>
  <c r="N547" i="9"/>
  <c r="O547" i="9"/>
  <c r="P547" i="9"/>
  <c r="Q547" i="9"/>
  <c r="R547" i="9"/>
  <c r="S547" i="9"/>
  <c r="T547" i="9"/>
  <c r="U547" i="9"/>
  <c r="V547" i="9"/>
  <c r="W547" i="9"/>
  <c r="X547" i="9"/>
  <c r="Y547" i="9"/>
  <c r="Z547" i="9"/>
  <c r="A548" i="9"/>
  <c r="B548" i="9"/>
  <c r="C548" i="9"/>
  <c r="D548" i="9"/>
  <c r="E548" i="9"/>
  <c r="F548" i="9"/>
  <c r="G548" i="9"/>
  <c r="H548" i="9"/>
  <c r="I548" i="9"/>
  <c r="J548" i="9"/>
  <c r="K548" i="9"/>
  <c r="L548" i="9"/>
  <c r="M548" i="9"/>
  <c r="N548" i="9"/>
  <c r="O548" i="9"/>
  <c r="P548" i="9"/>
  <c r="Q548" i="9"/>
  <c r="R548" i="9"/>
  <c r="S548" i="9"/>
  <c r="T548" i="9"/>
  <c r="U548" i="9"/>
  <c r="V548" i="9"/>
  <c r="W548" i="9"/>
  <c r="X548" i="9"/>
  <c r="Y548" i="9"/>
  <c r="Z548" i="9"/>
  <c r="A549" i="9"/>
  <c r="B549" i="9"/>
  <c r="C549" i="9"/>
  <c r="D549" i="9"/>
  <c r="E549" i="9"/>
  <c r="F549" i="9"/>
  <c r="G549" i="9"/>
  <c r="H549" i="9"/>
  <c r="I549" i="9"/>
  <c r="J549" i="9"/>
  <c r="K549" i="9"/>
  <c r="L549" i="9"/>
  <c r="M549" i="9"/>
  <c r="N549" i="9"/>
  <c r="O549" i="9"/>
  <c r="P549" i="9"/>
  <c r="Q549" i="9"/>
  <c r="R549" i="9"/>
  <c r="S549" i="9"/>
  <c r="T549" i="9"/>
  <c r="U549" i="9"/>
  <c r="V549" i="9"/>
  <c r="W549" i="9"/>
  <c r="X549" i="9"/>
  <c r="Y549" i="9"/>
  <c r="Z549" i="9"/>
  <c r="A550" i="9"/>
  <c r="B550" i="9"/>
  <c r="C550" i="9"/>
  <c r="D550" i="9"/>
  <c r="E550" i="9"/>
  <c r="F550" i="9"/>
  <c r="G550" i="9"/>
  <c r="H550" i="9"/>
  <c r="I550" i="9"/>
  <c r="J550" i="9"/>
  <c r="K550" i="9"/>
  <c r="L550" i="9"/>
  <c r="M550" i="9"/>
  <c r="N550" i="9"/>
  <c r="O550" i="9"/>
  <c r="P550" i="9"/>
  <c r="Q550" i="9"/>
  <c r="R550" i="9"/>
  <c r="S550" i="9"/>
  <c r="T550" i="9"/>
  <c r="U550" i="9"/>
  <c r="V550" i="9"/>
  <c r="W550" i="9"/>
  <c r="X550" i="9"/>
  <c r="Y550" i="9"/>
  <c r="Z550" i="9"/>
  <c r="A551" i="9"/>
  <c r="B551" i="9"/>
  <c r="C551" i="9"/>
  <c r="D551" i="9"/>
  <c r="E551" i="9"/>
  <c r="F551" i="9"/>
  <c r="G551" i="9"/>
  <c r="H551" i="9"/>
  <c r="I551" i="9"/>
  <c r="J551" i="9"/>
  <c r="K551" i="9"/>
  <c r="L551" i="9"/>
  <c r="M551" i="9"/>
  <c r="N551" i="9"/>
  <c r="O551" i="9"/>
  <c r="P551" i="9"/>
  <c r="Q551" i="9"/>
  <c r="R551" i="9"/>
  <c r="S551" i="9"/>
  <c r="T551" i="9"/>
  <c r="U551" i="9"/>
  <c r="V551" i="9"/>
  <c r="W551" i="9"/>
  <c r="X551" i="9"/>
  <c r="Y551" i="9"/>
  <c r="Z551" i="9"/>
  <c r="A552" i="9"/>
  <c r="B552" i="9"/>
  <c r="C552" i="9"/>
  <c r="D552" i="9"/>
  <c r="E552" i="9"/>
  <c r="F552" i="9"/>
  <c r="G552" i="9"/>
  <c r="H552" i="9"/>
  <c r="I552" i="9"/>
  <c r="J552" i="9"/>
  <c r="K552" i="9"/>
  <c r="L552" i="9"/>
  <c r="M552" i="9"/>
  <c r="N552" i="9"/>
  <c r="O552" i="9"/>
  <c r="P552" i="9"/>
  <c r="Q552" i="9"/>
  <c r="R552" i="9"/>
  <c r="S552" i="9"/>
  <c r="T552" i="9"/>
  <c r="U552" i="9"/>
  <c r="V552" i="9"/>
  <c r="W552" i="9"/>
  <c r="X552" i="9"/>
  <c r="Y552" i="9"/>
  <c r="Z552" i="9"/>
  <c r="A553" i="9"/>
  <c r="B553" i="9"/>
  <c r="C553" i="9"/>
  <c r="D553" i="9"/>
  <c r="E553" i="9"/>
  <c r="F553" i="9"/>
  <c r="G553" i="9"/>
  <c r="H553" i="9"/>
  <c r="I553" i="9"/>
  <c r="J553" i="9"/>
  <c r="K553" i="9"/>
  <c r="L553" i="9"/>
  <c r="M553" i="9"/>
  <c r="N553" i="9"/>
  <c r="O553" i="9"/>
  <c r="P553" i="9"/>
  <c r="Q553" i="9"/>
  <c r="R553" i="9"/>
  <c r="S553" i="9"/>
  <c r="T553" i="9"/>
  <c r="U553" i="9"/>
  <c r="V553" i="9"/>
  <c r="W553" i="9"/>
  <c r="X553" i="9"/>
  <c r="Y553" i="9"/>
  <c r="Z553" i="9"/>
  <c r="A554" i="9"/>
  <c r="B554" i="9"/>
  <c r="C554" i="9"/>
  <c r="D554" i="9"/>
  <c r="E554" i="9"/>
  <c r="F554" i="9"/>
  <c r="G554" i="9"/>
  <c r="H554" i="9"/>
  <c r="I554" i="9"/>
  <c r="J554" i="9"/>
  <c r="K554" i="9"/>
  <c r="L554" i="9"/>
  <c r="M554" i="9"/>
  <c r="N554" i="9"/>
  <c r="O554" i="9"/>
  <c r="P554" i="9"/>
  <c r="Q554" i="9"/>
  <c r="R554" i="9"/>
  <c r="S554" i="9"/>
  <c r="T554" i="9"/>
  <c r="U554" i="9"/>
  <c r="V554" i="9"/>
  <c r="W554" i="9"/>
  <c r="X554" i="9"/>
  <c r="Y554" i="9"/>
  <c r="Z554" i="9"/>
  <c r="A555" i="9"/>
  <c r="B555" i="9"/>
  <c r="C555" i="9"/>
  <c r="D555" i="9"/>
  <c r="E555" i="9"/>
  <c r="F555" i="9"/>
  <c r="G555" i="9"/>
  <c r="H555" i="9"/>
  <c r="I555" i="9"/>
  <c r="J555" i="9"/>
  <c r="K555" i="9"/>
  <c r="L555" i="9"/>
  <c r="M555" i="9"/>
  <c r="N555" i="9"/>
  <c r="O555" i="9"/>
  <c r="P555" i="9"/>
  <c r="Q555" i="9"/>
  <c r="R555" i="9"/>
  <c r="S555" i="9"/>
  <c r="T555" i="9"/>
  <c r="U555" i="9"/>
  <c r="V555" i="9"/>
  <c r="W555" i="9"/>
  <c r="X555" i="9"/>
  <c r="Y555" i="9"/>
  <c r="Z555" i="9"/>
  <c r="A556" i="9"/>
  <c r="B556" i="9"/>
  <c r="C556" i="9"/>
  <c r="D556" i="9"/>
  <c r="E556" i="9"/>
  <c r="F556" i="9"/>
  <c r="G556" i="9"/>
  <c r="H556" i="9"/>
  <c r="I556" i="9"/>
  <c r="J556" i="9"/>
  <c r="K556" i="9"/>
  <c r="L556" i="9"/>
  <c r="M556" i="9"/>
  <c r="N556" i="9"/>
  <c r="O556" i="9"/>
  <c r="P556" i="9"/>
  <c r="Q556" i="9"/>
  <c r="R556" i="9"/>
  <c r="S556" i="9"/>
  <c r="T556" i="9"/>
  <c r="U556" i="9"/>
  <c r="V556" i="9"/>
  <c r="W556" i="9"/>
  <c r="X556" i="9"/>
  <c r="Y556" i="9"/>
  <c r="Z556" i="9"/>
  <c r="A557" i="9"/>
  <c r="B557" i="9"/>
  <c r="C557" i="9"/>
  <c r="D557" i="9"/>
  <c r="E557" i="9"/>
  <c r="F557" i="9"/>
  <c r="G557" i="9"/>
  <c r="H557" i="9"/>
  <c r="I557" i="9"/>
  <c r="J557" i="9"/>
  <c r="K557" i="9"/>
  <c r="L557" i="9"/>
  <c r="M557" i="9"/>
  <c r="N557" i="9"/>
  <c r="O557" i="9"/>
  <c r="P557" i="9"/>
  <c r="Q557" i="9"/>
  <c r="R557" i="9"/>
  <c r="S557" i="9"/>
  <c r="T557" i="9"/>
  <c r="U557" i="9"/>
  <c r="V557" i="9"/>
  <c r="W557" i="9"/>
  <c r="X557" i="9"/>
  <c r="Y557" i="9"/>
  <c r="Z557" i="9"/>
  <c r="A558" i="9"/>
  <c r="B558" i="9"/>
  <c r="C558" i="9"/>
  <c r="D558" i="9"/>
  <c r="E558" i="9"/>
  <c r="F558" i="9"/>
  <c r="G558" i="9"/>
  <c r="H558" i="9"/>
  <c r="I558" i="9"/>
  <c r="J558" i="9"/>
  <c r="K558" i="9"/>
  <c r="L558" i="9"/>
  <c r="M558" i="9"/>
  <c r="N558" i="9"/>
  <c r="O558" i="9"/>
  <c r="P558" i="9"/>
  <c r="Q558" i="9"/>
  <c r="R558" i="9"/>
  <c r="S558" i="9"/>
  <c r="T558" i="9"/>
  <c r="U558" i="9"/>
  <c r="V558" i="9"/>
  <c r="W558" i="9"/>
  <c r="X558" i="9"/>
  <c r="Y558" i="9"/>
  <c r="Z558" i="9"/>
  <c r="A559" i="9"/>
  <c r="B559" i="9"/>
  <c r="C559" i="9"/>
  <c r="D559" i="9"/>
  <c r="E559" i="9"/>
  <c r="F559" i="9"/>
  <c r="G559" i="9"/>
  <c r="H559" i="9"/>
  <c r="I559" i="9"/>
  <c r="J559" i="9"/>
  <c r="K559" i="9"/>
  <c r="L559" i="9"/>
  <c r="M559" i="9"/>
  <c r="N559" i="9"/>
  <c r="O559" i="9"/>
  <c r="P559" i="9"/>
  <c r="Q559" i="9"/>
  <c r="R559" i="9"/>
  <c r="S559" i="9"/>
  <c r="T559" i="9"/>
  <c r="U559" i="9"/>
  <c r="V559" i="9"/>
  <c r="W559" i="9"/>
  <c r="X559" i="9"/>
  <c r="Y559" i="9"/>
  <c r="Z559" i="9"/>
  <c r="A560" i="9"/>
  <c r="B560" i="9"/>
  <c r="C560" i="9"/>
  <c r="D560" i="9"/>
  <c r="E560" i="9"/>
  <c r="F560" i="9"/>
  <c r="G560" i="9"/>
  <c r="H560" i="9"/>
  <c r="I560" i="9"/>
  <c r="J560" i="9"/>
  <c r="K560" i="9"/>
  <c r="L560" i="9"/>
  <c r="M560" i="9"/>
  <c r="N560" i="9"/>
  <c r="O560" i="9"/>
  <c r="P560" i="9"/>
  <c r="Q560" i="9"/>
  <c r="R560" i="9"/>
  <c r="S560" i="9"/>
  <c r="T560" i="9"/>
  <c r="U560" i="9"/>
  <c r="V560" i="9"/>
  <c r="W560" i="9"/>
  <c r="X560" i="9"/>
  <c r="Y560" i="9"/>
  <c r="Z560" i="9"/>
  <c r="A561" i="9"/>
  <c r="B561" i="9"/>
  <c r="C561" i="9"/>
  <c r="D561" i="9"/>
  <c r="E561" i="9"/>
  <c r="F561" i="9"/>
  <c r="G561" i="9"/>
  <c r="H561" i="9"/>
  <c r="I561" i="9"/>
  <c r="J561" i="9"/>
  <c r="K561" i="9"/>
  <c r="L561" i="9"/>
  <c r="M561" i="9"/>
  <c r="N561" i="9"/>
  <c r="O561" i="9"/>
  <c r="P561" i="9"/>
  <c r="Q561" i="9"/>
  <c r="R561" i="9"/>
  <c r="S561" i="9"/>
  <c r="T561" i="9"/>
  <c r="U561" i="9"/>
  <c r="V561" i="9"/>
  <c r="W561" i="9"/>
  <c r="X561" i="9"/>
  <c r="Y561" i="9"/>
  <c r="Z561" i="9"/>
  <c r="A562" i="9"/>
  <c r="B562" i="9"/>
  <c r="C562" i="9"/>
  <c r="D562" i="9"/>
  <c r="E562" i="9"/>
  <c r="F562" i="9"/>
  <c r="G562" i="9"/>
  <c r="H562" i="9"/>
  <c r="I562" i="9"/>
  <c r="J562" i="9"/>
  <c r="K562" i="9"/>
  <c r="L562" i="9"/>
  <c r="M562" i="9"/>
  <c r="N562" i="9"/>
  <c r="O562" i="9"/>
  <c r="P562" i="9"/>
  <c r="Q562" i="9"/>
  <c r="R562" i="9"/>
  <c r="S562" i="9"/>
  <c r="T562" i="9"/>
  <c r="U562" i="9"/>
  <c r="V562" i="9"/>
  <c r="W562" i="9"/>
  <c r="X562" i="9"/>
  <c r="Y562" i="9"/>
  <c r="Z562" i="9"/>
  <c r="A563" i="9"/>
  <c r="B563" i="9"/>
  <c r="C563" i="9"/>
  <c r="D563" i="9"/>
  <c r="E563" i="9"/>
  <c r="F563" i="9"/>
  <c r="G563" i="9"/>
  <c r="H563" i="9"/>
  <c r="I563" i="9"/>
  <c r="J563" i="9"/>
  <c r="K563" i="9"/>
  <c r="L563" i="9"/>
  <c r="M563" i="9"/>
  <c r="N563" i="9"/>
  <c r="O563" i="9"/>
  <c r="P563" i="9"/>
  <c r="Q563" i="9"/>
  <c r="R563" i="9"/>
  <c r="S563" i="9"/>
  <c r="T563" i="9"/>
  <c r="U563" i="9"/>
  <c r="V563" i="9"/>
  <c r="W563" i="9"/>
  <c r="X563" i="9"/>
  <c r="Y563" i="9"/>
  <c r="Z563" i="9"/>
  <c r="A564" i="9"/>
  <c r="B564" i="9"/>
  <c r="C564" i="9"/>
  <c r="D564" i="9"/>
  <c r="E564" i="9"/>
  <c r="F564" i="9"/>
  <c r="G564" i="9"/>
  <c r="H564" i="9"/>
  <c r="I564" i="9"/>
  <c r="J564" i="9"/>
  <c r="K564" i="9"/>
  <c r="L564" i="9"/>
  <c r="M564" i="9"/>
  <c r="N564" i="9"/>
  <c r="O564" i="9"/>
  <c r="P564" i="9"/>
  <c r="Q564" i="9"/>
  <c r="R564" i="9"/>
  <c r="S564" i="9"/>
  <c r="T564" i="9"/>
  <c r="U564" i="9"/>
  <c r="V564" i="9"/>
  <c r="W564" i="9"/>
  <c r="X564" i="9"/>
  <c r="Y564" i="9"/>
  <c r="Z564" i="9"/>
  <c r="A565" i="9"/>
  <c r="B565" i="9"/>
  <c r="C565" i="9"/>
  <c r="D565" i="9"/>
  <c r="E565" i="9"/>
  <c r="F565" i="9"/>
  <c r="G565" i="9"/>
  <c r="H565" i="9"/>
  <c r="I565" i="9"/>
  <c r="J565" i="9"/>
  <c r="K565" i="9"/>
  <c r="L565" i="9"/>
  <c r="M565" i="9"/>
  <c r="N565" i="9"/>
  <c r="O565" i="9"/>
  <c r="P565" i="9"/>
  <c r="Q565" i="9"/>
  <c r="R565" i="9"/>
  <c r="S565" i="9"/>
  <c r="T565" i="9"/>
  <c r="U565" i="9"/>
  <c r="V565" i="9"/>
  <c r="W565" i="9"/>
  <c r="X565" i="9"/>
  <c r="Y565" i="9"/>
  <c r="Z565" i="9"/>
  <c r="A566" i="9"/>
  <c r="B566" i="9"/>
  <c r="C566" i="9"/>
  <c r="D566" i="9"/>
  <c r="E566" i="9"/>
  <c r="F566" i="9"/>
  <c r="G566" i="9"/>
  <c r="H566" i="9"/>
  <c r="I566" i="9"/>
  <c r="J566" i="9"/>
  <c r="K566" i="9"/>
  <c r="L566" i="9"/>
  <c r="M566" i="9"/>
  <c r="N566" i="9"/>
  <c r="O566" i="9"/>
  <c r="P566" i="9"/>
  <c r="Q566" i="9"/>
  <c r="R566" i="9"/>
  <c r="S566" i="9"/>
  <c r="T566" i="9"/>
  <c r="U566" i="9"/>
  <c r="V566" i="9"/>
  <c r="W566" i="9"/>
  <c r="X566" i="9"/>
  <c r="Y566" i="9"/>
  <c r="Z566" i="9"/>
  <c r="A567" i="9"/>
  <c r="B567" i="9"/>
  <c r="C567" i="9"/>
  <c r="D567" i="9"/>
  <c r="E567" i="9"/>
  <c r="F567" i="9"/>
  <c r="G567" i="9"/>
  <c r="H567" i="9"/>
  <c r="I567" i="9"/>
  <c r="J567" i="9"/>
  <c r="K567" i="9"/>
  <c r="L567" i="9"/>
  <c r="M567" i="9"/>
  <c r="N567" i="9"/>
  <c r="O567" i="9"/>
  <c r="P567" i="9"/>
  <c r="Q567" i="9"/>
  <c r="R567" i="9"/>
  <c r="S567" i="9"/>
  <c r="T567" i="9"/>
  <c r="U567" i="9"/>
  <c r="V567" i="9"/>
  <c r="W567" i="9"/>
  <c r="X567" i="9"/>
  <c r="Y567" i="9"/>
  <c r="Z567" i="9"/>
  <c r="A568" i="9"/>
  <c r="B568" i="9"/>
  <c r="C568" i="9"/>
  <c r="D568" i="9"/>
  <c r="E568" i="9"/>
  <c r="F568" i="9"/>
  <c r="G568" i="9"/>
  <c r="H568" i="9"/>
  <c r="I568" i="9"/>
  <c r="J568" i="9"/>
  <c r="K568" i="9"/>
  <c r="L568" i="9"/>
  <c r="M568" i="9"/>
  <c r="N568" i="9"/>
  <c r="O568" i="9"/>
  <c r="P568" i="9"/>
  <c r="Q568" i="9"/>
  <c r="R568" i="9"/>
  <c r="S568" i="9"/>
  <c r="T568" i="9"/>
  <c r="U568" i="9"/>
  <c r="V568" i="9"/>
  <c r="W568" i="9"/>
  <c r="X568" i="9"/>
  <c r="Y568" i="9"/>
  <c r="Z568" i="9"/>
  <c r="A569" i="9"/>
  <c r="B569" i="9"/>
  <c r="C569" i="9"/>
  <c r="D569" i="9"/>
  <c r="E569" i="9"/>
  <c r="F569" i="9"/>
  <c r="G569" i="9"/>
  <c r="H569" i="9"/>
  <c r="I569" i="9"/>
  <c r="J569" i="9"/>
  <c r="K569" i="9"/>
  <c r="L569" i="9"/>
  <c r="M569" i="9"/>
  <c r="N569" i="9"/>
  <c r="O569" i="9"/>
  <c r="P569" i="9"/>
  <c r="Q569" i="9"/>
  <c r="R569" i="9"/>
  <c r="S569" i="9"/>
  <c r="T569" i="9"/>
  <c r="U569" i="9"/>
  <c r="V569" i="9"/>
  <c r="W569" i="9"/>
  <c r="X569" i="9"/>
  <c r="Y569" i="9"/>
  <c r="Z569" i="9"/>
  <c r="A570" i="9"/>
  <c r="B570" i="9"/>
  <c r="C570" i="9"/>
  <c r="D570" i="9"/>
  <c r="E570" i="9"/>
  <c r="F570" i="9"/>
  <c r="G570" i="9"/>
  <c r="H570" i="9"/>
  <c r="I570" i="9"/>
  <c r="J570" i="9"/>
  <c r="K570" i="9"/>
  <c r="L570" i="9"/>
  <c r="M570" i="9"/>
  <c r="N570" i="9"/>
  <c r="O570" i="9"/>
  <c r="P570" i="9"/>
  <c r="Q570" i="9"/>
  <c r="R570" i="9"/>
  <c r="S570" i="9"/>
  <c r="T570" i="9"/>
  <c r="U570" i="9"/>
  <c r="V570" i="9"/>
  <c r="W570" i="9"/>
  <c r="X570" i="9"/>
  <c r="Y570" i="9"/>
  <c r="Z570" i="9"/>
  <c r="A571" i="9"/>
  <c r="B571" i="9"/>
  <c r="C571" i="9"/>
  <c r="D571" i="9"/>
  <c r="E571" i="9"/>
  <c r="F571" i="9"/>
  <c r="G571" i="9"/>
  <c r="H571" i="9"/>
  <c r="I571" i="9"/>
  <c r="J571" i="9"/>
  <c r="K571" i="9"/>
  <c r="L571" i="9"/>
  <c r="M571" i="9"/>
  <c r="N571" i="9"/>
  <c r="O571" i="9"/>
  <c r="P571" i="9"/>
  <c r="Q571" i="9"/>
  <c r="R571" i="9"/>
  <c r="S571" i="9"/>
  <c r="T571" i="9"/>
  <c r="U571" i="9"/>
  <c r="V571" i="9"/>
  <c r="W571" i="9"/>
  <c r="X571" i="9"/>
  <c r="Y571" i="9"/>
  <c r="Z571" i="9"/>
  <c r="A572" i="9"/>
  <c r="B572" i="9"/>
  <c r="C572" i="9"/>
  <c r="D572" i="9"/>
  <c r="E572" i="9"/>
  <c r="F572" i="9"/>
  <c r="G572" i="9"/>
  <c r="H572" i="9"/>
  <c r="I572" i="9"/>
  <c r="J572" i="9"/>
  <c r="K572" i="9"/>
  <c r="L572" i="9"/>
  <c r="M572" i="9"/>
  <c r="N572" i="9"/>
  <c r="O572" i="9"/>
  <c r="P572" i="9"/>
  <c r="Q572" i="9"/>
  <c r="R572" i="9"/>
  <c r="S572" i="9"/>
  <c r="T572" i="9"/>
  <c r="U572" i="9"/>
  <c r="V572" i="9"/>
  <c r="W572" i="9"/>
  <c r="X572" i="9"/>
  <c r="Y572" i="9"/>
  <c r="Z572" i="9"/>
  <c r="A573" i="9"/>
  <c r="B573" i="9"/>
  <c r="C573" i="9"/>
  <c r="D573" i="9"/>
  <c r="E573" i="9"/>
  <c r="F573" i="9"/>
  <c r="G573" i="9"/>
  <c r="H573" i="9"/>
  <c r="I573" i="9"/>
  <c r="J573" i="9"/>
  <c r="K573" i="9"/>
  <c r="L573" i="9"/>
  <c r="M573" i="9"/>
  <c r="N573" i="9"/>
  <c r="O573" i="9"/>
  <c r="P573" i="9"/>
  <c r="Q573" i="9"/>
  <c r="R573" i="9"/>
  <c r="S573" i="9"/>
  <c r="T573" i="9"/>
  <c r="U573" i="9"/>
  <c r="V573" i="9"/>
  <c r="W573" i="9"/>
  <c r="X573" i="9"/>
  <c r="Y573" i="9"/>
  <c r="Z573" i="9"/>
  <c r="A574" i="9"/>
  <c r="B574" i="9"/>
  <c r="C574" i="9"/>
  <c r="D574" i="9"/>
  <c r="E574" i="9"/>
  <c r="F574" i="9"/>
  <c r="G574" i="9"/>
  <c r="H574" i="9"/>
  <c r="I574" i="9"/>
  <c r="J574" i="9"/>
  <c r="K574" i="9"/>
  <c r="L574" i="9"/>
  <c r="M574" i="9"/>
  <c r="N574" i="9"/>
  <c r="O574" i="9"/>
  <c r="P574" i="9"/>
  <c r="Q574" i="9"/>
  <c r="R574" i="9"/>
  <c r="S574" i="9"/>
  <c r="T574" i="9"/>
  <c r="U574" i="9"/>
  <c r="V574" i="9"/>
  <c r="W574" i="9"/>
  <c r="X574" i="9"/>
  <c r="Y574" i="9"/>
  <c r="Z574" i="9"/>
  <c r="A575" i="9"/>
  <c r="B575" i="9"/>
  <c r="C575" i="9"/>
  <c r="D575" i="9"/>
  <c r="E575" i="9"/>
  <c r="F575" i="9"/>
  <c r="G575" i="9"/>
  <c r="H575" i="9"/>
  <c r="I575" i="9"/>
  <c r="J575" i="9"/>
  <c r="K575" i="9"/>
  <c r="L575" i="9"/>
  <c r="M575" i="9"/>
  <c r="N575" i="9"/>
  <c r="O575" i="9"/>
  <c r="P575" i="9"/>
  <c r="Q575" i="9"/>
  <c r="R575" i="9"/>
  <c r="S575" i="9"/>
  <c r="T575" i="9"/>
  <c r="U575" i="9"/>
  <c r="V575" i="9"/>
  <c r="W575" i="9"/>
  <c r="X575" i="9"/>
  <c r="Y575" i="9"/>
  <c r="Z575" i="9"/>
  <c r="A576" i="9"/>
  <c r="B576" i="9"/>
  <c r="C576" i="9"/>
  <c r="D576" i="9"/>
  <c r="E576" i="9"/>
  <c r="F576" i="9"/>
  <c r="G576" i="9"/>
  <c r="H576" i="9"/>
  <c r="I576" i="9"/>
  <c r="J576" i="9"/>
  <c r="K576" i="9"/>
  <c r="L576" i="9"/>
  <c r="M576" i="9"/>
  <c r="N576" i="9"/>
  <c r="O576" i="9"/>
  <c r="P576" i="9"/>
  <c r="Q576" i="9"/>
  <c r="R576" i="9"/>
  <c r="S576" i="9"/>
  <c r="T576" i="9"/>
  <c r="U576" i="9"/>
  <c r="V576" i="9"/>
  <c r="W576" i="9"/>
  <c r="X576" i="9"/>
  <c r="Y576" i="9"/>
  <c r="Z576" i="9"/>
  <c r="A577" i="9"/>
  <c r="B577" i="9"/>
  <c r="C577" i="9"/>
  <c r="D577" i="9"/>
  <c r="E577" i="9"/>
  <c r="F577" i="9"/>
  <c r="G577" i="9"/>
  <c r="H577" i="9"/>
  <c r="I577" i="9"/>
  <c r="J577" i="9"/>
  <c r="K577" i="9"/>
  <c r="L577" i="9"/>
  <c r="M577" i="9"/>
  <c r="N577" i="9"/>
  <c r="O577" i="9"/>
  <c r="P577" i="9"/>
  <c r="Q577" i="9"/>
  <c r="R577" i="9"/>
  <c r="S577" i="9"/>
  <c r="T577" i="9"/>
  <c r="U577" i="9"/>
  <c r="V577" i="9"/>
  <c r="W577" i="9"/>
  <c r="X577" i="9"/>
  <c r="Y577" i="9"/>
  <c r="Z577" i="9"/>
  <c r="A578" i="9"/>
  <c r="B578" i="9"/>
  <c r="C578" i="9"/>
  <c r="D578" i="9"/>
  <c r="E578" i="9"/>
  <c r="F578" i="9"/>
  <c r="G578" i="9"/>
  <c r="H578" i="9"/>
  <c r="I578" i="9"/>
  <c r="J578" i="9"/>
  <c r="K578" i="9"/>
  <c r="L578" i="9"/>
  <c r="M578" i="9"/>
  <c r="N578" i="9"/>
  <c r="O578" i="9"/>
  <c r="P578" i="9"/>
  <c r="Q578" i="9"/>
  <c r="R578" i="9"/>
  <c r="S578" i="9"/>
  <c r="T578" i="9"/>
  <c r="U578" i="9"/>
  <c r="V578" i="9"/>
  <c r="W578" i="9"/>
  <c r="X578" i="9"/>
  <c r="Y578" i="9"/>
  <c r="Z578" i="9"/>
  <c r="A579" i="9"/>
  <c r="B579" i="9"/>
  <c r="C579" i="9"/>
  <c r="D579" i="9"/>
  <c r="E579" i="9"/>
  <c r="F579" i="9"/>
  <c r="G579" i="9"/>
  <c r="H579" i="9"/>
  <c r="I579" i="9"/>
  <c r="J579" i="9"/>
  <c r="K579" i="9"/>
  <c r="L579" i="9"/>
  <c r="M579" i="9"/>
  <c r="N579" i="9"/>
  <c r="O579" i="9"/>
  <c r="P579" i="9"/>
  <c r="Q579" i="9"/>
  <c r="R579" i="9"/>
  <c r="S579" i="9"/>
  <c r="T579" i="9"/>
  <c r="U579" i="9"/>
  <c r="V579" i="9"/>
  <c r="W579" i="9"/>
  <c r="X579" i="9"/>
  <c r="Y579" i="9"/>
  <c r="Z579" i="9"/>
  <c r="A580" i="9"/>
  <c r="B580" i="9"/>
  <c r="C580" i="9"/>
  <c r="D580" i="9"/>
  <c r="E580" i="9"/>
  <c r="F580" i="9"/>
  <c r="G580" i="9"/>
  <c r="H580" i="9"/>
  <c r="I580" i="9"/>
  <c r="J580" i="9"/>
  <c r="K580" i="9"/>
  <c r="L580" i="9"/>
  <c r="M580" i="9"/>
  <c r="N580" i="9"/>
  <c r="O580" i="9"/>
  <c r="P580" i="9"/>
  <c r="Q580" i="9"/>
  <c r="R580" i="9"/>
  <c r="S580" i="9"/>
  <c r="T580" i="9"/>
  <c r="U580" i="9"/>
  <c r="V580" i="9"/>
  <c r="W580" i="9"/>
  <c r="X580" i="9"/>
  <c r="Y580" i="9"/>
  <c r="Z580" i="9"/>
  <c r="A581" i="9"/>
  <c r="B581" i="9"/>
  <c r="C581" i="9"/>
  <c r="D581" i="9"/>
  <c r="E581" i="9"/>
  <c r="F581" i="9"/>
  <c r="G581" i="9"/>
  <c r="H581" i="9"/>
  <c r="I581" i="9"/>
  <c r="J581" i="9"/>
  <c r="K581" i="9"/>
  <c r="L581" i="9"/>
  <c r="M581" i="9"/>
  <c r="N581" i="9"/>
  <c r="O581" i="9"/>
  <c r="P581" i="9"/>
  <c r="Q581" i="9"/>
  <c r="R581" i="9"/>
  <c r="S581" i="9"/>
  <c r="T581" i="9"/>
  <c r="U581" i="9"/>
  <c r="V581" i="9"/>
  <c r="W581" i="9"/>
  <c r="X581" i="9"/>
  <c r="Y581" i="9"/>
  <c r="Z581" i="9"/>
  <c r="A582" i="9"/>
  <c r="B582" i="9"/>
  <c r="C582" i="9"/>
  <c r="D582" i="9"/>
  <c r="E582" i="9"/>
  <c r="F582" i="9"/>
  <c r="G582" i="9"/>
  <c r="H582" i="9"/>
  <c r="I582" i="9"/>
  <c r="J582" i="9"/>
  <c r="K582" i="9"/>
  <c r="L582" i="9"/>
  <c r="M582" i="9"/>
  <c r="N582" i="9"/>
  <c r="O582" i="9"/>
  <c r="P582" i="9"/>
  <c r="Q582" i="9"/>
  <c r="R582" i="9"/>
  <c r="S582" i="9"/>
  <c r="T582" i="9"/>
  <c r="U582" i="9"/>
  <c r="V582" i="9"/>
  <c r="W582" i="9"/>
  <c r="X582" i="9"/>
  <c r="Y582" i="9"/>
  <c r="Z582" i="9"/>
  <c r="A583" i="9"/>
  <c r="B583" i="9"/>
  <c r="C583" i="9"/>
  <c r="D583" i="9"/>
  <c r="E583" i="9"/>
  <c r="F583" i="9"/>
  <c r="G583" i="9"/>
  <c r="H583" i="9"/>
  <c r="I583" i="9"/>
  <c r="J583" i="9"/>
  <c r="K583" i="9"/>
  <c r="L583" i="9"/>
  <c r="M583" i="9"/>
  <c r="N583" i="9"/>
  <c r="O583" i="9"/>
  <c r="P583" i="9"/>
  <c r="Q583" i="9"/>
  <c r="R583" i="9"/>
  <c r="S583" i="9"/>
  <c r="T583" i="9"/>
  <c r="U583" i="9"/>
  <c r="V583" i="9"/>
  <c r="W583" i="9"/>
  <c r="X583" i="9"/>
  <c r="Y583" i="9"/>
  <c r="Z583" i="9"/>
  <c r="A584" i="9"/>
  <c r="B584" i="9"/>
  <c r="C584" i="9"/>
  <c r="D584" i="9"/>
  <c r="E584" i="9"/>
  <c r="F584" i="9"/>
  <c r="G584" i="9"/>
  <c r="H584" i="9"/>
  <c r="I584" i="9"/>
  <c r="J584" i="9"/>
  <c r="K584" i="9"/>
  <c r="L584" i="9"/>
  <c r="M584" i="9"/>
  <c r="N584" i="9"/>
  <c r="O584" i="9"/>
  <c r="P584" i="9"/>
  <c r="Q584" i="9"/>
  <c r="R584" i="9"/>
  <c r="S584" i="9"/>
  <c r="T584" i="9"/>
  <c r="U584" i="9"/>
  <c r="V584" i="9"/>
  <c r="W584" i="9"/>
  <c r="X584" i="9"/>
  <c r="Y584" i="9"/>
  <c r="Z584" i="9"/>
  <c r="A585" i="9"/>
  <c r="B585" i="9"/>
  <c r="C585" i="9"/>
  <c r="D585" i="9"/>
  <c r="E585" i="9"/>
  <c r="F585" i="9"/>
  <c r="G585" i="9"/>
  <c r="H585" i="9"/>
  <c r="I585" i="9"/>
  <c r="J585" i="9"/>
  <c r="K585" i="9"/>
  <c r="L585" i="9"/>
  <c r="M585" i="9"/>
  <c r="N585" i="9"/>
  <c r="O585" i="9"/>
  <c r="P585" i="9"/>
  <c r="Q585" i="9"/>
  <c r="R585" i="9"/>
  <c r="S585" i="9"/>
  <c r="T585" i="9"/>
  <c r="U585" i="9"/>
  <c r="V585" i="9"/>
  <c r="W585" i="9"/>
  <c r="X585" i="9"/>
  <c r="Y585" i="9"/>
  <c r="Z585" i="9"/>
  <c r="A586" i="9"/>
  <c r="B586" i="9"/>
  <c r="C586" i="9"/>
  <c r="D586" i="9"/>
  <c r="E586" i="9"/>
  <c r="F586" i="9"/>
  <c r="G586" i="9"/>
  <c r="H586" i="9"/>
  <c r="I586" i="9"/>
  <c r="J586" i="9"/>
  <c r="K586" i="9"/>
  <c r="L586" i="9"/>
  <c r="M586" i="9"/>
  <c r="N586" i="9"/>
  <c r="O586" i="9"/>
  <c r="P586" i="9"/>
  <c r="Q586" i="9"/>
  <c r="R586" i="9"/>
  <c r="S586" i="9"/>
  <c r="T586" i="9"/>
  <c r="U586" i="9"/>
  <c r="V586" i="9"/>
  <c r="W586" i="9"/>
  <c r="X586" i="9"/>
  <c r="Y586" i="9"/>
  <c r="Z586" i="9"/>
  <c r="A587" i="9"/>
  <c r="B587" i="9"/>
  <c r="C587" i="9"/>
  <c r="D587" i="9"/>
  <c r="E587" i="9"/>
  <c r="F587" i="9"/>
  <c r="G587" i="9"/>
  <c r="H587" i="9"/>
  <c r="I587" i="9"/>
  <c r="J587" i="9"/>
  <c r="K587" i="9"/>
  <c r="L587" i="9"/>
  <c r="M587" i="9"/>
  <c r="N587" i="9"/>
  <c r="O587" i="9"/>
  <c r="P587" i="9"/>
  <c r="Q587" i="9"/>
  <c r="R587" i="9"/>
  <c r="S587" i="9"/>
  <c r="T587" i="9"/>
  <c r="U587" i="9"/>
  <c r="V587" i="9"/>
  <c r="W587" i="9"/>
  <c r="X587" i="9"/>
  <c r="Y587" i="9"/>
  <c r="Z587" i="9"/>
  <c r="A588" i="9"/>
  <c r="B588" i="9"/>
  <c r="C588" i="9"/>
  <c r="D588" i="9"/>
  <c r="E588" i="9"/>
  <c r="F588" i="9"/>
  <c r="G588" i="9"/>
  <c r="H588" i="9"/>
  <c r="I588" i="9"/>
  <c r="J588" i="9"/>
  <c r="K588" i="9"/>
  <c r="L588" i="9"/>
  <c r="M588" i="9"/>
  <c r="N588" i="9"/>
  <c r="O588" i="9"/>
  <c r="P588" i="9"/>
  <c r="Q588" i="9"/>
  <c r="R588" i="9"/>
  <c r="S588" i="9"/>
  <c r="T588" i="9"/>
  <c r="U588" i="9"/>
  <c r="V588" i="9"/>
  <c r="W588" i="9"/>
  <c r="X588" i="9"/>
  <c r="Y588" i="9"/>
  <c r="Z588" i="9"/>
  <c r="A589" i="9"/>
  <c r="B589" i="9"/>
  <c r="C589" i="9"/>
  <c r="D589" i="9"/>
  <c r="E589" i="9"/>
  <c r="F589" i="9"/>
  <c r="G589" i="9"/>
  <c r="H589" i="9"/>
  <c r="I589" i="9"/>
  <c r="J589" i="9"/>
  <c r="K589" i="9"/>
  <c r="L589" i="9"/>
  <c r="M589" i="9"/>
  <c r="N589" i="9"/>
  <c r="O589" i="9"/>
  <c r="P589" i="9"/>
  <c r="Q589" i="9"/>
  <c r="R589" i="9"/>
  <c r="S589" i="9"/>
  <c r="T589" i="9"/>
  <c r="U589" i="9"/>
  <c r="V589" i="9"/>
  <c r="W589" i="9"/>
  <c r="X589" i="9"/>
  <c r="Y589" i="9"/>
  <c r="Z589" i="9"/>
  <c r="A590" i="9"/>
  <c r="B590" i="9"/>
  <c r="C590" i="9"/>
  <c r="D590" i="9"/>
  <c r="E590" i="9"/>
  <c r="F590" i="9"/>
  <c r="G590" i="9"/>
  <c r="H590" i="9"/>
  <c r="I590" i="9"/>
  <c r="J590" i="9"/>
  <c r="K590" i="9"/>
  <c r="L590" i="9"/>
  <c r="M590" i="9"/>
  <c r="N590" i="9"/>
  <c r="O590" i="9"/>
  <c r="P590" i="9"/>
  <c r="Q590" i="9"/>
  <c r="R590" i="9"/>
  <c r="S590" i="9"/>
  <c r="T590" i="9"/>
  <c r="U590" i="9"/>
  <c r="V590" i="9"/>
  <c r="W590" i="9"/>
  <c r="X590" i="9"/>
  <c r="Y590" i="9"/>
  <c r="Z590" i="9"/>
  <c r="A591" i="9"/>
  <c r="B591" i="9"/>
  <c r="C591" i="9"/>
  <c r="D591" i="9"/>
  <c r="E591" i="9"/>
  <c r="F591" i="9"/>
  <c r="G591" i="9"/>
  <c r="H591" i="9"/>
  <c r="I591" i="9"/>
  <c r="J591" i="9"/>
  <c r="K591" i="9"/>
  <c r="L591" i="9"/>
  <c r="M591" i="9"/>
  <c r="N591" i="9"/>
  <c r="O591" i="9"/>
  <c r="P591" i="9"/>
  <c r="Q591" i="9"/>
  <c r="R591" i="9"/>
  <c r="S591" i="9"/>
  <c r="T591" i="9"/>
  <c r="U591" i="9"/>
  <c r="V591" i="9"/>
  <c r="W591" i="9"/>
  <c r="X591" i="9"/>
  <c r="Y591" i="9"/>
  <c r="Z591" i="9"/>
  <c r="A592" i="9"/>
  <c r="B592" i="9"/>
  <c r="C592" i="9"/>
  <c r="D592" i="9"/>
  <c r="E592" i="9"/>
  <c r="F592" i="9"/>
  <c r="G592" i="9"/>
  <c r="H592" i="9"/>
  <c r="I592" i="9"/>
  <c r="J592" i="9"/>
  <c r="K592" i="9"/>
  <c r="L592" i="9"/>
  <c r="M592" i="9"/>
  <c r="N592" i="9"/>
  <c r="O592" i="9"/>
  <c r="P592" i="9"/>
  <c r="Q592" i="9"/>
  <c r="R592" i="9"/>
  <c r="S592" i="9"/>
  <c r="T592" i="9"/>
  <c r="U592" i="9"/>
  <c r="V592" i="9"/>
  <c r="W592" i="9"/>
  <c r="X592" i="9"/>
  <c r="Y592" i="9"/>
  <c r="Z592" i="9"/>
  <c r="A593" i="9"/>
  <c r="B593" i="9"/>
  <c r="C593" i="9"/>
  <c r="D593" i="9"/>
  <c r="E593" i="9"/>
  <c r="F593" i="9"/>
  <c r="G593" i="9"/>
  <c r="H593" i="9"/>
  <c r="I593" i="9"/>
  <c r="J593" i="9"/>
  <c r="K593" i="9"/>
  <c r="L593" i="9"/>
  <c r="M593" i="9"/>
  <c r="N593" i="9"/>
  <c r="O593" i="9"/>
  <c r="P593" i="9"/>
  <c r="Q593" i="9"/>
  <c r="R593" i="9"/>
  <c r="S593" i="9"/>
  <c r="T593" i="9"/>
  <c r="U593" i="9"/>
  <c r="V593" i="9"/>
  <c r="W593" i="9"/>
  <c r="X593" i="9"/>
  <c r="Y593" i="9"/>
  <c r="Z593" i="9"/>
  <c r="A594" i="9"/>
  <c r="B594" i="9"/>
  <c r="C594" i="9"/>
  <c r="D594" i="9"/>
  <c r="E594" i="9"/>
  <c r="F594" i="9"/>
  <c r="G594" i="9"/>
  <c r="H594" i="9"/>
  <c r="I594" i="9"/>
  <c r="J594" i="9"/>
  <c r="K594" i="9"/>
  <c r="L594" i="9"/>
  <c r="M594" i="9"/>
  <c r="N594" i="9"/>
  <c r="O594" i="9"/>
  <c r="P594" i="9"/>
  <c r="Q594" i="9"/>
  <c r="R594" i="9"/>
  <c r="S594" i="9"/>
  <c r="T594" i="9"/>
  <c r="U594" i="9"/>
  <c r="V594" i="9"/>
  <c r="W594" i="9"/>
  <c r="X594" i="9"/>
  <c r="Y594" i="9"/>
  <c r="Z594" i="9"/>
  <c r="A595" i="9"/>
  <c r="B595" i="9"/>
  <c r="C595" i="9"/>
  <c r="D595" i="9"/>
  <c r="E595" i="9"/>
  <c r="F595" i="9"/>
  <c r="G595" i="9"/>
  <c r="H595" i="9"/>
  <c r="I595" i="9"/>
  <c r="J595" i="9"/>
  <c r="K595" i="9"/>
  <c r="L595" i="9"/>
  <c r="M595" i="9"/>
  <c r="N595" i="9"/>
  <c r="O595" i="9"/>
  <c r="P595" i="9"/>
  <c r="Q595" i="9"/>
  <c r="R595" i="9"/>
  <c r="S595" i="9"/>
  <c r="T595" i="9"/>
  <c r="U595" i="9"/>
  <c r="V595" i="9"/>
  <c r="W595" i="9"/>
  <c r="X595" i="9"/>
  <c r="Y595" i="9"/>
  <c r="Z595" i="9"/>
  <c r="A596" i="9"/>
  <c r="B596" i="9"/>
  <c r="C596" i="9"/>
  <c r="D596" i="9"/>
  <c r="E596" i="9"/>
  <c r="F596" i="9"/>
  <c r="G596" i="9"/>
  <c r="H596" i="9"/>
  <c r="I596" i="9"/>
  <c r="J596" i="9"/>
  <c r="K596" i="9"/>
  <c r="L596" i="9"/>
  <c r="M596" i="9"/>
  <c r="N596" i="9"/>
  <c r="O596" i="9"/>
  <c r="P596" i="9"/>
  <c r="Q596" i="9"/>
  <c r="R596" i="9"/>
  <c r="S596" i="9"/>
  <c r="T596" i="9"/>
  <c r="U596" i="9"/>
  <c r="V596" i="9"/>
  <c r="W596" i="9"/>
  <c r="X596" i="9"/>
  <c r="Y596" i="9"/>
  <c r="Z596" i="9"/>
  <c r="A597" i="9"/>
  <c r="B597" i="9"/>
  <c r="C597" i="9"/>
  <c r="D597" i="9"/>
  <c r="E597" i="9"/>
  <c r="F597" i="9"/>
  <c r="G597" i="9"/>
  <c r="H597" i="9"/>
  <c r="I597" i="9"/>
  <c r="J597" i="9"/>
  <c r="K597" i="9"/>
  <c r="L597" i="9"/>
  <c r="M597" i="9"/>
  <c r="N597" i="9"/>
  <c r="O597" i="9"/>
  <c r="P597" i="9"/>
  <c r="Q597" i="9"/>
  <c r="R597" i="9"/>
  <c r="S597" i="9"/>
  <c r="T597" i="9"/>
  <c r="U597" i="9"/>
  <c r="V597" i="9"/>
  <c r="W597" i="9"/>
  <c r="X597" i="9"/>
  <c r="Y597" i="9"/>
  <c r="Z597" i="9"/>
  <c r="A598" i="9"/>
  <c r="B598" i="9"/>
  <c r="C598" i="9"/>
  <c r="D598" i="9"/>
  <c r="E598" i="9"/>
  <c r="F598" i="9"/>
  <c r="G598" i="9"/>
  <c r="H598" i="9"/>
  <c r="I598" i="9"/>
  <c r="J598" i="9"/>
  <c r="K598" i="9"/>
  <c r="L598" i="9"/>
  <c r="M598" i="9"/>
  <c r="N598" i="9"/>
  <c r="O598" i="9"/>
  <c r="P598" i="9"/>
  <c r="Q598" i="9"/>
  <c r="R598" i="9"/>
  <c r="S598" i="9"/>
  <c r="T598" i="9"/>
  <c r="U598" i="9"/>
  <c r="V598" i="9"/>
  <c r="W598" i="9"/>
  <c r="X598" i="9"/>
  <c r="Y598" i="9"/>
  <c r="Z598" i="9"/>
  <c r="A599" i="9"/>
  <c r="B599" i="9"/>
  <c r="C599" i="9"/>
  <c r="D599" i="9"/>
  <c r="E599" i="9"/>
  <c r="F599" i="9"/>
  <c r="G599" i="9"/>
  <c r="H599" i="9"/>
  <c r="I599" i="9"/>
  <c r="J599" i="9"/>
  <c r="K599" i="9"/>
  <c r="L599" i="9"/>
  <c r="M599" i="9"/>
  <c r="N599" i="9"/>
  <c r="O599" i="9"/>
  <c r="P599" i="9"/>
  <c r="Q599" i="9"/>
  <c r="R599" i="9"/>
  <c r="S599" i="9"/>
  <c r="T599" i="9"/>
  <c r="U599" i="9"/>
  <c r="V599" i="9"/>
  <c r="W599" i="9"/>
  <c r="X599" i="9"/>
  <c r="Y599" i="9"/>
  <c r="Z599" i="9"/>
  <c r="A600" i="9"/>
  <c r="B600" i="9"/>
  <c r="C600" i="9"/>
  <c r="D600" i="9"/>
  <c r="E600" i="9"/>
  <c r="F600" i="9"/>
  <c r="G600" i="9"/>
  <c r="H600" i="9"/>
  <c r="I600" i="9"/>
  <c r="J600" i="9"/>
  <c r="K600" i="9"/>
  <c r="L600" i="9"/>
  <c r="M600" i="9"/>
  <c r="N600" i="9"/>
  <c r="O600" i="9"/>
  <c r="P600" i="9"/>
  <c r="Q600" i="9"/>
  <c r="R600" i="9"/>
  <c r="S600" i="9"/>
  <c r="T600" i="9"/>
  <c r="U600" i="9"/>
  <c r="V600" i="9"/>
  <c r="W600" i="9"/>
  <c r="X600" i="9"/>
  <c r="Y600" i="9"/>
  <c r="Z600" i="9"/>
  <c r="A601" i="9"/>
  <c r="B601" i="9"/>
  <c r="C601" i="9"/>
  <c r="D601" i="9"/>
  <c r="E601" i="9"/>
  <c r="F601" i="9"/>
  <c r="G601" i="9"/>
  <c r="H601" i="9"/>
  <c r="I601" i="9"/>
  <c r="J601" i="9"/>
  <c r="K601" i="9"/>
  <c r="L601" i="9"/>
  <c r="M601" i="9"/>
  <c r="N601" i="9"/>
  <c r="O601" i="9"/>
  <c r="P601" i="9"/>
  <c r="Q601" i="9"/>
  <c r="R601" i="9"/>
  <c r="S601" i="9"/>
  <c r="T601" i="9"/>
  <c r="U601" i="9"/>
  <c r="V601" i="9"/>
  <c r="W601" i="9"/>
  <c r="X601" i="9"/>
  <c r="Y601" i="9"/>
  <c r="Z601" i="9"/>
  <c r="A602" i="9"/>
  <c r="B602" i="9"/>
  <c r="C602" i="9"/>
  <c r="D602" i="9"/>
  <c r="E602" i="9"/>
  <c r="F602" i="9"/>
  <c r="G602" i="9"/>
  <c r="H602" i="9"/>
  <c r="I602" i="9"/>
  <c r="J602" i="9"/>
  <c r="K602" i="9"/>
  <c r="L602" i="9"/>
  <c r="M602" i="9"/>
  <c r="N602" i="9"/>
  <c r="O602" i="9"/>
  <c r="P602" i="9"/>
  <c r="Q602" i="9"/>
  <c r="R602" i="9"/>
  <c r="S602" i="9"/>
  <c r="T602" i="9"/>
  <c r="U602" i="9"/>
  <c r="V602" i="9"/>
  <c r="W602" i="9"/>
  <c r="X602" i="9"/>
  <c r="Y602" i="9"/>
  <c r="Z602" i="9"/>
  <c r="A603" i="9"/>
  <c r="B603" i="9"/>
  <c r="C603" i="9"/>
  <c r="D603" i="9"/>
  <c r="E603" i="9"/>
  <c r="F603" i="9"/>
  <c r="G603" i="9"/>
  <c r="H603" i="9"/>
  <c r="I603" i="9"/>
  <c r="J603" i="9"/>
  <c r="K603" i="9"/>
  <c r="L603" i="9"/>
  <c r="M603" i="9"/>
  <c r="N603" i="9"/>
  <c r="O603" i="9"/>
  <c r="P603" i="9"/>
  <c r="Q603" i="9"/>
  <c r="R603" i="9"/>
  <c r="S603" i="9"/>
  <c r="T603" i="9"/>
  <c r="U603" i="9"/>
  <c r="V603" i="9"/>
  <c r="W603" i="9"/>
  <c r="X603" i="9"/>
  <c r="Y603" i="9"/>
  <c r="Z603" i="9"/>
  <c r="A604" i="9"/>
  <c r="B604" i="9"/>
  <c r="C604" i="9"/>
  <c r="D604" i="9"/>
  <c r="E604" i="9"/>
  <c r="F604" i="9"/>
  <c r="G604" i="9"/>
  <c r="H604" i="9"/>
  <c r="I604" i="9"/>
  <c r="J604" i="9"/>
  <c r="K604" i="9"/>
  <c r="L604" i="9"/>
  <c r="M604" i="9"/>
  <c r="N604" i="9"/>
  <c r="O604" i="9"/>
  <c r="P604" i="9"/>
  <c r="Q604" i="9"/>
  <c r="R604" i="9"/>
  <c r="S604" i="9"/>
  <c r="T604" i="9"/>
  <c r="U604" i="9"/>
  <c r="V604" i="9"/>
  <c r="W604" i="9"/>
  <c r="X604" i="9"/>
  <c r="Y604" i="9"/>
  <c r="Z604" i="9"/>
  <c r="A605" i="9"/>
  <c r="B605" i="9"/>
  <c r="C605" i="9"/>
  <c r="D605" i="9"/>
  <c r="E605" i="9"/>
  <c r="F605" i="9"/>
  <c r="G605" i="9"/>
  <c r="H605" i="9"/>
  <c r="I605" i="9"/>
  <c r="J605" i="9"/>
  <c r="K605" i="9"/>
  <c r="L605" i="9"/>
  <c r="M605" i="9"/>
  <c r="N605" i="9"/>
  <c r="O605" i="9"/>
  <c r="P605" i="9"/>
  <c r="Q605" i="9"/>
  <c r="R605" i="9"/>
  <c r="S605" i="9"/>
  <c r="T605" i="9"/>
  <c r="U605" i="9"/>
  <c r="V605" i="9"/>
  <c r="W605" i="9"/>
  <c r="X605" i="9"/>
  <c r="Y605" i="9"/>
  <c r="Z605" i="9"/>
  <c r="A606" i="9"/>
  <c r="B606" i="9"/>
  <c r="C606" i="9"/>
  <c r="D606" i="9"/>
  <c r="E606" i="9"/>
  <c r="F606" i="9"/>
  <c r="G606" i="9"/>
  <c r="H606" i="9"/>
  <c r="I606" i="9"/>
  <c r="J606" i="9"/>
  <c r="K606" i="9"/>
  <c r="L606" i="9"/>
  <c r="M606" i="9"/>
  <c r="N606" i="9"/>
  <c r="O606" i="9"/>
  <c r="P606" i="9"/>
  <c r="Q606" i="9"/>
  <c r="R606" i="9"/>
  <c r="S606" i="9"/>
  <c r="T606" i="9"/>
  <c r="U606" i="9"/>
  <c r="V606" i="9"/>
  <c r="W606" i="9"/>
  <c r="X606" i="9"/>
  <c r="Y606" i="9"/>
  <c r="Z606" i="9"/>
  <c r="A607" i="9"/>
  <c r="B607" i="9"/>
  <c r="C607" i="9"/>
  <c r="D607" i="9"/>
  <c r="E607" i="9"/>
  <c r="F607" i="9"/>
  <c r="G607" i="9"/>
  <c r="H607" i="9"/>
  <c r="I607" i="9"/>
  <c r="J607" i="9"/>
  <c r="K607" i="9"/>
  <c r="L607" i="9"/>
  <c r="M607" i="9"/>
  <c r="N607" i="9"/>
  <c r="O607" i="9"/>
  <c r="P607" i="9"/>
  <c r="Q607" i="9"/>
  <c r="R607" i="9"/>
  <c r="S607" i="9"/>
  <c r="T607" i="9"/>
  <c r="U607" i="9"/>
  <c r="V607" i="9"/>
  <c r="W607" i="9"/>
  <c r="X607" i="9"/>
  <c r="Y607" i="9"/>
  <c r="Z607" i="9"/>
  <c r="A608" i="9"/>
  <c r="B608" i="9"/>
  <c r="C608" i="9"/>
  <c r="D608" i="9"/>
  <c r="E608" i="9"/>
  <c r="F608" i="9"/>
  <c r="G608" i="9"/>
  <c r="H608" i="9"/>
  <c r="I608" i="9"/>
  <c r="J608" i="9"/>
  <c r="K608" i="9"/>
  <c r="L608" i="9"/>
  <c r="M608" i="9"/>
  <c r="N608" i="9"/>
  <c r="O608" i="9"/>
  <c r="P608" i="9"/>
  <c r="Q608" i="9"/>
  <c r="R608" i="9"/>
  <c r="S608" i="9"/>
  <c r="T608" i="9"/>
  <c r="U608" i="9"/>
  <c r="V608" i="9"/>
  <c r="W608" i="9"/>
  <c r="X608" i="9"/>
  <c r="Y608" i="9"/>
  <c r="Z608" i="9"/>
  <c r="A609" i="9"/>
  <c r="B609" i="9"/>
  <c r="C609" i="9"/>
  <c r="D609" i="9"/>
  <c r="E609" i="9"/>
  <c r="F609" i="9"/>
  <c r="G609" i="9"/>
  <c r="H609" i="9"/>
  <c r="I609" i="9"/>
  <c r="J609" i="9"/>
  <c r="K609" i="9"/>
  <c r="L609" i="9"/>
  <c r="M609" i="9"/>
  <c r="N609" i="9"/>
  <c r="O609" i="9"/>
  <c r="P609" i="9"/>
  <c r="Q609" i="9"/>
  <c r="R609" i="9"/>
  <c r="S609" i="9"/>
  <c r="T609" i="9"/>
  <c r="U609" i="9"/>
  <c r="V609" i="9"/>
  <c r="W609" i="9"/>
  <c r="X609" i="9"/>
  <c r="Y609" i="9"/>
  <c r="Z609" i="9"/>
  <c r="A610" i="9"/>
  <c r="B610" i="9"/>
  <c r="C610" i="9"/>
  <c r="D610" i="9"/>
  <c r="E610" i="9"/>
  <c r="F610" i="9"/>
  <c r="G610" i="9"/>
  <c r="H610" i="9"/>
  <c r="I610" i="9"/>
  <c r="J610" i="9"/>
  <c r="K610" i="9"/>
  <c r="L610" i="9"/>
  <c r="M610" i="9"/>
  <c r="N610" i="9"/>
  <c r="O610" i="9"/>
  <c r="P610" i="9"/>
  <c r="Q610" i="9"/>
  <c r="R610" i="9"/>
  <c r="S610" i="9"/>
  <c r="T610" i="9"/>
  <c r="U610" i="9"/>
  <c r="V610" i="9"/>
  <c r="W610" i="9"/>
  <c r="X610" i="9"/>
  <c r="Y610" i="9"/>
  <c r="Z610" i="9"/>
  <c r="A611" i="9"/>
  <c r="B611" i="9"/>
  <c r="C611" i="9"/>
  <c r="D611" i="9"/>
  <c r="E611" i="9"/>
  <c r="F611" i="9"/>
  <c r="G611" i="9"/>
  <c r="H611" i="9"/>
  <c r="I611" i="9"/>
  <c r="J611" i="9"/>
  <c r="K611" i="9"/>
  <c r="L611" i="9"/>
  <c r="M611" i="9"/>
  <c r="N611" i="9"/>
  <c r="O611" i="9"/>
  <c r="P611" i="9"/>
  <c r="Q611" i="9"/>
  <c r="R611" i="9"/>
  <c r="S611" i="9"/>
  <c r="T611" i="9"/>
  <c r="U611" i="9"/>
  <c r="V611" i="9"/>
  <c r="W611" i="9"/>
  <c r="X611" i="9"/>
  <c r="Y611" i="9"/>
  <c r="Z611" i="9"/>
  <c r="A612" i="9"/>
  <c r="B612" i="9"/>
  <c r="C612" i="9"/>
  <c r="D612" i="9"/>
  <c r="E612" i="9"/>
  <c r="F612" i="9"/>
  <c r="G612" i="9"/>
  <c r="H612" i="9"/>
  <c r="I612" i="9"/>
  <c r="J612" i="9"/>
  <c r="K612" i="9"/>
  <c r="L612" i="9"/>
  <c r="M612" i="9"/>
  <c r="N612" i="9"/>
  <c r="O612" i="9"/>
  <c r="P612" i="9"/>
  <c r="Q612" i="9"/>
  <c r="R612" i="9"/>
  <c r="S612" i="9"/>
  <c r="T612" i="9"/>
  <c r="U612" i="9"/>
  <c r="V612" i="9"/>
  <c r="W612" i="9"/>
  <c r="X612" i="9"/>
  <c r="Y612" i="9"/>
  <c r="Z612" i="9"/>
  <c r="A613" i="9"/>
  <c r="B613" i="9"/>
  <c r="C613" i="9"/>
  <c r="D613" i="9"/>
  <c r="E613" i="9"/>
  <c r="F613" i="9"/>
  <c r="G613" i="9"/>
  <c r="H613" i="9"/>
  <c r="I613" i="9"/>
  <c r="J613" i="9"/>
  <c r="K613" i="9"/>
  <c r="L613" i="9"/>
  <c r="M613" i="9"/>
  <c r="N613" i="9"/>
  <c r="O613" i="9"/>
  <c r="P613" i="9"/>
  <c r="Q613" i="9"/>
  <c r="R613" i="9"/>
  <c r="S613" i="9"/>
  <c r="T613" i="9"/>
  <c r="U613" i="9"/>
  <c r="V613" i="9"/>
  <c r="W613" i="9"/>
  <c r="X613" i="9"/>
  <c r="Y613" i="9"/>
  <c r="Z613" i="9"/>
  <c r="A614" i="9"/>
  <c r="B614" i="9"/>
  <c r="C614" i="9"/>
  <c r="D614" i="9"/>
  <c r="E614" i="9"/>
  <c r="F614" i="9"/>
  <c r="G614" i="9"/>
  <c r="H614" i="9"/>
  <c r="I614" i="9"/>
  <c r="J614" i="9"/>
  <c r="K614" i="9"/>
  <c r="L614" i="9"/>
  <c r="M614" i="9"/>
  <c r="N614" i="9"/>
  <c r="O614" i="9"/>
  <c r="P614" i="9"/>
  <c r="Q614" i="9"/>
  <c r="R614" i="9"/>
  <c r="S614" i="9"/>
  <c r="T614" i="9"/>
  <c r="U614" i="9"/>
  <c r="V614" i="9"/>
  <c r="W614" i="9"/>
  <c r="X614" i="9"/>
  <c r="Y614" i="9"/>
  <c r="Z614" i="9"/>
  <c r="A615" i="9"/>
  <c r="B615" i="9"/>
  <c r="C615" i="9"/>
  <c r="D615" i="9"/>
  <c r="E615" i="9"/>
  <c r="F615" i="9"/>
  <c r="G615" i="9"/>
  <c r="H615" i="9"/>
  <c r="I615" i="9"/>
  <c r="J615" i="9"/>
  <c r="K615" i="9"/>
  <c r="L615" i="9"/>
  <c r="M615" i="9"/>
  <c r="N615" i="9"/>
  <c r="O615" i="9"/>
  <c r="P615" i="9"/>
  <c r="Q615" i="9"/>
  <c r="R615" i="9"/>
  <c r="S615" i="9"/>
  <c r="T615" i="9"/>
  <c r="U615" i="9"/>
  <c r="V615" i="9"/>
  <c r="W615" i="9"/>
  <c r="X615" i="9"/>
  <c r="Y615" i="9"/>
  <c r="Z615" i="9"/>
  <c r="A616" i="9"/>
  <c r="B616" i="9"/>
  <c r="C616" i="9"/>
  <c r="D616" i="9"/>
  <c r="E616" i="9"/>
  <c r="F616" i="9"/>
  <c r="G616" i="9"/>
  <c r="H616" i="9"/>
  <c r="I616" i="9"/>
  <c r="J616" i="9"/>
  <c r="K616" i="9"/>
  <c r="L616" i="9"/>
  <c r="M616" i="9"/>
  <c r="N616" i="9"/>
  <c r="O616" i="9"/>
  <c r="P616" i="9"/>
  <c r="Q616" i="9"/>
  <c r="R616" i="9"/>
  <c r="S616" i="9"/>
  <c r="T616" i="9"/>
  <c r="U616" i="9"/>
  <c r="V616" i="9"/>
  <c r="W616" i="9"/>
  <c r="X616" i="9"/>
  <c r="Y616" i="9"/>
  <c r="Z616" i="9"/>
  <c r="A617" i="9"/>
  <c r="B617" i="9"/>
  <c r="C617" i="9"/>
  <c r="D617" i="9"/>
  <c r="E617" i="9"/>
  <c r="F617" i="9"/>
  <c r="G617" i="9"/>
  <c r="H617" i="9"/>
  <c r="I617" i="9"/>
  <c r="J617" i="9"/>
  <c r="K617" i="9"/>
  <c r="L617" i="9"/>
  <c r="M617" i="9"/>
  <c r="N617" i="9"/>
  <c r="O617" i="9"/>
  <c r="P617" i="9"/>
  <c r="Q617" i="9"/>
  <c r="R617" i="9"/>
  <c r="S617" i="9"/>
  <c r="T617" i="9"/>
  <c r="U617" i="9"/>
  <c r="V617" i="9"/>
  <c r="W617" i="9"/>
  <c r="X617" i="9"/>
  <c r="Y617" i="9"/>
  <c r="Z617" i="9"/>
  <c r="A618" i="9"/>
  <c r="B618" i="9"/>
  <c r="C618" i="9"/>
  <c r="D618" i="9"/>
  <c r="E618" i="9"/>
  <c r="F618" i="9"/>
  <c r="G618" i="9"/>
  <c r="H618" i="9"/>
  <c r="I618" i="9"/>
  <c r="J618" i="9"/>
  <c r="K618" i="9"/>
  <c r="L618" i="9"/>
  <c r="M618" i="9"/>
  <c r="N618" i="9"/>
  <c r="O618" i="9"/>
  <c r="P618" i="9"/>
  <c r="Q618" i="9"/>
  <c r="R618" i="9"/>
  <c r="S618" i="9"/>
  <c r="T618" i="9"/>
  <c r="U618" i="9"/>
  <c r="V618" i="9"/>
  <c r="W618" i="9"/>
  <c r="X618" i="9"/>
  <c r="Y618" i="9"/>
  <c r="Z618" i="9"/>
  <c r="A619" i="9"/>
  <c r="B619" i="9"/>
  <c r="C619" i="9"/>
  <c r="D619" i="9"/>
  <c r="E619" i="9"/>
  <c r="F619" i="9"/>
  <c r="G619" i="9"/>
  <c r="H619" i="9"/>
  <c r="I619" i="9"/>
  <c r="J619" i="9"/>
  <c r="K619" i="9"/>
  <c r="L619" i="9"/>
  <c r="M619" i="9"/>
  <c r="N619" i="9"/>
  <c r="O619" i="9"/>
  <c r="P619" i="9"/>
  <c r="Q619" i="9"/>
  <c r="R619" i="9"/>
  <c r="S619" i="9"/>
  <c r="T619" i="9"/>
  <c r="U619" i="9"/>
  <c r="V619" i="9"/>
  <c r="W619" i="9"/>
  <c r="X619" i="9"/>
  <c r="Y619" i="9"/>
  <c r="Z619" i="9"/>
  <c r="A620" i="9"/>
  <c r="B620" i="9"/>
  <c r="C620" i="9"/>
  <c r="D620" i="9"/>
  <c r="E620" i="9"/>
  <c r="F620" i="9"/>
  <c r="G620" i="9"/>
  <c r="H620" i="9"/>
  <c r="I620" i="9"/>
  <c r="J620" i="9"/>
  <c r="K620" i="9"/>
  <c r="L620" i="9"/>
  <c r="M620" i="9"/>
  <c r="N620" i="9"/>
  <c r="O620" i="9"/>
  <c r="P620" i="9"/>
  <c r="Q620" i="9"/>
  <c r="R620" i="9"/>
  <c r="S620" i="9"/>
  <c r="T620" i="9"/>
  <c r="U620" i="9"/>
  <c r="V620" i="9"/>
  <c r="W620" i="9"/>
  <c r="X620" i="9"/>
  <c r="Y620" i="9"/>
  <c r="Z620" i="9"/>
  <c r="A621" i="9"/>
  <c r="B621" i="9"/>
  <c r="C621" i="9"/>
  <c r="D621" i="9"/>
  <c r="E621" i="9"/>
  <c r="F621" i="9"/>
  <c r="G621" i="9"/>
  <c r="H621" i="9"/>
  <c r="I621" i="9"/>
  <c r="J621" i="9"/>
  <c r="K621" i="9"/>
  <c r="L621" i="9"/>
  <c r="M621" i="9"/>
  <c r="N621" i="9"/>
  <c r="O621" i="9"/>
  <c r="P621" i="9"/>
  <c r="Q621" i="9"/>
  <c r="R621" i="9"/>
  <c r="S621" i="9"/>
  <c r="T621" i="9"/>
  <c r="U621" i="9"/>
  <c r="V621" i="9"/>
  <c r="W621" i="9"/>
  <c r="X621" i="9"/>
  <c r="Y621" i="9"/>
  <c r="Z621" i="9"/>
  <c r="A622" i="9"/>
  <c r="B622" i="9"/>
  <c r="C622" i="9"/>
  <c r="D622" i="9"/>
  <c r="E622" i="9"/>
  <c r="F622" i="9"/>
  <c r="G622" i="9"/>
  <c r="H622" i="9"/>
  <c r="I622" i="9"/>
  <c r="J622" i="9"/>
  <c r="K622" i="9"/>
  <c r="L622" i="9"/>
  <c r="M622" i="9"/>
  <c r="N622" i="9"/>
  <c r="O622" i="9"/>
  <c r="P622" i="9"/>
  <c r="Q622" i="9"/>
  <c r="R622" i="9"/>
  <c r="S622" i="9"/>
  <c r="T622" i="9"/>
  <c r="U622" i="9"/>
  <c r="V622" i="9"/>
  <c r="W622" i="9"/>
  <c r="X622" i="9"/>
  <c r="Y622" i="9"/>
  <c r="Z622" i="9"/>
  <c r="A623" i="9"/>
  <c r="B623" i="9"/>
  <c r="C623" i="9"/>
  <c r="D623" i="9"/>
  <c r="E623" i="9"/>
  <c r="F623" i="9"/>
  <c r="G623" i="9"/>
  <c r="H623" i="9"/>
  <c r="I623" i="9"/>
  <c r="J623" i="9"/>
  <c r="K623" i="9"/>
  <c r="L623" i="9"/>
  <c r="M623" i="9"/>
  <c r="N623" i="9"/>
  <c r="O623" i="9"/>
  <c r="P623" i="9"/>
  <c r="Q623" i="9"/>
  <c r="R623" i="9"/>
  <c r="S623" i="9"/>
  <c r="T623" i="9"/>
  <c r="U623" i="9"/>
  <c r="V623" i="9"/>
  <c r="W623" i="9"/>
  <c r="X623" i="9"/>
  <c r="Y623" i="9"/>
  <c r="Z623" i="9"/>
  <c r="A624" i="9"/>
  <c r="B624" i="9"/>
  <c r="C624" i="9"/>
  <c r="D624" i="9"/>
  <c r="E624" i="9"/>
  <c r="F624" i="9"/>
  <c r="G624" i="9"/>
  <c r="H624" i="9"/>
  <c r="I624" i="9"/>
  <c r="J624" i="9"/>
  <c r="K624" i="9"/>
  <c r="L624" i="9"/>
  <c r="M624" i="9"/>
  <c r="N624" i="9"/>
  <c r="O624" i="9"/>
  <c r="P624" i="9"/>
  <c r="Q624" i="9"/>
  <c r="R624" i="9"/>
  <c r="S624" i="9"/>
  <c r="T624" i="9"/>
  <c r="U624" i="9"/>
  <c r="V624" i="9"/>
  <c r="W624" i="9"/>
  <c r="X624" i="9"/>
  <c r="Y624" i="9"/>
  <c r="Z624" i="9"/>
  <c r="A625" i="9"/>
  <c r="B625" i="9"/>
  <c r="C625" i="9"/>
  <c r="D625" i="9"/>
  <c r="E625" i="9"/>
  <c r="F625" i="9"/>
  <c r="G625" i="9"/>
  <c r="H625" i="9"/>
  <c r="I625" i="9"/>
  <c r="J625" i="9"/>
  <c r="K625" i="9"/>
  <c r="L625" i="9"/>
  <c r="M625" i="9"/>
  <c r="N625" i="9"/>
  <c r="O625" i="9"/>
  <c r="P625" i="9"/>
  <c r="Q625" i="9"/>
  <c r="R625" i="9"/>
  <c r="S625" i="9"/>
  <c r="T625" i="9"/>
  <c r="U625" i="9"/>
  <c r="V625" i="9"/>
  <c r="W625" i="9"/>
  <c r="X625" i="9"/>
  <c r="Y625" i="9"/>
  <c r="Z625" i="9"/>
  <c r="A626" i="9"/>
  <c r="B626" i="9"/>
  <c r="C626" i="9"/>
  <c r="D626" i="9"/>
  <c r="E626" i="9"/>
  <c r="F626" i="9"/>
  <c r="G626" i="9"/>
  <c r="H626" i="9"/>
  <c r="I626" i="9"/>
  <c r="J626" i="9"/>
  <c r="K626" i="9"/>
  <c r="L626" i="9"/>
  <c r="M626" i="9"/>
  <c r="N626" i="9"/>
  <c r="O626" i="9"/>
  <c r="P626" i="9"/>
  <c r="Q626" i="9"/>
  <c r="R626" i="9"/>
  <c r="S626" i="9"/>
  <c r="T626" i="9"/>
  <c r="U626" i="9"/>
  <c r="V626" i="9"/>
  <c r="W626" i="9"/>
  <c r="X626" i="9"/>
  <c r="Y626" i="9"/>
  <c r="Z626" i="9"/>
  <c r="A627" i="9"/>
  <c r="B627" i="9"/>
  <c r="C627" i="9"/>
  <c r="D627" i="9"/>
  <c r="E627" i="9"/>
  <c r="F627" i="9"/>
  <c r="G627" i="9"/>
  <c r="H627" i="9"/>
  <c r="I627" i="9"/>
  <c r="J627" i="9"/>
  <c r="K627" i="9"/>
  <c r="L627" i="9"/>
  <c r="M627" i="9"/>
  <c r="N627" i="9"/>
  <c r="O627" i="9"/>
  <c r="P627" i="9"/>
  <c r="Q627" i="9"/>
  <c r="R627" i="9"/>
  <c r="S627" i="9"/>
  <c r="T627" i="9"/>
  <c r="U627" i="9"/>
  <c r="V627" i="9"/>
  <c r="W627" i="9"/>
  <c r="X627" i="9"/>
  <c r="Y627" i="9"/>
  <c r="Z627" i="9"/>
  <c r="A628" i="9"/>
  <c r="B628" i="9"/>
  <c r="C628" i="9"/>
  <c r="D628" i="9"/>
  <c r="E628" i="9"/>
  <c r="F628" i="9"/>
  <c r="G628" i="9"/>
  <c r="H628" i="9"/>
  <c r="I628" i="9"/>
  <c r="J628" i="9"/>
  <c r="K628" i="9"/>
  <c r="L628" i="9"/>
  <c r="M628" i="9"/>
  <c r="N628" i="9"/>
  <c r="O628" i="9"/>
  <c r="P628" i="9"/>
  <c r="Q628" i="9"/>
  <c r="R628" i="9"/>
  <c r="S628" i="9"/>
  <c r="T628" i="9"/>
  <c r="U628" i="9"/>
  <c r="V628" i="9"/>
  <c r="W628" i="9"/>
  <c r="X628" i="9"/>
  <c r="Y628" i="9"/>
  <c r="Z628" i="9"/>
  <c r="A629" i="9"/>
  <c r="B629" i="9"/>
  <c r="C629" i="9"/>
  <c r="D629" i="9"/>
  <c r="E629" i="9"/>
  <c r="F629" i="9"/>
  <c r="G629" i="9"/>
  <c r="H629" i="9"/>
  <c r="I629" i="9"/>
  <c r="J629" i="9"/>
  <c r="K629" i="9"/>
  <c r="L629" i="9"/>
  <c r="M629" i="9"/>
  <c r="N629" i="9"/>
  <c r="O629" i="9"/>
  <c r="P629" i="9"/>
  <c r="Q629" i="9"/>
  <c r="R629" i="9"/>
  <c r="S629" i="9"/>
  <c r="T629" i="9"/>
  <c r="U629" i="9"/>
  <c r="V629" i="9"/>
  <c r="W629" i="9"/>
  <c r="X629" i="9"/>
  <c r="Y629" i="9"/>
  <c r="Z629" i="9"/>
  <c r="A630" i="9"/>
  <c r="B630" i="9"/>
  <c r="C630" i="9"/>
  <c r="D630" i="9"/>
  <c r="E630" i="9"/>
  <c r="F630" i="9"/>
  <c r="G630" i="9"/>
  <c r="H630" i="9"/>
  <c r="I630" i="9"/>
  <c r="J630" i="9"/>
  <c r="K630" i="9"/>
  <c r="L630" i="9"/>
  <c r="M630" i="9"/>
  <c r="N630" i="9"/>
  <c r="O630" i="9"/>
  <c r="P630" i="9"/>
  <c r="Q630" i="9"/>
  <c r="R630" i="9"/>
  <c r="S630" i="9"/>
  <c r="T630" i="9"/>
  <c r="U630" i="9"/>
  <c r="V630" i="9"/>
  <c r="W630" i="9"/>
  <c r="X630" i="9"/>
  <c r="Y630" i="9"/>
  <c r="Z630" i="9"/>
  <c r="A631" i="9"/>
  <c r="B631" i="9"/>
  <c r="C631" i="9"/>
  <c r="D631" i="9"/>
  <c r="E631" i="9"/>
  <c r="F631" i="9"/>
  <c r="G631" i="9"/>
  <c r="H631" i="9"/>
  <c r="I631" i="9"/>
  <c r="J631" i="9"/>
  <c r="K631" i="9"/>
  <c r="L631" i="9"/>
  <c r="M631" i="9"/>
  <c r="N631" i="9"/>
  <c r="O631" i="9"/>
  <c r="P631" i="9"/>
  <c r="Q631" i="9"/>
  <c r="R631" i="9"/>
  <c r="S631" i="9"/>
  <c r="T631" i="9"/>
  <c r="U631" i="9"/>
  <c r="V631" i="9"/>
  <c r="W631" i="9"/>
  <c r="X631" i="9"/>
  <c r="Y631" i="9"/>
  <c r="Z631" i="9"/>
  <c r="A632" i="9"/>
  <c r="B632" i="9"/>
  <c r="C632" i="9"/>
  <c r="D632" i="9"/>
  <c r="E632" i="9"/>
  <c r="F632" i="9"/>
  <c r="G632" i="9"/>
  <c r="H632" i="9"/>
  <c r="I632" i="9"/>
  <c r="J632" i="9"/>
  <c r="K632" i="9"/>
  <c r="L632" i="9"/>
  <c r="M632" i="9"/>
  <c r="N632" i="9"/>
  <c r="O632" i="9"/>
  <c r="P632" i="9"/>
  <c r="Q632" i="9"/>
  <c r="R632" i="9"/>
  <c r="S632" i="9"/>
  <c r="T632" i="9"/>
  <c r="U632" i="9"/>
  <c r="V632" i="9"/>
  <c r="W632" i="9"/>
  <c r="X632" i="9"/>
  <c r="Y632" i="9"/>
  <c r="Z632" i="9"/>
  <c r="A633" i="9"/>
  <c r="B633" i="9"/>
  <c r="C633" i="9"/>
  <c r="D633" i="9"/>
  <c r="E633" i="9"/>
  <c r="F633" i="9"/>
  <c r="G633" i="9"/>
  <c r="H633" i="9"/>
  <c r="I633" i="9"/>
  <c r="J633" i="9"/>
  <c r="K633" i="9"/>
  <c r="L633" i="9"/>
  <c r="M633" i="9"/>
  <c r="N633" i="9"/>
  <c r="O633" i="9"/>
  <c r="P633" i="9"/>
  <c r="Q633" i="9"/>
  <c r="R633" i="9"/>
  <c r="S633" i="9"/>
  <c r="T633" i="9"/>
  <c r="U633" i="9"/>
  <c r="V633" i="9"/>
  <c r="W633" i="9"/>
  <c r="X633" i="9"/>
  <c r="Y633" i="9"/>
  <c r="Z633" i="9"/>
  <c r="A634" i="9"/>
  <c r="B634" i="9"/>
  <c r="C634" i="9"/>
  <c r="D634" i="9"/>
  <c r="E634" i="9"/>
  <c r="F634" i="9"/>
  <c r="G634" i="9"/>
  <c r="H634" i="9"/>
  <c r="I634" i="9"/>
  <c r="J634" i="9"/>
  <c r="K634" i="9"/>
  <c r="L634" i="9"/>
  <c r="M634" i="9"/>
  <c r="N634" i="9"/>
  <c r="O634" i="9"/>
  <c r="P634" i="9"/>
  <c r="Q634" i="9"/>
  <c r="R634" i="9"/>
  <c r="S634" i="9"/>
  <c r="T634" i="9"/>
  <c r="U634" i="9"/>
  <c r="V634" i="9"/>
  <c r="W634" i="9"/>
  <c r="X634" i="9"/>
  <c r="Y634" i="9"/>
  <c r="Z634" i="9"/>
  <c r="A635" i="9"/>
  <c r="B635" i="9"/>
  <c r="C635" i="9"/>
  <c r="D635" i="9"/>
  <c r="E635" i="9"/>
  <c r="F635" i="9"/>
  <c r="G635" i="9"/>
  <c r="H635" i="9"/>
  <c r="I635" i="9"/>
  <c r="J635" i="9"/>
  <c r="K635" i="9"/>
  <c r="L635" i="9"/>
  <c r="M635" i="9"/>
  <c r="N635" i="9"/>
  <c r="O635" i="9"/>
  <c r="P635" i="9"/>
  <c r="Q635" i="9"/>
  <c r="R635" i="9"/>
  <c r="S635" i="9"/>
  <c r="T635" i="9"/>
  <c r="U635" i="9"/>
  <c r="V635" i="9"/>
  <c r="W635" i="9"/>
  <c r="X635" i="9"/>
  <c r="Y635" i="9"/>
  <c r="Z635" i="9"/>
  <c r="A636" i="9"/>
  <c r="B636" i="9"/>
  <c r="C636" i="9"/>
  <c r="D636" i="9"/>
  <c r="E636" i="9"/>
  <c r="F636" i="9"/>
  <c r="G636" i="9"/>
  <c r="H636" i="9"/>
  <c r="I636" i="9"/>
  <c r="J636" i="9"/>
  <c r="K636" i="9"/>
  <c r="L636" i="9"/>
  <c r="M636" i="9"/>
  <c r="N636" i="9"/>
  <c r="O636" i="9"/>
  <c r="P636" i="9"/>
  <c r="Q636" i="9"/>
  <c r="R636" i="9"/>
  <c r="S636" i="9"/>
  <c r="T636" i="9"/>
  <c r="U636" i="9"/>
  <c r="V636" i="9"/>
  <c r="W636" i="9"/>
  <c r="X636" i="9"/>
  <c r="Y636" i="9"/>
  <c r="Z636" i="9"/>
  <c r="A637" i="9"/>
  <c r="B637" i="9"/>
  <c r="C637" i="9"/>
  <c r="D637" i="9"/>
  <c r="E637" i="9"/>
  <c r="F637" i="9"/>
  <c r="G637" i="9"/>
  <c r="H637" i="9"/>
  <c r="I637" i="9"/>
  <c r="J637" i="9"/>
  <c r="K637" i="9"/>
  <c r="L637" i="9"/>
  <c r="M637" i="9"/>
  <c r="N637" i="9"/>
  <c r="O637" i="9"/>
  <c r="P637" i="9"/>
  <c r="Q637" i="9"/>
  <c r="R637" i="9"/>
  <c r="S637" i="9"/>
  <c r="T637" i="9"/>
  <c r="U637" i="9"/>
  <c r="V637" i="9"/>
  <c r="W637" i="9"/>
  <c r="X637" i="9"/>
  <c r="Y637" i="9"/>
  <c r="Z637" i="9"/>
  <c r="A638" i="9"/>
  <c r="B638" i="9"/>
  <c r="C638" i="9"/>
  <c r="D638" i="9"/>
  <c r="E638" i="9"/>
  <c r="F638" i="9"/>
  <c r="G638" i="9"/>
  <c r="H638" i="9"/>
  <c r="I638" i="9"/>
  <c r="J638" i="9"/>
  <c r="K638" i="9"/>
  <c r="L638" i="9"/>
  <c r="M638" i="9"/>
  <c r="N638" i="9"/>
  <c r="O638" i="9"/>
  <c r="P638" i="9"/>
  <c r="Q638" i="9"/>
  <c r="R638" i="9"/>
  <c r="S638" i="9"/>
  <c r="T638" i="9"/>
  <c r="U638" i="9"/>
  <c r="V638" i="9"/>
  <c r="W638" i="9"/>
  <c r="X638" i="9"/>
  <c r="Y638" i="9"/>
  <c r="Z638" i="9"/>
  <c r="A639" i="9"/>
  <c r="B639" i="9"/>
  <c r="C639" i="9"/>
  <c r="D639" i="9"/>
  <c r="E639" i="9"/>
  <c r="F639" i="9"/>
  <c r="G639" i="9"/>
  <c r="H639" i="9"/>
  <c r="I639" i="9"/>
  <c r="J639" i="9"/>
  <c r="K639" i="9"/>
  <c r="L639" i="9"/>
  <c r="M639" i="9"/>
  <c r="N639" i="9"/>
  <c r="O639" i="9"/>
  <c r="P639" i="9"/>
  <c r="Q639" i="9"/>
  <c r="R639" i="9"/>
  <c r="S639" i="9"/>
  <c r="T639" i="9"/>
  <c r="U639" i="9"/>
  <c r="V639" i="9"/>
  <c r="W639" i="9"/>
  <c r="X639" i="9"/>
  <c r="Y639" i="9"/>
  <c r="Z639" i="9"/>
  <c r="A640" i="9"/>
  <c r="B640" i="9"/>
  <c r="C640" i="9"/>
  <c r="D640" i="9"/>
  <c r="E640" i="9"/>
  <c r="F640" i="9"/>
  <c r="G640" i="9"/>
  <c r="H640" i="9"/>
  <c r="I640" i="9"/>
  <c r="J640" i="9"/>
  <c r="K640" i="9"/>
  <c r="L640" i="9"/>
  <c r="M640" i="9"/>
  <c r="N640" i="9"/>
  <c r="O640" i="9"/>
  <c r="P640" i="9"/>
  <c r="Q640" i="9"/>
  <c r="R640" i="9"/>
  <c r="S640" i="9"/>
  <c r="T640" i="9"/>
  <c r="U640" i="9"/>
  <c r="V640" i="9"/>
  <c r="W640" i="9"/>
  <c r="X640" i="9"/>
  <c r="Y640" i="9"/>
  <c r="Z640" i="9"/>
  <c r="A641" i="9"/>
  <c r="B641" i="9"/>
  <c r="C641" i="9"/>
  <c r="D641" i="9"/>
  <c r="E641" i="9"/>
  <c r="F641" i="9"/>
  <c r="G641" i="9"/>
  <c r="H641" i="9"/>
  <c r="I641" i="9"/>
  <c r="J641" i="9"/>
  <c r="K641" i="9"/>
  <c r="L641" i="9"/>
  <c r="M641" i="9"/>
  <c r="N641" i="9"/>
  <c r="O641" i="9"/>
  <c r="P641" i="9"/>
  <c r="Q641" i="9"/>
  <c r="R641" i="9"/>
  <c r="S641" i="9"/>
  <c r="T641" i="9"/>
  <c r="U641" i="9"/>
  <c r="V641" i="9"/>
  <c r="W641" i="9"/>
  <c r="X641" i="9"/>
  <c r="Y641" i="9"/>
  <c r="Z641" i="9"/>
  <c r="A642" i="9"/>
  <c r="B642" i="9"/>
  <c r="C642" i="9"/>
  <c r="D642" i="9"/>
  <c r="E642" i="9"/>
  <c r="F642" i="9"/>
  <c r="G642" i="9"/>
  <c r="H642" i="9"/>
  <c r="I642" i="9"/>
  <c r="J642" i="9"/>
  <c r="K642" i="9"/>
  <c r="L642" i="9"/>
  <c r="M642" i="9"/>
  <c r="N642" i="9"/>
  <c r="O642" i="9"/>
  <c r="P642" i="9"/>
  <c r="Q642" i="9"/>
  <c r="R642" i="9"/>
  <c r="S642" i="9"/>
  <c r="T642" i="9"/>
  <c r="U642" i="9"/>
  <c r="V642" i="9"/>
  <c r="W642" i="9"/>
  <c r="X642" i="9"/>
  <c r="Y642" i="9"/>
  <c r="Z642" i="9"/>
  <c r="A643" i="9"/>
  <c r="B643" i="9"/>
  <c r="C643" i="9"/>
  <c r="D643" i="9"/>
  <c r="E643" i="9"/>
  <c r="F643" i="9"/>
  <c r="G643" i="9"/>
  <c r="H643" i="9"/>
  <c r="I643" i="9"/>
  <c r="J643" i="9"/>
  <c r="K643" i="9"/>
  <c r="L643" i="9"/>
  <c r="M643" i="9"/>
  <c r="N643" i="9"/>
  <c r="O643" i="9"/>
  <c r="P643" i="9"/>
  <c r="Q643" i="9"/>
  <c r="R643" i="9"/>
  <c r="S643" i="9"/>
  <c r="T643" i="9"/>
  <c r="U643" i="9"/>
  <c r="V643" i="9"/>
  <c r="W643" i="9"/>
  <c r="X643" i="9"/>
  <c r="Y643" i="9"/>
  <c r="Z643" i="9"/>
  <c r="A644" i="9"/>
  <c r="B644" i="9"/>
  <c r="C644" i="9"/>
  <c r="D644" i="9"/>
  <c r="E644" i="9"/>
  <c r="F644" i="9"/>
  <c r="G644" i="9"/>
  <c r="H644" i="9"/>
  <c r="I644" i="9"/>
  <c r="J644" i="9"/>
  <c r="K644" i="9"/>
  <c r="L644" i="9"/>
  <c r="M644" i="9"/>
  <c r="N644" i="9"/>
  <c r="O644" i="9"/>
  <c r="P644" i="9"/>
  <c r="Q644" i="9"/>
  <c r="R644" i="9"/>
  <c r="S644" i="9"/>
  <c r="T644" i="9"/>
  <c r="U644" i="9"/>
  <c r="V644" i="9"/>
  <c r="W644" i="9"/>
  <c r="X644" i="9"/>
  <c r="Y644" i="9"/>
  <c r="Z644" i="9"/>
  <c r="A645" i="9"/>
  <c r="B645" i="9"/>
  <c r="C645" i="9"/>
  <c r="D645" i="9"/>
  <c r="E645" i="9"/>
  <c r="F645" i="9"/>
  <c r="G645" i="9"/>
  <c r="H645" i="9"/>
  <c r="I645" i="9"/>
  <c r="J645" i="9"/>
  <c r="K645" i="9"/>
  <c r="L645" i="9"/>
  <c r="M645" i="9"/>
  <c r="N645" i="9"/>
  <c r="O645" i="9"/>
  <c r="P645" i="9"/>
  <c r="Q645" i="9"/>
  <c r="R645" i="9"/>
  <c r="S645" i="9"/>
  <c r="T645" i="9"/>
  <c r="U645" i="9"/>
  <c r="V645" i="9"/>
  <c r="W645" i="9"/>
  <c r="X645" i="9"/>
  <c r="Y645" i="9"/>
  <c r="Z645" i="9"/>
  <c r="A646" i="9"/>
  <c r="B646" i="9"/>
  <c r="C646" i="9"/>
  <c r="D646" i="9"/>
  <c r="E646" i="9"/>
  <c r="F646" i="9"/>
  <c r="G646" i="9"/>
  <c r="H646" i="9"/>
  <c r="I646" i="9"/>
  <c r="J646" i="9"/>
  <c r="K646" i="9"/>
  <c r="L646" i="9"/>
  <c r="M646" i="9"/>
  <c r="N646" i="9"/>
  <c r="O646" i="9"/>
  <c r="P646" i="9"/>
  <c r="Q646" i="9"/>
  <c r="R646" i="9"/>
  <c r="S646" i="9"/>
  <c r="T646" i="9"/>
  <c r="U646" i="9"/>
  <c r="V646" i="9"/>
  <c r="W646" i="9"/>
  <c r="X646" i="9"/>
  <c r="Y646" i="9"/>
  <c r="Z646" i="9"/>
  <c r="A647" i="9"/>
  <c r="B647" i="9"/>
  <c r="C647" i="9"/>
  <c r="D647" i="9"/>
  <c r="E647" i="9"/>
  <c r="F647" i="9"/>
  <c r="G647" i="9"/>
  <c r="H647" i="9"/>
  <c r="I647" i="9"/>
  <c r="J647" i="9"/>
  <c r="K647" i="9"/>
  <c r="L647" i="9"/>
  <c r="M647" i="9"/>
  <c r="N647" i="9"/>
  <c r="O647" i="9"/>
  <c r="P647" i="9"/>
  <c r="Q647" i="9"/>
  <c r="R647" i="9"/>
  <c r="S647" i="9"/>
  <c r="T647" i="9"/>
  <c r="U647" i="9"/>
  <c r="V647" i="9"/>
  <c r="W647" i="9"/>
  <c r="X647" i="9"/>
  <c r="Y647" i="9"/>
  <c r="Z647" i="9"/>
  <c r="A648" i="9"/>
  <c r="B648" i="9"/>
  <c r="C648" i="9"/>
  <c r="D648" i="9"/>
  <c r="E648" i="9"/>
  <c r="F648" i="9"/>
  <c r="G648" i="9"/>
  <c r="H648" i="9"/>
  <c r="I648" i="9"/>
  <c r="J648" i="9"/>
  <c r="K648" i="9"/>
  <c r="L648" i="9"/>
  <c r="M648" i="9"/>
  <c r="N648" i="9"/>
  <c r="O648" i="9"/>
  <c r="P648" i="9"/>
  <c r="Q648" i="9"/>
  <c r="R648" i="9"/>
  <c r="S648" i="9"/>
  <c r="T648" i="9"/>
  <c r="U648" i="9"/>
  <c r="V648" i="9"/>
  <c r="W648" i="9"/>
  <c r="X648" i="9"/>
  <c r="Y648" i="9"/>
  <c r="Z648" i="9"/>
  <c r="A649" i="9"/>
  <c r="B649" i="9"/>
  <c r="C649" i="9"/>
  <c r="D649" i="9"/>
  <c r="E649" i="9"/>
  <c r="F649" i="9"/>
  <c r="G649" i="9"/>
  <c r="H649" i="9"/>
  <c r="I649" i="9"/>
  <c r="J649" i="9"/>
  <c r="K649" i="9"/>
  <c r="L649" i="9"/>
  <c r="M649" i="9"/>
  <c r="N649" i="9"/>
  <c r="O649" i="9"/>
  <c r="P649" i="9"/>
  <c r="Q649" i="9"/>
  <c r="R649" i="9"/>
  <c r="S649" i="9"/>
  <c r="T649" i="9"/>
  <c r="U649" i="9"/>
  <c r="V649" i="9"/>
  <c r="W649" i="9"/>
  <c r="X649" i="9"/>
  <c r="Y649" i="9"/>
  <c r="Z649" i="9"/>
  <c r="A650" i="9"/>
  <c r="B650" i="9"/>
  <c r="C650" i="9"/>
  <c r="D650" i="9"/>
  <c r="E650" i="9"/>
  <c r="F650" i="9"/>
  <c r="G650" i="9"/>
  <c r="H650" i="9"/>
  <c r="I650" i="9"/>
  <c r="J650" i="9"/>
  <c r="K650" i="9"/>
  <c r="L650" i="9"/>
  <c r="M650" i="9"/>
  <c r="N650" i="9"/>
  <c r="O650" i="9"/>
  <c r="P650" i="9"/>
  <c r="Q650" i="9"/>
  <c r="R650" i="9"/>
  <c r="S650" i="9"/>
  <c r="T650" i="9"/>
  <c r="U650" i="9"/>
  <c r="V650" i="9"/>
  <c r="W650" i="9"/>
  <c r="X650" i="9"/>
  <c r="Y650" i="9"/>
  <c r="Z650" i="9"/>
  <c r="A651" i="9"/>
  <c r="B651" i="9"/>
  <c r="C651" i="9"/>
  <c r="D651" i="9"/>
  <c r="E651" i="9"/>
  <c r="F651" i="9"/>
  <c r="G651" i="9"/>
  <c r="H651" i="9"/>
  <c r="I651" i="9"/>
  <c r="J651" i="9"/>
  <c r="K651" i="9"/>
  <c r="L651" i="9"/>
  <c r="M651" i="9"/>
  <c r="N651" i="9"/>
  <c r="O651" i="9"/>
  <c r="P651" i="9"/>
  <c r="Q651" i="9"/>
  <c r="R651" i="9"/>
  <c r="S651" i="9"/>
  <c r="T651" i="9"/>
  <c r="U651" i="9"/>
  <c r="V651" i="9"/>
  <c r="W651" i="9"/>
  <c r="X651" i="9"/>
  <c r="Y651" i="9"/>
  <c r="Z651" i="9"/>
  <c r="A652" i="9"/>
  <c r="B652" i="9"/>
  <c r="C652" i="9"/>
  <c r="D652" i="9"/>
  <c r="E652" i="9"/>
  <c r="F652" i="9"/>
  <c r="G652" i="9"/>
  <c r="H652" i="9"/>
  <c r="I652" i="9"/>
  <c r="J652" i="9"/>
  <c r="K652" i="9"/>
  <c r="L652" i="9"/>
  <c r="M652" i="9"/>
  <c r="N652" i="9"/>
  <c r="O652" i="9"/>
  <c r="P652" i="9"/>
  <c r="Q652" i="9"/>
  <c r="R652" i="9"/>
  <c r="S652" i="9"/>
  <c r="T652" i="9"/>
  <c r="U652" i="9"/>
  <c r="V652" i="9"/>
  <c r="W652" i="9"/>
  <c r="X652" i="9"/>
  <c r="Y652" i="9"/>
  <c r="Z652" i="9"/>
  <c r="A653" i="9"/>
  <c r="B653" i="9"/>
  <c r="C653" i="9"/>
  <c r="D653" i="9"/>
  <c r="E653" i="9"/>
  <c r="F653" i="9"/>
  <c r="G653" i="9"/>
  <c r="H653" i="9"/>
  <c r="I653" i="9"/>
  <c r="J653" i="9"/>
  <c r="K653" i="9"/>
  <c r="L653" i="9"/>
  <c r="M653" i="9"/>
  <c r="N653" i="9"/>
  <c r="O653" i="9"/>
  <c r="P653" i="9"/>
  <c r="Q653" i="9"/>
  <c r="R653" i="9"/>
  <c r="S653" i="9"/>
  <c r="T653" i="9"/>
  <c r="U653" i="9"/>
  <c r="V653" i="9"/>
  <c r="W653" i="9"/>
  <c r="X653" i="9"/>
  <c r="Y653" i="9"/>
  <c r="Z653" i="9"/>
  <c r="A654" i="9"/>
  <c r="B654" i="9"/>
  <c r="C654" i="9"/>
  <c r="D654" i="9"/>
  <c r="E654" i="9"/>
  <c r="F654" i="9"/>
  <c r="G654" i="9"/>
  <c r="H654" i="9"/>
  <c r="I654" i="9"/>
  <c r="J654" i="9"/>
  <c r="K654" i="9"/>
  <c r="L654" i="9"/>
  <c r="M654" i="9"/>
  <c r="N654" i="9"/>
  <c r="O654" i="9"/>
  <c r="P654" i="9"/>
  <c r="Q654" i="9"/>
  <c r="R654" i="9"/>
  <c r="S654" i="9"/>
  <c r="T654" i="9"/>
  <c r="U654" i="9"/>
  <c r="V654" i="9"/>
  <c r="W654" i="9"/>
  <c r="X654" i="9"/>
  <c r="Y654" i="9"/>
  <c r="Z654" i="9"/>
  <c r="A655" i="9"/>
  <c r="B655" i="9"/>
  <c r="C655" i="9"/>
  <c r="D655" i="9"/>
  <c r="E655" i="9"/>
  <c r="F655" i="9"/>
  <c r="G655" i="9"/>
  <c r="H655" i="9"/>
  <c r="I655" i="9"/>
  <c r="J655" i="9"/>
  <c r="K655" i="9"/>
  <c r="L655" i="9"/>
  <c r="M655" i="9"/>
  <c r="N655" i="9"/>
  <c r="O655" i="9"/>
  <c r="P655" i="9"/>
  <c r="Q655" i="9"/>
  <c r="R655" i="9"/>
  <c r="S655" i="9"/>
  <c r="T655" i="9"/>
  <c r="U655" i="9"/>
  <c r="V655" i="9"/>
  <c r="W655" i="9"/>
  <c r="X655" i="9"/>
  <c r="Y655" i="9"/>
  <c r="Z655" i="9"/>
  <c r="A656" i="9"/>
  <c r="B656" i="9"/>
  <c r="C656" i="9"/>
  <c r="D656" i="9"/>
  <c r="E656" i="9"/>
  <c r="F656" i="9"/>
  <c r="G656" i="9"/>
  <c r="H656" i="9"/>
  <c r="I656" i="9"/>
  <c r="J656" i="9"/>
  <c r="K656" i="9"/>
  <c r="L656" i="9"/>
  <c r="M656" i="9"/>
  <c r="N656" i="9"/>
  <c r="O656" i="9"/>
  <c r="P656" i="9"/>
  <c r="Q656" i="9"/>
  <c r="R656" i="9"/>
  <c r="S656" i="9"/>
  <c r="T656" i="9"/>
  <c r="U656" i="9"/>
  <c r="V656" i="9"/>
  <c r="W656" i="9"/>
  <c r="X656" i="9"/>
  <c r="Y656" i="9"/>
  <c r="Z656" i="9"/>
  <c r="A657" i="9"/>
  <c r="B657" i="9"/>
  <c r="C657" i="9"/>
  <c r="D657" i="9"/>
  <c r="E657" i="9"/>
  <c r="F657" i="9"/>
  <c r="G657" i="9"/>
  <c r="H657" i="9"/>
  <c r="I657" i="9"/>
  <c r="J657" i="9"/>
  <c r="K657" i="9"/>
  <c r="L657" i="9"/>
  <c r="M657" i="9"/>
  <c r="N657" i="9"/>
  <c r="O657" i="9"/>
  <c r="P657" i="9"/>
  <c r="Q657" i="9"/>
  <c r="R657" i="9"/>
  <c r="S657" i="9"/>
  <c r="T657" i="9"/>
  <c r="U657" i="9"/>
  <c r="V657" i="9"/>
  <c r="W657" i="9"/>
  <c r="X657" i="9"/>
  <c r="Y657" i="9"/>
  <c r="Z657" i="9"/>
  <c r="A658" i="9"/>
  <c r="B658" i="9"/>
  <c r="C658" i="9"/>
  <c r="D658" i="9"/>
  <c r="E658" i="9"/>
  <c r="F658" i="9"/>
  <c r="G658" i="9"/>
  <c r="H658" i="9"/>
  <c r="I658" i="9"/>
  <c r="J658" i="9"/>
  <c r="K658" i="9"/>
  <c r="L658" i="9"/>
  <c r="M658" i="9"/>
  <c r="N658" i="9"/>
  <c r="O658" i="9"/>
  <c r="P658" i="9"/>
  <c r="Q658" i="9"/>
  <c r="R658" i="9"/>
  <c r="S658" i="9"/>
  <c r="T658" i="9"/>
  <c r="U658" i="9"/>
  <c r="V658" i="9"/>
  <c r="W658" i="9"/>
  <c r="X658" i="9"/>
  <c r="Y658" i="9"/>
  <c r="Z658" i="9"/>
  <c r="A659" i="9"/>
  <c r="B659" i="9"/>
  <c r="C659" i="9"/>
  <c r="D659" i="9"/>
  <c r="E659" i="9"/>
  <c r="F659" i="9"/>
  <c r="G659" i="9"/>
  <c r="H659" i="9"/>
  <c r="I659" i="9"/>
  <c r="J659" i="9"/>
  <c r="K659" i="9"/>
  <c r="L659" i="9"/>
  <c r="M659" i="9"/>
  <c r="N659" i="9"/>
  <c r="O659" i="9"/>
  <c r="P659" i="9"/>
  <c r="Q659" i="9"/>
  <c r="R659" i="9"/>
  <c r="S659" i="9"/>
  <c r="T659" i="9"/>
  <c r="U659" i="9"/>
  <c r="V659" i="9"/>
  <c r="W659" i="9"/>
  <c r="X659" i="9"/>
  <c r="Y659" i="9"/>
  <c r="Z659" i="9"/>
  <c r="A660" i="9"/>
  <c r="B660" i="9"/>
  <c r="C660" i="9"/>
  <c r="D660" i="9"/>
  <c r="E660" i="9"/>
  <c r="F660" i="9"/>
  <c r="G660" i="9"/>
  <c r="H660" i="9"/>
  <c r="I660" i="9"/>
  <c r="J660" i="9"/>
  <c r="K660" i="9"/>
  <c r="L660" i="9"/>
  <c r="M660" i="9"/>
  <c r="N660" i="9"/>
  <c r="O660" i="9"/>
  <c r="P660" i="9"/>
  <c r="Q660" i="9"/>
  <c r="R660" i="9"/>
  <c r="S660" i="9"/>
  <c r="T660" i="9"/>
  <c r="U660" i="9"/>
  <c r="V660" i="9"/>
  <c r="W660" i="9"/>
  <c r="X660" i="9"/>
  <c r="Y660" i="9"/>
  <c r="Z660" i="9"/>
  <c r="A661" i="9"/>
  <c r="B661" i="9"/>
  <c r="C661" i="9"/>
  <c r="D661" i="9"/>
  <c r="E661" i="9"/>
  <c r="F661" i="9"/>
  <c r="G661" i="9"/>
  <c r="H661" i="9"/>
  <c r="I661" i="9"/>
  <c r="J661" i="9"/>
  <c r="K661" i="9"/>
  <c r="L661" i="9"/>
  <c r="M661" i="9"/>
  <c r="N661" i="9"/>
  <c r="O661" i="9"/>
  <c r="P661" i="9"/>
  <c r="Q661" i="9"/>
  <c r="R661" i="9"/>
  <c r="S661" i="9"/>
  <c r="T661" i="9"/>
  <c r="U661" i="9"/>
  <c r="V661" i="9"/>
  <c r="W661" i="9"/>
  <c r="X661" i="9"/>
  <c r="Y661" i="9"/>
  <c r="Z661" i="9"/>
  <c r="A662" i="9"/>
  <c r="B662" i="9"/>
  <c r="C662" i="9"/>
  <c r="D662" i="9"/>
  <c r="E662" i="9"/>
  <c r="F662" i="9"/>
  <c r="G662" i="9"/>
  <c r="H662" i="9"/>
  <c r="I662" i="9"/>
  <c r="J662" i="9"/>
  <c r="K662" i="9"/>
  <c r="L662" i="9"/>
  <c r="M662" i="9"/>
  <c r="N662" i="9"/>
  <c r="O662" i="9"/>
  <c r="P662" i="9"/>
  <c r="Q662" i="9"/>
  <c r="R662" i="9"/>
  <c r="S662" i="9"/>
  <c r="T662" i="9"/>
  <c r="U662" i="9"/>
  <c r="V662" i="9"/>
  <c r="W662" i="9"/>
  <c r="X662" i="9"/>
  <c r="Y662" i="9"/>
  <c r="Z662" i="9"/>
  <c r="A663" i="9"/>
  <c r="B663" i="9"/>
  <c r="C663" i="9"/>
  <c r="D663" i="9"/>
  <c r="E663" i="9"/>
  <c r="F663" i="9"/>
  <c r="G663" i="9"/>
  <c r="H663" i="9"/>
  <c r="I663" i="9"/>
  <c r="J663" i="9"/>
  <c r="K663" i="9"/>
  <c r="L663" i="9"/>
  <c r="M663" i="9"/>
  <c r="N663" i="9"/>
  <c r="O663" i="9"/>
  <c r="P663" i="9"/>
  <c r="Q663" i="9"/>
  <c r="R663" i="9"/>
  <c r="S663" i="9"/>
  <c r="T663" i="9"/>
  <c r="U663" i="9"/>
  <c r="V663" i="9"/>
  <c r="W663" i="9"/>
  <c r="X663" i="9"/>
  <c r="Y663" i="9"/>
  <c r="Z663" i="9"/>
  <c r="A664" i="9"/>
  <c r="B664" i="9"/>
  <c r="C664" i="9"/>
  <c r="D664" i="9"/>
  <c r="E664" i="9"/>
  <c r="F664" i="9"/>
  <c r="G664" i="9"/>
  <c r="H664" i="9"/>
  <c r="I664" i="9"/>
  <c r="J664" i="9"/>
  <c r="K664" i="9"/>
  <c r="L664" i="9"/>
  <c r="M664" i="9"/>
  <c r="N664" i="9"/>
  <c r="O664" i="9"/>
  <c r="P664" i="9"/>
  <c r="Q664" i="9"/>
  <c r="R664" i="9"/>
  <c r="S664" i="9"/>
  <c r="T664" i="9"/>
  <c r="U664" i="9"/>
  <c r="V664" i="9"/>
  <c r="W664" i="9"/>
  <c r="X664" i="9"/>
  <c r="Y664" i="9"/>
  <c r="Z664" i="9"/>
  <c r="A665" i="9"/>
  <c r="B665" i="9"/>
  <c r="C665" i="9"/>
  <c r="D665" i="9"/>
  <c r="E665" i="9"/>
  <c r="F665" i="9"/>
  <c r="G665" i="9"/>
  <c r="H665" i="9"/>
  <c r="I665" i="9"/>
  <c r="J665" i="9"/>
  <c r="K665" i="9"/>
  <c r="L665" i="9"/>
  <c r="M665" i="9"/>
  <c r="N665" i="9"/>
  <c r="O665" i="9"/>
  <c r="P665" i="9"/>
  <c r="Q665" i="9"/>
  <c r="R665" i="9"/>
  <c r="S665" i="9"/>
  <c r="T665" i="9"/>
  <c r="U665" i="9"/>
  <c r="V665" i="9"/>
  <c r="W665" i="9"/>
  <c r="X665" i="9"/>
  <c r="Y665" i="9"/>
  <c r="Z665" i="9"/>
  <c r="A666" i="9"/>
  <c r="B666" i="9"/>
  <c r="C666" i="9"/>
  <c r="D666" i="9"/>
  <c r="E666" i="9"/>
  <c r="F666" i="9"/>
  <c r="G666" i="9"/>
  <c r="H666" i="9"/>
  <c r="I666" i="9"/>
  <c r="J666" i="9"/>
  <c r="K666" i="9"/>
  <c r="L666" i="9"/>
  <c r="M666" i="9"/>
  <c r="N666" i="9"/>
  <c r="O666" i="9"/>
  <c r="P666" i="9"/>
  <c r="Q666" i="9"/>
  <c r="R666" i="9"/>
  <c r="S666" i="9"/>
  <c r="T666" i="9"/>
  <c r="U666" i="9"/>
  <c r="V666" i="9"/>
  <c r="W666" i="9"/>
  <c r="X666" i="9"/>
  <c r="Y666" i="9"/>
  <c r="Z666" i="9"/>
  <c r="A667" i="9"/>
  <c r="B667" i="9"/>
  <c r="C667" i="9"/>
  <c r="D667" i="9"/>
  <c r="E667" i="9"/>
  <c r="F667" i="9"/>
  <c r="G667" i="9"/>
  <c r="H667" i="9"/>
  <c r="I667" i="9"/>
  <c r="J667" i="9"/>
  <c r="K667" i="9"/>
  <c r="L667" i="9"/>
  <c r="M667" i="9"/>
  <c r="N667" i="9"/>
  <c r="O667" i="9"/>
  <c r="P667" i="9"/>
  <c r="Q667" i="9"/>
  <c r="R667" i="9"/>
  <c r="S667" i="9"/>
  <c r="T667" i="9"/>
  <c r="U667" i="9"/>
  <c r="V667" i="9"/>
  <c r="W667" i="9"/>
  <c r="X667" i="9"/>
  <c r="Y667" i="9"/>
  <c r="Z667" i="9"/>
  <c r="A668" i="9"/>
  <c r="B668" i="9"/>
  <c r="C668" i="9"/>
  <c r="D668" i="9"/>
  <c r="E668" i="9"/>
  <c r="F668" i="9"/>
  <c r="G668" i="9"/>
  <c r="H668" i="9"/>
  <c r="I668" i="9"/>
  <c r="J668" i="9"/>
  <c r="K668" i="9"/>
  <c r="L668" i="9"/>
  <c r="M668" i="9"/>
  <c r="N668" i="9"/>
  <c r="O668" i="9"/>
  <c r="P668" i="9"/>
  <c r="Q668" i="9"/>
  <c r="R668" i="9"/>
  <c r="S668" i="9"/>
  <c r="T668" i="9"/>
  <c r="U668" i="9"/>
  <c r="V668" i="9"/>
  <c r="W668" i="9"/>
  <c r="X668" i="9"/>
  <c r="Y668" i="9"/>
  <c r="Z668" i="9"/>
  <c r="A669" i="9"/>
  <c r="B669" i="9"/>
  <c r="C669" i="9"/>
  <c r="D669" i="9"/>
  <c r="E669" i="9"/>
  <c r="F669" i="9"/>
  <c r="G669" i="9"/>
  <c r="H669" i="9"/>
  <c r="I669" i="9"/>
  <c r="J669" i="9"/>
  <c r="K669" i="9"/>
  <c r="L669" i="9"/>
  <c r="M669" i="9"/>
  <c r="N669" i="9"/>
  <c r="O669" i="9"/>
  <c r="P669" i="9"/>
  <c r="Q669" i="9"/>
  <c r="R669" i="9"/>
  <c r="S669" i="9"/>
  <c r="T669" i="9"/>
  <c r="U669" i="9"/>
  <c r="V669" i="9"/>
  <c r="W669" i="9"/>
  <c r="X669" i="9"/>
  <c r="Y669" i="9"/>
  <c r="Z669" i="9"/>
  <c r="A670" i="9"/>
  <c r="B670" i="9"/>
  <c r="C670" i="9"/>
  <c r="D670" i="9"/>
  <c r="E670" i="9"/>
  <c r="F670" i="9"/>
  <c r="G670" i="9"/>
  <c r="H670" i="9"/>
  <c r="I670" i="9"/>
  <c r="J670" i="9"/>
  <c r="K670" i="9"/>
  <c r="L670" i="9"/>
  <c r="M670" i="9"/>
  <c r="N670" i="9"/>
  <c r="O670" i="9"/>
  <c r="P670" i="9"/>
  <c r="Q670" i="9"/>
  <c r="R670" i="9"/>
  <c r="S670" i="9"/>
  <c r="T670" i="9"/>
  <c r="U670" i="9"/>
  <c r="V670" i="9"/>
  <c r="W670" i="9"/>
  <c r="X670" i="9"/>
  <c r="Y670" i="9"/>
  <c r="Z670" i="9"/>
  <c r="A671" i="9"/>
  <c r="B671" i="9"/>
  <c r="C671" i="9"/>
  <c r="D671" i="9"/>
  <c r="E671" i="9"/>
  <c r="F671" i="9"/>
  <c r="G671" i="9"/>
  <c r="H671" i="9"/>
  <c r="I671" i="9"/>
  <c r="J671" i="9"/>
  <c r="K671" i="9"/>
  <c r="L671" i="9"/>
  <c r="M671" i="9"/>
  <c r="N671" i="9"/>
  <c r="O671" i="9"/>
  <c r="P671" i="9"/>
  <c r="Q671" i="9"/>
  <c r="R671" i="9"/>
  <c r="S671" i="9"/>
  <c r="T671" i="9"/>
  <c r="U671" i="9"/>
  <c r="V671" i="9"/>
  <c r="W671" i="9"/>
  <c r="X671" i="9"/>
  <c r="Y671" i="9"/>
  <c r="Z671" i="9"/>
  <c r="A672" i="9"/>
  <c r="B672" i="9"/>
  <c r="C672" i="9"/>
  <c r="D672" i="9"/>
  <c r="E672" i="9"/>
  <c r="F672" i="9"/>
  <c r="G672" i="9"/>
  <c r="H672" i="9"/>
  <c r="I672" i="9"/>
  <c r="J672" i="9"/>
  <c r="K672" i="9"/>
  <c r="L672" i="9"/>
  <c r="M672" i="9"/>
  <c r="N672" i="9"/>
  <c r="O672" i="9"/>
  <c r="P672" i="9"/>
  <c r="Q672" i="9"/>
  <c r="R672" i="9"/>
  <c r="S672" i="9"/>
  <c r="T672" i="9"/>
  <c r="U672" i="9"/>
  <c r="V672" i="9"/>
  <c r="W672" i="9"/>
  <c r="X672" i="9"/>
  <c r="Y672" i="9"/>
  <c r="Z672" i="9"/>
  <c r="A673" i="9"/>
  <c r="B673" i="9"/>
  <c r="C673" i="9"/>
  <c r="D673" i="9"/>
  <c r="E673" i="9"/>
  <c r="F673" i="9"/>
  <c r="G673" i="9"/>
  <c r="H673" i="9"/>
  <c r="I673" i="9"/>
  <c r="J673" i="9"/>
  <c r="K673" i="9"/>
  <c r="L673" i="9"/>
  <c r="M673" i="9"/>
  <c r="N673" i="9"/>
  <c r="O673" i="9"/>
  <c r="P673" i="9"/>
  <c r="Q673" i="9"/>
  <c r="R673" i="9"/>
  <c r="S673" i="9"/>
  <c r="T673" i="9"/>
  <c r="U673" i="9"/>
  <c r="V673" i="9"/>
  <c r="W673" i="9"/>
  <c r="X673" i="9"/>
  <c r="Y673" i="9"/>
  <c r="Z673" i="9"/>
  <c r="A674" i="9"/>
  <c r="B674" i="9"/>
  <c r="C674" i="9"/>
  <c r="D674" i="9"/>
  <c r="E674" i="9"/>
  <c r="F674" i="9"/>
  <c r="G674" i="9"/>
  <c r="H674" i="9"/>
  <c r="I674" i="9"/>
  <c r="J674" i="9"/>
  <c r="K674" i="9"/>
  <c r="L674" i="9"/>
  <c r="M674" i="9"/>
  <c r="N674" i="9"/>
  <c r="O674" i="9"/>
  <c r="P674" i="9"/>
  <c r="Q674" i="9"/>
  <c r="R674" i="9"/>
  <c r="S674" i="9"/>
  <c r="T674" i="9"/>
  <c r="U674" i="9"/>
  <c r="V674" i="9"/>
  <c r="W674" i="9"/>
  <c r="X674" i="9"/>
  <c r="Y674" i="9"/>
  <c r="Z674" i="9"/>
  <c r="A675" i="9"/>
  <c r="B675" i="9"/>
  <c r="C675" i="9"/>
  <c r="D675" i="9"/>
  <c r="E675" i="9"/>
  <c r="F675" i="9"/>
  <c r="G675" i="9"/>
  <c r="H675" i="9"/>
  <c r="I675" i="9"/>
  <c r="J675" i="9"/>
  <c r="K675" i="9"/>
  <c r="L675" i="9"/>
  <c r="M675" i="9"/>
  <c r="N675" i="9"/>
  <c r="O675" i="9"/>
  <c r="P675" i="9"/>
  <c r="Q675" i="9"/>
  <c r="R675" i="9"/>
  <c r="S675" i="9"/>
  <c r="T675" i="9"/>
  <c r="U675" i="9"/>
  <c r="V675" i="9"/>
  <c r="W675" i="9"/>
  <c r="X675" i="9"/>
  <c r="Y675" i="9"/>
  <c r="Z675" i="9"/>
  <c r="A676" i="9"/>
  <c r="B676" i="9"/>
  <c r="C676" i="9"/>
  <c r="D676" i="9"/>
  <c r="E676" i="9"/>
  <c r="F676" i="9"/>
  <c r="G676" i="9"/>
  <c r="H676" i="9"/>
  <c r="I676" i="9"/>
  <c r="J676" i="9"/>
  <c r="K676" i="9"/>
  <c r="L676" i="9"/>
  <c r="M676" i="9"/>
  <c r="N676" i="9"/>
  <c r="O676" i="9"/>
  <c r="P676" i="9"/>
  <c r="Q676" i="9"/>
  <c r="R676" i="9"/>
  <c r="S676" i="9"/>
  <c r="T676" i="9"/>
  <c r="U676" i="9"/>
  <c r="V676" i="9"/>
  <c r="W676" i="9"/>
  <c r="X676" i="9"/>
  <c r="Y676" i="9"/>
  <c r="Z676" i="9"/>
  <c r="A677" i="9"/>
  <c r="B677" i="9"/>
  <c r="C677" i="9"/>
  <c r="D677" i="9"/>
  <c r="E677" i="9"/>
  <c r="F677" i="9"/>
  <c r="G677" i="9"/>
  <c r="H677" i="9"/>
  <c r="I677" i="9"/>
  <c r="J677" i="9"/>
  <c r="K677" i="9"/>
  <c r="L677" i="9"/>
  <c r="M677" i="9"/>
  <c r="N677" i="9"/>
  <c r="O677" i="9"/>
  <c r="P677" i="9"/>
  <c r="Q677" i="9"/>
  <c r="R677" i="9"/>
  <c r="S677" i="9"/>
  <c r="T677" i="9"/>
  <c r="U677" i="9"/>
  <c r="V677" i="9"/>
  <c r="W677" i="9"/>
  <c r="X677" i="9"/>
  <c r="Y677" i="9"/>
  <c r="Z677" i="9"/>
  <c r="A678" i="9"/>
  <c r="B678" i="9"/>
  <c r="C678" i="9"/>
  <c r="D678" i="9"/>
  <c r="E678" i="9"/>
  <c r="F678" i="9"/>
  <c r="G678" i="9"/>
  <c r="H678" i="9"/>
  <c r="I678" i="9"/>
  <c r="J678" i="9"/>
  <c r="K678" i="9"/>
  <c r="L678" i="9"/>
  <c r="M678" i="9"/>
  <c r="N678" i="9"/>
  <c r="O678" i="9"/>
  <c r="P678" i="9"/>
  <c r="Q678" i="9"/>
  <c r="R678" i="9"/>
  <c r="S678" i="9"/>
  <c r="T678" i="9"/>
  <c r="U678" i="9"/>
  <c r="V678" i="9"/>
  <c r="W678" i="9"/>
  <c r="X678" i="9"/>
  <c r="Y678" i="9"/>
  <c r="Z678" i="9"/>
  <c r="A679" i="9"/>
  <c r="B679" i="9"/>
  <c r="C679" i="9"/>
  <c r="D679" i="9"/>
  <c r="E679" i="9"/>
  <c r="F679" i="9"/>
  <c r="G679" i="9"/>
  <c r="H679" i="9"/>
  <c r="I679" i="9"/>
  <c r="J679" i="9"/>
  <c r="K679" i="9"/>
  <c r="L679" i="9"/>
  <c r="M679" i="9"/>
  <c r="N679" i="9"/>
  <c r="O679" i="9"/>
  <c r="P679" i="9"/>
  <c r="Q679" i="9"/>
  <c r="R679" i="9"/>
  <c r="S679" i="9"/>
  <c r="T679" i="9"/>
  <c r="U679" i="9"/>
  <c r="V679" i="9"/>
  <c r="W679" i="9"/>
  <c r="X679" i="9"/>
  <c r="Y679" i="9"/>
  <c r="Z679" i="9"/>
  <c r="A680" i="9"/>
  <c r="B680" i="9"/>
  <c r="C680" i="9"/>
  <c r="D680" i="9"/>
  <c r="E680" i="9"/>
  <c r="F680" i="9"/>
  <c r="G680" i="9"/>
  <c r="H680" i="9"/>
  <c r="I680" i="9"/>
  <c r="J680" i="9"/>
  <c r="K680" i="9"/>
  <c r="L680" i="9"/>
  <c r="M680" i="9"/>
  <c r="N680" i="9"/>
  <c r="O680" i="9"/>
  <c r="P680" i="9"/>
  <c r="Q680" i="9"/>
  <c r="R680" i="9"/>
  <c r="S680" i="9"/>
  <c r="T680" i="9"/>
  <c r="U680" i="9"/>
  <c r="V680" i="9"/>
  <c r="W680" i="9"/>
  <c r="X680" i="9"/>
  <c r="Y680" i="9"/>
  <c r="Z680" i="9"/>
  <c r="A681" i="9"/>
  <c r="B681" i="9"/>
  <c r="C681" i="9"/>
  <c r="D681" i="9"/>
  <c r="E681" i="9"/>
  <c r="F681" i="9"/>
  <c r="G681" i="9"/>
  <c r="H681" i="9"/>
  <c r="I681" i="9"/>
  <c r="J681" i="9"/>
  <c r="K681" i="9"/>
  <c r="L681" i="9"/>
  <c r="M681" i="9"/>
  <c r="N681" i="9"/>
  <c r="O681" i="9"/>
  <c r="P681" i="9"/>
  <c r="Q681" i="9"/>
  <c r="R681" i="9"/>
  <c r="S681" i="9"/>
  <c r="T681" i="9"/>
  <c r="U681" i="9"/>
  <c r="V681" i="9"/>
  <c r="W681" i="9"/>
  <c r="X681" i="9"/>
  <c r="Y681" i="9"/>
  <c r="Z681" i="9"/>
  <c r="A682" i="9"/>
  <c r="B682" i="9"/>
  <c r="C682" i="9"/>
  <c r="D682" i="9"/>
  <c r="E682" i="9"/>
  <c r="F682" i="9"/>
  <c r="G682" i="9"/>
  <c r="H682" i="9"/>
  <c r="I682" i="9"/>
  <c r="J682" i="9"/>
  <c r="K682" i="9"/>
  <c r="L682" i="9"/>
  <c r="M682" i="9"/>
  <c r="N682" i="9"/>
  <c r="O682" i="9"/>
  <c r="P682" i="9"/>
  <c r="Q682" i="9"/>
  <c r="R682" i="9"/>
  <c r="S682" i="9"/>
  <c r="T682" i="9"/>
  <c r="U682" i="9"/>
  <c r="V682" i="9"/>
  <c r="W682" i="9"/>
  <c r="X682" i="9"/>
  <c r="Y682" i="9"/>
  <c r="Z682" i="9"/>
  <c r="A683" i="9"/>
  <c r="B683" i="9"/>
  <c r="C683" i="9"/>
  <c r="D683" i="9"/>
  <c r="E683" i="9"/>
  <c r="F683" i="9"/>
  <c r="G683" i="9"/>
  <c r="H683" i="9"/>
  <c r="I683" i="9"/>
  <c r="J683" i="9"/>
  <c r="K683" i="9"/>
  <c r="L683" i="9"/>
  <c r="M683" i="9"/>
  <c r="N683" i="9"/>
  <c r="O683" i="9"/>
  <c r="P683" i="9"/>
  <c r="Q683" i="9"/>
  <c r="R683" i="9"/>
  <c r="S683" i="9"/>
  <c r="T683" i="9"/>
  <c r="U683" i="9"/>
  <c r="V683" i="9"/>
  <c r="W683" i="9"/>
  <c r="X683" i="9"/>
  <c r="Y683" i="9"/>
  <c r="Z683" i="9"/>
  <c r="A684" i="9"/>
  <c r="B684" i="9"/>
  <c r="C684" i="9"/>
  <c r="D684" i="9"/>
  <c r="E684" i="9"/>
  <c r="F684" i="9"/>
  <c r="G684" i="9"/>
  <c r="H684" i="9"/>
  <c r="I684" i="9"/>
  <c r="J684" i="9"/>
  <c r="K684" i="9"/>
  <c r="L684" i="9"/>
  <c r="M684" i="9"/>
  <c r="N684" i="9"/>
  <c r="O684" i="9"/>
  <c r="P684" i="9"/>
  <c r="Q684" i="9"/>
  <c r="R684" i="9"/>
  <c r="S684" i="9"/>
  <c r="T684" i="9"/>
  <c r="U684" i="9"/>
  <c r="V684" i="9"/>
  <c r="W684" i="9"/>
  <c r="X684" i="9"/>
  <c r="Y684" i="9"/>
  <c r="Z684" i="9"/>
  <c r="A685" i="9"/>
  <c r="B685" i="9"/>
  <c r="C685" i="9"/>
  <c r="D685" i="9"/>
  <c r="E685" i="9"/>
  <c r="F685" i="9"/>
  <c r="G685" i="9"/>
  <c r="H685" i="9"/>
  <c r="I685" i="9"/>
  <c r="J685" i="9"/>
  <c r="K685" i="9"/>
  <c r="L685" i="9"/>
  <c r="M685" i="9"/>
  <c r="N685" i="9"/>
  <c r="O685" i="9"/>
  <c r="P685" i="9"/>
  <c r="Q685" i="9"/>
  <c r="R685" i="9"/>
  <c r="S685" i="9"/>
  <c r="T685" i="9"/>
  <c r="U685" i="9"/>
  <c r="V685" i="9"/>
  <c r="W685" i="9"/>
  <c r="X685" i="9"/>
  <c r="Y685" i="9"/>
  <c r="Z685" i="9"/>
  <c r="A686" i="9"/>
  <c r="B686" i="9"/>
  <c r="C686" i="9"/>
  <c r="D686" i="9"/>
  <c r="E686" i="9"/>
  <c r="F686" i="9"/>
  <c r="G686" i="9"/>
  <c r="H686" i="9"/>
  <c r="I686" i="9"/>
  <c r="J686" i="9"/>
  <c r="K686" i="9"/>
  <c r="L686" i="9"/>
  <c r="M686" i="9"/>
  <c r="N686" i="9"/>
  <c r="O686" i="9"/>
  <c r="P686" i="9"/>
  <c r="Q686" i="9"/>
  <c r="R686" i="9"/>
  <c r="S686" i="9"/>
  <c r="T686" i="9"/>
  <c r="U686" i="9"/>
  <c r="V686" i="9"/>
  <c r="W686" i="9"/>
  <c r="X686" i="9"/>
  <c r="Y686" i="9"/>
  <c r="Z686" i="9"/>
  <c r="A687" i="9"/>
  <c r="B687" i="9"/>
  <c r="C687" i="9"/>
  <c r="D687" i="9"/>
  <c r="E687" i="9"/>
  <c r="F687" i="9"/>
  <c r="G687" i="9"/>
  <c r="H687" i="9"/>
  <c r="I687" i="9"/>
  <c r="J687" i="9"/>
  <c r="K687" i="9"/>
  <c r="L687" i="9"/>
  <c r="M687" i="9"/>
  <c r="N687" i="9"/>
  <c r="O687" i="9"/>
  <c r="P687" i="9"/>
  <c r="Q687" i="9"/>
  <c r="R687" i="9"/>
  <c r="S687" i="9"/>
  <c r="T687" i="9"/>
  <c r="U687" i="9"/>
  <c r="V687" i="9"/>
  <c r="W687" i="9"/>
  <c r="X687" i="9"/>
  <c r="Y687" i="9"/>
  <c r="Z687" i="9"/>
  <c r="A688" i="9"/>
  <c r="B688" i="9"/>
  <c r="C688" i="9"/>
  <c r="D688" i="9"/>
  <c r="E688" i="9"/>
  <c r="F688" i="9"/>
  <c r="G688" i="9"/>
  <c r="H688" i="9"/>
  <c r="I688" i="9"/>
  <c r="J688" i="9"/>
  <c r="K688" i="9"/>
  <c r="L688" i="9"/>
  <c r="M688" i="9"/>
  <c r="N688" i="9"/>
  <c r="O688" i="9"/>
  <c r="P688" i="9"/>
  <c r="Q688" i="9"/>
  <c r="R688" i="9"/>
  <c r="S688" i="9"/>
  <c r="T688" i="9"/>
  <c r="U688" i="9"/>
  <c r="V688" i="9"/>
  <c r="W688" i="9"/>
  <c r="X688" i="9"/>
  <c r="Y688" i="9"/>
  <c r="Z688" i="9"/>
  <c r="A689" i="9"/>
  <c r="B689" i="9"/>
  <c r="C689" i="9"/>
  <c r="D689" i="9"/>
  <c r="E689" i="9"/>
  <c r="F689" i="9"/>
  <c r="G689" i="9"/>
  <c r="H689" i="9"/>
  <c r="I689" i="9"/>
  <c r="J689" i="9"/>
  <c r="K689" i="9"/>
  <c r="L689" i="9"/>
  <c r="M689" i="9"/>
  <c r="N689" i="9"/>
  <c r="O689" i="9"/>
  <c r="P689" i="9"/>
  <c r="Q689" i="9"/>
  <c r="R689" i="9"/>
  <c r="S689" i="9"/>
  <c r="T689" i="9"/>
  <c r="U689" i="9"/>
  <c r="V689" i="9"/>
  <c r="W689" i="9"/>
  <c r="X689" i="9"/>
  <c r="Y689" i="9"/>
  <c r="Z689" i="9"/>
  <c r="A690" i="9"/>
  <c r="B690" i="9"/>
  <c r="C690" i="9"/>
  <c r="D690" i="9"/>
  <c r="E690" i="9"/>
  <c r="F690" i="9"/>
  <c r="G690" i="9"/>
  <c r="H690" i="9"/>
  <c r="I690" i="9"/>
  <c r="J690" i="9"/>
  <c r="K690" i="9"/>
  <c r="L690" i="9"/>
  <c r="M690" i="9"/>
  <c r="N690" i="9"/>
  <c r="O690" i="9"/>
  <c r="P690" i="9"/>
  <c r="Q690" i="9"/>
  <c r="R690" i="9"/>
  <c r="S690" i="9"/>
  <c r="T690" i="9"/>
  <c r="U690" i="9"/>
  <c r="V690" i="9"/>
  <c r="W690" i="9"/>
  <c r="X690" i="9"/>
  <c r="Y690" i="9"/>
  <c r="Z690" i="9"/>
  <c r="A691" i="9"/>
  <c r="B691" i="9"/>
  <c r="C691" i="9"/>
  <c r="D691" i="9"/>
  <c r="E691" i="9"/>
  <c r="F691" i="9"/>
  <c r="G691" i="9"/>
  <c r="H691" i="9"/>
  <c r="I691" i="9"/>
  <c r="J691" i="9"/>
  <c r="K691" i="9"/>
  <c r="L691" i="9"/>
  <c r="M691" i="9"/>
  <c r="N691" i="9"/>
  <c r="O691" i="9"/>
  <c r="P691" i="9"/>
  <c r="Q691" i="9"/>
  <c r="R691" i="9"/>
  <c r="S691" i="9"/>
  <c r="T691" i="9"/>
  <c r="U691" i="9"/>
  <c r="V691" i="9"/>
  <c r="W691" i="9"/>
  <c r="X691" i="9"/>
  <c r="Y691" i="9"/>
  <c r="Z691" i="9"/>
  <c r="A692" i="9"/>
  <c r="B692" i="9"/>
  <c r="C692" i="9"/>
  <c r="D692" i="9"/>
  <c r="E692" i="9"/>
  <c r="F692" i="9"/>
  <c r="G692" i="9"/>
  <c r="H692" i="9"/>
  <c r="I692" i="9"/>
  <c r="J692" i="9"/>
  <c r="K692" i="9"/>
  <c r="L692" i="9"/>
  <c r="M692" i="9"/>
  <c r="N692" i="9"/>
  <c r="O692" i="9"/>
  <c r="P692" i="9"/>
  <c r="Q692" i="9"/>
  <c r="R692" i="9"/>
  <c r="S692" i="9"/>
  <c r="T692" i="9"/>
  <c r="U692" i="9"/>
  <c r="V692" i="9"/>
  <c r="W692" i="9"/>
  <c r="X692" i="9"/>
  <c r="Y692" i="9"/>
  <c r="Z692" i="9"/>
  <c r="A693" i="9"/>
  <c r="B693" i="9"/>
  <c r="C693" i="9"/>
  <c r="D693" i="9"/>
  <c r="E693" i="9"/>
  <c r="F693" i="9"/>
  <c r="G693" i="9"/>
  <c r="H693" i="9"/>
  <c r="I693" i="9"/>
  <c r="J693" i="9"/>
  <c r="K693" i="9"/>
  <c r="L693" i="9"/>
  <c r="M693" i="9"/>
  <c r="N693" i="9"/>
  <c r="O693" i="9"/>
  <c r="P693" i="9"/>
  <c r="Q693" i="9"/>
  <c r="R693" i="9"/>
  <c r="S693" i="9"/>
  <c r="T693" i="9"/>
  <c r="U693" i="9"/>
  <c r="V693" i="9"/>
  <c r="W693" i="9"/>
  <c r="X693" i="9"/>
  <c r="Y693" i="9"/>
  <c r="Z693" i="9"/>
  <c r="A694" i="9"/>
  <c r="B694" i="9"/>
  <c r="C694" i="9"/>
  <c r="D694" i="9"/>
  <c r="E694" i="9"/>
  <c r="F694" i="9"/>
  <c r="G694" i="9"/>
  <c r="H694" i="9"/>
  <c r="I694" i="9"/>
  <c r="J694" i="9"/>
  <c r="K694" i="9"/>
  <c r="L694" i="9"/>
  <c r="M694" i="9"/>
  <c r="N694" i="9"/>
  <c r="O694" i="9"/>
  <c r="P694" i="9"/>
  <c r="Q694" i="9"/>
  <c r="R694" i="9"/>
  <c r="S694" i="9"/>
  <c r="T694" i="9"/>
  <c r="U694" i="9"/>
  <c r="V694" i="9"/>
  <c r="W694" i="9"/>
  <c r="X694" i="9"/>
  <c r="Y694" i="9"/>
  <c r="Z694" i="9"/>
  <c r="A695" i="9"/>
  <c r="B695" i="9"/>
  <c r="C695" i="9"/>
  <c r="D695" i="9"/>
  <c r="E695" i="9"/>
  <c r="F695" i="9"/>
  <c r="G695" i="9"/>
  <c r="H695" i="9"/>
  <c r="I695" i="9"/>
  <c r="J695" i="9"/>
  <c r="K695" i="9"/>
  <c r="L695" i="9"/>
  <c r="M695" i="9"/>
  <c r="N695" i="9"/>
  <c r="O695" i="9"/>
  <c r="P695" i="9"/>
  <c r="Q695" i="9"/>
  <c r="R695" i="9"/>
  <c r="S695" i="9"/>
  <c r="T695" i="9"/>
  <c r="U695" i="9"/>
  <c r="V695" i="9"/>
  <c r="W695" i="9"/>
  <c r="X695" i="9"/>
  <c r="Y695" i="9"/>
  <c r="Z695" i="9"/>
  <c r="A696" i="9"/>
  <c r="B696" i="9"/>
  <c r="C696" i="9"/>
  <c r="D696" i="9"/>
  <c r="E696" i="9"/>
  <c r="F696" i="9"/>
  <c r="G696" i="9"/>
  <c r="H696" i="9"/>
  <c r="I696" i="9"/>
  <c r="J696" i="9"/>
  <c r="K696" i="9"/>
  <c r="L696" i="9"/>
  <c r="M696" i="9"/>
  <c r="N696" i="9"/>
  <c r="O696" i="9"/>
  <c r="P696" i="9"/>
  <c r="Q696" i="9"/>
  <c r="R696" i="9"/>
  <c r="S696" i="9"/>
  <c r="T696" i="9"/>
  <c r="U696" i="9"/>
  <c r="V696" i="9"/>
  <c r="W696" i="9"/>
  <c r="X696" i="9"/>
  <c r="Y696" i="9"/>
  <c r="Z696" i="9"/>
  <c r="A697" i="9"/>
  <c r="B697" i="9"/>
  <c r="C697" i="9"/>
  <c r="D697" i="9"/>
  <c r="E697" i="9"/>
  <c r="F697" i="9"/>
  <c r="G697" i="9"/>
  <c r="H697" i="9"/>
  <c r="I697" i="9"/>
  <c r="J697" i="9"/>
  <c r="K697" i="9"/>
  <c r="L697" i="9"/>
  <c r="M697" i="9"/>
  <c r="N697" i="9"/>
  <c r="O697" i="9"/>
  <c r="P697" i="9"/>
  <c r="Q697" i="9"/>
  <c r="R697" i="9"/>
  <c r="S697" i="9"/>
  <c r="T697" i="9"/>
  <c r="U697" i="9"/>
  <c r="V697" i="9"/>
  <c r="W697" i="9"/>
  <c r="X697" i="9"/>
  <c r="Y697" i="9"/>
  <c r="Z697" i="9"/>
  <c r="A698" i="9"/>
  <c r="B698" i="9"/>
  <c r="C698" i="9"/>
  <c r="D698" i="9"/>
  <c r="E698" i="9"/>
  <c r="F698" i="9"/>
  <c r="G698" i="9"/>
  <c r="H698" i="9"/>
  <c r="I698" i="9"/>
  <c r="J698" i="9"/>
  <c r="K698" i="9"/>
  <c r="L698" i="9"/>
  <c r="M698" i="9"/>
  <c r="N698" i="9"/>
  <c r="O698" i="9"/>
  <c r="P698" i="9"/>
  <c r="Q698" i="9"/>
  <c r="R698" i="9"/>
  <c r="S698" i="9"/>
  <c r="T698" i="9"/>
  <c r="U698" i="9"/>
  <c r="V698" i="9"/>
  <c r="W698" i="9"/>
  <c r="X698" i="9"/>
  <c r="Y698" i="9"/>
  <c r="Z698" i="9"/>
  <c r="A699" i="9"/>
  <c r="B699" i="9"/>
  <c r="C699" i="9"/>
  <c r="D699" i="9"/>
  <c r="E699" i="9"/>
  <c r="F699" i="9"/>
  <c r="G699" i="9"/>
  <c r="H699" i="9"/>
  <c r="I699" i="9"/>
  <c r="J699" i="9"/>
  <c r="K699" i="9"/>
  <c r="L699" i="9"/>
  <c r="M699" i="9"/>
  <c r="N699" i="9"/>
  <c r="O699" i="9"/>
  <c r="P699" i="9"/>
  <c r="Q699" i="9"/>
  <c r="R699" i="9"/>
  <c r="S699" i="9"/>
  <c r="T699" i="9"/>
  <c r="U699" i="9"/>
  <c r="V699" i="9"/>
  <c r="W699" i="9"/>
  <c r="X699" i="9"/>
  <c r="Y699" i="9"/>
  <c r="Z699" i="9"/>
  <c r="A700" i="9"/>
  <c r="B700" i="9"/>
  <c r="C700" i="9"/>
  <c r="D700" i="9"/>
  <c r="E700" i="9"/>
  <c r="F700" i="9"/>
  <c r="G700" i="9"/>
  <c r="H700" i="9"/>
  <c r="I700" i="9"/>
  <c r="J700" i="9"/>
  <c r="K700" i="9"/>
  <c r="L700" i="9"/>
  <c r="M700" i="9"/>
  <c r="N700" i="9"/>
  <c r="O700" i="9"/>
  <c r="P700" i="9"/>
  <c r="Q700" i="9"/>
  <c r="R700" i="9"/>
  <c r="S700" i="9"/>
  <c r="T700" i="9"/>
  <c r="U700" i="9"/>
  <c r="V700" i="9"/>
  <c r="W700" i="9"/>
  <c r="X700" i="9"/>
  <c r="Y700" i="9"/>
  <c r="Z700" i="9"/>
  <c r="A701" i="9"/>
  <c r="B701" i="9"/>
  <c r="C701" i="9"/>
  <c r="D701" i="9"/>
  <c r="E701" i="9"/>
  <c r="F701" i="9"/>
  <c r="G701" i="9"/>
  <c r="H701" i="9"/>
  <c r="I701" i="9"/>
  <c r="J701" i="9"/>
  <c r="K701" i="9"/>
  <c r="L701" i="9"/>
  <c r="M701" i="9"/>
  <c r="N701" i="9"/>
  <c r="O701" i="9"/>
  <c r="P701" i="9"/>
  <c r="Q701" i="9"/>
  <c r="R701" i="9"/>
  <c r="S701" i="9"/>
  <c r="T701" i="9"/>
  <c r="U701" i="9"/>
  <c r="V701" i="9"/>
  <c r="W701" i="9"/>
  <c r="X701" i="9"/>
  <c r="Y701" i="9"/>
  <c r="Z701" i="9"/>
  <c r="A702" i="9"/>
  <c r="B702" i="9"/>
  <c r="C702" i="9"/>
  <c r="D702" i="9"/>
  <c r="E702" i="9"/>
  <c r="F702" i="9"/>
  <c r="G702" i="9"/>
  <c r="H702" i="9"/>
  <c r="I702" i="9"/>
  <c r="J702" i="9"/>
  <c r="K702" i="9"/>
  <c r="L702" i="9"/>
  <c r="M702" i="9"/>
  <c r="N702" i="9"/>
  <c r="O702" i="9"/>
  <c r="P702" i="9"/>
  <c r="Q702" i="9"/>
  <c r="R702" i="9"/>
  <c r="S702" i="9"/>
  <c r="T702" i="9"/>
  <c r="U702" i="9"/>
  <c r="V702" i="9"/>
  <c r="W702" i="9"/>
  <c r="X702" i="9"/>
  <c r="Y702" i="9"/>
  <c r="Z702" i="9"/>
  <c r="A703" i="9"/>
  <c r="B703" i="9"/>
  <c r="C703" i="9"/>
  <c r="D703" i="9"/>
  <c r="E703" i="9"/>
  <c r="F703" i="9"/>
  <c r="G703" i="9"/>
  <c r="H703" i="9"/>
  <c r="I703" i="9"/>
  <c r="J703" i="9"/>
  <c r="K703" i="9"/>
  <c r="L703" i="9"/>
  <c r="M703" i="9"/>
  <c r="N703" i="9"/>
  <c r="O703" i="9"/>
  <c r="P703" i="9"/>
  <c r="Q703" i="9"/>
  <c r="R703" i="9"/>
  <c r="S703" i="9"/>
  <c r="T703" i="9"/>
  <c r="U703" i="9"/>
  <c r="V703" i="9"/>
  <c r="W703" i="9"/>
  <c r="X703" i="9"/>
  <c r="Y703" i="9"/>
  <c r="Z703" i="9"/>
  <c r="A704" i="9"/>
  <c r="B704" i="9"/>
  <c r="C704" i="9"/>
  <c r="D704" i="9"/>
  <c r="E704" i="9"/>
  <c r="F704" i="9"/>
  <c r="G704" i="9"/>
  <c r="H704" i="9"/>
  <c r="I704" i="9"/>
  <c r="J704" i="9"/>
  <c r="K704" i="9"/>
  <c r="L704" i="9"/>
  <c r="M704" i="9"/>
  <c r="N704" i="9"/>
  <c r="O704" i="9"/>
  <c r="P704" i="9"/>
  <c r="Q704" i="9"/>
  <c r="R704" i="9"/>
  <c r="S704" i="9"/>
  <c r="T704" i="9"/>
  <c r="U704" i="9"/>
  <c r="V704" i="9"/>
  <c r="W704" i="9"/>
  <c r="X704" i="9"/>
  <c r="Y704" i="9"/>
  <c r="Z704" i="9"/>
  <c r="A705" i="9"/>
  <c r="B705" i="9"/>
  <c r="C705" i="9"/>
  <c r="D705" i="9"/>
  <c r="E705" i="9"/>
  <c r="F705" i="9"/>
  <c r="G705" i="9"/>
  <c r="H705" i="9"/>
  <c r="I705" i="9"/>
  <c r="J705" i="9"/>
  <c r="K705" i="9"/>
  <c r="L705" i="9"/>
  <c r="M705" i="9"/>
  <c r="N705" i="9"/>
  <c r="O705" i="9"/>
  <c r="P705" i="9"/>
  <c r="Q705" i="9"/>
  <c r="R705" i="9"/>
  <c r="S705" i="9"/>
  <c r="T705" i="9"/>
  <c r="U705" i="9"/>
  <c r="V705" i="9"/>
  <c r="W705" i="9"/>
  <c r="X705" i="9"/>
  <c r="Y705" i="9"/>
  <c r="Z705" i="9"/>
  <c r="A706" i="9"/>
  <c r="B706" i="9"/>
  <c r="C706" i="9"/>
  <c r="D706" i="9"/>
  <c r="E706" i="9"/>
  <c r="F706" i="9"/>
  <c r="G706" i="9"/>
  <c r="H706" i="9"/>
  <c r="I706" i="9"/>
  <c r="J706" i="9"/>
  <c r="K706" i="9"/>
  <c r="L706" i="9"/>
  <c r="M706" i="9"/>
  <c r="N706" i="9"/>
  <c r="O706" i="9"/>
  <c r="P706" i="9"/>
  <c r="Q706" i="9"/>
  <c r="R706" i="9"/>
  <c r="S706" i="9"/>
  <c r="T706" i="9"/>
  <c r="U706" i="9"/>
  <c r="V706" i="9"/>
  <c r="W706" i="9"/>
  <c r="X706" i="9"/>
  <c r="Y706" i="9"/>
  <c r="Z706" i="9"/>
  <c r="A707" i="9"/>
  <c r="B707" i="9"/>
  <c r="C707" i="9"/>
  <c r="D707" i="9"/>
  <c r="E707" i="9"/>
  <c r="F707" i="9"/>
  <c r="G707" i="9"/>
  <c r="H707" i="9"/>
  <c r="I707" i="9"/>
  <c r="J707" i="9"/>
  <c r="K707" i="9"/>
  <c r="L707" i="9"/>
  <c r="M707" i="9"/>
  <c r="N707" i="9"/>
  <c r="O707" i="9"/>
  <c r="P707" i="9"/>
  <c r="Q707" i="9"/>
  <c r="R707" i="9"/>
  <c r="S707" i="9"/>
  <c r="T707" i="9"/>
  <c r="U707" i="9"/>
  <c r="V707" i="9"/>
  <c r="W707" i="9"/>
  <c r="X707" i="9"/>
  <c r="Y707" i="9"/>
  <c r="Z707" i="9"/>
  <c r="A708" i="9"/>
  <c r="B708" i="9"/>
  <c r="C708" i="9"/>
  <c r="D708" i="9"/>
  <c r="E708" i="9"/>
  <c r="F708" i="9"/>
  <c r="G708" i="9"/>
  <c r="H708" i="9"/>
  <c r="I708" i="9"/>
  <c r="J708" i="9"/>
  <c r="K708" i="9"/>
  <c r="L708" i="9"/>
  <c r="M708" i="9"/>
  <c r="N708" i="9"/>
  <c r="O708" i="9"/>
  <c r="P708" i="9"/>
  <c r="Q708" i="9"/>
  <c r="R708" i="9"/>
  <c r="S708" i="9"/>
  <c r="T708" i="9"/>
  <c r="U708" i="9"/>
  <c r="V708" i="9"/>
  <c r="W708" i="9"/>
  <c r="X708" i="9"/>
  <c r="Y708" i="9"/>
  <c r="Z708" i="9"/>
  <c r="A709" i="9"/>
  <c r="B709" i="9"/>
  <c r="C709" i="9"/>
  <c r="D709" i="9"/>
  <c r="E709" i="9"/>
  <c r="F709" i="9"/>
  <c r="G709" i="9"/>
  <c r="H709" i="9"/>
  <c r="I709" i="9"/>
  <c r="J709" i="9"/>
  <c r="K709" i="9"/>
  <c r="L709" i="9"/>
  <c r="M709" i="9"/>
  <c r="N709" i="9"/>
  <c r="O709" i="9"/>
  <c r="P709" i="9"/>
  <c r="Q709" i="9"/>
  <c r="R709" i="9"/>
  <c r="S709" i="9"/>
  <c r="T709" i="9"/>
  <c r="U709" i="9"/>
  <c r="V709" i="9"/>
  <c r="W709" i="9"/>
  <c r="X709" i="9"/>
  <c r="Y709" i="9"/>
  <c r="Z709" i="9"/>
  <c r="A710" i="9"/>
  <c r="B710" i="9"/>
  <c r="C710" i="9"/>
  <c r="D710" i="9"/>
  <c r="E710" i="9"/>
  <c r="F710" i="9"/>
  <c r="G710" i="9"/>
  <c r="H710" i="9"/>
  <c r="I710" i="9"/>
  <c r="J710" i="9"/>
  <c r="K710" i="9"/>
  <c r="L710" i="9"/>
  <c r="M710" i="9"/>
  <c r="N710" i="9"/>
  <c r="O710" i="9"/>
  <c r="P710" i="9"/>
  <c r="Q710" i="9"/>
  <c r="R710" i="9"/>
  <c r="S710" i="9"/>
  <c r="T710" i="9"/>
  <c r="U710" i="9"/>
  <c r="V710" i="9"/>
  <c r="W710" i="9"/>
  <c r="X710" i="9"/>
  <c r="Y710" i="9"/>
  <c r="Z710" i="9"/>
  <c r="A711" i="9"/>
  <c r="B711" i="9"/>
  <c r="C711" i="9"/>
  <c r="D711" i="9"/>
  <c r="E711" i="9"/>
  <c r="F711" i="9"/>
  <c r="G711" i="9"/>
  <c r="H711" i="9"/>
  <c r="I711" i="9"/>
  <c r="J711" i="9"/>
  <c r="K711" i="9"/>
  <c r="L711" i="9"/>
  <c r="M711" i="9"/>
  <c r="N711" i="9"/>
  <c r="O711" i="9"/>
  <c r="P711" i="9"/>
  <c r="Q711" i="9"/>
  <c r="R711" i="9"/>
  <c r="S711" i="9"/>
  <c r="T711" i="9"/>
  <c r="U711" i="9"/>
  <c r="V711" i="9"/>
  <c r="W711" i="9"/>
  <c r="X711" i="9"/>
  <c r="Y711" i="9"/>
  <c r="Z711" i="9"/>
  <c r="A712" i="9"/>
  <c r="B712" i="9"/>
  <c r="C712" i="9"/>
  <c r="D712" i="9"/>
  <c r="E712" i="9"/>
  <c r="F712" i="9"/>
  <c r="G712" i="9"/>
  <c r="H712" i="9"/>
  <c r="I712" i="9"/>
  <c r="J712" i="9"/>
  <c r="K712" i="9"/>
  <c r="L712" i="9"/>
  <c r="M712" i="9"/>
  <c r="N712" i="9"/>
  <c r="O712" i="9"/>
  <c r="P712" i="9"/>
  <c r="Q712" i="9"/>
  <c r="R712" i="9"/>
  <c r="S712" i="9"/>
  <c r="T712" i="9"/>
  <c r="U712" i="9"/>
  <c r="V712" i="9"/>
  <c r="W712" i="9"/>
  <c r="X712" i="9"/>
  <c r="Y712" i="9"/>
  <c r="Z712" i="9"/>
  <c r="A713" i="9"/>
  <c r="B713" i="9"/>
  <c r="C713" i="9"/>
  <c r="D713" i="9"/>
  <c r="E713" i="9"/>
  <c r="F713" i="9"/>
  <c r="G713" i="9"/>
  <c r="H713" i="9"/>
  <c r="I713" i="9"/>
  <c r="J713" i="9"/>
  <c r="K713" i="9"/>
  <c r="L713" i="9"/>
  <c r="M713" i="9"/>
  <c r="N713" i="9"/>
  <c r="O713" i="9"/>
  <c r="P713" i="9"/>
  <c r="Q713" i="9"/>
  <c r="R713" i="9"/>
  <c r="S713" i="9"/>
  <c r="T713" i="9"/>
  <c r="U713" i="9"/>
  <c r="V713" i="9"/>
  <c r="W713" i="9"/>
  <c r="X713" i="9"/>
  <c r="Y713" i="9"/>
  <c r="Z713" i="9"/>
  <c r="A714" i="9"/>
  <c r="B714" i="9"/>
  <c r="C714" i="9"/>
  <c r="D714" i="9"/>
  <c r="E714" i="9"/>
  <c r="F714" i="9"/>
  <c r="G714" i="9"/>
  <c r="H714" i="9"/>
  <c r="I714" i="9"/>
  <c r="J714" i="9"/>
  <c r="K714" i="9"/>
  <c r="L714" i="9"/>
  <c r="M714" i="9"/>
  <c r="N714" i="9"/>
  <c r="O714" i="9"/>
  <c r="P714" i="9"/>
  <c r="Q714" i="9"/>
  <c r="R714" i="9"/>
  <c r="S714" i="9"/>
  <c r="T714" i="9"/>
  <c r="U714" i="9"/>
  <c r="V714" i="9"/>
  <c r="W714" i="9"/>
  <c r="X714" i="9"/>
  <c r="Y714" i="9"/>
  <c r="Z714" i="9"/>
  <c r="A715" i="9"/>
  <c r="B715" i="9"/>
  <c r="C715" i="9"/>
  <c r="D715" i="9"/>
  <c r="E715" i="9"/>
  <c r="F715" i="9"/>
  <c r="G715" i="9"/>
  <c r="H715" i="9"/>
  <c r="I715" i="9"/>
  <c r="J715" i="9"/>
  <c r="K715" i="9"/>
  <c r="L715" i="9"/>
  <c r="M715" i="9"/>
  <c r="N715" i="9"/>
  <c r="O715" i="9"/>
  <c r="P715" i="9"/>
  <c r="Q715" i="9"/>
  <c r="R715" i="9"/>
  <c r="S715" i="9"/>
  <c r="T715" i="9"/>
  <c r="U715" i="9"/>
  <c r="V715" i="9"/>
  <c r="W715" i="9"/>
  <c r="X715" i="9"/>
  <c r="Y715" i="9"/>
  <c r="Z715" i="9"/>
  <c r="A716" i="9"/>
  <c r="B716" i="9"/>
  <c r="C716" i="9"/>
  <c r="D716" i="9"/>
  <c r="E716" i="9"/>
  <c r="F716" i="9"/>
  <c r="G716" i="9"/>
  <c r="H716" i="9"/>
  <c r="I716" i="9"/>
  <c r="J716" i="9"/>
  <c r="K716" i="9"/>
  <c r="L716" i="9"/>
  <c r="M716" i="9"/>
  <c r="N716" i="9"/>
  <c r="O716" i="9"/>
  <c r="P716" i="9"/>
  <c r="Q716" i="9"/>
  <c r="R716" i="9"/>
  <c r="S716" i="9"/>
  <c r="T716" i="9"/>
  <c r="U716" i="9"/>
  <c r="V716" i="9"/>
  <c r="W716" i="9"/>
  <c r="X716" i="9"/>
  <c r="Y716" i="9"/>
  <c r="Z716" i="9"/>
  <c r="A717" i="9"/>
  <c r="B717" i="9"/>
  <c r="C717" i="9"/>
  <c r="D717" i="9"/>
  <c r="E717" i="9"/>
  <c r="F717" i="9"/>
  <c r="G717" i="9"/>
  <c r="H717" i="9"/>
  <c r="I717" i="9"/>
  <c r="J717" i="9"/>
  <c r="K717" i="9"/>
  <c r="L717" i="9"/>
  <c r="M717" i="9"/>
  <c r="N717" i="9"/>
  <c r="O717" i="9"/>
  <c r="P717" i="9"/>
  <c r="Q717" i="9"/>
  <c r="R717" i="9"/>
  <c r="S717" i="9"/>
  <c r="T717" i="9"/>
  <c r="U717" i="9"/>
  <c r="V717" i="9"/>
  <c r="W717" i="9"/>
  <c r="X717" i="9"/>
  <c r="Y717" i="9"/>
  <c r="Z717" i="9"/>
  <c r="A718" i="9"/>
  <c r="B718" i="9"/>
  <c r="C718" i="9"/>
  <c r="D718" i="9"/>
  <c r="E718" i="9"/>
  <c r="F718" i="9"/>
  <c r="G718" i="9"/>
  <c r="H718" i="9"/>
  <c r="I718" i="9"/>
  <c r="J718" i="9"/>
  <c r="K718" i="9"/>
  <c r="L718" i="9"/>
  <c r="M718" i="9"/>
  <c r="N718" i="9"/>
  <c r="O718" i="9"/>
  <c r="P718" i="9"/>
  <c r="Q718" i="9"/>
  <c r="R718" i="9"/>
  <c r="S718" i="9"/>
  <c r="T718" i="9"/>
  <c r="U718" i="9"/>
  <c r="V718" i="9"/>
  <c r="W718" i="9"/>
  <c r="X718" i="9"/>
  <c r="Y718" i="9"/>
  <c r="Z718" i="9"/>
  <c r="A719" i="9"/>
  <c r="B719" i="9"/>
  <c r="C719" i="9"/>
  <c r="D719" i="9"/>
  <c r="E719" i="9"/>
  <c r="F719" i="9"/>
  <c r="G719" i="9"/>
  <c r="H719" i="9"/>
  <c r="I719" i="9"/>
  <c r="J719" i="9"/>
  <c r="K719" i="9"/>
  <c r="L719" i="9"/>
  <c r="M719" i="9"/>
  <c r="N719" i="9"/>
  <c r="O719" i="9"/>
  <c r="P719" i="9"/>
  <c r="Q719" i="9"/>
  <c r="R719" i="9"/>
  <c r="S719" i="9"/>
  <c r="T719" i="9"/>
  <c r="U719" i="9"/>
  <c r="V719" i="9"/>
  <c r="W719" i="9"/>
  <c r="X719" i="9"/>
  <c r="Y719" i="9"/>
  <c r="Z719" i="9"/>
  <c r="A720" i="9"/>
  <c r="B720" i="9"/>
  <c r="C720" i="9"/>
  <c r="D720" i="9"/>
  <c r="E720" i="9"/>
  <c r="F720" i="9"/>
  <c r="G720" i="9"/>
  <c r="H720" i="9"/>
  <c r="I720" i="9"/>
  <c r="J720" i="9"/>
  <c r="K720" i="9"/>
  <c r="L720" i="9"/>
  <c r="M720" i="9"/>
  <c r="N720" i="9"/>
  <c r="O720" i="9"/>
  <c r="P720" i="9"/>
  <c r="Q720" i="9"/>
  <c r="R720" i="9"/>
  <c r="S720" i="9"/>
  <c r="T720" i="9"/>
  <c r="U720" i="9"/>
  <c r="V720" i="9"/>
  <c r="W720" i="9"/>
  <c r="X720" i="9"/>
  <c r="Y720" i="9"/>
  <c r="Z720" i="9"/>
  <c r="A721" i="9"/>
  <c r="B721" i="9"/>
  <c r="C721" i="9"/>
  <c r="D721" i="9"/>
  <c r="E721" i="9"/>
  <c r="F721" i="9"/>
  <c r="G721" i="9"/>
  <c r="H721" i="9"/>
  <c r="I721" i="9"/>
  <c r="J721" i="9"/>
  <c r="K721" i="9"/>
  <c r="L721" i="9"/>
  <c r="M721" i="9"/>
  <c r="N721" i="9"/>
  <c r="O721" i="9"/>
  <c r="P721" i="9"/>
  <c r="Q721" i="9"/>
  <c r="R721" i="9"/>
  <c r="S721" i="9"/>
  <c r="T721" i="9"/>
  <c r="U721" i="9"/>
  <c r="V721" i="9"/>
  <c r="W721" i="9"/>
  <c r="X721" i="9"/>
  <c r="Y721" i="9"/>
  <c r="Z721" i="9"/>
  <c r="A722" i="9"/>
  <c r="B722" i="9"/>
  <c r="C722" i="9"/>
  <c r="D722" i="9"/>
  <c r="E722" i="9"/>
  <c r="F722" i="9"/>
  <c r="G722" i="9"/>
  <c r="H722" i="9"/>
  <c r="I722" i="9"/>
  <c r="J722" i="9"/>
  <c r="K722" i="9"/>
  <c r="L722" i="9"/>
  <c r="M722" i="9"/>
  <c r="N722" i="9"/>
  <c r="O722" i="9"/>
  <c r="P722" i="9"/>
  <c r="Q722" i="9"/>
  <c r="R722" i="9"/>
  <c r="S722" i="9"/>
  <c r="T722" i="9"/>
  <c r="U722" i="9"/>
  <c r="V722" i="9"/>
  <c r="W722" i="9"/>
  <c r="X722" i="9"/>
  <c r="Y722" i="9"/>
  <c r="Z722" i="9"/>
  <c r="A723" i="9"/>
  <c r="B723" i="9"/>
  <c r="C723" i="9"/>
  <c r="D723" i="9"/>
  <c r="E723" i="9"/>
  <c r="F723" i="9"/>
  <c r="G723" i="9"/>
  <c r="H723" i="9"/>
  <c r="I723" i="9"/>
  <c r="J723" i="9"/>
  <c r="K723" i="9"/>
  <c r="L723" i="9"/>
  <c r="M723" i="9"/>
  <c r="N723" i="9"/>
  <c r="O723" i="9"/>
  <c r="P723" i="9"/>
  <c r="Q723" i="9"/>
  <c r="R723" i="9"/>
  <c r="S723" i="9"/>
  <c r="T723" i="9"/>
  <c r="U723" i="9"/>
  <c r="V723" i="9"/>
  <c r="W723" i="9"/>
  <c r="X723" i="9"/>
  <c r="Y723" i="9"/>
  <c r="Z723" i="9"/>
  <c r="A724" i="9"/>
  <c r="B724" i="9"/>
  <c r="C724" i="9"/>
  <c r="D724" i="9"/>
  <c r="E724" i="9"/>
  <c r="F724" i="9"/>
  <c r="G724" i="9"/>
  <c r="H724" i="9"/>
  <c r="I724" i="9"/>
  <c r="J724" i="9"/>
  <c r="K724" i="9"/>
  <c r="L724" i="9"/>
  <c r="M724" i="9"/>
  <c r="N724" i="9"/>
  <c r="O724" i="9"/>
  <c r="P724" i="9"/>
  <c r="Q724" i="9"/>
  <c r="R724" i="9"/>
  <c r="S724" i="9"/>
  <c r="T724" i="9"/>
  <c r="U724" i="9"/>
  <c r="V724" i="9"/>
  <c r="W724" i="9"/>
  <c r="X724" i="9"/>
  <c r="Y724" i="9"/>
  <c r="Z724" i="9"/>
  <c r="A725" i="9"/>
  <c r="B725" i="9"/>
  <c r="C725" i="9"/>
  <c r="D725" i="9"/>
  <c r="E725" i="9"/>
  <c r="F725" i="9"/>
  <c r="G725" i="9"/>
  <c r="H725" i="9"/>
  <c r="I725" i="9"/>
  <c r="J725" i="9"/>
  <c r="K725" i="9"/>
  <c r="L725" i="9"/>
  <c r="M725" i="9"/>
  <c r="N725" i="9"/>
  <c r="O725" i="9"/>
  <c r="P725" i="9"/>
  <c r="Q725" i="9"/>
  <c r="R725" i="9"/>
  <c r="S725" i="9"/>
  <c r="T725" i="9"/>
  <c r="U725" i="9"/>
  <c r="V725" i="9"/>
  <c r="W725" i="9"/>
  <c r="X725" i="9"/>
  <c r="Y725" i="9"/>
  <c r="Z725" i="9"/>
  <c r="A726" i="9"/>
  <c r="B726" i="9"/>
  <c r="C726" i="9"/>
  <c r="D726" i="9"/>
  <c r="E726" i="9"/>
  <c r="F726" i="9"/>
  <c r="G726" i="9"/>
  <c r="H726" i="9"/>
  <c r="I726" i="9"/>
  <c r="J726" i="9"/>
  <c r="K726" i="9"/>
  <c r="L726" i="9"/>
  <c r="M726" i="9"/>
  <c r="N726" i="9"/>
  <c r="O726" i="9"/>
  <c r="P726" i="9"/>
  <c r="Q726" i="9"/>
  <c r="R726" i="9"/>
  <c r="S726" i="9"/>
  <c r="T726" i="9"/>
  <c r="U726" i="9"/>
  <c r="V726" i="9"/>
  <c r="W726" i="9"/>
  <c r="X726" i="9"/>
  <c r="Y726" i="9"/>
  <c r="Z726" i="9"/>
  <c r="A727" i="9"/>
  <c r="B727" i="9"/>
  <c r="C727" i="9"/>
  <c r="D727" i="9"/>
  <c r="E727" i="9"/>
  <c r="F727" i="9"/>
  <c r="G727" i="9"/>
  <c r="H727" i="9"/>
  <c r="I727" i="9"/>
  <c r="J727" i="9"/>
  <c r="K727" i="9"/>
  <c r="L727" i="9"/>
  <c r="M727" i="9"/>
  <c r="N727" i="9"/>
  <c r="O727" i="9"/>
  <c r="P727" i="9"/>
  <c r="Q727" i="9"/>
  <c r="R727" i="9"/>
  <c r="S727" i="9"/>
  <c r="T727" i="9"/>
  <c r="U727" i="9"/>
  <c r="V727" i="9"/>
  <c r="W727" i="9"/>
  <c r="X727" i="9"/>
  <c r="Y727" i="9"/>
  <c r="Z727" i="9"/>
  <c r="A728" i="9"/>
  <c r="B728" i="9"/>
  <c r="C728" i="9"/>
  <c r="D728" i="9"/>
  <c r="E728" i="9"/>
  <c r="F728" i="9"/>
  <c r="G728" i="9"/>
  <c r="H728" i="9"/>
  <c r="I728" i="9"/>
  <c r="J728" i="9"/>
  <c r="K728" i="9"/>
  <c r="L728" i="9"/>
  <c r="M728" i="9"/>
  <c r="N728" i="9"/>
  <c r="O728" i="9"/>
  <c r="P728" i="9"/>
  <c r="Q728" i="9"/>
  <c r="R728" i="9"/>
  <c r="S728" i="9"/>
  <c r="T728" i="9"/>
  <c r="U728" i="9"/>
  <c r="V728" i="9"/>
  <c r="W728" i="9"/>
  <c r="X728" i="9"/>
  <c r="Y728" i="9"/>
  <c r="Z728" i="9"/>
  <c r="A729" i="9"/>
  <c r="B729" i="9"/>
  <c r="C729" i="9"/>
  <c r="D729" i="9"/>
  <c r="E729" i="9"/>
  <c r="F729" i="9"/>
  <c r="G729" i="9"/>
  <c r="H729" i="9"/>
  <c r="I729" i="9"/>
  <c r="J729" i="9"/>
  <c r="K729" i="9"/>
  <c r="L729" i="9"/>
  <c r="M729" i="9"/>
  <c r="N729" i="9"/>
  <c r="O729" i="9"/>
  <c r="P729" i="9"/>
  <c r="Q729" i="9"/>
  <c r="R729" i="9"/>
  <c r="S729" i="9"/>
  <c r="T729" i="9"/>
  <c r="U729" i="9"/>
  <c r="V729" i="9"/>
  <c r="W729" i="9"/>
  <c r="X729" i="9"/>
  <c r="Y729" i="9"/>
  <c r="Z729" i="9"/>
  <c r="A730" i="9"/>
  <c r="B730" i="9"/>
  <c r="C730" i="9"/>
  <c r="D730" i="9"/>
  <c r="E730" i="9"/>
  <c r="F730" i="9"/>
  <c r="G730" i="9"/>
  <c r="H730" i="9"/>
  <c r="I730" i="9"/>
  <c r="J730" i="9"/>
  <c r="K730" i="9"/>
  <c r="L730" i="9"/>
  <c r="M730" i="9"/>
  <c r="N730" i="9"/>
  <c r="O730" i="9"/>
  <c r="P730" i="9"/>
  <c r="Q730" i="9"/>
  <c r="R730" i="9"/>
  <c r="S730" i="9"/>
  <c r="T730" i="9"/>
  <c r="U730" i="9"/>
  <c r="V730" i="9"/>
  <c r="W730" i="9"/>
  <c r="X730" i="9"/>
  <c r="Y730" i="9"/>
  <c r="Z730" i="9"/>
  <c r="A731" i="9"/>
  <c r="B731" i="9"/>
  <c r="C731" i="9"/>
  <c r="D731" i="9"/>
  <c r="E731" i="9"/>
  <c r="F731" i="9"/>
  <c r="G731" i="9"/>
  <c r="H731" i="9"/>
  <c r="I731" i="9"/>
  <c r="J731" i="9"/>
  <c r="K731" i="9"/>
  <c r="L731" i="9"/>
  <c r="M731" i="9"/>
  <c r="N731" i="9"/>
  <c r="O731" i="9"/>
  <c r="P731" i="9"/>
  <c r="Q731" i="9"/>
  <c r="R731" i="9"/>
  <c r="S731" i="9"/>
  <c r="T731" i="9"/>
  <c r="U731" i="9"/>
  <c r="V731" i="9"/>
  <c r="W731" i="9"/>
  <c r="X731" i="9"/>
  <c r="Y731" i="9"/>
  <c r="Z731" i="9"/>
  <c r="A732" i="9"/>
  <c r="B732" i="9"/>
  <c r="C732" i="9"/>
  <c r="D732" i="9"/>
  <c r="E732" i="9"/>
  <c r="F732" i="9"/>
  <c r="G732" i="9"/>
  <c r="H732" i="9"/>
  <c r="I732" i="9"/>
  <c r="J732" i="9"/>
  <c r="K732" i="9"/>
  <c r="L732" i="9"/>
  <c r="M732" i="9"/>
  <c r="N732" i="9"/>
  <c r="O732" i="9"/>
  <c r="P732" i="9"/>
  <c r="Q732" i="9"/>
  <c r="R732" i="9"/>
  <c r="S732" i="9"/>
  <c r="T732" i="9"/>
  <c r="U732" i="9"/>
  <c r="V732" i="9"/>
  <c r="W732" i="9"/>
  <c r="X732" i="9"/>
  <c r="Y732" i="9"/>
  <c r="Z732" i="9"/>
  <c r="A733" i="9"/>
  <c r="B733" i="9"/>
  <c r="C733" i="9"/>
  <c r="D733" i="9"/>
  <c r="E733" i="9"/>
  <c r="F733" i="9"/>
  <c r="G733" i="9"/>
  <c r="H733" i="9"/>
  <c r="I733" i="9"/>
  <c r="J733" i="9"/>
  <c r="K733" i="9"/>
  <c r="L733" i="9"/>
  <c r="M733" i="9"/>
  <c r="N733" i="9"/>
  <c r="O733" i="9"/>
  <c r="P733" i="9"/>
  <c r="Q733" i="9"/>
  <c r="R733" i="9"/>
  <c r="S733" i="9"/>
  <c r="T733" i="9"/>
  <c r="U733" i="9"/>
  <c r="V733" i="9"/>
  <c r="W733" i="9"/>
  <c r="X733" i="9"/>
  <c r="Y733" i="9"/>
  <c r="Z733" i="9"/>
  <c r="A734" i="9"/>
  <c r="B734" i="9"/>
  <c r="C734" i="9"/>
  <c r="D734" i="9"/>
  <c r="E734" i="9"/>
  <c r="F734" i="9"/>
  <c r="G734" i="9"/>
  <c r="H734" i="9"/>
  <c r="I734" i="9"/>
  <c r="J734" i="9"/>
  <c r="K734" i="9"/>
  <c r="L734" i="9"/>
  <c r="M734" i="9"/>
  <c r="N734" i="9"/>
  <c r="O734" i="9"/>
  <c r="P734" i="9"/>
  <c r="Q734" i="9"/>
  <c r="R734" i="9"/>
  <c r="S734" i="9"/>
  <c r="T734" i="9"/>
  <c r="U734" i="9"/>
  <c r="V734" i="9"/>
  <c r="W734" i="9"/>
  <c r="X734" i="9"/>
  <c r="Y734" i="9"/>
  <c r="Z734" i="9"/>
  <c r="A735" i="9"/>
  <c r="B735" i="9"/>
  <c r="C735" i="9"/>
  <c r="D735" i="9"/>
  <c r="E735" i="9"/>
  <c r="F735" i="9"/>
  <c r="G735" i="9"/>
  <c r="H735" i="9"/>
  <c r="I735" i="9"/>
  <c r="J735" i="9"/>
  <c r="K735" i="9"/>
  <c r="L735" i="9"/>
  <c r="M735" i="9"/>
  <c r="N735" i="9"/>
  <c r="O735" i="9"/>
  <c r="P735" i="9"/>
  <c r="Q735" i="9"/>
  <c r="R735" i="9"/>
  <c r="S735" i="9"/>
  <c r="T735" i="9"/>
  <c r="U735" i="9"/>
  <c r="V735" i="9"/>
  <c r="W735" i="9"/>
  <c r="X735" i="9"/>
  <c r="Y735" i="9"/>
  <c r="Z735" i="9"/>
  <c r="A736" i="9"/>
  <c r="B736" i="9"/>
  <c r="C736" i="9"/>
  <c r="D736" i="9"/>
  <c r="E736" i="9"/>
  <c r="F736" i="9"/>
  <c r="G736" i="9"/>
  <c r="H736" i="9"/>
  <c r="I736" i="9"/>
  <c r="J736" i="9"/>
  <c r="K736" i="9"/>
  <c r="L736" i="9"/>
  <c r="M736" i="9"/>
  <c r="N736" i="9"/>
  <c r="O736" i="9"/>
  <c r="P736" i="9"/>
  <c r="Q736" i="9"/>
  <c r="R736" i="9"/>
  <c r="S736" i="9"/>
  <c r="T736" i="9"/>
  <c r="U736" i="9"/>
  <c r="V736" i="9"/>
  <c r="W736" i="9"/>
  <c r="X736" i="9"/>
  <c r="Y736" i="9"/>
  <c r="Z736" i="9"/>
  <c r="A737" i="9"/>
  <c r="B737" i="9"/>
  <c r="C737" i="9"/>
  <c r="D737" i="9"/>
  <c r="E737" i="9"/>
  <c r="F737" i="9"/>
  <c r="G737" i="9"/>
  <c r="H737" i="9"/>
  <c r="I737" i="9"/>
  <c r="J737" i="9"/>
  <c r="K737" i="9"/>
  <c r="L737" i="9"/>
  <c r="M737" i="9"/>
  <c r="N737" i="9"/>
  <c r="O737" i="9"/>
  <c r="P737" i="9"/>
  <c r="Q737" i="9"/>
  <c r="R737" i="9"/>
  <c r="S737" i="9"/>
  <c r="T737" i="9"/>
  <c r="U737" i="9"/>
  <c r="V737" i="9"/>
  <c r="W737" i="9"/>
  <c r="X737" i="9"/>
  <c r="Y737" i="9"/>
  <c r="Z737" i="9"/>
  <c r="A738" i="9"/>
  <c r="B738" i="9"/>
  <c r="C738" i="9"/>
  <c r="D738" i="9"/>
  <c r="E738" i="9"/>
  <c r="F738" i="9"/>
  <c r="G738" i="9"/>
  <c r="H738" i="9"/>
  <c r="I738" i="9"/>
  <c r="J738" i="9"/>
  <c r="K738" i="9"/>
  <c r="L738" i="9"/>
  <c r="M738" i="9"/>
  <c r="N738" i="9"/>
  <c r="O738" i="9"/>
  <c r="P738" i="9"/>
  <c r="Q738" i="9"/>
  <c r="R738" i="9"/>
  <c r="S738" i="9"/>
  <c r="T738" i="9"/>
  <c r="U738" i="9"/>
  <c r="V738" i="9"/>
  <c r="W738" i="9"/>
  <c r="X738" i="9"/>
  <c r="Y738" i="9"/>
  <c r="Z738" i="9"/>
  <c r="A739" i="9"/>
  <c r="B739" i="9"/>
  <c r="C739" i="9"/>
  <c r="D739" i="9"/>
  <c r="E739" i="9"/>
  <c r="F739" i="9"/>
  <c r="G739" i="9"/>
  <c r="H739" i="9"/>
  <c r="I739" i="9"/>
  <c r="J739" i="9"/>
  <c r="K739" i="9"/>
  <c r="L739" i="9"/>
  <c r="M739" i="9"/>
  <c r="N739" i="9"/>
  <c r="O739" i="9"/>
  <c r="P739" i="9"/>
  <c r="Q739" i="9"/>
  <c r="R739" i="9"/>
  <c r="S739" i="9"/>
  <c r="T739" i="9"/>
  <c r="U739" i="9"/>
  <c r="V739" i="9"/>
  <c r="W739" i="9"/>
  <c r="X739" i="9"/>
  <c r="Y739" i="9"/>
  <c r="Z739" i="9"/>
  <c r="A740" i="9"/>
  <c r="B740" i="9"/>
  <c r="C740" i="9"/>
  <c r="D740" i="9"/>
  <c r="E740" i="9"/>
  <c r="F740" i="9"/>
  <c r="G740" i="9"/>
  <c r="H740" i="9"/>
  <c r="I740" i="9"/>
  <c r="J740" i="9"/>
  <c r="K740" i="9"/>
  <c r="L740" i="9"/>
  <c r="M740" i="9"/>
  <c r="N740" i="9"/>
  <c r="O740" i="9"/>
  <c r="P740" i="9"/>
  <c r="Q740" i="9"/>
  <c r="R740" i="9"/>
  <c r="S740" i="9"/>
  <c r="T740" i="9"/>
  <c r="U740" i="9"/>
  <c r="V740" i="9"/>
  <c r="W740" i="9"/>
  <c r="X740" i="9"/>
  <c r="Y740" i="9"/>
  <c r="Z740" i="9"/>
  <c r="A741" i="9"/>
  <c r="B741" i="9"/>
  <c r="C741" i="9"/>
  <c r="D741" i="9"/>
  <c r="E741" i="9"/>
  <c r="F741" i="9"/>
  <c r="G741" i="9"/>
  <c r="H741" i="9"/>
  <c r="I741" i="9"/>
  <c r="J741" i="9"/>
  <c r="K741" i="9"/>
  <c r="L741" i="9"/>
  <c r="M741" i="9"/>
  <c r="N741" i="9"/>
  <c r="O741" i="9"/>
  <c r="P741" i="9"/>
  <c r="Q741" i="9"/>
  <c r="R741" i="9"/>
  <c r="S741" i="9"/>
  <c r="T741" i="9"/>
  <c r="U741" i="9"/>
  <c r="V741" i="9"/>
  <c r="W741" i="9"/>
  <c r="X741" i="9"/>
  <c r="Y741" i="9"/>
  <c r="Z741" i="9"/>
  <c r="A742" i="9"/>
  <c r="B742" i="9"/>
  <c r="C742" i="9"/>
  <c r="D742" i="9"/>
  <c r="E742" i="9"/>
  <c r="F742" i="9"/>
  <c r="G742" i="9"/>
  <c r="H742" i="9"/>
  <c r="I742" i="9"/>
  <c r="J742" i="9"/>
  <c r="K742" i="9"/>
  <c r="L742" i="9"/>
  <c r="M742" i="9"/>
  <c r="N742" i="9"/>
  <c r="O742" i="9"/>
  <c r="P742" i="9"/>
  <c r="Q742" i="9"/>
  <c r="R742" i="9"/>
  <c r="S742" i="9"/>
  <c r="T742" i="9"/>
  <c r="U742" i="9"/>
  <c r="V742" i="9"/>
  <c r="W742" i="9"/>
  <c r="X742" i="9"/>
  <c r="Y742" i="9"/>
  <c r="Z742" i="9"/>
  <c r="A743" i="9"/>
  <c r="B743" i="9"/>
  <c r="C743" i="9"/>
  <c r="D743" i="9"/>
  <c r="E743" i="9"/>
  <c r="F743" i="9"/>
  <c r="G743" i="9"/>
  <c r="H743" i="9"/>
  <c r="I743" i="9"/>
  <c r="J743" i="9"/>
  <c r="K743" i="9"/>
  <c r="L743" i="9"/>
  <c r="M743" i="9"/>
  <c r="N743" i="9"/>
  <c r="O743" i="9"/>
  <c r="P743" i="9"/>
  <c r="Q743" i="9"/>
  <c r="R743" i="9"/>
  <c r="S743" i="9"/>
  <c r="T743" i="9"/>
  <c r="U743" i="9"/>
  <c r="V743" i="9"/>
  <c r="W743" i="9"/>
  <c r="X743" i="9"/>
  <c r="Y743" i="9"/>
  <c r="Z743" i="9"/>
  <c r="A744" i="9"/>
  <c r="B744" i="9"/>
  <c r="C744" i="9"/>
  <c r="D744" i="9"/>
  <c r="E744" i="9"/>
  <c r="F744" i="9"/>
  <c r="G744" i="9"/>
  <c r="H744" i="9"/>
  <c r="I744" i="9"/>
  <c r="J744" i="9"/>
  <c r="K744" i="9"/>
  <c r="L744" i="9"/>
  <c r="M744" i="9"/>
  <c r="N744" i="9"/>
  <c r="O744" i="9"/>
  <c r="P744" i="9"/>
  <c r="Q744" i="9"/>
  <c r="R744" i="9"/>
  <c r="S744" i="9"/>
  <c r="T744" i="9"/>
  <c r="U744" i="9"/>
  <c r="V744" i="9"/>
  <c r="W744" i="9"/>
  <c r="X744" i="9"/>
  <c r="Y744" i="9"/>
  <c r="Z744" i="9"/>
  <c r="A745" i="9"/>
  <c r="B745" i="9"/>
  <c r="C745" i="9"/>
  <c r="D745" i="9"/>
  <c r="E745" i="9"/>
  <c r="F745" i="9"/>
  <c r="G745" i="9"/>
  <c r="H745" i="9"/>
  <c r="I745" i="9"/>
  <c r="J745" i="9"/>
  <c r="K745" i="9"/>
  <c r="L745" i="9"/>
  <c r="M745" i="9"/>
  <c r="N745" i="9"/>
  <c r="O745" i="9"/>
  <c r="P745" i="9"/>
  <c r="Q745" i="9"/>
  <c r="R745" i="9"/>
  <c r="S745" i="9"/>
  <c r="T745" i="9"/>
  <c r="U745" i="9"/>
  <c r="V745" i="9"/>
  <c r="W745" i="9"/>
  <c r="X745" i="9"/>
  <c r="Y745" i="9"/>
  <c r="Z745" i="9"/>
  <c r="A746" i="9"/>
  <c r="B746" i="9"/>
  <c r="C746" i="9"/>
  <c r="D746" i="9"/>
  <c r="E746" i="9"/>
  <c r="F746" i="9"/>
  <c r="G746" i="9"/>
  <c r="H746" i="9"/>
  <c r="I746" i="9"/>
  <c r="J746" i="9"/>
  <c r="K746" i="9"/>
  <c r="L746" i="9"/>
  <c r="M746" i="9"/>
  <c r="N746" i="9"/>
  <c r="O746" i="9"/>
  <c r="P746" i="9"/>
  <c r="Q746" i="9"/>
  <c r="R746" i="9"/>
  <c r="S746" i="9"/>
  <c r="T746" i="9"/>
  <c r="U746" i="9"/>
  <c r="V746" i="9"/>
  <c r="W746" i="9"/>
  <c r="X746" i="9"/>
  <c r="Y746" i="9"/>
  <c r="Z746" i="9"/>
  <c r="A747" i="9"/>
  <c r="B747" i="9"/>
  <c r="C747" i="9"/>
  <c r="D747" i="9"/>
  <c r="E747" i="9"/>
  <c r="F747" i="9"/>
  <c r="G747" i="9"/>
  <c r="H747" i="9"/>
  <c r="I747" i="9"/>
  <c r="J747" i="9"/>
  <c r="K747" i="9"/>
  <c r="L747" i="9"/>
  <c r="M747" i="9"/>
  <c r="N747" i="9"/>
  <c r="O747" i="9"/>
  <c r="P747" i="9"/>
  <c r="Q747" i="9"/>
  <c r="R747" i="9"/>
  <c r="S747" i="9"/>
  <c r="T747" i="9"/>
  <c r="U747" i="9"/>
  <c r="V747" i="9"/>
  <c r="W747" i="9"/>
  <c r="X747" i="9"/>
  <c r="Y747" i="9"/>
  <c r="Z747" i="9"/>
  <c r="A748" i="9"/>
  <c r="B748" i="9"/>
  <c r="C748" i="9"/>
  <c r="D748" i="9"/>
  <c r="E748" i="9"/>
  <c r="F748" i="9"/>
  <c r="G748" i="9"/>
  <c r="H748" i="9"/>
  <c r="I748" i="9"/>
  <c r="J748" i="9"/>
  <c r="K748" i="9"/>
  <c r="L748" i="9"/>
  <c r="M748" i="9"/>
  <c r="N748" i="9"/>
  <c r="O748" i="9"/>
  <c r="P748" i="9"/>
  <c r="Q748" i="9"/>
  <c r="R748" i="9"/>
  <c r="S748" i="9"/>
  <c r="T748" i="9"/>
  <c r="U748" i="9"/>
  <c r="V748" i="9"/>
  <c r="W748" i="9"/>
  <c r="X748" i="9"/>
  <c r="Y748" i="9"/>
  <c r="Z748" i="9"/>
  <c r="A749" i="9"/>
  <c r="B749" i="9"/>
  <c r="C749" i="9"/>
  <c r="D749" i="9"/>
  <c r="E749" i="9"/>
  <c r="F749" i="9"/>
  <c r="G749" i="9"/>
  <c r="H749" i="9"/>
  <c r="I749" i="9"/>
  <c r="J749" i="9"/>
  <c r="K749" i="9"/>
  <c r="L749" i="9"/>
  <c r="M749" i="9"/>
  <c r="N749" i="9"/>
  <c r="O749" i="9"/>
  <c r="P749" i="9"/>
  <c r="Q749" i="9"/>
  <c r="R749" i="9"/>
  <c r="S749" i="9"/>
  <c r="T749" i="9"/>
  <c r="U749" i="9"/>
  <c r="V749" i="9"/>
  <c r="W749" i="9"/>
  <c r="X749" i="9"/>
  <c r="Y749" i="9"/>
  <c r="Z749" i="9"/>
  <c r="A750" i="9"/>
  <c r="B750" i="9"/>
  <c r="C750" i="9"/>
  <c r="D750" i="9"/>
  <c r="E750" i="9"/>
  <c r="F750" i="9"/>
  <c r="G750" i="9"/>
  <c r="H750" i="9"/>
  <c r="I750" i="9"/>
  <c r="J750" i="9"/>
  <c r="K750" i="9"/>
  <c r="L750" i="9"/>
  <c r="M750" i="9"/>
  <c r="N750" i="9"/>
  <c r="O750" i="9"/>
  <c r="P750" i="9"/>
  <c r="Q750" i="9"/>
  <c r="R750" i="9"/>
  <c r="S750" i="9"/>
  <c r="T750" i="9"/>
  <c r="U750" i="9"/>
  <c r="V750" i="9"/>
  <c r="W750" i="9"/>
  <c r="X750" i="9"/>
  <c r="Y750" i="9"/>
  <c r="Z750" i="9"/>
  <c r="A751" i="9"/>
  <c r="B751" i="9"/>
  <c r="C751" i="9"/>
  <c r="D751" i="9"/>
  <c r="E751" i="9"/>
  <c r="F751" i="9"/>
  <c r="G751" i="9"/>
  <c r="H751" i="9"/>
  <c r="I751" i="9"/>
  <c r="J751" i="9"/>
  <c r="K751" i="9"/>
  <c r="L751" i="9"/>
  <c r="M751" i="9"/>
  <c r="N751" i="9"/>
  <c r="O751" i="9"/>
  <c r="P751" i="9"/>
  <c r="Q751" i="9"/>
  <c r="R751" i="9"/>
  <c r="S751" i="9"/>
  <c r="T751" i="9"/>
  <c r="U751" i="9"/>
  <c r="V751" i="9"/>
  <c r="W751" i="9"/>
  <c r="X751" i="9"/>
  <c r="Y751" i="9"/>
  <c r="Z751" i="9"/>
  <c r="A752" i="9"/>
  <c r="B752" i="9"/>
  <c r="C752" i="9"/>
  <c r="D752" i="9"/>
  <c r="E752" i="9"/>
  <c r="F752" i="9"/>
  <c r="G752" i="9"/>
  <c r="H752" i="9"/>
  <c r="I752" i="9"/>
  <c r="J752" i="9"/>
  <c r="K752" i="9"/>
  <c r="L752" i="9"/>
  <c r="M752" i="9"/>
  <c r="N752" i="9"/>
  <c r="O752" i="9"/>
  <c r="P752" i="9"/>
  <c r="Q752" i="9"/>
  <c r="R752" i="9"/>
  <c r="S752" i="9"/>
  <c r="T752" i="9"/>
  <c r="U752" i="9"/>
  <c r="V752" i="9"/>
  <c r="W752" i="9"/>
  <c r="X752" i="9"/>
  <c r="Y752" i="9"/>
  <c r="Z752" i="9"/>
  <c r="A753" i="9"/>
  <c r="B753" i="9"/>
  <c r="C753" i="9"/>
  <c r="D753" i="9"/>
  <c r="E753" i="9"/>
  <c r="F753" i="9"/>
  <c r="G753" i="9"/>
  <c r="H753" i="9"/>
  <c r="I753" i="9"/>
  <c r="J753" i="9"/>
  <c r="K753" i="9"/>
  <c r="L753" i="9"/>
  <c r="M753" i="9"/>
  <c r="N753" i="9"/>
  <c r="O753" i="9"/>
  <c r="P753" i="9"/>
  <c r="Q753" i="9"/>
  <c r="R753" i="9"/>
  <c r="S753" i="9"/>
  <c r="T753" i="9"/>
  <c r="U753" i="9"/>
  <c r="V753" i="9"/>
  <c r="W753" i="9"/>
  <c r="X753" i="9"/>
  <c r="Y753" i="9"/>
  <c r="Z753" i="9"/>
  <c r="A754" i="9"/>
  <c r="B754" i="9"/>
  <c r="C754" i="9"/>
  <c r="D754" i="9"/>
  <c r="E754" i="9"/>
  <c r="F754" i="9"/>
  <c r="G754" i="9"/>
  <c r="H754" i="9"/>
  <c r="I754" i="9"/>
  <c r="J754" i="9"/>
  <c r="K754" i="9"/>
  <c r="L754" i="9"/>
  <c r="M754" i="9"/>
  <c r="N754" i="9"/>
  <c r="O754" i="9"/>
  <c r="P754" i="9"/>
  <c r="Q754" i="9"/>
  <c r="R754" i="9"/>
  <c r="S754" i="9"/>
  <c r="T754" i="9"/>
  <c r="U754" i="9"/>
  <c r="V754" i="9"/>
  <c r="W754" i="9"/>
  <c r="X754" i="9"/>
  <c r="Y754" i="9"/>
  <c r="Z754" i="9"/>
  <c r="A755" i="9"/>
  <c r="B755" i="9"/>
  <c r="C755" i="9"/>
  <c r="D755" i="9"/>
  <c r="E755" i="9"/>
  <c r="F755" i="9"/>
  <c r="G755" i="9"/>
  <c r="H755" i="9"/>
  <c r="I755" i="9"/>
  <c r="J755" i="9"/>
  <c r="K755" i="9"/>
  <c r="L755" i="9"/>
  <c r="M755" i="9"/>
  <c r="N755" i="9"/>
  <c r="O755" i="9"/>
  <c r="P755" i="9"/>
  <c r="Q755" i="9"/>
  <c r="R755" i="9"/>
  <c r="S755" i="9"/>
  <c r="T755" i="9"/>
  <c r="U755" i="9"/>
  <c r="V755" i="9"/>
  <c r="W755" i="9"/>
  <c r="X755" i="9"/>
  <c r="Y755" i="9"/>
  <c r="Z755" i="9"/>
  <c r="A756" i="9"/>
  <c r="B756" i="9"/>
  <c r="C756" i="9"/>
  <c r="D756" i="9"/>
  <c r="E756" i="9"/>
  <c r="F756" i="9"/>
  <c r="G756" i="9"/>
  <c r="H756" i="9"/>
  <c r="I756" i="9"/>
  <c r="J756" i="9"/>
  <c r="K756" i="9"/>
  <c r="L756" i="9"/>
  <c r="M756" i="9"/>
  <c r="N756" i="9"/>
  <c r="O756" i="9"/>
  <c r="P756" i="9"/>
  <c r="Q756" i="9"/>
  <c r="R756" i="9"/>
  <c r="S756" i="9"/>
  <c r="T756" i="9"/>
  <c r="U756" i="9"/>
  <c r="V756" i="9"/>
  <c r="W756" i="9"/>
  <c r="X756" i="9"/>
  <c r="Y756" i="9"/>
  <c r="Z756" i="9"/>
  <c r="A757" i="9"/>
  <c r="B757" i="9"/>
  <c r="C757" i="9"/>
  <c r="D757" i="9"/>
  <c r="E757" i="9"/>
  <c r="F757" i="9"/>
  <c r="G757" i="9"/>
  <c r="H757" i="9"/>
  <c r="I757" i="9"/>
  <c r="J757" i="9"/>
  <c r="K757" i="9"/>
  <c r="L757" i="9"/>
  <c r="M757" i="9"/>
  <c r="N757" i="9"/>
  <c r="O757" i="9"/>
  <c r="P757" i="9"/>
  <c r="Q757" i="9"/>
  <c r="R757" i="9"/>
  <c r="S757" i="9"/>
  <c r="T757" i="9"/>
  <c r="U757" i="9"/>
  <c r="V757" i="9"/>
  <c r="W757" i="9"/>
  <c r="X757" i="9"/>
  <c r="Y757" i="9"/>
  <c r="Z757" i="9"/>
  <c r="A758" i="9"/>
  <c r="B758" i="9"/>
  <c r="C758" i="9"/>
  <c r="D758" i="9"/>
  <c r="E758" i="9"/>
  <c r="F758" i="9"/>
  <c r="G758" i="9"/>
  <c r="H758" i="9"/>
  <c r="I758" i="9"/>
  <c r="J758" i="9"/>
  <c r="K758" i="9"/>
  <c r="L758" i="9"/>
  <c r="M758" i="9"/>
  <c r="N758" i="9"/>
  <c r="O758" i="9"/>
  <c r="P758" i="9"/>
  <c r="Q758" i="9"/>
  <c r="R758" i="9"/>
  <c r="S758" i="9"/>
  <c r="T758" i="9"/>
  <c r="U758" i="9"/>
  <c r="V758" i="9"/>
  <c r="W758" i="9"/>
  <c r="X758" i="9"/>
  <c r="Y758" i="9"/>
  <c r="Z758" i="9"/>
  <c r="A759" i="9"/>
  <c r="B759" i="9"/>
  <c r="C759" i="9"/>
  <c r="D759" i="9"/>
  <c r="E759" i="9"/>
  <c r="F759" i="9"/>
  <c r="G759" i="9"/>
  <c r="H759" i="9"/>
  <c r="I759" i="9"/>
  <c r="J759" i="9"/>
  <c r="K759" i="9"/>
  <c r="L759" i="9"/>
  <c r="M759" i="9"/>
  <c r="N759" i="9"/>
  <c r="O759" i="9"/>
  <c r="P759" i="9"/>
  <c r="Q759" i="9"/>
  <c r="R759" i="9"/>
  <c r="S759" i="9"/>
  <c r="T759" i="9"/>
  <c r="U759" i="9"/>
  <c r="V759" i="9"/>
  <c r="W759" i="9"/>
  <c r="X759" i="9"/>
  <c r="Y759" i="9"/>
  <c r="Z759" i="9"/>
  <c r="A760" i="9"/>
  <c r="B760" i="9"/>
  <c r="C760" i="9"/>
  <c r="D760" i="9"/>
  <c r="E760" i="9"/>
  <c r="F760" i="9"/>
  <c r="G760" i="9"/>
  <c r="H760" i="9"/>
  <c r="I760" i="9"/>
  <c r="J760" i="9"/>
  <c r="K760" i="9"/>
  <c r="L760" i="9"/>
  <c r="M760" i="9"/>
  <c r="N760" i="9"/>
  <c r="O760" i="9"/>
  <c r="P760" i="9"/>
  <c r="Q760" i="9"/>
  <c r="R760" i="9"/>
  <c r="S760" i="9"/>
  <c r="T760" i="9"/>
  <c r="U760" i="9"/>
  <c r="V760" i="9"/>
  <c r="W760" i="9"/>
  <c r="X760" i="9"/>
  <c r="Y760" i="9"/>
  <c r="Z760" i="9"/>
  <c r="A761" i="9"/>
  <c r="B761" i="9"/>
  <c r="C761" i="9"/>
  <c r="D761" i="9"/>
  <c r="E761" i="9"/>
  <c r="F761" i="9"/>
  <c r="G761" i="9"/>
  <c r="H761" i="9"/>
  <c r="I761" i="9"/>
  <c r="J761" i="9"/>
  <c r="K761" i="9"/>
  <c r="L761" i="9"/>
  <c r="M761" i="9"/>
  <c r="N761" i="9"/>
  <c r="O761" i="9"/>
  <c r="P761" i="9"/>
  <c r="Q761" i="9"/>
  <c r="R761" i="9"/>
  <c r="S761" i="9"/>
  <c r="T761" i="9"/>
  <c r="U761" i="9"/>
  <c r="V761" i="9"/>
  <c r="W761" i="9"/>
  <c r="X761" i="9"/>
  <c r="Y761" i="9"/>
  <c r="Z761" i="9"/>
  <c r="A762" i="9"/>
  <c r="B762" i="9"/>
  <c r="C762" i="9"/>
  <c r="D762" i="9"/>
  <c r="E762" i="9"/>
  <c r="F762" i="9"/>
  <c r="G762" i="9"/>
  <c r="H762" i="9"/>
  <c r="I762" i="9"/>
  <c r="J762" i="9"/>
  <c r="K762" i="9"/>
  <c r="L762" i="9"/>
  <c r="M762" i="9"/>
  <c r="N762" i="9"/>
  <c r="O762" i="9"/>
  <c r="P762" i="9"/>
  <c r="Q762" i="9"/>
  <c r="R762" i="9"/>
  <c r="S762" i="9"/>
  <c r="T762" i="9"/>
  <c r="U762" i="9"/>
  <c r="V762" i="9"/>
  <c r="W762" i="9"/>
  <c r="X762" i="9"/>
  <c r="Y762" i="9"/>
  <c r="Z762" i="9"/>
  <c r="A763" i="9"/>
  <c r="B763" i="9"/>
  <c r="C763" i="9"/>
  <c r="D763" i="9"/>
  <c r="E763" i="9"/>
  <c r="F763" i="9"/>
  <c r="G763" i="9"/>
  <c r="H763" i="9"/>
  <c r="I763" i="9"/>
  <c r="J763" i="9"/>
  <c r="K763" i="9"/>
  <c r="L763" i="9"/>
  <c r="M763" i="9"/>
  <c r="N763" i="9"/>
  <c r="O763" i="9"/>
  <c r="P763" i="9"/>
  <c r="Q763" i="9"/>
  <c r="R763" i="9"/>
  <c r="S763" i="9"/>
  <c r="T763" i="9"/>
  <c r="U763" i="9"/>
  <c r="V763" i="9"/>
  <c r="W763" i="9"/>
  <c r="X763" i="9"/>
  <c r="Y763" i="9"/>
  <c r="Z763" i="9"/>
  <c r="A764" i="9"/>
  <c r="B764" i="9"/>
  <c r="C764" i="9"/>
  <c r="D764" i="9"/>
  <c r="E764" i="9"/>
  <c r="F764" i="9"/>
  <c r="G764" i="9"/>
  <c r="H764" i="9"/>
  <c r="I764" i="9"/>
  <c r="J764" i="9"/>
  <c r="K764" i="9"/>
  <c r="L764" i="9"/>
  <c r="M764" i="9"/>
  <c r="N764" i="9"/>
  <c r="O764" i="9"/>
  <c r="P764" i="9"/>
  <c r="Q764" i="9"/>
  <c r="R764" i="9"/>
  <c r="S764" i="9"/>
  <c r="T764" i="9"/>
  <c r="U764" i="9"/>
  <c r="V764" i="9"/>
  <c r="W764" i="9"/>
  <c r="X764" i="9"/>
  <c r="Y764" i="9"/>
  <c r="Z764" i="9"/>
  <c r="A765" i="9"/>
  <c r="B765" i="9"/>
  <c r="C765" i="9"/>
  <c r="D765" i="9"/>
  <c r="E765" i="9"/>
  <c r="F765" i="9"/>
  <c r="G765" i="9"/>
  <c r="H765" i="9"/>
  <c r="I765" i="9"/>
  <c r="J765" i="9"/>
  <c r="K765" i="9"/>
  <c r="L765" i="9"/>
  <c r="M765" i="9"/>
  <c r="N765" i="9"/>
  <c r="O765" i="9"/>
  <c r="P765" i="9"/>
  <c r="Q765" i="9"/>
  <c r="R765" i="9"/>
  <c r="S765" i="9"/>
  <c r="T765" i="9"/>
  <c r="U765" i="9"/>
  <c r="V765" i="9"/>
  <c r="W765" i="9"/>
  <c r="X765" i="9"/>
  <c r="Y765" i="9"/>
  <c r="Z765" i="9"/>
  <c r="A766" i="9"/>
  <c r="B766" i="9"/>
  <c r="C766" i="9"/>
  <c r="D766" i="9"/>
  <c r="E766" i="9"/>
  <c r="F766" i="9"/>
  <c r="G766" i="9"/>
  <c r="H766" i="9"/>
  <c r="I766" i="9"/>
  <c r="J766" i="9"/>
  <c r="K766" i="9"/>
  <c r="L766" i="9"/>
  <c r="M766" i="9"/>
  <c r="N766" i="9"/>
  <c r="O766" i="9"/>
  <c r="P766" i="9"/>
  <c r="Q766" i="9"/>
  <c r="R766" i="9"/>
  <c r="S766" i="9"/>
  <c r="T766" i="9"/>
  <c r="U766" i="9"/>
  <c r="V766" i="9"/>
  <c r="W766" i="9"/>
  <c r="X766" i="9"/>
  <c r="Y766" i="9"/>
  <c r="Z766" i="9"/>
  <c r="A767" i="9"/>
  <c r="B767" i="9"/>
  <c r="C767" i="9"/>
  <c r="D767" i="9"/>
  <c r="E767" i="9"/>
  <c r="F767" i="9"/>
  <c r="G767" i="9"/>
  <c r="H767" i="9"/>
  <c r="I767" i="9"/>
  <c r="J767" i="9"/>
  <c r="K767" i="9"/>
  <c r="L767" i="9"/>
  <c r="M767" i="9"/>
  <c r="N767" i="9"/>
  <c r="O767" i="9"/>
  <c r="P767" i="9"/>
  <c r="Q767" i="9"/>
  <c r="R767" i="9"/>
  <c r="S767" i="9"/>
  <c r="T767" i="9"/>
  <c r="U767" i="9"/>
  <c r="V767" i="9"/>
  <c r="W767" i="9"/>
  <c r="X767" i="9"/>
  <c r="Y767" i="9"/>
  <c r="Z767" i="9"/>
  <c r="A768" i="9"/>
  <c r="B768" i="9"/>
  <c r="C768" i="9"/>
  <c r="D768" i="9"/>
  <c r="E768" i="9"/>
  <c r="F768" i="9"/>
  <c r="G768" i="9"/>
  <c r="H768" i="9"/>
  <c r="I768" i="9"/>
  <c r="J768" i="9"/>
  <c r="K768" i="9"/>
  <c r="L768" i="9"/>
  <c r="M768" i="9"/>
  <c r="N768" i="9"/>
  <c r="O768" i="9"/>
  <c r="P768" i="9"/>
  <c r="Q768" i="9"/>
  <c r="R768" i="9"/>
  <c r="S768" i="9"/>
  <c r="T768" i="9"/>
  <c r="U768" i="9"/>
  <c r="V768" i="9"/>
  <c r="W768" i="9"/>
  <c r="X768" i="9"/>
  <c r="Y768" i="9"/>
  <c r="Z768" i="9"/>
  <c r="A769" i="9"/>
  <c r="B769" i="9"/>
  <c r="C769" i="9"/>
  <c r="D769" i="9"/>
  <c r="E769" i="9"/>
  <c r="F769" i="9"/>
  <c r="G769" i="9"/>
  <c r="H769" i="9"/>
  <c r="I769" i="9"/>
  <c r="J769" i="9"/>
  <c r="K769" i="9"/>
  <c r="L769" i="9"/>
  <c r="M769" i="9"/>
  <c r="N769" i="9"/>
  <c r="O769" i="9"/>
  <c r="P769" i="9"/>
  <c r="Q769" i="9"/>
  <c r="R769" i="9"/>
  <c r="S769" i="9"/>
  <c r="T769" i="9"/>
  <c r="U769" i="9"/>
  <c r="V769" i="9"/>
  <c r="W769" i="9"/>
  <c r="X769" i="9"/>
  <c r="Y769" i="9"/>
  <c r="Z769" i="9"/>
  <c r="A770" i="9"/>
  <c r="B770" i="9"/>
  <c r="C770" i="9"/>
  <c r="D770" i="9"/>
  <c r="E770" i="9"/>
  <c r="F770" i="9"/>
  <c r="G770" i="9"/>
  <c r="H770" i="9"/>
  <c r="I770" i="9"/>
  <c r="J770" i="9"/>
  <c r="K770" i="9"/>
  <c r="L770" i="9"/>
  <c r="M770" i="9"/>
  <c r="N770" i="9"/>
  <c r="O770" i="9"/>
  <c r="P770" i="9"/>
  <c r="Q770" i="9"/>
  <c r="R770" i="9"/>
  <c r="S770" i="9"/>
  <c r="T770" i="9"/>
  <c r="U770" i="9"/>
  <c r="V770" i="9"/>
  <c r="W770" i="9"/>
  <c r="X770" i="9"/>
  <c r="Y770" i="9"/>
  <c r="Z770" i="9"/>
  <c r="A771" i="9"/>
  <c r="B771" i="9"/>
  <c r="C771" i="9"/>
  <c r="D771" i="9"/>
  <c r="E771" i="9"/>
  <c r="F771" i="9"/>
  <c r="G771" i="9"/>
  <c r="H771" i="9"/>
  <c r="I771" i="9"/>
  <c r="J771" i="9"/>
  <c r="K771" i="9"/>
  <c r="L771" i="9"/>
  <c r="M771" i="9"/>
  <c r="N771" i="9"/>
  <c r="O771" i="9"/>
  <c r="P771" i="9"/>
  <c r="Q771" i="9"/>
  <c r="R771" i="9"/>
  <c r="S771" i="9"/>
  <c r="T771" i="9"/>
  <c r="U771" i="9"/>
  <c r="V771" i="9"/>
  <c r="W771" i="9"/>
  <c r="X771" i="9"/>
  <c r="Y771" i="9"/>
  <c r="Z771" i="9"/>
  <c r="A772" i="9"/>
  <c r="B772" i="9"/>
  <c r="C772" i="9"/>
  <c r="D772" i="9"/>
  <c r="E772" i="9"/>
  <c r="F772" i="9"/>
  <c r="G772" i="9"/>
  <c r="H772" i="9"/>
  <c r="I772" i="9"/>
  <c r="J772" i="9"/>
  <c r="K772" i="9"/>
  <c r="L772" i="9"/>
  <c r="M772" i="9"/>
  <c r="N772" i="9"/>
  <c r="O772" i="9"/>
  <c r="P772" i="9"/>
  <c r="Q772" i="9"/>
  <c r="R772" i="9"/>
  <c r="S772" i="9"/>
  <c r="T772" i="9"/>
  <c r="U772" i="9"/>
  <c r="V772" i="9"/>
  <c r="W772" i="9"/>
  <c r="X772" i="9"/>
  <c r="Y772" i="9"/>
  <c r="Z772" i="9"/>
  <c r="A773" i="9"/>
  <c r="B773" i="9"/>
  <c r="C773" i="9"/>
  <c r="D773" i="9"/>
  <c r="E773" i="9"/>
  <c r="F773" i="9"/>
  <c r="G773" i="9"/>
  <c r="H773" i="9"/>
  <c r="I773" i="9"/>
  <c r="J773" i="9"/>
  <c r="K773" i="9"/>
  <c r="L773" i="9"/>
  <c r="M773" i="9"/>
  <c r="N773" i="9"/>
  <c r="O773" i="9"/>
  <c r="P773" i="9"/>
  <c r="Q773" i="9"/>
  <c r="R773" i="9"/>
  <c r="S773" i="9"/>
  <c r="T773" i="9"/>
  <c r="U773" i="9"/>
  <c r="V773" i="9"/>
  <c r="W773" i="9"/>
  <c r="X773" i="9"/>
  <c r="Y773" i="9"/>
  <c r="Z773" i="9"/>
  <c r="A774" i="9"/>
  <c r="B774" i="9"/>
  <c r="C774" i="9"/>
  <c r="D774" i="9"/>
  <c r="E774" i="9"/>
  <c r="F774" i="9"/>
  <c r="G774" i="9"/>
  <c r="H774" i="9"/>
  <c r="I774" i="9"/>
  <c r="J774" i="9"/>
  <c r="K774" i="9"/>
  <c r="L774" i="9"/>
  <c r="M774" i="9"/>
  <c r="N774" i="9"/>
  <c r="O774" i="9"/>
  <c r="P774" i="9"/>
  <c r="Q774" i="9"/>
  <c r="R774" i="9"/>
  <c r="S774" i="9"/>
  <c r="T774" i="9"/>
  <c r="U774" i="9"/>
  <c r="V774" i="9"/>
  <c r="W774" i="9"/>
  <c r="X774" i="9"/>
  <c r="Y774" i="9"/>
  <c r="Z774" i="9"/>
  <c r="A775" i="9"/>
  <c r="B775" i="9"/>
  <c r="C775" i="9"/>
  <c r="D775" i="9"/>
  <c r="E775" i="9"/>
  <c r="F775" i="9"/>
  <c r="G775" i="9"/>
  <c r="H775" i="9"/>
  <c r="I775" i="9"/>
  <c r="J775" i="9"/>
  <c r="K775" i="9"/>
  <c r="L775" i="9"/>
  <c r="M775" i="9"/>
  <c r="N775" i="9"/>
  <c r="O775" i="9"/>
  <c r="P775" i="9"/>
  <c r="Q775" i="9"/>
  <c r="R775" i="9"/>
  <c r="S775" i="9"/>
  <c r="T775" i="9"/>
  <c r="U775" i="9"/>
  <c r="V775" i="9"/>
  <c r="W775" i="9"/>
  <c r="X775" i="9"/>
  <c r="Y775" i="9"/>
  <c r="Z775" i="9"/>
  <c r="A776" i="9"/>
  <c r="B776" i="9"/>
  <c r="C776" i="9"/>
  <c r="D776" i="9"/>
  <c r="E776" i="9"/>
  <c r="F776" i="9"/>
  <c r="G776" i="9"/>
  <c r="H776" i="9"/>
  <c r="I776" i="9"/>
  <c r="J776" i="9"/>
  <c r="K776" i="9"/>
  <c r="L776" i="9"/>
  <c r="M776" i="9"/>
  <c r="N776" i="9"/>
  <c r="O776" i="9"/>
  <c r="P776" i="9"/>
  <c r="Q776" i="9"/>
  <c r="R776" i="9"/>
  <c r="S776" i="9"/>
  <c r="T776" i="9"/>
  <c r="U776" i="9"/>
  <c r="V776" i="9"/>
  <c r="W776" i="9"/>
  <c r="X776" i="9"/>
  <c r="Y776" i="9"/>
  <c r="Z776" i="9"/>
  <c r="B1" i="9"/>
  <c r="C1" i="9"/>
  <c r="D1" i="9"/>
  <c r="E1" i="9"/>
  <c r="F1" i="9"/>
  <c r="G1" i="9"/>
  <c r="H1" i="9"/>
  <c r="I1" i="9"/>
  <c r="J1" i="9"/>
  <c r="K1" i="9"/>
  <c r="L1" i="9"/>
  <c r="M1" i="9"/>
  <c r="N1" i="9"/>
  <c r="O1" i="9"/>
  <c r="P1" i="9"/>
  <c r="Q1" i="9"/>
  <c r="R1" i="9"/>
  <c r="S1" i="9"/>
  <c r="T1" i="9"/>
  <c r="U1" i="9"/>
  <c r="V1" i="9"/>
  <c r="W1" i="9"/>
  <c r="X1" i="9"/>
  <c r="Y1" i="9"/>
  <c r="Z1" i="9"/>
  <c r="A1" i="9"/>
  <c r="BC14" i="7"/>
  <c r="BC62" i="7"/>
  <c r="BC52" i="7"/>
  <c r="BC19" i="7"/>
  <c r="BC21" i="7"/>
  <c r="BC54" i="7"/>
  <c r="BC36" i="7"/>
  <c r="BC33" i="7"/>
  <c r="BC40" i="7"/>
  <c r="BC23" i="7"/>
  <c r="BC48" i="7"/>
  <c r="BC37" i="7"/>
  <c r="AE158" i="7" l="1"/>
  <c r="L14" i="11"/>
  <c r="I37" i="11"/>
  <c r="I14" i="11"/>
  <c r="F37" i="11"/>
  <c r="P37" i="11" s="1"/>
  <c r="F14" i="11"/>
  <c r="O16" i="11"/>
  <c r="O13" i="11"/>
  <c r="L16" i="11"/>
  <c r="L13" i="11"/>
  <c r="I16" i="11"/>
  <c r="I13" i="11"/>
  <c r="F16" i="11"/>
  <c r="F13" i="11"/>
  <c r="O15" i="11"/>
  <c r="L15" i="11"/>
  <c r="I15" i="11"/>
  <c r="F15" i="11"/>
  <c r="O14" i="11"/>
  <c r="AG68" i="7"/>
  <c r="AG50" i="7"/>
  <c r="AG59" i="7"/>
  <c r="AG320" i="7"/>
  <c r="L26" i="11"/>
  <c r="L39" i="11"/>
  <c r="L28" i="11"/>
  <c r="L40" i="11"/>
  <c r="L29" i="11"/>
  <c r="L41" i="11"/>
  <c r="L30" i="11"/>
  <c r="L18" i="11"/>
  <c r="L19" i="11"/>
  <c r="L31" i="11"/>
  <c r="L34" i="11"/>
  <c r="L35" i="11"/>
  <c r="L36" i="11"/>
  <c r="L38" i="11"/>
  <c r="L20" i="11"/>
  <c r="L33" i="11"/>
  <c r="L23" i="11"/>
  <c r="L24" i="11"/>
  <c r="L25" i="11"/>
  <c r="L21" i="11"/>
  <c r="I34" i="11"/>
  <c r="O26" i="11"/>
  <c r="O23" i="11"/>
  <c r="O20" i="11"/>
  <c r="I17" i="11"/>
  <c r="O36" i="11"/>
  <c r="F12" i="11"/>
  <c r="O39" i="11"/>
  <c r="I42" i="11"/>
  <c r="I38" i="11"/>
  <c r="F34" i="11"/>
  <c r="I30" i="11"/>
  <c r="O21" i="11"/>
  <c r="O35" i="11"/>
  <c r="F17" i="11"/>
  <c r="F42" i="11"/>
  <c r="F38" i="11"/>
  <c r="F30" i="11"/>
  <c r="I26" i="11"/>
  <c r="I23" i="11"/>
  <c r="F21" i="11"/>
  <c r="O34" i="11"/>
  <c r="F27" i="11"/>
  <c r="I31" i="11"/>
  <c r="F24" i="11"/>
  <c r="F11" i="11"/>
  <c r="I33" i="11"/>
  <c r="O29" i="11"/>
  <c r="F26" i="11"/>
  <c r="F23" i="11"/>
  <c r="F20" i="11"/>
  <c r="O33" i="11"/>
  <c r="F10" i="11"/>
  <c r="I11" i="11"/>
  <c r="I41" i="11"/>
  <c r="F33" i="11"/>
  <c r="O25" i="11"/>
  <c r="F22" i="11"/>
  <c r="F19" i="11"/>
  <c r="L12" i="11"/>
  <c r="I27" i="11"/>
  <c r="F41" i="11"/>
  <c r="I32" i="11"/>
  <c r="I29" i="11"/>
  <c r="F18" i="11"/>
  <c r="L11" i="11"/>
  <c r="I22" i="11"/>
  <c r="I36" i="11"/>
  <c r="F32" i="11"/>
  <c r="F29" i="11"/>
  <c r="I25" i="11"/>
  <c r="L10" i="11"/>
  <c r="I40" i="11"/>
  <c r="F36" i="11"/>
  <c r="O31" i="11"/>
  <c r="O28" i="11"/>
  <c r="F25" i="11"/>
  <c r="I18" i="11"/>
  <c r="O41" i="11"/>
  <c r="I28" i="11"/>
  <c r="O19" i="11"/>
  <c r="F40" i="11"/>
  <c r="O24" i="11"/>
  <c r="I19" i="11"/>
  <c r="O40" i="11"/>
  <c r="I12" i="11"/>
  <c r="F39" i="11"/>
  <c r="I35" i="11"/>
  <c r="I20" i="11"/>
  <c r="I39" i="11"/>
  <c r="F35" i="11"/>
  <c r="F31" i="11"/>
  <c r="F28" i="11"/>
  <c r="I24" i="11"/>
  <c r="O18" i="11"/>
  <c r="I21" i="11"/>
  <c r="O38" i="11"/>
  <c r="I10" i="11"/>
  <c r="O30" i="11"/>
  <c r="AG23" i="7"/>
  <c r="AG185" i="7"/>
  <c r="AG122" i="7"/>
  <c r="AG113" i="7"/>
  <c r="AG239" i="7"/>
  <c r="AG104" i="7"/>
  <c r="AG230" i="7"/>
  <c r="AG212" i="7"/>
  <c r="AG221" i="7"/>
  <c r="AG95" i="7"/>
  <c r="AG77" i="7"/>
  <c r="AG86" i="7"/>
  <c r="AG131" i="7"/>
  <c r="AG41" i="7"/>
  <c r="AG32" i="7"/>
  <c r="E72" i="7"/>
  <c r="E73" i="7"/>
  <c r="E74" i="7"/>
  <c r="E75" i="7"/>
  <c r="E76" i="7"/>
  <c r="E77" i="7"/>
  <c r="M77" i="7" s="1"/>
  <c r="E71" i="7"/>
  <c r="E84" i="7"/>
  <c r="E85" i="7"/>
  <c r="E86" i="7"/>
  <c r="E87" i="7"/>
  <c r="E88" i="7"/>
  <c r="E83" i="7"/>
  <c r="N83" i="7"/>
  <c r="H83" i="7"/>
  <c r="E78" i="7"/>
  <c r="E79" i="7"/>
  <c r="E80" i="7"/>
  <c r="E81" i="7"/>
  <c r="E82" i="7"/>
  <c r="N77" i="7"/>
  <c r="H77" i="7"/>
  <c r="E35" i="7"/>
  <c r="M35" i="7" s="1"/>
  <c r="BC16" i="7"/>
  <c r="BC15" i="7"/>
  <c r="BC18" i="7"/>
  <c r="BC17" i="7"/>
  <c r="BC56" i="7"/>
  <c r="BC61" i="7"/>
  <c r="BC58" i="7"/>
  <c r="BC55" i="7"/>
  <c r="BC53" i="7"/>
  <c r="BC51" i="7"/>
  <c r="BC50" i="7"/>
  <c r="BC60" i="7"/>
  <c r="BC22" i="7"/>
  <c r="BC20" i="7"/>
  <c r="BC59" i="7"/>
  <c r="BC57" i="7"/>
  <c r="BC34" i="7"/>
  <c r="BC41" i="7"/>
  <c r="BC35" i="7"/>
  <c r="BC46" i="7"/>
  <c r="BC39" i="7"/>
  <c r="BC24" i="7"/>
  <c r="BC44" i="7"/>
  <c r="BC29" i="7"/>
  <c r="BC25" i="7"/>
  <c r="BC32" i="7"/>
  <c r="BC49" i="7"/>
  <c r="BC31" i="7"/>
  <c r="BC47" i="7"/>
  <c r="BC28" i="7"/>
  <c r="BC38" i="7"/>
  <c r="BC27" i="7"/>
  <c r="BC45" i="7"/>
  <c r="BC26" i="7"/>
  <c r="BC43" i="7"/>
  <c r="BC30" i="7"/>
  <c r="BC42" i="7"/>
  <c r="AG302" i="7" l="1"/>
  <c r="AG248" i="7"/>
  <c r="AG293" i="7"/>
  <c r="P16" i="11"/>
  <c r="AE167" i="7"/>
  <c r="AG24" i="7"/>
  <c r="AG60" i="7"/>
  <c r="AG69" i="7"/>
  <c r="AG51" i="7"/>
  <c r="P15" i="11"/>
  <c r="P22" i="11"/>
  <c r="P14" i="11"/>
  <c r="P13" i="11"/>
  <c r="P41" i="11"/>
  <c r="AG321" i="7"/>
  <c r="P23" i="11"/>
  <c r="P24" i="11"/>
  <c r="P28" i="11"/>
  <c r="P32" i="11"/>
  <c r="P36" i="11"/>
  <c r="P31" i="11"/>
  <c r="P33" i="11"/>
  <c r="P42" i="11"/>
  <c r="P12" i="11"/>
  <c r="P35" i="11"/>
  <c r="P25" i="11"/>
  <c r="P11" i="11"/>
  <c r="P29" i="11"/>
  <c r="P17" i="11"/>
  <c r="P10" i="11"/>
  <c r="P39" i="11"/>
  <c r="P27" i="11"/>
  <c r="P20" i="11"/>
  <c r="P26" i="11"/>
  <c r="P40" i="11"/>
  <c r="P19" i="11"/>
  <c r="P21" i="11"/>
  <c r="P34" i="11"/>
  <c r="P18" i="11"/>
  <c r="P30" i="11"/>
  <c r="P38" i="11"/>
  <c r="AG275" i="7"/>
  <c r="AG266" i="7"/>
  <c r="AG257" i="7"/>
  <c r="AG149" i="7"/>
  <c r="AG203" i="7"/>
  <c r="AG176" i="7"/>
  <c r="AG167" i="7"/>
  <c r="AG284" i="7"/>
  <c r="AG158" i="7"/>
  <c r="AG194" i="7"/>
  <c r="AG140" i="7"/>
  <c r="AG311" i="7"/>
  <c r="AG33" i="7"/>
  <c r="AG42" i="7"/>
  <c r="AG123" i="7"/>
  <c r="AG231" i="7"/>
  <c r="AG87" i="7"/>
  <c r="AG240" i="7"/>
  <c r="AG105" i="7"/>
  <c r="AG78" i="7"/>
  <c r="AG303" i="7"/>
  <c r="AG132" i="7"/>
  <c r="AG96" i="7"/>
  <c r="AG213" i="7"/>
  <c r="AG114" i="7"/>
  <c r="AG222" i="7"/>
  <c r="AG186" i="7"/>
  <c r="M83" i="7"/>
  <c r="M71" i="7"/>
  <c r="E66" i="7"/>
  <c r="E67" i="7"/>
  <c r="E68" i="7"/>
  <c r="E69" i="7"/>
  <c r="E70" i="7"/>
  <c r="E65" i="7"/>
  <c r="N71" i="7"/>
  <c r="H71" i="7"/>
  <c r="E36" i="7"/>
  <c r="E37" i="7"/>
  <c r="E38" i="7"/>
  <c r="E39" i="7"/>
  <c r="E40" i="7"/>
  <c r="AG249" i="7" l="1"/>
  <c r="AG258" i="7"/>
  <c r="AG294" i="7"/>
  <c r="AG61" i="7"/>
  <c r="AG34" i="7"/>
  <c r="AG141" i="7"/>
  <c r="AG70" i="7"/>
  <c r="AG195" i="7"/>
  <c r="AG322" i="7"/>
  <c r="AG312" i="7"/>
  <c r="AG285" i="7"/>
  <c r="AG52" i="7"/>
  <c r="AG168" i="7"/>
  <c r="AG25" i="7"/>
  <c r="AG177" i="7"/>
  <c r="AE176" i="7"/>
  <c r="AG204" i="7"/>
  <c r="AG276" i="7"/>
  <c r="AG150" i="7"/>
  <c r="AG267" i="7"/>
  <c r="AG43" i="7"/>
  <c r="G3" i="11"/>
  <c r="AG159" i="7"/>
  <c r="AG223" i="7"/>
  <c r="AG97" i="7"/>
  <c r="AG241" i="7"/>
  <c r="AG106" i="7"/>
  <c r="AG250" i="7"/>
  <c r="AG259" i="7"/>
  <c r="AG187" i="7"/>
  <c r="AG79" i="7"/>
  <c r="AG295" i="7"/>
  <c r="AG133" i="7"/>
  <c r="AG88" i="7"/>
  <c r="AG214" i="7"/>
  <c r="AG232" i="7"/>
  <c r="AG115" i="7"/>
  <c r="AG304" i="7"/>
  <c r="AG124" i="7"/>
  <c r="M65" i="7"/>
  <c r="M53" i="7"/>
  <c r="M59" i="7"/>
  <c r="M47" i="7"/>
  <c r="M41" i="7"/>
  <c r="M23" i="7"/>
  <c r="AG277" i="7" l="1"/>
  <c r="AG142" i="7"/>
  <c r="AG151" i="7"/>
  <c r="AG178" i="7"/>
  <c r="AG196" i="7"/>
  <c r="AG205" i="7"/>
  <c r="AG313" i="7"/>
  <c r="AG169" i="7"/>
  <c r="AG268" i="7"/>
  <c r="AG62" i="7"/>
  <c r="AG286" i="7"/>
  <c r="AG26" i="7"/>
  <c r="AG53" i="7"/>
  <c r="AG71" i="7"/>
  <c r="AG44" i="7"/>
  <c r="AG160" i="7"/>
  <c r="AG323" i="7"/>
  <c r="AE185" i="7"/>
  <c r="AG35" i="7"/>
  <c r="U13" i="11"/>
  <c r="T301" i="11"/>
  <c r="U104" i="11"/>
  <c r="W315" i="11"/>
  <c r="V364" i="11"/>
  <c r="S332" i="11"/>
  <c r="T348" i="11"/>
  <c r="U325" i="11"/>
  <c r="S247" i="11"/>
  <c r="U313" i="11"/>
  <c r="W239" i="11"/>
  <c r="V274" i="11"/>
  <c r="W370" i="11"/>
  <c r="U245" i="11"/>
  <c r="T326" i="11"/>
  <c r="S305" i="11"/>
  <c r="U260" i="11"/>
  <c r="W70" i="11"/>
  <c r="S276" i="11"/>
  <c r="V353" i="11"/>
  <c r="V51" i="11"/>
  <c r="V230" i="11"/>
  <c r="U348" i="11"/>
  <c r="T315" i="11"/>
  <c r="U317" i="11"/>
  <c r="W174" i="11"/>
  <c r="U188" i="11"/>
  <c r="W267" i="11"/>
  <c r="W326" i="11"/>
  <c r="U196" i="11"/>
  <c r="V329" i="11"/>
  <c r="S289" i="11"/>
  <c r="W333" i="11"/>
  <c r="V220" i="11"/>
  <c r="S368" i="11"/>
  <c r="S303" i="11"/>
  <c r="W364" i="11"/>
  <c r="S328" i="11"/>
  <c r="S251" i="11"/>
  <c r="S310" i="11"/>
  <c r="U68" i="11"/>
  <c r="T255" i="11"/>
  <c r="U279" i="11"/>
  <c r="T324" i="11"/>
  <c r="S209" i="11"/>
  <c r="V293" i="11"/>
  <c r="V334" i="11"/>
  <c r="W240" i="11"/>
  <c r="V201" i="11"/>
  <c r="T266" i="11"/>
  <c r="W322" i="11"/>
  <c r="U140" i="11"/>
  <c r="T226" i="11"/>
  <c r="V254" i="11"/>
  <c r="T314" i="11"/>
  <c r="U332" i="11"/>
  <c r="V320" i="11"/>
  <c r="U184" i="11"/>
  <c r="W201" i="11"/>
  <c r="W256" i="11"/>
  <c r="U347" i="11"/>
  <c r="S211" i="11"/>
  <c r="W233" i="11"/>
  <c r="S262" i="11"/>
  <c r="S312" i="11"/>
  <c r="U316" i="11"/>
  <c r="S314" i="11"/>
  <c r="U11" i="11"/>
  <c r="S254" i="11"/>
  <c r="V265" i="11"/>
  <c r="S150" i="11"/>
  <c r="S80" i="11"/>
  <c r="U359" i="11"/>
  <c r="S173" i="11"/>
  <c r="T328" i="11"/>
  <c r="S187" i="11"/>
  <c r="S297" i="11"/>
  <c r="W73" i="11"/>
  <c r="W265" i="11"/>
  <c r="U160" i="11"/>
  <c r="V234" i="11"/>
  <c r="V64" i="11"/>
  <c r="W138" i="11"/>
  <c r="U79" i="11"/>
  <c r="T154" i="11"/>
  <c r="U179" i="11"/>
  <c r="S359" i="11"/>
  <c r="T13" i="11"/>
  <c r="T214" i="11"/>
  <c r="V276" i="11"/>
  <c r="W142" i="11"/>
  <c r="T345" i="11"/>
  <c r="S227" i="11"/>
  <c r="T261" i="11"/>
  <c r="T177" i="11"/>
  <c r="S358" i="11"/>
  <c r="S363" i="11"/>
  <c r="V284" i="11"/>
  <c r="U336" i="11"/>
  <c r="T289" i="11"/>
  <c r="W190" i="11"/>
  <c r="V269" i="11"/>
  <c r="S300" i="11"/>
  <c r="W350" i="11"/>
  <c r="T277" i="11"/>
  <c r="U329" i="11"/>
  <c r="S42" i="11"/>
  <c r="T232" i="11"/>
  <c r="S320" i="11"/>
  <c r="W271" i="11"/>
  <c r="V333" i="11"/>
  <c r="V17" i="11"/>
  <c r="T222" i="11"/>
  <c r="T281" i="11"/>
  <c r="U357" i="11"/>
  <c r="S186" i="11"/>
  <c r="V250" i="11"/>
  <c r="U295" i="11"/>
  <c r="U364" i="11"/>
  <c r="U262" i="11"/>
  <c r="T262" i="11"/>
  <c r="S324" i="11"/>
  <c r="V43" i="11"/>
  <c r="V207" i="11"/>
  <c r="T269" i="11"/>
  <c r="U345" i="11"/>
  <c r="U176" i="11"/>
  <c r="U231" i="11"/>
  <c r="T276" i="11"/>
  <c r="W306" i="11"/>
  <c r="T217" i="11"/>
  <c r="W305" i="11"/>
  <c r="S334" i="11"/>
  <c r="V233" i="11"/>
  <c r="U237" i="11"/>
  <c r="V281" i="11"/>
  <c r="W353" i="11"/>
  <c r="S174" i="11"/>
  <c r="W225" i="11"/>
  <c r="U285" i="11"/>
  <c r="U274" i="11"/>
  <c r="W291" i="11"/>
  <c r="S339" i="11"/>
  <c r="U367" i="11"/>
  <c r="S228" i="11"/>
  <c r="S261" i="11"/>
  <c r="S347" i="11"/>
  <c r="S198" i="11"/>
  <c r="T233" i="11"/>
  <c r="T283" i="11"/>
  <c r="S230" i="11"/>
  <c r="T285" i="11"/>
  <c r="W320" i="11"/>
  <c r="T225" i="11"/>
  <c r="U171" i="11"/>
  <c r="V366" i="11"/>
  <c r="U108" i="11"/>
  <c r="V330" i="11"/>
  <c r="W191" i="11"/>
  <c r="U299" i="11"/>
  <c r="T112" i="11"/>
  <c r="T268" i="11"/>
  <c r="S224" i="11"/>
  <c r="S237" i="11"/>
  <c r="S350" i="11"/>
  <c r="W199" i="11"/>
  <c r="T83" i="11"/>
  <c r="W18" i="11"/>
  <c r="T139" i="11"/>
  <c r="W43" i="11"/>
  <c r="W13" i="11"/>
  <c r="W329" i="11"/>
  <c r="T288" i="11"/>
  <c r="T339" i="11"/>
  <c r="V271" i="11"/>
  <c r="W319" i="11"/>
  <c r="T278" i="11"/>
  <c r="U315" i="11"/>
  <c r="U355" i="11"/>
  <c r="T308" i="11"/>
  <c r="S336" i="11"/>
  <c r="W259" i="11"/>
  <c r="T274" i="11"/>
  <c r="S226" i="11"/>
  <c r="S284" i="11"/>
  <c r="U302" i="11"/>
  <c r="V291" i="11"/>
  <c r="T97" i="11"/>
  <c r="W275" i="11"/>
  <c r="V363" i="11"/>
  <c r="V288" i="11"/>
  <c r="U350" i="11"/>
  <c r="U258" i="11"/>
  <c r="V356" i="11"/>
  <c r="S231" i="11"/>
  <c r="W292" i="11"/>
  <c r="U346" i="11"/>
  <c r="W162" i="11"/>
  <c r="U240" i="11"/>
  <c r="V316" i="11"/>
  <c r="S222" i="11"/>
  <c r="W192" i="11"/>
  <c r="U247" i="11"/>
  <c r="U220" i="11"/>
  <c r="T342" i="11"/>
  <c r="V216" i="11"/>
  <c r="U278" i="11"/>
  <c r="S318" i="11"/>
  <c r="T368" i="11"/>
  <c r="V223" i="11"/>
  <c r="W299" i="11"/>
  <c r="S270" i="11"/>
  <c r="S138" i="11"/>
  <c r="W237" i="11"/>
  <c r="T121" i="11"/>
  <c r="V365" i="11"/>
  <c r="S277" i="11"/>
  <c r="T305" i="11"/>
  <c r="T355" i="11"/>
  <c r="W204" i="11"/>
  <c r="V219" i="11"/>
  <c r="S325" i="11"/>
  <c r="W106" i="11"/>
  <c r="V171" i="11"/>
  <c r="V256" i="11"/>
  <c r="U236" i="11"/>
  <c r="S263" i="11"/>
  <c r="T310" i="11"/>
  <c r="V338" i="11"/>
  <c r="T181" i="11"/>
  <c r="S370" i="11"/>
  <c r="T318" i="11"/>
  <c r="U365" i="11"/>
  <c r="S197" i="11"/>
  <c r="U254" i="11"/>
  <c r="S345" i="11"/>
  <c r="U256" i="11"/>
  <c r="U270" i="11"/>
  <c r="V167" i="11"/>
  <c r="T87" i="11"/>
  <c r="W337" i="11"/>
  <c r="T103" i="11"/>
  <c r="W301" i="11"/>
  <c r="V186" i="11"/>
  <c r="V270" i="11"/>
  <c r="V245" i="11"/>
  <c r="U239" i="11"/>
  <c r="U352" i="11"/>
  <c r="T204" i="11"/>
  <c r="T321" i="11"/>
  <c r="V197" i="11"/>
  <c r="V13" i="11"/>
  <c r="S105" i="11"/>
  <c r="W16" i="11"/>
  <c r="U120" i="11"/>
  <c r="T198" i="11"/>
  <c r="U233" i="11"/>
  <c r="S344" i="11"/>
  <c r="W243" i="11"/>
  <c r="S246" i="11"/>
  <c r="U44" i="11"/>
  <c r="U261" i="11"/>
  <c r="W221" i="11"/>
  <c r="W261" i="11"/>
  <c r="S176" i="11"/>
  <c r="U334" i="11"/>
  <c r="S346" i="11"/>
  <c r="W215" i="11"/>
  <c r="V314" i="11"/>
  <c r="W264" i="11"/>
  <c r="T205" i="11"/>
  <c r="W363" i="11"/>
  <c r="W287" i="11"/>
  <c r="U304" i="11"/>
  <c r="V368" i="11"/>
  <c r="S243" i="11"/>
  <c r="W304" i="11"/>
  <c r="S278" i="11"/>
  <c r="S311" i="11"/>
  <c r="W46" i="11"/>
  <c r="T247" i="11"/>
  <c r="T303" i="11"/>
  <c r="U339" i="11"/>
  <c r="S158" i="11"/>
  <c r="S271" i="11"/>
  <c r="S308" i="11"/>
  <c r="U353" i="11"/>
  <c r="S206" i="11"/>
  <c r="V306" i="11"/>
  <c r="U301" i="11"/>
  <c r="W228" i="11"/>
  <c r="V237" i="11"/>
  <c r="T207" i="11"/>
  <c r="U327" i="11"/>
  <c r="V15" i="11"/>
  <c r="S259" i="11"/>
  <c r="W334" i="11"/>
  <c r="T334" i="11"/>
  <c r="V99" i="11"/>
  <c r="S249" i="11"/>
  <c r="W276" i="11"/>
  <c r="T248" i="11"/>
  <c r="U276" i="11"/>
  <c r="U326" i="11"/>
  <c r="S362" i="11"/>
  <c r="U356" i="11"/>
  <c r="T296" i="11"/>
  <c r="U324" i="11"/>
  <c r="U360" i="11"/>
  <c r="W227" i="11"/>
  <c r="W312" i="11"/>
  <c r="T234" i="11"/>
  <c r="U281" i="11"/>
  <c r="W309" i="11"/>
  <c r="U369" i="11"/>
  <c r="S204" i="11"/>
  <c r="U289" i="11"/>
  <c r="V336" i="11"/>
  <c r="S365" i="11"/>
  <c r="V225" i="11"/>
  <c r="V258" i="11"/>
  <c r="V227" i="11"/>
  <c r="W58" i="11"/>
  <c r="S369" i="11"/>
  <c r="T113" i="11"/>
  <c r="S309" i="11"/>
  <c r="U88" i="11"/>
  <c r="S273" i="11"/>
  <c r="T37" i="11"/>
  <c r="W241" i="11"/>
  <c r="W354" i="11"/>
  <c r="V208" i="11"/>
  <c r="V323" i="11"/>
  <c r="T219" i="11"/>
  <c r="U292" i="11"/>
  <c r="U330" i="11"/>
  <c r="S269" i="11"/>
  <c r="U243" i="11"/>
  <c r="T224" i="11"/>
  <c r="W211" i="11"/>
  <c r="S235" i="11"/>
  <c r="W216" i="11"/>
  <c r="V300" i="11"/>
  <c r="W352" i="11"/>
  <c r="T286" i="11"/>
  <c r="T284" i="11"/>
  <c r="T245" i="11"/>
  <c r="W346" i="11"/>
  <c r="T216" i="11"/>
  <c r="T366" i="11"/>
  <c r="V292" i="11"/>
  <c r="U253" i="11"/>
  <c r="W94" i="11"/>
  <c r="W272" i="11"/>
  <c r="W327" i="11"/>
  <c r="T192" i="11"/>
  <c r="S264" i="11"/>
  <c r="U335" i="11"/>
  <c r="T270" i="11"/>
  <c r="T329" i="11"/>
  <c r="T201" i="11"/>
  <c r="V203" i="11"/>
  <c r="V298" i="11"/>
  <c r="U343" i="11"/>
  <c r="T230" i="11"/>
  <c r="T325" i="11"/>
  <c r="U305" i="11"/>
  <c r="T367" i="11"/>
  <c r="W356" i="11"/>
  <c r="W255" i="11"/>
  <c r="W314" i="11"/>
  <c r="S126" i="11"/>
  <c r="T313" i="11"/>
  <c r="W281" i="11"/>
  <c r="V326" i="11"/>
  <c r="T213" i="11"/>
  <c r="T265" i="11"/>
  <c r="W295" i="11"/>
  <c r="V357" i="11"/>
  <c r="U282" i="11"/>
  <c r="U361" i="11"/>
  <c r="U219" i="11"/>
  <c r="V247" i="11"/>
  <c r="V297" i="11"/>
  <c r="V275" i="11"/>
  <c r="U320" i="11"/>
  <c r="U267" i="11"/>
  <c r="V295" i="11"/>
  <c r="V345" i="11"/>
  <c r="W180" i="11"/>
  <c r="W252" i="11"/>
  <c r="T199" i="11"/>
  <c r="V252" i="11"/>
  <c r="S281" i="11"/>
  <c r="V340" i="11"/>
  <c r="S168" i="11"/>
  <c r="V260" i="11"/>
  <c r="W307" i="11"/>
  <c r="T336" i="11"/>
  <c r="S170" i="11"/>
  <c r="T341" i="11"/>
  <c r="V179" i="11"/>
  <c r="S116" i="11"/>
  <c r="T340" i="11"/>
  <c r="T127" i="11"/>
  <c r="T280" i="11"/>
  <c r="S66" i="11"/>
  <c r="T244" i="11"/>
  <c r="T357" i="11"/>
  <c r="T212" i="11"/>
  <c r="S326" i="11"/>
  <c r="S236" i="11"/>
  <c r="W294" i="11"/>
  <c r="S340" i="11"/>
  <c r="V263" i="11"/>
  <c r="W284" i="11"/>
  <c r="W187" i="11"/>
  <c r="U199" i="11"/>
  <c r="S122" i="11"/>
  <c r="W57" i="11"/>
  <c r="W113" i="11"/>
  <c r="W348" i="11"/>
  <c r="T295" i="11"/>
  <c r="U288" i="11"/>
  <c r="S327" i="11"/>
  <c r="W238" i="11"/>
  <c r="V287" i="11"/>
  <c r="V183" i="11"/>
  <c r="S252" i="11"/>
  <c r="V75" i="11"/>
  <c r="S329" i="11"/>
  <c r="U319" i="11"/>
  <c r="V341" i="11"/>
  <c r="T307" i="11"/>
  <c r="V272" i="11"/>
  <c r="V123" i="11"/>
  <c r="T356" i="11"/>
  <c r="S195" i="11"/>
  <c r="U159" i="11"/>
  <c r="T282" i="11"/>
  <c r="T353" i="11"/>
  <c r="U218" i="11"/>
  <c r="T220" i="11"/>
  <c r="V224" i="11"/>
  <c r="V283" i="11"/>
  <c r="W359" i="11"/>
  <c r="T229" i="11"/>
  <c r="S253" i="11"/>
  <c r="W297" i="11"/>
  <c r="V343" i="11"/>
  <c r="T291" i="11"/>
  <c r="S267" i="11"/>
  <c r="W328" i="11"/>
  <c r="S154" i="11"/>
  <c r="W214" i="11"/>
  <c r="S274" i="11"/>
  <c r="T350" i="11"/>
  <c r="S282" i="11"/>
  <c r="S241" i="11"/>
  <c r="W285" i="11"/>
  <c r="V335" i="11"/>
  <c r="V192" i="11"/>
  <c r="W247" i="11"/>
  <c r="V309" i="11"/>
  <c r="T208" i="11"/>
  <c r="V332" i="11"/>
  <c r="T109" i="11"/>
  <c r="W218" i="11"/>
  <c r="W268" i="11"/>
  <c r="U92" i="11"/>
  <c r="T243" i="11"/>
  <c r="V238" i="11"/>
  <c r="W266" i="11"/>
  <c r="W316" i="11"/>
  <c r="T333" i="11"/>
  <c r="V279" i="11"/>
  <c r="V111" i="11"/>
  <c r="W223" i="11"/>
  <c r="T252" i="11"/>
  <c r="W311" i="11"/>
  <c r="U298" i="11"/>
  <c r="W231" i="11"/>
  <c r="S279" i="11"/>
  <c r="U307" i="11"/>
  <c r="S367" i="11"/>
  <c r="U116" i="11"/>
  <c r="V11" i="11"/>
  <c r="T137" i="11"/>
  <c r="U311" i="11"/>
  <c r="T93" i="11"/>
  <c r="U251" i="11"/>
  <c r="V359" i="11"/>
  <c r="U215" i="11"/>
  <c r="U328" i="11"/>
  <c r="V310" i="11"/>
  <c r="W298" i="11"/>
  <c r="T235" i="11"/>
  <c r="V191" i="11"/>
  <c r="W339" i="11"/>
  <c r="U338" i="11"/>
  <c r="S286" i="11"/>
  <c r="W347" i="11"/>
  <c r="T257" i="11"/>
  <c r="S333" i="11"/>
  <c r="V218" i="11"/>
  <c r="U308" i="11"/>
  <c r="U213" i="11"/>
  <c r="S361" i="11"/>
  <c r="W229" i="11"/>
  <c r="W257" i="11"/>
  <c r="V324" i="11"/>
  <c r="W144" i="11"/>
  <c r="U241" i="11"/>
  <c r="U300" i="11"/>
  <c r="W367" i="11"/>
  <c r="W17" i="11"/>
  <c r="V27" i="11"/>
  <c r="W242" i="11"/>
  <c r="S319" i="11"/>
  <c r="T267" i="11"/>
  <c r="T211" i="11"/>
  <c r="S257" i="11"/>
  <c r="T249" i="11"/>
  <c r="V344" i="11"/>
  <c r="S219" i="11"/>
  <c r="W280" i="11"/>
  <c r="T361" i="11"/>
  <c r="T25" i="11"/>
  <c r="U228" i="11"/>
  <c r="V304" i="11"/>
  <c r="V327" i="11"/>
  <c r="S162" i="11"/>
  <c r="T240" i="11"/>
  <c r="T189" i="11"/>
  <c r="S335" i="11"/>
  <c r="U206" i="11"/>
  <c r="T271" i="11"/>
  <c r="U211" i="11"/>
  <c r="W303" i="11"/>
  <c r="S351" i="11"/>
  <c r="U197" i="11"/>
  <c r="S299" i="11"/>
  <c r="V206" i="11"/>
  <c r="V328" i="11"/>
  <c r="S217" i="11"/>
  <c r="T364" i="11"/>
  <c r="T360" i="11"/>
  <c r="T242" i="11"/>
  <c r="S353" i="11"/>
  <c r="U370" i="11"/>
  <c r="V321" i="11"/>
  <c r="T11" i="11"/>
  <c r="T302" i="11"/>
  <c r="T260" i="11"/>
  <c r="W324" i="11"/>
  <c r="W331" i="11"/>
  <c r="S214" i="11"/>
  <c r="W28" i="11"/>
  <c r="U164" i="11"/>
  <c r="W254" i="11"/>
  <c r="S331" i="11"/>
  <c r="V317" i="11"/>
  <c r="W341" i="11"/>
  <c r="U172" i="11"/>
  <c r="U273" i="11"/>
  <c r="U322" i="11"/>
  <c r="W355" i="11"/>
  <c r="V209" i="11"/>
  <c r="T316" i="11"/>
  <c r="T306" i="11"/>
  <c r="V257" i="11"/>
  <c r="U242" i="11"/>
  <c r="S260" i="11"/>
  <c r="T332" i="11"/>
  <c r="T73" i="11"/>
  <c r="W263" i="11"/>
  <c r="U248" i="11"/>
  <c r="W343" i="11"/>
  <c r="S182" i="11"/>
  <c r="W277" i="11"/>
  <c r="S287" i="11"/>
  <c r="U20" i="11"/>
  <c r="T223" i="11"/>
  <c r="V315" i="11"/>
  <c r="S275" i="11"/>
  <c r="T322" i="11"/>
  <c r="V350" i="11"/>
  <c r="U209" i="11"/>
  <c r="W217" i="11"/>
  <c r="S323" i="11"/>
  <c r="U226" i="11"/>
  <c r="T206" i="11"/>
  <c r="T259" i="11"/>
  <c r="W361" i="11"/>
  <c r="V351" i="11"/>
  <c r="V322" i="11"/>
  <c r="S78" i="11"/>
  <c r="T157" i="11"/>
  <c r="T254" i="11"/>
  <c r="U250" i="11"/>
  <c r="W82" i="11"/>
  <c r="U221" i="11"/>
  <c r="W249" i="11"/>
  <c r="U309" i="11"/>
  <c r="S352" i="11"/>
  <c r="W313" i="11"/>
  <c r="T129" i="11"/>
  <c r="W253" i="11"/>
  <c r="S338" i="11"/>
  <c r="V147" i="11"/>
  <c r="S302" i="11"/>
  <c r="V349" i="11"/>
  <c r="W270" i="11"/>
  <c r="U294" i="11"/>
  <c r="V239" i="11"/>
  <c r="V241" i="11"/>
  <c r="V204" i="11"/>
  <c r="T56" i="11"/>
  <c r="V367" i="11"/>
  <c r="T22" i="11"/>
  <c r="W38" i="11"/>
  <c r="S104" i="11"/>
  <c r="U78" i="11"/>
  <c r="U81" i="11"/>
  <c r="U125" i="11"/>
  <c r="S233" i="11"/>
  <c r="S229" i="11"/>
  <c r="W262" i="11"/>
  <c r="U272" i="11"/>
  <c r="W360" i="11"/>
  <c r="T323" i="11"/>
  <c r="V266" i="11"/>
  <c r="T195" i="11"/>
  <c r="V242" i="11"/>
  <c r="T337" i="11"/>
  <c r="S216" i="11"/>
  <c r="U277" i="11"/>
  <c r="T190" i="11"/>
  <c r="T346" i="11"/>
  <c r="W22" i="11"/>
  <c r="T238" i="11"/>
  <c r="S298" i="11"/>
  <c r="W274" i="11"/>
  <c r="V358" i="11"/>
  <c r="W213" i="11"/>
  <c r="T290" i="11"/>
  <c r="S258" i="11"/>
  <c r="S301" i="11"/>
  <c r="W345" i="11"/>
  <c r="V232" i="11"/>
  <c r="V255" i="11"/>
  <c r="S315" i="11"/>
  <c r="T370" i="11"/>
  <c r="W118" i="11"/>
  <c r="T258" i="11"/>
  <c r="T317" i="11"/>
  <c r="W154" i="11"/>
  <c r="W198" i="11"/>
  <c r="V286" i="11"/>
  <c r="U331" i="11"/>
  <c r="T218" i="11"/>
  <c r="W250" i="11"/>
  <c r="T298" i="11"/>
  <c r="S360" i="11"/>
  <c r="T311" i="11"/>
  <c r="V248" i="11"/>
  <c r="V307" i="11"/>
  <c r="V39" i="11"/>
  <c r="T193" i="11"/>
  <c r="T246" i="11"/>
  <c r="U293" i="11"/>
  <c r="W321" i="11"/>
  <c r="U238" i="11"/>
  <c r="V301" i="11"/>
  <c r="T294" i="11"/>
  <c r="U341" i="11"/>
  <c r="W369" i="11"/>
  <c r="U230" i="11"/>
  <c r="U275" i="11"/>
  <c r="U284" i="11"/>
  <c r="W293" i="11"/>
  <c r="S322" i="11"/>
  <c r="W338" i="11"/>
  <c r="U225" i="11"/>
  <c r="S366" i="11"/>
  <c r="S349" i="11"/>
  <c r="T133" i="11"/>
  <c r="S221" i="11"/>
  <c r="V280" i="11"/>
  <c r="V130" i="11"/>
  <c r="S285" i="11"/>
  <c r="T369" i="11"/>
  <c r="S225" i="11"/>
  <c r="T309" i="11"/>
  <c r="T359" i="11"/>
  <c r="T273" i="11"/>
  <c r="T299" i="11"/>
  <c r="S242" i="11"/>
  <c r="S244" i="11"/>
  <c r="W208" i="11"/>
  <c r="S61" i="11"/>
  <c r="V135" i="11"/>
  <c r="W55" i="11"/>
  <c r="W349" i="11"/>
  <c r="V50" i="11"/>
  <c r="U91" i="11"/>
  <c r="S159" i="11"/>
  <c r="T145" i="11"/>
  <c r="T117" i="11"/>
  <c r="W206" i="11"/>
  <c r="V231" i="11"/>
  <c r="W302" i="11"/>
  <c r="U229" i="11"/>
  <c r="U296" i="11"/>
  <c r="W336" i="11"/>
  <c r="U344" i="11"/>
  <c r="U362" i="11"/>
  <c r="W286" i="11"/>
  <c r="S348" i="11"/>
  <c r="V243" i="11"/>
  <c r="U321" i="11"/>
  <c r="V370" i="11"/>
  <c r="V246" i="11"/>
  <c r="V240" i="11"/>
  <c r="S250" i="11"/>
  <c r="U312" i="11"/>
  <c r="T183" i="11"/>
  <c r="S330" i="11"/>
  <c r="S313" i="11"/>
  <c r="W357" i="11"/>
  <c r="V244" i="11"/>
  <c r="T253" i="11"/>
  <c r="U255" i="11"/>
  <c r="T300" i="11"/>
  <c r="W362" i="11"/>
  <c r="V305" i="11"/>
  <c r="U269" i="11"/>
  <c r="T331" i="11"/>
  <c r="S15" i="11"/>
  <c r="W219" i="11"/>
  <c r="W278" i="11"/>
  <c r="S355" i="11"/>
  <c r="S342" i="11"/>
  <c r="W245" i="11"/>
  <c r="V290" i="11"/>
  <c r="V347" i="11"/>
  <c r="V214" i="11"/>
  <c r="U257" i="11"/>
  <c r="T319" i="11"/>
  <c r="V23" i="11"/>
  <c r="W186" i="11"/>
  <c r="V259" i="11"/>
  <c r="W335" i="11"/>
  <c r="U286" i="11"/>
  <c r="U217" i="11"/>
  <c r="V264" i="11"/>
  <c r="S293" i="11"/>
  <c r="V352" i="11"/>
  <c r="S183" i="11"/>
  <c r="U265" i="11"/>
  <c r="V312" i="11"/>
  <c r="S341" i="11"/>
  <c r="U190" i="11"/>
  <c r="S90" i="11"/>
  <c r="S306" i="11"/>
  <c r="S265" i="11"/>
  <c r="T293" i="11"/>
  <c r="T343" i="11"/>
  <c r="T169" i="11"/>
  <c r="S294" i="11"/>
  <c r="T320" i="11"/>
  <c r="T49" i="11"/>
  <c r="U128" i="11"/>
  <c r="W251" i="11"/>
  <c r="T330" i="11"/>
  <c r="V261" i="11"/>
  <c r="S114" i="11"/>
  <c r="T272" i="11"/>
  <c r="W258" i="11"/>
  <c r="W230" i="11"/>
  <c r="U337" i="11"/>
  <c r="U297" i="11"/>
  <c r="W323" i="11"/>
  <c r="T312" i="11"/>
  <c r="T236" i="11"/>
  <c r="U368" i="11"/>
  <c r="S223" i="11"/>
  <c r="V311" i="11"/>
  <c r="T263" i="11"/>
  <c r="W34" i="11"/>
  <c r="U342" i="11"/>
  <c r="V86" i="11"/>
  <c r="S41" i="11"/>
  <c r="W189" i="11"/>
  <c r="U42" i="11"/>
  <c r="W212" i="11"/>
  <c r="T158" i="11"/>
  <c r="V187" i="11"/>
  <c r="T188" i="11"/>
  <c r="U52" i="11"/>
  <c r="T108" i="11"/>
  <c r="V289" i="11"/>
  <c r="W194" i="11"/>
  <c r="U64" i="11"/>
  <c r="S205" i="11"/>
  <c r="T144" i="11"/>
  <c r="W188" i="11"/>
  <c r="U27" i="11"/>
  <c r="T115" i="11"/>
  <c r="V361" i="11"/>
  <c r="T166" i="11"/>
  <c r="U93" i="11"/>
  <c r="V325" i="11"/>
  <c r="W79" i="11"/>
  <c r="W150" i="11"/>
  <c r="S145" i="11"/>
  <c r="W139" i="11"/>
  <c r="U175" i="11"/>
  <c r="U14" i="11"/>
  <c r="W205" i="11"/>
  <c r="V80" i="11"/>
  <c r="V101" i="11"/>
  <c r="W134" i="11"/>
  <c r="V153" i="11"/>
  <c r="V143" i="11"/>
  <c r="W128" i="11"/>
  <c r="U51" i="11"/>
  <c r="T46" i="11"/>
  <c r="W81" i="11"/>
  <c r="V112" i="11"/>
  <c r="U107" i="11"/>
  <c r="S71" i="11"/>
  <c r="T185" i="11"/>
  <c r="U19" i="11"/>
  <c r="T50" i="11"/>
  <c r="T215" i="11"/>
  <c r="V70" i="11"/>
  <c r="U65" i="11"/>
  <c r="S101" i="11"/>
  <c r="W131" i="11"/>
  <c r="U131" i="11"/>
  <c r="U208" i="11"/>
  <c r="S56" i="11"/>
  <c r="T89" i="11"/>
  <c r="S108" i="11"/>
  <c r="S98" i="11"/>
  <c r="T47" i="11"/>
  <c r="S140" i="11"/>
  <c r="T173" i="11"/>
  <c r="S192" i="11"/>
  <c r="T38" i="11"/>
  <c r="T191" i="11"/>
  <c r="T64" i="11"/>
  <c r="W123" i="11"/>
  <c r="U303" i="11"/>
  <c r="T362" i="11"/>
  <c r="T365" i="11"/>
  <c r="V226" i="11"/>
  <c r="V318" i="11"/>
  <c r="W130" i="11"/>
  <c r="V296" i="11"/>
  <c r="U249" i="11"/>
  <c r="S295" i="11"/>
  <c r="U283" i="11"/>
  <c r="W202" i="11"/>
  <c r="T363" i="11"/>
  <c r="U152" i="11"/>
  <c r="W282" i="11"/>
  <c r="W161" i="11"/>
  <c r="S357" i="11"/>
  <c r="S292" i="11"/>
  <c r="T110" i="11"/>
  <c r="W120" i="11"/>
  <c r="V88" i="11"/>
  <c r="S30" i="11"/>
  <c r="T186" i="11"/>
  <c r="W47" i="11"/>
  <c r="V67" i="11"/>
  <c r="S97" i="11"/>
  <c r="W133" i="11"/>
  <c r="W172" i="11"/>
  <c r="W260" i="11"/>
  <c r="T125" i="11"/>
  <c r="T196" i="11"/>
  <c r="U147" i="11"/>
  <c r="V74" i="11"/>
  <c r="T71" i="11"/>
  <c r="W132" i="11"/>
  <c r="V45" i="11"/>
  <c r="W332" i="11"/>
  <c r="V96" i="11"/>
  <c r="W23" i="11"/>
  <c r="W296" i="11"/>
  <c r="V211" i="11"/>
  <c r="T81" i="11"/>
  <c r="T116" i="11"/>
  <c r="S111" i="11"/>
  <c r="V146" i="11"/>
  <c r="U177" i="11"/>
  <c r="S177" i="11"/>
  <c r="T227" i="11"/>
  <c r="W72" i="11"/>
  <c r="S106" i="11"/>
  <c r="W124" i="11"/>
  <c r="W114" i="11"/>
  <c r="S76" i="11"/>
  <c r="V22" i="11"/>
  <c r="U17" i="11"/>
  <c r="S53" i="11"/>
  <c r="W83" i="11"/>
  <c r="S69" i="11"/>
  <c r="T123" i="11"/>
  <c r="U156" i="11"/>
  <c r="T175" i="11"/>
  <c r="U21" i="11"/>
  <c r="U162" i="11"/>
  <c r="W41" i="11"/>
  <c r="V36" i="11"/>
  <c r="T72" i="11"/>
  <c r="S103" i="11"/>
  <c r="W97" i="11"/>
  <c r="W209" i="11"/>
  <c r="T27" i="11"/>
  <c r="U60" i="11"/>
  <c r="T79" i="11"/>
  <c r="T69" i="11"/>
  <c r="W195" i="11"/>
  <c r="T111" i="11"/>
  <c r="U144" i="11"/>
  <c r="T163" i="11"/>
  <c r="T153" i="11"/>
  <c r="U138" i="11"/>
  <c r="U35" i="11"/>
  <c r="S95" i="11"/>
  <c r="T35" i="11"/>
  <c r="V205" i="11"/>
  <c r="U61" i="11"/>
  <c r="U30" i="11"/>
  <c r="T143" i="11"/>
  <c r="U266" i="11"/>
  <c r="S234" i="11"/>
  <c r="V331" i="11"/>
  <c r="S317" i="11"/>
  <c r="T354" i="11"/>
  <c r="S307" i="11"/>
  <c r="W210" i="11"/>
  <c r="W310" i="11"/>
  <c r="T304" i="11"/>
  <c r="S288" i="11"/>
  <c r="V159" i="11"/>
  <c r="S194" i="11"/>
  <c r="V57" i="11"/>
  <c r="V282" i="11"/>
  <c r="W330" i="11"/>
  <c r="U32" i="11"/>
  <c r="V72" i="11"/>
  <c r="W37" i="11"/>
  <c r="W67" i="11"/>
  <c r="U203" i="11"/>
  <c r="U15" i="11"/>
  <c r="U207" i="11"/>
  <c r="V71" i="11"/>
  <c r="U127" i="11"/>
  <c r="S152" i="11"/>
  <c r="T155" i="11"/>
  <c r="U62" i="11"/>
  <c r="V229" i="11"/>
  <c r="V55" i="11"/>
  <c r="S129" i="11"/>
  <c r="W89" i="11"/>
  <c r="V189" i="11"/>
  <c r="T138" i="11"/>
  <c r="T63" i="11"/>
  <c r="W167" i="11"/>
  <c r="S304" i="11"/>
  <c r="S27" i="11"/>
  <c r="U100" i="11"/>
  <c r="S268" i="11"/>
  <c r="S142" i="11"/>
  <c r="S14" i="11"/>
  <c r="U87" i="11"/>
  <c r="T82" i="11"/>
  <c r="W117" i="11"/>
  <c r="V148" i="11"/>
  <c r="T148" i="11"/>
  <c r="U178" i="11"/>
  <c r="S44" i="11"/>
  <c r="T77" i="11"/>
  <c r="S96" i="11"/>
  <c r="S86" i="11"/>
  <c r="T23" i="11"/>
  <c r="W156" i="11"/>
  <c r="S190" i="11"/>
  <c r="T24" i="11"/>
  <c r="S55" i="11"/>
  <c r="T16" i="11"/>
  <c r="U94" i="11"/>
  <c r="V127" i="11"/>
  <c r="U146" i="11"/>
  <c r="U136" i="11"/>
  <c r="V109" i="11"/>
  <c r="S13" i="11"/>
  <c r="T209" i="11"/>
  <c r="U43" i="11"/>
  <c r="T74" i="11"/>
  <c r="U47" i="11"/>
  <c r="S181" i="11"/>
  <c r="W175" i="11"/>
  <c r="V31" i="11"/>
  <c r="U50" i="11"/>
  <c r="U40" i="11"/>
  <c r="S155" i="11"/>
  <c r="U82" i="11"/>
  <c r="V115" i="11"/>
  <c r="U134" i="11"/>
  <c r="U124" i="11"/>
  <c r="V97" i="11"/>
  <c r="U210" i="11"/>
  <c r="T66" i="11"/>
  <c r="W207" i="11"/>
  <c r="W176" i="11"/>
  <c r="T344" i="11"/>
  <c r="T349" i="11"/>
  <c r="U216" i="11"/>
  <c r="U271" i="11"/>
  <c r="V308" i="11"/>
  <c r="V268" i="11"/>
  <c r="U202" i="11"/>
  <c r="S354" i="11"/>
  <c r="T327" i="11"/>
  <c r="S11" i="11"/>
  <c r="U264" i="11"/>
  <c r="U291" i="11"/>
  <c r="S146" i="11"/>
  <c r="W166" i="11"/>
  <c r="U244" i="11"/>
  <c r="W344" i="11"/>
  <c r="U103" i="11"/>
  <c r="W234" i="11"/>
  <c r="T149" i="11"/>
  <c r="V66" i="11"/>
  <c r="T75" i="11"/>
  <c r="T104" i="11"/>
  <c r="V150" i="11"/>
  <c r="S17" i="11"/>
  <c r="U34" i="11"/>
  <c r="V104" i="11"/>
  <c r="T134" i="11"/>
  <c r="V87" i="11"/>
  <c r="W165" i="11"/>
  <c r="S21" i="11"/>
  <c r="T32" i="11"/>
  <c r="S120" i="11"/>
  <c r="S364" i="11"/>
  <c r="S171" i="11"/>
  <c r="V100" i="11"/>
  <c r="T275" i="11"/>
  <c r="W158" i="11"/>
  <c r="W30" i="11"/>
  <c r="W236" i="11"/>
  <c r="U72" i="11"/>
  <c r="W145" i="11"/>
  <c r="V58" i="11"/>
  <c r="U53" i="11"/>
  <c r="S89" i="11"/>
  <c r="W119" i="11"/>
  <c r="U119" i="11"/>
  <c r="W197" i="11"/>
  <c r="T15" i="11"/>
  <c r="U48" i="11"/>
  <c r="T67" i="11"/>
  <c r="T57" i="11"/>
  <c r="W183" i="11"/>
  <c r="S128" i="11"/>
  <c r="T161" i="11"/>
  <c r="S180" i="11"/>
  <c r="T26" i="11"/>
  <c r="T167" i="11"/>
  <c r="V65" i="11"/>
  <c r="W98" i="11"/>
  <c r="V117" i="11"/>
  <c r="V107" i="11"/>
  <c r="W68" i="11"/>
  <c r="T147" i="11"/>
  <c r="U180" i="11"/>
  <c r="V14" i="11"/>
  <c r="U45" i="11"/>
  <c r="U198" i="11"/>
  <c r="T152" i="11"/>
  <c r="S147" i="11"/>
  <c r="V182" i="11"/>
  <c r="V21" i="11"/>
  <c r="S213" i="11"/>
  <c r="T102" i="11"/>
  <c r="V53" i="11"/>
  <c r="W86" i="11"/>
  <c r="V105" i="11"/>
  <c r="V95" i="11"/>
  <c r="W44" i="11"/>
  <c r="V181" i="11"/>
  <c r="U37" i="11"/>
  <c r="S179" i="11"/>
  <c r="U80" i="11"/>
  <c r="V249" i="11"/>
  <c r="T228" i="11"/>
  <c r="V195" i="11"/>
  <c r="V228" i="11"/>
  <c r="U358" i="11"/>
  <c r="V273" i="11"/>
  <c r="T85" i="11"/>
  <c r="V267" i="11"/>
  <c r="S343" i="11"/>
  <c r="V235" i="11"/>
  <c r="V262" i="11"/>
  <c r="W11" i="11"/>
  <c r="W368" i="11"/>
  <c r="V215" i="11"/>
  <c r="S73" i="11"/>
  <c r="T122" i="11"/>
  <c r="S200" i="11"/>
  <c r="S156" i="11"/>
  <c r="S133" i="11"/>
  <c r="U84" i="11"/>
  <c r="U166" i="11"/>
  <c r="S196" i="11"/>
  <c r="V81" i="11"/>
  <c r="W91" i="11"/>
  <c r="W224" i="11"/>
  <c r="T14" i="11"/>
  <c r="T164" i="11"/>
  <c r="V98" i="11"/>
  <c r="T107" i="11"/>
  <c r="V137" i="11"/>
  <c r="W52" i="11"/>
  <c r="T335" i="11"/>
  <c r="U101" i="11"/>
  <c r="S31" i="11"/>
  <c r="U246" i="11"/>
  <c r="V91" i="11"/>
  <c r="V162" i="11"/>
  <c r="S188" i="11"/>
  <c r="S185" i="11"/>
  <c r="W49" i="11"/>
  <c r="W29" i="11"/>
  <c r="V24" i="11"/>
  <c r="T60" i="11"/>
  <c r="S91" i="11"/>
  <c r="T76" i="11"/>
  <c r="S169" i="11"/>
  <c r="U252" i="11"/>
  <c r="U333" i="11"/>
  <c r="W220" i="11"/>
  <c r="S290" i="11"/>
  <c r="S18" i="11"/>
  <c r="T279" i="11"/>
  <c r="W232" i="11"/>
  <c r="U363" i="11"/>
  <c r="W351" i="11"/>
  <c r="W246" i="11"/>
  <c r="U223" i="11"/>
  <c r="T250" i="11"/>
  <c r="W342" i="11"/>
  <c r="S316" i="11"/>
  <c r="V63" i="11"/>
  <c r="U137" i="11"/>
  <c r="S266" i="11"/>
  <c r="S321" i="11"/>
  <c r="V33" i="11"/>
  <c r="T44" i="11"/>
  <c r="T156" i="11"/>
  <c r="T51" i="11"/>
  <c r="T162" i="11"/>
  <c r="S151" i="11"/>
  <c r="W182" i="11"/>
  <c r="T176" i="11"/>
  <c r="V47" i="11"/>
  <c r="V106" i="11"/>
  <c r="S29" i="11"/>
  <c r="S191" i="11"/>
  <c r="S68" i="11"/>
  <c r="S175" i="11"/>
  <c r="U306" i="11"/>
  <c r="T34" i="11"/>
  <c r="T105" i="11"/>
  <c r="S212" i="11"/>
  <c r="S22" i="11"/>
  <c r="V78" i="11"/>
  <c r="U183" i="11"/>
  <c r="U115" i="11"/>
  <c r="S136" i="11"/>
  <c r="S164" i="11"/>
  <c r="T197" i="11"/>
  <c r="U31" i="11"/>
  <c r="T62" i="11"/>
  <c r="U23" i="11"/>
  <c r="T140" i="11"/>
  <c r="S135" i="11"/>
  <c r="V170" i="11"/>
  <c r="U201" i="11"/>
  <c r="S201" i="11"/>
  <c r="W75" i="11"/>
  <c r="U70" i="11"/>
  <c r="V103" i="11"/>
  <c r="U122" i="11"/>
  <c r="U112" i="11"/>
  <c r="V73" i="11"/>
  <c r="U185" i="11"/>
  <c r="T41" i="11"/>
  <c r="S60" i="11"/>
  <c r="S50" i="11"/>
  <c r="V164" i="11"/>
  <c r="V89" i="11"/>
  <c r="W122" i="11"/>
  <c r="V141" i="11"/>
  <c r="V131" i="11"/>
  <c r="W104" i="11"/>
  <c r="V94" i="11"/>
  <c r="U89" i="11"/>
  <c r="S125" i="11"/>
  <c r="W155" i="11"/>
  <c r="U155" i="11"/>
  <c r="V178" i="11"/>
  <c r="U173" i="11"/>
  <c r="T29" i="11"/>
  <c r="S48" i="11"/>
  <c r="S38" i="11"/>
  <c r="V140" i="11"/>
  <c r="S124" i="11"/>
  <c r="W61" i="11"/>
  <c r="U121" i="11"/>
  <c r="U90" i="11"/>
  <c r="S239" i="11"/>
  <c r="W279" i="11"/>
  <c r="S210" i="11"/>
  <c r="S296" i="11"/>
  <c r="U290" i="11"/>
  <c r="V185" i="11"/>
  <c r="V303" i="11"/>
  <c r="W235" i="11"/>
  <c r="V236" i="11"/>
  <c r="S256" i="11"/>
  <c r="U314" i="11"/>
  <c r="V319" i="11"/>
  <c r="V342" i="11"/>
  <c r="W366" i="11"/>
  <c r="T61" i="11"/>
  <c r="S161" i="11"/>
  <c r="T237" i="11"/>
  <c r="T292" i="11"/>
  <c r="U117" i="11"/>
  <c r="W96" i="11"/>
  <c r="W33" i="11"/>
  <c r="V120" i="11"/>
  <c r="U234" i="11"/>
  <c r="S43" i="11"/>
  <c r="W62" i="11"/>
  <c r="U75" i="11"/>
  <c r="W121" i="11"/>
  <c r="S49" i="11"/>
  <c r="S144" i="11"/>
  <c r="U366" i="11"/>
  <c r="T178" i="11"/>
  <c r="U105" i="11"/>
  <c r="V277" i="11"/>
  <c r="S166" i="11"/>
  <c r="V35" i="11"/>
  <c r="S193" i="11"/>
  <c r="T132" i="11"/>
  <c r="W164" i="11"/>
  <c r="W125" i="11"/>
  <c r="W45" i="11"/>
  <c r="U18" i="11"/>
  <c r="T135" i="11"/>
  <c r="U168" i="11"/>
  <c r="T187" i="11"/>
  <c r="U33" i="11"/>
  <c r="U186" i="11"/>
  <c r="U111" i="11"/>
  <c r="T106" i="11"/>
  <c r="W141" i="11"/>
  <c r="V172" i="11"/>
  <c r="T172" i="11"/>
  <c r="T165" i="11"/>
  <c r="V41" i="11"/>
  <c r="W74" i="11"/>
  <c r="V93" i="11"/>
  <c r="V83" i="11"/>
  <c r="W20" i="11"/>
  <c r="V156" i="11"/>
  <c r="U12" i="11"/>
  <c r="T31" i="11"/>
  <c r="T21" i="11"/>
  <c r="W111" i="11"/>
  <c r="W60" i="11"/>
  <c r="S94" i="11"/>
  <c r="W112" i="11"/>
  <c r="W102" i="11"/>
  <c r="S52" i="11"/>
  <c r="T241" i="11"/>
  <c r="U56" i="11"/>
  <c r="V302" i="11"/>
  <c r="T351" i="11"/>
  <c r="W244" i="11"/>
  <c r="V348" i="11"/>
  <c r="W358" i="11"/>
  <c r="T202" i="11"/>
  <c r="W203" i="11"/>
  <c r="W14" i="11"/>
  <c r="V285" i="11"/>
  <c r="W290" i="11"/>
  <c r="T256" i="11"/>
  <c r="U280" i="11"/>
  <c r="V253" i="11"/>
  <c r="T297" i="11"/>
  <c r="T352" i="11"/>
  <c r="U263" i="11"/>
  <c r="U102" i="11"/>
  <c r="W177" i="11"/>
  <c r="U98" i="11"/>
  <c r="V199" i="11"/>
  <c r="V190" i="11"/>
  <c r="V59" i="11"/>
  <c r="T120" i="11"/>
  <c r="V149" i="11"/>
  <c r="T131" i="11"/>
  <c r="U154" i="11"/>
  <c r="U74" i="11"/>
  <c r="V337" i="11"/>
  <c r="V108" i="11"/>
  <c r="W35" i="11"/>
  <c r="W248" i="11"/>
  <c r="U96" i="11"/>
  <c r="U167" i="11"/>
  <c r="U135" i="11"/>
  <c r="V62" i="11"/>
  <c r="V49" i="11"/>
  <c r="T68" i="11"/>
  <c r="W160" i="11"/>
  <c r="T78" i="11"/>
  <c r="U106" i="11"/>
  <c r="V139" i="11"/>
  <c r="U158" i="11"/>
  <c r="U148" i="11"/>
  <c r="V133" i="11"/>
  <c r="V82" i="11"/>
  <c r="U77" i="11"/>
  <c r="S113" i="11"/>
  <c r="W143" i="11"/>
  <c r="U143" i="11"/>
  <c r="U195" i="11"/>
  <c r="W12" i="11"/>
  <c r="S46" i="11"/>
  <c r="W64" i="11"/>
  <c r="W54" i="11"/>
  <c r="U169" i="11"/>
  <c r="W127" i="11"/>
  <c r="U163" i="11"/>
  <c r="T194" i="11"/>
  <c r="W193" i="11"/>
  <c r="T54" i="11"/>
  <c r="S32" i="11"/>
  <c r="T65" i="11"/>
  <c r="S84" i="11"/>
  <c r="S74" i="11"/>
  <c r="V212" i="11"/>
  <c r="S37" i="11"/>
  <c r="W31" i="11"/>
  <c r="U67" i="11"/>
  <c r="T98" i="11"/>
  <c r="U83" i="11"/>
  <c r="S121" i="11"/>
  <c r="W115" i="11"/>
  <c r="U151" i="11"/>
  <c r="T182" i="11"/>
  <c r="W181" i="11"/>
  <c r="T42" i="11"/>
  <c r="U66" i="11"/>
  <c r="S208" i="11"/>
  <c r="W63" i="11"/>
  <c r="W32" i="11"/>
  <c r="T203" i="11"/>
  <c r="S59" i="11"/>
  <c r="W171" i="11"/>
  <c r="V346" i="11"/>
  <c r="U200" i="11"/>
  <c r="W273" i="11"/>
  <c r="U214" i="11"/>
  <c r="W300" i="11"/>
  <c r="S245" i="11"/>
  <c r="W365" i="11"/>
  <c r="S102" i="11"/>
  <c r="S207" i="11"/>
  <c r="U224" i="11"/>
  <c r="S283" i="11"/>
  <c r="V278" i="11"/>
  <c r="U227" i="11"/>
  <c r="V251" i="11"/>
  <c r="V118" i="11"/>
  <c r="U268" i="11"/>
  <c r="U323" i="11"/>
  <c r="S220" i="11"/>
  <c r="V154" i="11"/>
  <c r="S132" i="11"/>
  <c r="W179" i="11"/>
  <c r="V79" i="11"/>
  <c r="W101" i="11"/>
  <c r="V138" i="11"/>
  <c r="T12" i="11"/>
  <c r="V29" i="11"/>
  <c r="W51" i="11"/>
  <c r="S92" i="11"/>
  <c r="V196" i="11"/>
  <c r="W308" i="11"/>
  <c r="S39" i="11"/>
  <c r="S110" i="11"/>
  <c r="S215" i="11"/>
  <c r="W26" i="11"/>
  <c r="U95" i="11"/>
  <c r="W77" i="11"/>
  <c r="V177" i="11"/>
  <c r="U109" i="11"/>
  <c r="V173" i="11"/>
  <c r="T91" i="11"/>
  <c r="S47" i="11"/>
  <c r="V77" i="11"/>
  <c r="W110" i="11"/>
  <c r="V129" i="11"/>
  <c r="V119" i="11"/>
  <c r="W80" i="11"/>
  <c r="W53" i="11"/>
  <c r="V48" i="11"/>
  <c r="T84" i="11"/>
  <c r="S115" i="11"/>
  <c r="W109" i="11"/>
  <c r="V166" i="11"/>
  <c r="U161" i="11"/>
  <c r="T17" i="11"/>
  <c r="S36" i="11"/>
  <c r="S26" i="11"/>
  <c r="V128" i="11"/>
  <c r="S99" i="11"/>
  <c r="V134" i="11"/>
  <c r="U165" i="11"/>
  <c r="S165" i="11"/>
  <c r="W185" i="11"/>
  <c r="V180" i="11"/>
  <c r="U36" i="11"/>
  <c r="T55" i="11"/>
  <c r="T45" i="11"/>
  <c r="W159" i="11"/>
  <c r="T171" i="11"/>
  <c r="U204" i="11"/>
  <c r="V38" i="11"/>
  <c r="U69" i="11"/>
  <c r="V42" i="11"/>
  <c r="T92" i="11"/>
  <c r="S87" i="11"/>
  <c r="V122" i="11"/>
  <c r="U153" i="11"/>
  <c r="S291" i="11"/>
  <c r="U287" i="11"/>
  <c r="S248" i="11"/>
  <c r="T358" i="11"/>
  <c r="W288" i="11"/>
  <c r="W196" i="11"/>
  <c r="W317" i="11"/>
  <c r="T264" i="11"/>
  <c r="W283" i="11"/>
  <c r="T231" i="11"/>
  <c r="W318" i="11"/>
  <c r="V369" i="11"/>
  <c r="W178" i="11"/>
  <c r="W222" i="11"/>
  <c r="T142" i="11"/>
  <c r="V221" i="11"/>
  <c r="V294" i="11"/>
  <c r="U39" i="11"/>
  <c r="V46" i="11"/>
  <c r="S12" i="11"/>
  <c r="V52" i="11"/>
  <c r="S149" i="11"/>
  <c r="V161" i="11"/>
  <c r="S160" i="11"/>
  <c r="V69" i="11"/>
  <c r="V84" i="11"/>
  <c r="V355" i="11"/>
  <c r="U22" i="11"/>
  <c r="U129" i="11"/>
  <c r="S280" i="11"/>
  <c r="W170" i="11"/>
  <c r="W42" i="11"/>
  <c r="T200" i="11"/>
  <c r="S137" i="11"/>
  <c r="S184" i="11"/>
  <c r="T20" i="11"/>
  <c r="U110" i="11"/>
  <c r="V25" i="11"/>
  <c r="W108" i="11"/>
  <c r="S24" i="11"/>
  <c r="V194" i="11"/>
  <c r="W48" i="11"/>
  <c r="S82" i="11"/>
  <c r="W100" i="11"/>
  <c r="W90" i="11"/>
  <c r="S40" i="11"/>
  <c r="S25" i="11"/>
  <c r="W19" i="11"/>
  <c r="U55" i="11"/>
  <c r="T86" i="11"/>
  <c r="U71" i="11"/>
  <c r="W137" i="11"/>
  <c r="V132" i="11"/>
  <c r="T168" i="11"/>
  <c r="S199" i="11"/>
  <c r="V198" i="11"/>
  <c r="U73" i="11"/>
  <c r="T70" i="11"/>
  <c r="W105" i="11"/>
  <c r="V136" i="11"/>
  <c r="T136" i="11"/>
  <c r="S157" i="11"/>
  <c r="W151" i="11"/>
  <c r="U187" i="11"/>
  <c r="U26" i="11"/>
  <c r="U16" i="11"/>
  <c r="S107" i="11"/>
  <c r="U142" i="11"/>
  <c r="V175" i="11"/>
  <c r="U194" i="11"/>
  <c r="V40" i="11"/>
  <c r="V193" i="11"/>
  <c r="U63" i="11"/>
  <c r="T58" i="11"/>
  <c r="W93" i="11"/>
  <c r="V124" i="11"/>
  <c r="V339" i="11"/>
  <c r="W269" i="11"/>
  <c r="S356" i="11"/>
  <c r="U259" i="11"/>
  <c r="S54" i="11"/>
  <c r="S218" i="11"/>
  <c r="T221" i="11"/>
  <c r="U235" i="11"/>
  <c r="S255" i="11"/>
  <c r="U349" i="11"/>
  <c r="U232" i="11"/>
  <c r="W340" i="11"/>
  <c r="W148" i="11"/>
  <c r="V222" i="11"/>
  <c r="V299" i="11"/>
  <c r="V354" i="11"/>
  <c r="T287" i="11"/>
  <c r="U310" i="11"/>
  <c r="U340" i="11"/>
  <c r="W157" i="11"/>
  <c r="U318" i="11"/>
  <c r="S85" i="11"/>
  <c r="U149" i="11"/>
  <c r="T33" i="11"/>
  <c r="U57" i="11"/>
  <c r="U139" i="11"/>
  <c r="U41" i="11"/>
  <c r="T128" i="11"/>
  <c r="S189" i="11"/>
  <c r="S118" i="11"/>
  <c r="S100" i="11"/>
  <c r="T36" i="11"/>
  <c r="W99" i="11"/>
  <c r="S33" i="11"/>
  <c r="V30" i="11"/>
  <c r="S57" i="11"/>
  <c r="T30" i="11"/>
  <c r="U85" i="11"/>
  <c r="W25" i="11"/>
  <c r="V145" i="11"/>
  <c r="U25" i="11"/>
  <c r="W168" i="11"/>
  <c r="S172" i="11"/>
  <c r="W129" i="11"/>
  <c r="U29" i="11"/>
  <c r="W56" i="11"/>
  <c r="W78" i="11"/>
  <c r="T174" i="11"/>
  <c r="T118" i="11"/>
  <c r="V32" i="11"/>
  <c r="V126" i="11"/>
  <c r="U132" i="11"/>
  <c r="U193" i="11"/>
  <c r="V360" i="11"/>
  <c r="V313" i="11"/>
  <c r="W21" i="11"/>
  <c r="T130" i="11"/>
  <c r="W69" i="11"/>
  <c r="T146" i="11"/>
  <c r="V188" i="11"/>
  <c r="V28" i="11"/>
  <c r="V110" i="11"/>
  <c r="V12" i="11"/>
  <c r="U99" i="11"/>
  <c r="T160" i="11"/>
  <c r="W153" i="11"/>
  <c r="V44" i="11"/>
  <c r="W76" i="11"/>
  <c r="U97" i="11"/>
  <c r="T179" i="11"/>
  <c r="S148" i="11"/>
  <c r="T28" i="11"/>
  <c r="V54" i="11"/>
  <c r="V56" i="11"/>
  <c r="V61" i="11"/>
  <c r="S67" i="11"/>
  <c r="W116" i="11"/>
  <c r="T53" i="11"/>
  <c r="S35" i="11"/>
  <c r="V26" i="11"/>
  <c r="S58" i="11"/>
  <c r="V116" i="11"/>
  <c r="T338" i="11"/>
  <c r="S272" i="11"/>
  <c r="U212" i="11"/>
  <c r="U86" i="11"/>
  <c r="S63" i="11"/>
  <c r="W184" i="11"/>
  <c r="V76" i="11"/>
  <c r="W135" i="11"/>
  <c r="U28" i="11"/>
  <c r="T151" i="11"/>
  <c r="S70" i="11"/>
  <c r="U118" i="11"/>
  <c r="V157" i="11"/>
  <c r="T96" i="11"/>
  <c r="W149" i="11"/>
  <c r="T19" i="11"/>
  <c r="V68" i="11"/>
  <c r="U150" i="11"/>
  <c r="T119" i="11"/>
  <c r="U174" i="11"/>
  <c r="W27" i="11"/>
  <c r="W136" i="11"/>
  <c r="W92" i="11"/>
  <c r="S23" i="11"/>
  <c r="V85" i="11"/>
  <c r="S79" i="11"/>
  <c r="V37" i="11"/>
  <c r="W126" i="11"/>
  <c r="W103" i="11"/>
  <c r="S117" i="11"/>
  <c r="V152" i="11"/>
  <c r="U76" i="11"/>
  <c r="V213" i="11"/>
  <c r="W325" i="11"/>
  <c r="U46" i="11"/>
  <c r="W59" i="11"/>
  <c r="U54" i="11"/>
  <c r="V202" i="11"/>
  <c r="T159" i="11"/>
  <c r="V18" i="11"/>
  <c r="T170" i="11"/>
  <c r="S77" i="11"/>
  <c r="S123" i="11"/>
  <c r="U49" i="11"/>
  <c r="V165" i="11"/>
  <c r="V34" i="11"/>
  <c r="W95" i="11"/>
  <c r="W39" i="11"/>
  <c r="V121" i="11"/>
  <c r="W200" i="11"/>
  <c r="U205" i="11"/>
  <c r="V163" i="11"/>
  <c r="V174" i="11"/>
  <c r="V200" i="11"/>
  <c r="S62" i="11"/>
  <c r="W140" i="11"/>
  <c r="S337" i="11"/>
  <c r="U222" i="11"/>
  <c r="U113" i="11"/>
  <c r="S134" i="11"/>
  <c r="U133" i="11"/>
  <c r="W173" i="11"/>
  <c r="U130" i="11"/>
  <c r="V169" i="11"/>
  <c r="U141" i="11"/>
  <c r="T48" i="11"/>
  <c r="T94" i="11"/>
  <c r="T239" i="11"/>
  <c r="S93" i="11"/>
  <c r="S153" i="11"/>
  <c r="W15" i="11"/>
  <c r="T124" i="11"/>
  <c r="S167" i="11"/>
  <c r="S143" i="11"/>
  <c r="T347" i="11"/>
  <c r="U59" i="11"/>
  <c r="W289" i="11"/>
  <c r="W71" i="11"/>
  <c r="U157" i="11"/>
  <c r="T251" i="11"/>
  <c r="V125" i="11"/>
  <c r="S20" i="11"/>
  <c r="W163" i="11"/>
  <c r="S131" i="11"/>
  <c r="T141" i="11"/>
  <c r="W88" i="11"/>
  <c r="V151" i="11"/>
  <c r="U123" i="11"/>
  <c r="V184" i="11"/>
  <c r="W24" i="11"/>
  <c r="W66" i="11"/>
  <c r="W152" i="11"/>
  <c r="S64" i="11"/>
  <c r="V176" i="11"/>
  <c r="S88" i="11"/>
  <c r="U114" i="11"/>
  <c r="V20" i="11"/>
  <c r="W147" i="11"/>
  <c r="S141" i="11"/>
  <c r="S119" i="11"/>
  <c r="W84" i="11"/>
  <c r="S28" i="11"/>
  <c r="U189" i="11"/>
  <c r="U145" i="11"/>
  <c r="T88" i="11"/>
  <c r="T39" i="11"/>
  <c r="W85" i="11"/>
  <c r="V362" i="11"/>
  <c r="S112" i="11"/>
  <c r="S232" i="11"/>
  <c r="V217" i="11"/>
  <c r="U58" i="11"/>
  <c r="V168" i="11"/>
  <c r="U192" i="11"/>
  <c r="S109" i="11"/>
  <c r="W169" i="11"/>
  <c r="W107" i="11"/>
  <c r="V158" i="11"/>
  <c r="W65" i="11"/>
  <c r="S127" i="11"/>
  <c r="V144" i="11"/>
  <c r="V210" i="11"/>
  <c r="T95" i="11"/>
  <c r="T150" i="11"/>
  <c r="T59" i="11"/>
  <c r="T18" i="11"/>
  <c r="V113" i="11"/>
  <c r="V155" i="11"/>
  <c r="S203" i="11"/>
  <c r="U170" i="11"/>
  <c r="T90" i="11"/>
  <c r="V102" i="11"/>
  <c r="T40" i="11"/>
  <c r="W36" i="11"/>
  <c r="W146" i="11"/>
  <c r="W87" i="11"/>
  <c r="S240" i="11"/>
  <c r="S51" i="11"/>
  <c r="S139" i="11"/>
  <c r="T101" i="11"/>
  <c r="W40" i="11"/>
  <c r="T80" i="11"/>
  <c r="V92" i="11"/>
  <c r="T210" i="11"/>
  <c r="S72" i="11"/>
  <c r="S81" i="11"/>
  <c r="V114" i="11"/>
  <c r="V142" i="11"/>
  <c r="V90" i="11"/>
  <c r="S238" i="11"/>
  <c r="S130" i="11"/>
  <c r="S19" i="11"/>
  <c r="S34" i="11"/>
  <c r="S163" i="11"/>
  <c r="U24" i="11"/>
  <c r="V19" i="11"/>
  <c r="T99" i="11"/>
  <c r="U126" i="11"/>
  <c r="S202" i="11"/>
  <c r="T184" i="11"/>
  <c r="V60" i="11"/>
  <c r="S16" i="11"/>
  <c r="S65" i="11"/>
  <c r="U351" i="11"/>
  <c r="U191" i="11"/>
  <c r="S178" i="11"/>
  <c r="S83" i="11"/>
  <c r="U181" i="11"/>
  <c r="W226" i="11"/>
  <c r="S45" i="11"/>
  <c r="W50" i="11"/>
  <c r="T100" i="11"/>
  <c r="U354" i="11"/>
  <c r="T43" i="11"/>
  <c r="U182" i="11"/>
  <c r="S75" i="11"/>
  <c r="T126" i="11"/>
  <c r="T52" i="11"/>
  <c r="V160" i="11"/>
  <c r="T180" i="11"/>
  <c r="U38" i="11"/>
  <c r="V16" i="11"/>
  <c r="T114" i="11"/>
  <c r="AG251" i="7"/>
  <c r="AG134" i="7"/>
  <c r="AG296" i="7"/>
  <c r="AG206" i="7"/>
  <c r="AG152" i="7"/>
  <c r="AG188" i="7"/>
  <c r="AG233" i="7"/>
  <c r="AG89" i="7"/>
  <c r="AG107" i="7"/>
  <c r="AG125" i="7"/>
  <c r="AG278" i="7"/>
  <c r="AG287" i="7"/>
  <c r="AG242" i="7"/>
  <c r="AG116" i="7"/>
  <c r="AG179" i="7"/>
  <c r="AG197" i="7"/>
  <c r="AG269" i="7"/>
  <c r="AG80" i="7"/>
  <c r="AG143" i="7"/>
  <c r="AG98" i="7"/>
  <c r="AG305" i="7"/>
  <c r="AG215" i="7"/>
  <c r="AG170" i="7"/>
  <c r="AG260" i="7"/>
  <c r="AG224" i="7"/>
  <c r="AN48" i="7"/>
  <c r="AN47" i="7"/>
  <c r="AN46" i="7"/>
  <c r="AN45" i="7"/>
  <c r="AN44" i="7"/>
  <c r="AN43" i="7"/>
  <c r="AN42" i="7"/>
  <c r="AN41" i="7"/>
  <c r="AG314" i="7" l="1"/>
  <c r="AG161" i="7"/>
  <c r="AG63" i="7"/>
  <c r="AG45" i="7"/>
  <c r="AG72" i="7"/>
  <c r="AG36" i="7"/>
  <c r="AE194" i="7"/>
  <c r="AG54" i="7"/>
  <c r="AG27" i="7"/>
  <c r="AG324" i="7"/>
  <c r="AG153" i="7"/>
  <c r="AG279" i="7"/>
  <c r="AG306" i="7"/>
  <c r="AG126" i="7"/>
  <c r="AG108" i="7"/>
  <c r="AG297" i="7"/>
  <c r="AG198" i="7"/>
  <c r="AG180" i="7"/>
  <c r="AG207" i="7"/>
  <c r="AG99" i="7"/>
  <c r="AG117" i="7"/>
  <c r="AG216" i="7"/>
  <c r="AG225" i="7"/>
  <c r="AG144" i="7"/>
  <c r="AG243" i="7"/>
  <c r="AG90" i="7"/>
  <c r="AG135" i="7"/>
  <c r="AG261" i="7"/>
  <c r="AG81" i="7"/>
  <c r="AG288" i="7"/>
  <c r="AG234" i="7"/>
  <c r="AG162" i="7"/>
  <c r="AG171" i="7"/>
  <c r="AG270" i="7"/>
  <c r="AG315" i="7"/>
  <c r="AG189" i="7"/>
  <c r="AG252" i="7"/>
  <c r="BE363" i="8"/>
  <c r="BD363" i="8"/>
  <c r="BC363" i="8"/>
  <c r="BB363" i="8"/>
  <c r="BA363" i="8"/>
  <c r="AH363" i="8"/>
  <c r="AG363" i="8"/>
  <c r="AF363" i="8"/>
  <c r="AE363" i="8"/>
  <c r="AD363" i="8"/>
  <c r="BE362" i="8"/>
  <c r="BD362" i="8"/>
  <c r="BC362" i="8"/>
  <c r="BB362" i="8"/>
  <c r="BA362" i="8"/>
  <c r="AH362" i="8"/>
  <c r="AG362" i="8"/>
  <c r="AF362" i="8"/>
  <c r="AE362" i="8"/>
  <c r="AD362" i="8"/>
  <c r="BE361" i="8"/>
  <c r="BD361" i="8"/>
  <c r="BC361" i="8"/>
  <c r="BB361" i="8"/>
  <c r="BA361" i="8"/>
  <c r="AH361" i="8"/>
  <c r="AG361" i="8"/>
  <c r="AF361" i="8"/>
  <c r="AE361" i="8"/>
  <c r="AD361" i="8"/>
  <c r="BE360" i="8"/>
  <c r="BD360" i="8"/>
  <c r="BC360" i="8"/>
  <c r="BB360" i="8"/>
  <c r="BA360" i="8"/>
  <c r="AH360" i="8"/>
  <c r="AG360" i="8"/>
  <c r="AF360" i="8"/>
  <c r="AE360" i="8"/>
  <c r="AD360" i="8"/>
  <c r="BE359" i="8"/>
  <c r="BD359" i="8"/>
  <c r="BC359" i="8"/>
  <c r="BB359" i="8"/>
  <c r="BA359" i="8"/>
  <c r="AH359" i="8"/>
  <c r="AG359" i="8"/>
  <c r="AF359" i="8"/>
  <c r="AE359" i="8"/>
  <c r="AD359" i="8"/>
  <c r="BE358" i="8"/>
  <c r="BD358" i="8"/>
  <c r="BC358" i="8"/>
  <c r="BB358" i="8"/>
  <c r="BA358" i="8"/>
  <c r="AH358" i="8"/>
  <c r="AG358" i="8"/>
  <c r="AF358" i="8"/>
  <c r="AE358" i="8"/>
  <c r="AD358" i="8"/>
  <c r="BE357" i="8"/>
  <c r="BD357" i="8"/>
  <c r="BC357" i="8"/>
  <c r="BB357" i="8"/>
  <c r="BA357" i="8"/>
  <c r="AH357" i="8"/>
  <c r="AG357" i="8"/>
  <c r="AF357" i="8"/>
  <c r="AE357" i="8"/>
  <c r="AD357" i="8"/>
  <c r="BE356" i="8"/>
  <c r="BD356" i="8"/>
  <c r="BC356" i="8"/>
  <c r="BB356" i="8"/>
  <c r="BA356" i="8"/>
  <c r="AH356" i="8"/>
  <c r="AG356" i="8"/>
  <c r="AF356" i="8"/>
  <c r="AE356" i="8"/>
  <c r="AD356" i="8"/>
  <c r="BE355" i="8"/>
  <c r="BD355" i="8"/>
  <c r="BC355" i="8"/>
  <c r="BB355" i="8"/>
  <c r="BA355" i="8"/>
  <c r="AH355" i="8"/>
  <c r="AG355" i="8"/>
  <c r="AF355" i="8"/>
  <c r="AE355" i="8"/>
  <c r="AD355" i="8"/>
  <c r="BE354" i="8"/>
  <c r="BD354" i="8"/>
  <c r="BC354" i="8"/>
  <c r="BB354" i="8"/>
  <c r="BA354" i="8"/>
  <c r="AH354" i="8"/>
  <c r="AG354" i="8"/>
  <c r="AF354" i="8"/>
  <c r="AE354" i="8"/>
  <c r="AD354" i="8"/>
  <c r="BE353" i="8"/>
  <c r="BD353" i="8"/>
  <c r="BC353" i="8"/>
  <c r="BB353" i="8"/>
  <c r="BA353" i="8"/>
  <c r="AH353" i="8"/>
  <c r="AG353" i="8"/>
  <c r="AF353" i="8"/>
  <c r="AE353" i="8"/>
  <c r="AD353" i="8"/>
  <c r="BE352" i="8"/>
  <c r="BD352" i="8"/>
  <c r="BC352" i="8"/>
  <c r="BB352" i="8"/>
  <c r="BA352" i="8"/>
  <c r="AH352" i="8"/>
  <c r="AG352" i="8"/>
  <c r="AF352" i="8"/>
  <c r="AE352" i="8"/>
  <c r="AD352" i="8"/>
  <c r="BE351" i="8"/>
  <c r="BD351" i="8"/>
  <c r="BC351" i="8"/>
  <c r="BB351" i="8"/>
  <c r="BA351" i="8"/>
  <c r="AH351" i="8"/>
  <c r="AG351" i="8"/>
  <c r="AF351" i="8"/>
  <c r="AE351" i="8"/>
  <c r="AD351" i="8"/>
  <c r="BE350" i="8"/>
  <c r="BD350" i="8"/>
  <c r="BC350" i="8"/>
  <c r="BB350" i="8"/>
  <c r="BA350" i="8"/>
  <c r="AH350" i="8"/>
  <c r="AG350" i="8"/>
  <c r="AF350" i="8"/>
  <c r="AE350" i="8"/>
  <c r="AD350" i="8"/>
  <c r="BE349" i="8"/>
  <c r="BD349" i="8"/>
  <c r="BC349" i="8"/>
  <c r="BB349" i="8"/>
  <c r="BA349" i="8"/>
  <c r="AH349" i="8"/>
  <c r="AG349" i="8"/>
  <c r="AF349" i="8"/>
  <c r="AE349" i="8"/>
  <c r="AD349" i="8"/>
  <c r="BE348" i="8"/>
  <c r="BD348" i="8"/>
  <c r="BC348" i="8"/>
  <c r="BB348" i="8"/>
  <c r="BA348" i="8"/>
  <c r="AH348" i="8"/>
  <c r="AG348" i="8"/>
  <c r="AF348" i="8"/>
  <c r="AE348" i="8"/>
  <c r="AD348" i="8"/>
  <c r="BE347" i="8"/>
  <c r="BD347" i="8"/>
  <c r="BC347" i="8"/>
  <c r="BB347" i="8"/>
  <c r="BA347" i="8"/>
  <c r="AH347" i="8"/>
  <c r="AG347" i="8"/>
  <c r="AF347" i="8"/>
  <c r="AE347" i="8"/>
  <c r="AD347" i="8"/>
  <c r="BE346" i="8"/>
  <c r="BD346" i="8"/>
  <c r="BC346" i="8"/>
  <c r="BB346" i="8"/>
  <c r="BA346" i="8"/>
  <c r="AH346" i="8"/>
  <c r="AG346" i="8"/>
  <c r="AF346" i="8"/>
  <c r="AE346" i="8"/>
  <c r="AD346" i="8"/>
  <c r="BE345" i="8"/>
  <c r="BD345" i="8"/>
  <c r="BC345" i="8"/>
  <c r="BB345" i="8"/>
  <c r="BA345" i="8"/>
  <c r="AH345" i="8"/>
  <c r="AG345" i="8"/>
  <c r="AF345" i="8"/>
  <c r="AE345" i="8"/>
  <c r="AD345" i="8"/>
  <c r="BE344" i="8"/>
  <c r="BD344" i="8"/>
  <c r="BC344" i="8"/>
  <c r="BB344" i="8"/>
  <c r="BA344" i="8"/>
  <c r="AH344" i="8"/>
  <c r="AG344" i="8"/>
  <c r="AF344" i="8"/>
  <c r="AE344" i="8"/>
  <c r="AD344" i="8"/>
  <c r="BE343" i="8"/>
  <c r="BD343" i="8"/>
  <c r="BC343" i="8"/>
  <c r="BB343" i="8"/>
  <c r="BA343" i="8"/>
  <c r="AH343" i="8"/>
  <c r="AG343" i="8"/>
  <c r="AF343" i="8"/>
  <c r="AE343" i="8"/>
  <c r="AD343" i="8"/>
  <c r="BE342" i="8"/>
  <c r="BD342" i="8"/>
  <c r="BC342" i="8"/>
  <c r="BB342" i="8"/>
  <c r="BA342" i="8"/>
  <c r="AH342" i="8"/>
  <c r="AG342" i="8"/>
  <c r="AF342" i="8"/>
  <c r="AE342" i="8"/>
  <c r="AD342" i="8"/>
  <c r="BE341" i="8"/>
  <c r="BD341" i="8"/>
  <c r="BC341" i="8"/>
  <c r="BB341" i="8"/>
  <c r="BA341" i="8"/>
  <c r="AH341" i="8"/>
  <c r="AG341" i="8"/>
  <c r="AF341" i="8"/>
  <c r="AE341" i="8"/>
  <c r="AD341" i="8"/>
  <c r="BE340" i="8"/>
  <c r="BD340" i="8"/>
  <c r="BC340" i="8"/>
  <c r="BB340" i="8"/>
  <c r="BA340" i="8"/>
  <c r="AH340" i="8"/>
  <c r="AG340" i="8"/>
  <c r="AF340" i="8"/>
  <c r="AE340" i="8"/>
  <c r="AD340" i="8"/>
  <c r="BE339" i="8"/>
  <c r="BD339" i="8"/>
  <c r="BC339" i="8"/>
  <c r="BB339" i="8"/>
  <c r="BA339" i="8"/>
  <c r="AH339" i="8"/>
  <c r="AG339" i="8"/>
  <c r="AF339" i="8"/>
  <c r="AE339" i="8"/>
  <c r="AD339" i="8"/>
  <c r="BE338" i="8"/>
  <c r="BD338" i="8"/>
  <c r="BC338" i="8"/>
  <c r="BB338" i="8"/>
  <c r="BA338" i="8"/>
  <c r="AH338" i="8"/>
  <c r="AG338" i="8"/>
  <c r="AF338" i="8"/>
  <c r="AE338" i="8"/>
  <c r="AD338" i="8"/>
  <c r="BE337" i="8"/>
  <c r="BD337" i="8"/>
  <c r="BC337" i="8"/>
  <c r="BB337" i="8"/>
  <c r="BA337" i="8"/>
  <c r="AH337" i="8"/>
  <c r="AG337" i="8"/>
  <c r="AF337" i="8"/>
  <c r="AE337" i="8"/>
  <c r="AD337" i="8"/>
  <c r="BE336" i="8"/>
  <c r="BD336" i="8"/>
  <c r="BC336" i="8"/>
  <c r="BB336" i="8"/>
  <c r="BA336" i="8"/>
  <c r="AH336" i="8"/>
  <c r="AG336" i="8"/>
  <c r="AF336" i="8"/>
  <c r="AE336" i="8"/>
  <c r="AD336" i="8"/>
  <c r="BE335" i="8"/>
  <c r="BD335" i="8"/>
  <c r="BC335" i="8"/>
  <c r="BB335" i="8"/>
  <c r="BA335" i="8"/>
  <c r="AH335" i="8"/>
  <c r="AG335" i="8"/>
  <c r="AF335" i="8"/>
  <c r="AE335" i="8"/>
  <c r="AD335" i="8"/>
  <c r="BE334" i="8"/>
  <c r="BD334" i="8"/>
  <c r="BC334" i="8"/>
  <c r="BB334" i="8"/>
  <c r="BA334" i="8"/>
  <c r="AH334" i="8"/>
  <c r="AG334" i="8"/>
  <c r="AF334" i="8"/>
  <c r="AE334" i="8"/>
  <c r="AD334" i="8"/>
  <c r="BE333" i="8"/>
  <c r="BD333" i="8"/>
  <c r="BC333" i="8"/>
  <c r="BB333" i="8"/>
  <c r="BA333" i="8"/>
  <c r="AH333" i="8"/>
  <c r="AG333" i="8"/>
  <c r="AF333" i="8"/>
  <c r="AE333" i="8"/>
  <c r="AD333" i="8"/>
  <c r="BE332" i="8"/>
  <c r="BD332" i="8"/>
  <c r="BC332" i="8"/>
  <c r="BB332" i="8"/>
  <c r="BA332" i="8"/>
  <c r="AH332" i="8"/>
  <c r="AG332" i="8"/>
  <c r="AF332" i="8"/>
  <c r="AE332" i="8"/>
  <c r="AD332" i="8"/>
  <c r="BE331" i="8"/>
  <c r="BD331" i="8"/>
  <c r="BC331" i="8"/>
  <c r="BB331" i="8"/>
  <c r="BA331" i="8"/>
  <c r="AH331" i="8"/>
  <c r="AG331" i="8"/>
  <c r="AF331" i="8"/>
  <c r="AE331" i="8"/>
  <c r="AD331" i="8"/>
  <c r="BE330" i="8"/>
  <c r="BD330" i="8"/>
  <c r="BC330" i="8"/>
  <c r="BB330" i="8"/>
  <c r="BA330" i="8"/>
  <c r="AH330" i="8"/>
  <c r="AG330" i="8"/>
  <c r="AF330" i="8"/>
  <c r="AE330" i="8"/>
  <c r="AD330" i="8"/>
  <c r="BE329" i="8"/>
  <c r="BD329" i="8"/>
  <c r="BC329" i="8"/>
  <c r="BB329" i="8"/>
  <c r="BA329" i="8"/>
  <c r="AH329" i="8"/>
  <c r="AG329" i="8"/>
  <c r="AF329" i="8"/>
  <c r="AE329" i="8"/>
  <c r="AD329" i="8"/>
  <c r="BE328" i="8"/>
  <c r="BD328" i="8"/>
  <c r="BC328" i="8"/>
  <c r="BB328" i="8"/>
  <c r="BA328" i="8"/>
  <c r="AH328" i="8"/>
  <c r="AG328" i="8"/>
  <c r="AF328" i="8"/>
  <c r="AE328" i="8"/>
  <c r="AD328" i="8"/>
  <c r="BE327" i="8"/>
  <c r="BD327" i="8"/>
  <c r="BC327" i="8"/>
  <c r="BB327" i="8"/>
  <c r="BA327" i="8"/>
  <c r="AH327" i="8"/>
  <c r="AG327" i="8"/>
  <c r="AF327" i="8"/>
  <c r="AE327" i="8"/>
  <c r="AD327" i="8"/>
  <c r="BE326" i="8"/>
  <c r="BD326" i="8"/>
  <c r="BC326" i="8"/>
  <c r="BB326" i="8"/>
  <c r="BA326" i="8"/>
  <c r="AH326" i="8"/>
  <c r="AG326" i="8"/>
  <c r="AF326" i="8"/>
  <c r="AE326" i="8"/>
  <c r="AD326" i="8"/>
  <c r="BE325" i="8"/>
  <c r="BD325" i="8"/>
  <c r="BC325" i="8"/>
  <c r="BB325" i="8"/>
  <c r="BA325" i="8"/>
  <c r="AH325" i="8"/>
  <c r="AG325" i="8"/>
  <c r="AF325" i="8"/>
  <c r="AE325" i="8"/>
  <c r="AD325" i="8"/>
  <c r="BE324" i="8"/>
  <c r="BD324" i="8"/>
  <c r="BC324" i="8"/>
  <c r="BB324" i="8"/>
  <c r="BA324" i="8"/>
  <c r="AH324" i="8"/>
  <c r="AG324" i="8"/>
  <c r="AF324" i="8"/>
  <c r="AE324" i="8"/>
  <c r="AD324" i="8"/>
  <c r="BE323" i="8"/>
  <c r="BD323" i="8"/>
  <c r="BC323" i="8"/>
  <c r="BB323" i="8"/>
  <c r="BA323" i="8"/>
  <c r="AH323" i="8"/>
  <c r="AG323" i="8"/>
  <c r="AF323" i="8"/>
  <c r="AE323" i="8"/>
  <c r="AD323" i="8"/>
  <c r="BE322" i="8"/>
  <c r="BD322" i="8"/>
  <c r="BC322" i="8"/>
  <c r="BB322" i="8"/>
  <c r="BA322" i="8"/>
  <c r="AH322" i="8"/>
  <c r="AG322" i="8"/>
  <c r="AF322" i="8"/>
  <c r="AE322" i="8"/>
  <c r="AD322" i="8"/>
  <c r="BE321" i="8"/>
  <c r="BD321" i="8"/>
  <c r="BC321" i="8"/>
  <c r="BB321" i="8"/>
  <c r="BA321" i="8"/>
  <c r="AH321" i="8"/>
  <c r="AG321" i="8"/>
  <c r="AF321" i="8"/>
  <c r="AE321" i="8"/>
  <c r="AD321" i="8"/>
  <c r="BE320" i="8"/>
  <c r="BD320" i="8"/>
  <c r="BC320" i="8"/>
  <c r="BB320" i="8"/>
  <c r="BA320" i="8"/>
  <c r="AH320" i="8"/>
  <c r="AG320" i="8"/>
  <c r="AF320" i="8"/>
  <c r="AE320" i="8"/>
  <c r="AD320" i="8"/>
  <c r="BE319" i="8"/>
  <c r="BD319" i="8"/>
  <c r="BC319" i="8"/>
  <c r="BB319" i="8"/>
  <c r="BA319" i="8"/>
  <c r="AH319" i="8"/>
  <c r="AG319" i="8"/>
  <c r="AF319" i="8"/>
  <c r="AE319" i="8"/>
  <c r="AD319" i="8"/>
  <c r="BE318" i="8"/>
  <c r="BD318" i="8"/>
  <c r="BC318" i="8"/>
  <c r="BB318" i="8"/>
  <c r="BA318" i="8"/>
  <c r="AH318" i="8"/>
  <c r="AG318" i="8"/>
  <c r="AF318" i="8"/>
  <c r="AE318" i="8"/>
  <c r="AD318" i="8"/>
  <c r="BE317" i="8"/>
  <c r="BD317" i="8"/>
  <c r="BC317" i="8"/>
  <c r="BB317" i="8"/>
  <c r="BA317" i="8"/>
  <c r="AH317" i="8"/>
  <c r="AG317" i="8"/>
  <c r="AF317" i="8"/>
  <c r="AE317" i="8"/>
  <c r="AD317" i="8"/>
  <c r="BE316" i="8"/>
  <c r="BD316" i="8"/>
  <c r="BC316" i="8"/>
  <c r="BB316" i="8"/>
  <c r="BA316" i="8"/>
  <c r="AH316" i="8"/>
  <c r="AG316" i="8"/>
  <c r="AF316" i="8"/>
  <c r="AE316" i="8"/>
  <c r="AD316" i="8"/>
  <c r="BE315" i="8"/>
  <c r="BD315" i="8"/>
  <c r="BC315" i="8"/>
  <c r="BB315" i="8"/>
  <c r="BA315" i="8"/>
  <c r="AH315" i="8"/>
  <c r="AG315" i="8"/>
  <c r="AF315" i="8"/>
  <c r="AE315" i="8"/>
  <c r="AD315" i="8"/>
  <c r="BE314" i="8"/>
  <c r="BD314" i="8"/>
  <c r="BC314" i="8"/>
  <c r="BB314" i="8"/>
  <c r="BA314" i="8"/>
  <c r="AH314" i="8"/>
  <c r="AG314" i="8"/>
  <c r="AF314" i="8"/>
  <c r="AE314" i="8"/>
  <c r="AD314" i="8"/>
  <c r="BE313" i="8"/>
  <c r="BD313" i="8"/>
  <c r="BC313" i="8"/>
  <c r="BB313" i="8"/>
  <c r="BA313" i="8"/>
  <c r="AH313" i="8"/>
  <c r="AG313" i="8"/>
  <c r="AF313" i="8"/>
  <c r="AE313" i="8"/>
  <c r="AD313" i="8"/>
  <c r="BE312" i="8"/>
  <c r="BD312" i="8"/>
  <c r="BC312" i="8"/>
  <c r="BB312" i="8"/>
  <c r="BA312" i="8"/>
  <c r="AH312" i="8"/>
  <c r="AG312" i="8"/>
  <c r="AF312" i="8"/>
  <c r="AE312" i="8"/>
  <c r="AD312" i="8"/>
  <c r="BE311" i="8"/>
  <c r="BD311" i="8"/>
  <c r="BC311" i="8"/>
  <c r="BB311" i="8"/>
  <c r="BA311" i="8"/>
  <c r="AH311" i="8"/>
  <c r="AG311" i="8"/>
  <c r="AF311" i="8"/>
  <c r="AE311" i="8"/>
  <c r="AD311" i="8"/>
  <c r="BE310" i="8"/>
  <c r="BD310" i="8"/>
  <c r="BC310" i="8"/>
  <c r="BB310" i="8"/>
  <c r="BA310" i="8"/>
  <c r="AH310" i="8"/>
  <c r="AG310" i="8"/>
  <c r="AF310" i="8"/>
  <c r="AE310" i="8"/>
  <c r="AD310" i="8"/>
  <c r="BE309" i="8"/>
  <c r="BD309" i="8"/>
  <c r="BC309" i="8"/>
  <c r="BB309" i="8"/>
  <c r="BA309" i="8"/>
  <c r="AH309" i="8"/>
  <c r="AG309" i="8"/>
  <c r="AF309" i="8"/>
  <c r="AE309" i="8"/>
  <c r="AD309" i="8"/>
  <c r="BE308" i="8"/>
  <c r="BD308" i="8"/>
  <c r="BC308" i="8"/>
  <c r="BB308" i="8"/>
  <c r="BA308" i="8"/>
  <c r="AH308" i="8"/>
  <c r="AG308" i="8"/>
  <c r="AF308" i="8"/>
  <c r="AE308" i="8"/>
  <c r="AD308" i="8"/>
  <c r="BE307" i="8"/>
  <c r="BD307" i="8"/>
  <c r="BC307" i="8"/>
  <c r="BB307" i="8"/>
  <c r="BA307" i="8"/>
  <c r="AH307" i="8"/>
  <c r="AG307" i="8"/>
  <c r="AF307" i="8"/>
  <c r="AE307" i="8"/>
  <c r="AD307" i="8"/>
  <c r="BE306" i="8"/>
  <c r="BD306" i="8"/>
  <c r="BC306" i="8"/>
  <c r="BB306" i="8"/>
  <c r="BA306" i="8"/>
  <c r="AH306" i="8"/>
  <c r="AG306" i="8"/>
  <c r="AF306" i="8"/>
  <c r="AE306" i="8"/>
  <c r="AD306" i="8"/>
  <c r="BE305" i="8"/>
  <c r="BD305" i="8"/>
  <c r="BC305" i="8"/>
  <c r="BB305" i="8"/>
  <c r="BA305" i="8"/>
  <c r="AH305" i="8"/>
  <c r="AG305" i="8"/>
  <c r="AF305" i="8"/>
  <c r="AE305" i="8"/>
  <c r="AD305" i="8"/>
  <c r="BE304" i="8"/>
  <c r="BD304" i="8"/>
  <c r="BC304" i="8"/>
  <c r="BB304" i="8"/>
  <c r="BA304" i="8"/>
  <c r="AH304" i="8"/>
  <c r="AG304" i="8"/>
  <c r="AF304" i="8"/>
  <c r="AE304" i="8"/>
  <c r="AD304" i="8"/>
  <c r="BE303" i="8"/>
  <c r="BD303" i="8"/>
  <c r="BC303" i="8"/>
  <c r="BB303" i="8"/>
  <c r="BA303" i="8"/>
  <c r="AH303" i="8"/>
  <c r="AG303" i="8"/>
  <c r="AF303" i="8"/>
  <c r="AE303" i="8"/>
  <c r="AD303" i="8"/>
  <c r="BE302" i="8"/>
  <c r="BD302" i="8"/>
  <c r="BC302" i="8"/>
  <c r="BB302" i="8"/>
  <c r="BA302" i="8"/>
  <c r="AH302" i="8"/>
  <c r="AG302" i="8"/>
  <c r="AF302" i="8"/>
  <c r="AE302" i="8"/>
  <c r="AD302" i="8"/>
  <c r="BE301" i="8"/>
  <c r="BD301" i="8"/>
  <c r="BC301" i="8"/>
  <c r="BB301" i="8"/>
  <c r="BA301" i="8"/>
  <c r="AH301" i="8"/>
  <c r="AG301" i="8"/>
  <c r="AF301" i="8"/>
  <c r="AE301" i="8"/>
  <c r="AD301" i="8"/>
  <c r="BE300" i="8"/>
  <c r="BD300" i="8"/>
  <c r="BC300" i="8"/>
  <c r="BB300" i="8"/>
  <c r="BA300" i="8"/>
  <c r="AH300" i="8"/>
  <c r="AG300" i="8"/>
  <c r="AF300" i="8"/>
  <c r="AE300" i="8"/>
  <c r="AD300" i="8"/>
  <c r="BE299" i="8"/>
  <c r="BD299" i="8"/>
  <c r="BC299" i="8"/>
  <c r="BB299" i="8"/>
  <c r="BA299" i="8"/>
  <c r="AH299" i="8"/>
  <c r="AG299" i="8"/>
  <c r="AF299" i="8"/>
  <c r="AE299" i="8"/>
  <c r="AD299" i="8"/>
  <c r="BE298" i="8"/>
  <c r="BD298" i="8"/>
  <c r="BC298" i="8"/>
  <c r="BB298" i="8"/>
  <c r="BA298" i="8"/>
  <c r="AH298" i="8"/>
  <c r="AG298" i="8"/>
  <c r="AF298" i="8"/>
  <c r="AE298" i="8"/>
  <c r="AD298" i="8"/>
  <c r="BE297" i="8"/>
  <c r="BD297" i="8"/>
  <c r="BC297" i="8"/>
  <c r="BB297" i="8"/>
  <c r="BA297" i="8"/>
  <c r="AH297" i="8"/>
  <c r="AG297" i="8"/>
  <c r="AF297" i="8"/>
  <c r="AE297" i="8"/>
  <c r="AD297" i="8"/>
  <c r="BE296" i="8"/>
  <c r="BD296" i="8"/>
  <c r="BC296" i="8"/>
  <c r="BB296" i="8"/>
  <c r="BA296" i="8"/>
  <c r="AH296" i="8"/>
  <c r="AG296" i="8"/>
  <c r="AF296" i="8"/>
  <c r="AE296" i="8"/>
  <c r="AD296" i="8"/>
  <c r="BE295" i="8"/>
  <c r="BD295" i="8"/>
  <c r="BC295" i="8"/>
  <c r="BB295" i="8"/>
  <c r="BA295" i="8"/>
  <c r="AH295" i="8"/>
  <c r="AG295" i="8"/>
  <c r="AF295" i="8"/>
  <c r="AE295" i="8"/>
  <c r="AD295" i="8"/>
  <c r="BE294" i="8"/>
  <c r="BD294" i="8"/>
  <c r="BC294" i="8"/>
  <c r="BB294" i="8"/>
  <c r="BA294" i="8"/>
  <c r="AH294" i="8"/>
  <c r="AG294" i="8"/>
  <c r="AF294" i="8"/>
  <c r="AE294" i="8"/>
  <c r="AD294" i="8"/>
  <c r="BE293" i="8"/>
  <c r="BD293" i="8"/>
  <c r="BC293" i="8"/>
  <c r="BB293" i="8"/>
  <c r="BA293" i="8"/>
  <c r="AH293" i="8"/>
  <c r="AG293" i="8"/>
  <c r="AF293" i="8"/>
  <c r="AE293" i="8"/>
  <c r="AD293" i="8"/>
  <c r="BE292" i="8"/>
  <c r="BD292" i="8"/>
  <c r="BC292" i="8"/>
  <c r="BB292" i="8"/>
  <c r="BA292" i="8"/>
  <c r="AH292" i="8"/>
  <c r="AG292" i="8"/>
  <c r="AF292" i="8"/>
  <c r="AE292" i="8"/>
  <c r="AD292" i="8"/>
  <c r="BE291" i="8"/>
  <c r="BD291" i="8"/>
  <c r="BC291" i="8"/>
  <c r="BB291" i="8"/>
  <c r="BA291" i="8"/>
  <c r="AH291" i="8"/>
  <c r="AG291" i="8"/>
  <c r="AF291" i="8"/>
  <c r="AE291" i="8"/>
  <c r="AD291" i="8"/>
  <c r="BE290" i="8"/>
  <c r="BD290" i="8"/>
  <c r="BC290" i="8"/>
  <c r="BB290" i="8"/>
  <c r="BA290" i="8"/>
  <c r="AH290" i="8"/>
  <c r="AG290" i="8"/>
  <c r="AF290" i="8"/>
  <c r="AE290" i="8"/>
  <c r="AD290" i="8"/>
  <c r="BE289" i="8"/>
  <c r="BD289" i="8"/>
  <c r="BC289" i="8"/>
  <c r="BB289" i="8"/>
  <c r="BA289" i="8"/>
  <c r="AH289" i="8"/>
  <c r="AG289" i="8"/>
  <c r="AF289" i="8"/>
  <c r="AE289" i="8"/>
  <c r="AD289" i="8"/>
  <c r="BE288" i="8"/>
  <c r="BD288" i="8"/>
  <c r="BC288" i="8"/>
  <c r="BB288" i="8"/>
  <c r="BA288" i="8"/>
  <c r="AH288" i="8"/>
  <c r="AG288" i="8"/>
  <c r="AF288" i="8"/>
  <c r="AE288" i="8"/>
  <c r="AD288" i="8"/>
  <c r="BE287" i="8"/>
  <c r="BD287" i="8"/>
  <c r="BC287" i="8"/>
  <c r="BB287" i="8"/>
  <c r="BA287" i="8"/>
  <c r="AH287" i="8"/>
  <c r="AG287" i="8"/>
  <c r="AF287" i="8"/>
  <c r="AE287" i="8"/>
  <c r="AD287" i="8"/>
  <c r="BE286" i="8"/>
  <c r="BD286" i="8"/>
  <c r="BC286" i="8"/>
  <c r="BB286" i="8"/>
  <c r="BA286" i="8"/>
  <c r="AH286" i="8"/>
  <c r="AG286" i="8"/>
  <c r="AF286" i="8"/>
  <c r="AE286" i="8"/>
  <c r="AD286" i="8"/>
  <c r="BE285" i="8"/>
  <c r="BD285" i="8"/>
  <c r="BC285" i="8"/>
  <c r="BB285" i="8"/>
  <c r="BA285" i="8"/>
  <c r="AH285" i="8"/>
  <c r="AG285" i="8"/>
  <c r="AF285" i="8"/>
  <c r="AE285" i="8"/>
  <c r="AD285" i="8"/>
  <c r="BE284" i="8"/>
  <c r="BD284" i="8"/>
  <c r="BC284" i="8"/>
  <c r="BB284" i="8"/>
  <c r="BA284" i="8"/>
  <c r="AH284" i="8"/>
  <c r="AG284" i="8"/>
  <c r="AF284" i="8"/>
  <c r="AE284" i="8"/>
  <c r="AD284" i="8"/>
  <c r="BE283" i="8"/>
  <c r="BD283" i="8"/>
  <c r="BC283" i="8"/>
  <c r="BB283" i="8"/>
  <c r="BA283" i="8"/>
  <c r="AH283" i="8"/>
  <c r="AG283" i="8"/>
  <c r="AF283" i="8"/>
  <c r="AE283" i="8"/>
  <c r="AD283" i="8"/>
  <c r="BE282" i="8"/>
  <c r="BD282" i="8"/>
  <c r="BC282" i="8"/>
  <c r="BB282" i="8"/>
  <c r="BA282" i="8"/>
  <c r="AH282" i="8"/>
  <c r="AG282" i="8"/>
  <c r="AF282" i="8"/>
  <c r="AE282" i="8"/>
  <c r="AD282" i="8"/>
  <c r="BE281" i="8"/>
  <c r="BD281" i="8"/>
  <c r="BC281" i="8"/>
  <c r="BB281" i="8"/>
  <c r="BA281" i="8"/>
  <c r="AH281" i="8"/>
  <c r="AG281" i="8"/>
  <c r="AF281" i="8"/>
  <c r="AE281" i="8"/>
  <c r="AD281" i="8"/>
  <c r="BE280" i="8"/>
  <c r="BD280" i="8"/>
  <c r="BC280" i="8"/>
  <c r="BB280" i="8"/>
  <c r="BA280" i="8"/>
  <c r="AH280" i="8"/>
  <c r="AG280" i="8"/>
  <c r="AF280" i="8"/>
  <c r="AE280" i="8"/>
  <c r="AD280" i="8"/>
  <c r="BE279" i="8"/>
  <c r="BD279" i="8"/>
  <c r="BC279" i="8"/>
  <c r="BB279" i="8"/>
  <c r="BA279" i="8"/>
  <c r="AH279" i="8"/>
  <c r="AG279" i="8"/>
  <c r="AF279" i="8"/>
  <c r="AE279" i="8"/>
  <c r="AD279" i="8"/>
  <c r="BE278" i="8"/>
  <c r="BD278" i="8"/>
  <c r="BC278" i="8"/>
  <c r="BB278" i="8"/>
  <c r="BA278" i="8"/>
  <c r="AH278" i="8"/>
  <c r="AG278" i="8"/>
  <c r="AF278" i="8"/>
  <c r="AE278" i="8"/>
  <c r="AD278" i="8"/>
  <c r="BE277" i="8"/>
  <c r="BD277" i="8"/>
  <c r="BC277" i="8"/>
  <c r="BB277" i="8"/>
  <c r="BA277" i="8"/>
  <c r="AH277" i="8"/>
  <c r="AG277" i="8"/>
  <c r="AF277" i="8"/>
  <c r="AE277" i="8"/>
  <c r="AD277" i="8"/>
  <c r="BE276" i="8"/>
  <c r="BD276" i="8"/>
  <c r="BC276" i="8"/>
  <c r="BB276" i="8"/>
  <c r="BA276" i="8"/>
  <c r="AH276" i="8"/>
  <c r="AG276" i="8"/>
  <c r="AF276" i="8"/>
  <c r="AE276" i="8"/>
  <c r="AD276" i="8"/>
  <c r="BE275" i="8"/>
  <c r="BD275" i="8"/>
  <c r="BC275" i="8"/>
  <c r="BB275" i="8"/>
  <c r="BA275" i="8"/>
  <c r="AH275" i="8"/>
  <c r="AG275" i="8"/>
  <c r="AF275" i="8"/>
  <c r="AE275" i="8"/>
  <c r="AD275" i="8"/>
  <c r="BE274" i="8"/>
  <c r="BD274" i="8"/>
  <c r="BC274" i="8"/>
  <c r="BB274" i="8"/>
  <c r="BA274" i="8"/>
  <c r="AH274" i="8"/>
  <c r="AG274" i="8"/>
  <c r="AF274" i="8"/>
  <c r="AE274" i="8"/>
  <c r="AD274" i="8"/>
  <c r="BE273" i="8"/>
  <c r="BD273" i="8"/>
  <c r="BC273" i="8"/>
  <c r="BB273" i="8"/>
  <c r="BA273" i="8"/>
  <c r="AH273" i="8"/>
  <c r="AG273" i="8"/>
  <c r="AF273" i="8"/>
  <c r="AE273" i="8"/>
  <c r="AD273" i="8"/>
  <c r="BE272" i="8"/>
  <c r="BD272" i="8"/>
  <c r="BC272" i="8"/>
  <c r="BB272" i="8"/>
  <c r="BA272" i="8"/>
  <c r="AH272" i="8"/>
  <c r="AG272" i="8"/>
  <c r="AF272" i="8"/>
  <c r="AE272" i="8"/>
  <c r="AD272" i="8"/>
  <c r="BE271" i="8"/>
  <c r="BD271" i="8"/>
  <c r="BC271" i="8"/>
  <c r="BB271" i="8"/>
  <c r="BA271" i="8"/>
  <c r="AH271" i="8"/>
  <c r="AG271" i="8"/>
  <c r="AF271" i="8"/>
  <c r="AE271" i="8"/>
  <c r="AD271" i="8"/>
  <c r="BE270" i="8"/>
  <c r="BD270" i="8"/>
  <c r="BC270" i="8"/>
  <c r="BB270" i="8"/>
  <c r="BA270" i="8"/>
  <c r="AH270" i="8"/>
  <c r="AG270" i="8"/>
  <c r="AF270" i="8"/>
  <c r="AE270" i="8"/>
  <c r="AD270" i="8"/>
  <c r="BE269" i="8"/>
  <c r="BD269" i="8"/>
  <c r="BC269" i="8"/>
  <c r="BB269" i="8"/>
  <c r="BA269" i="8"/>
  <c r="AH269" i="8"/>
  <c r="AG269" i="8"/>
  <c r="AF269" i="8"/>
  <c r="AE269" i="8"/>
  <c r="AD269" i="8"/>
  <c r="BE268" i="8"/>
  <c r="BD268" i="8"/>
  <c r="BC268" i="8"/>
  <c r="BB268" i="8"/>
  <c r="BA268" i="8"/>
  <c r="AH268" i="8"/>
  <c r="AG268" i="8"/>
  <c r="AF268" i="8"/>
  <c r="AE268" i="8"/>
  <c r="AD268" i="8"/>
  <c r="BE267" i="8"/>
  <c r="BD267" i="8"/>
  <c r="BC267" i="8"/>
  <c r="BB267" i="8"/>
  <c r="BA267" i="8"/>
  <c r="AH267" i="8"/>
  <c r="AG267" i="8"/>
  <c r="AF267" i="8"/>
  <c r="AE267" i="8"/>
  <c r="AD267" i="8"/>
  <c r="BE266" i="8"/>
  <c r="BD266" i="8"/>
  <c r="BC266" i="8"/>
  <c r="BB266" i="8"/>
  <c r="BA266" i="8"/>
  <c r="AH266" i="8"/>
  <c r="AG266" i="8"/>
  <c r="AF266" i="8"/>
  <c r="AE266" i="8"/>
  <c r="AD266" i="8"/>
  <c r="BE265" i="8"/>
  <c r="BD265" i="8"/>
  <c r="BC265" i="8"/>
  <c r="BB265" i="8"/>
  <c r="BA265" i="8"/>
  <c r="AH265" i="8"/>
  <c r="AG265" i="8"/>
  <c r="AF265" i="8"/>
  <c r="AE265" i="8"/>
  <c r="AD265" i="8"/>
  <c r="BE264" i="8"/>
  <c r="BD264" i="8"/>
  <c r="BC264" i="8"/>
  <c r="BB264" i="8"/>
  <c r="BA264" i="8"/>
  <c r="AH264" i="8"/>
  <c r="AG264" i="8"/>
  <c r="AF264" i="8"/>
  <c r="AE264" i="8"/>
  <c r="AD264" i="8"/>
  <c r="BE263" i="8"/>
  <c r="BD263" i="8"/>
  <c r="BC263" i="8"/>
  <c r="BB263" i="8"/>
  <c r="BA263" i="8"/>
  <c r="AH263" i="8"/>
  <c r="AG263" i="8"/>
  <c r="AF263" i="8"/>
  <c r="AE263" i="8"/>
  <c r="AD263" i="8"/>
  <c r="BE262" i="8"/>
  <c r="BD262" i="8"/>
  <c r="BC262" i="8"/>
  <c r="BB262" i="8"/>
  <c r="BA262" i="8"/>
  <c r="AH262" i="8"/>
  <c r="AG262" i="8"/>
  <c r="AF262" i="8"/>
  <c r="AE262" i="8"/>
  <c r="AD262" i="8"/>
  <c r="BE261" i="8"/>
  <c r="BD261" i="8"/>
  <c r="BC261" i="8"/>
  <c r="BB261" i="8"/>
  <c r="BA261" i="8"/>
  <c r="AH261" i="8"/>
  <c r="AG261" i="8"/>
  <c r="AF261" i="8"/>
  <c r="AE261" i="8"/>
  <c r="AD261" i="8"/>
  <c r="BE260" i="8"/>
  <c r="BD260" i="8"/>
  <c r="BC260" i="8"/>
  <c r="BB260" i="8"/>
  <c r="BA260" i="8"/>
  <c r="AH260" i="8"/>
  <c r="AG260" i="8"/>
  <c r="AF260" i="8"/>
  <c r="AE260" i="8"/>
  <c r="AD260" i="8"/>
  <c r="BE259" i="8"/>
  <c r="BD259" i="8"/>
  <c r="BC259" i="8"/>
  <c r="BB259" i="8"/>
  <c r="BA259" i="8"/>
  <c r="AH259" i="8"/>
  <c r="AG259" i="8"/>
  <c r="AF259" i="8"/>
  <c r="AE259" i="8"/>
  <c r="AD259" i="8"/>
  <c r="BE258" i="8"/>
  <c r="BD258" i="8"/>
  <c r="BC258" i="8"/>
  <c r="BB258" i="8"/>
  <c r="BA258" i="8"/>
  <c r="AH258" i="8"/>
  <c r="AG258" i="8"/>
  <c r="AF258" i="8"/>
  <c r="AE258" i="8"/>
  <c r="AD258" i="8"/>
  <c r="BE257" i="8"/>
  <c r="BD257" i="8"/>
  <c r="BC257" i="8"/>
  <c r="BB257" i="8"/>
  <c r="BA257" i="8"/>
  <c r="AH257" i="8"/>
  <c r="AG257" i="8"/>
  <c r="AF257" i="8"/>
  <c r="AE257" i="8"/>
  <c r="AD257" i="8"/>
  <c r="BE256" i="8"/>
  <c r="BD256" i="8"/>
  <c r="BC256" i="8"/>
  <c r="BB256" i="8"/>
  <c r="BA256" i="8"/>
  <c r="AH256" i="8"/>
  <c r="AG256" i="8"/>
  <c r="AF256" i="8"/>
  <c r="AE256" i="8"/>
  <c r="AD256" i="8"/>
  <c r="BE255" i="8"/>
  <c r="BD255" i="8"/>
  <c r="BC255" i="8"/>
  <c r="BB255" i="8"/>
  <c r="BA255" i="8"/>
  <c r="AH255" i="8"/>
  <c r="AG255" i="8"/>
  <c r="AF255" i="8"/>
  <c r="AE255" i="8"/>
  <c r="AD255" i="8"/>
  <c r="BE254" i="8"/>
  <c r="BD254" i="8"/>
  <c r="BC254" i="8"/>
  <c r="BB254" i="8"/>
  <c r="BA254" i="8"/>
  <c r="AH254" i="8"/>
  <c r="AG254" i="8"/>
  <c r="AF254" i="8"/>
  <c r="AE254" i="8"/>
  <c r="AD254" i="8"/>
  <c r="BE253" i="8"/>
  <c r="BD253" i="8"/>
  <c r="BC253" i="8"/>
  <c r="BB253" i="8"/>
  <c r="BA253" i="8"/>
  <c r="AH253" i="8"/>
  <c r="AG253" i="8"/>
  <c r="AF253" i="8"/>
  <c r="AE253" i="8"/>
  <c r="AD253" i="8"/>
  <c r="BE252" i="8"/>
  <c r="BD252" i="8"/>
  <c r="BC252" i="8"/>
  <c r="BB252" i="8"/>
  <c r="BA252" i="8"/>
  <c r="AH252" i="8"/>
  <c r="AG252" i="8"/>
  <c r="AF252" i="8"/>
  <c r="AE252" i="8"/>
  <c r="AD252" i="8"/>
  <c r="BE251" i="8"/>
  <c r="BD251" i="8"/>
  <c r="BC251" i="8"/>
  <c r="BB251" i="8"/>
  <c r="BA251" i="8"/>
  <c r="AH251" i="8"/>
  <c r="AG251" i="8"/>
  <c r="AF251" i="8"/>
  <c r="AE251" i="8"/>
  <c r="AD251" i="8"/>
  <c r="BE250" i="8"/>
  <c r="BD250" i="8"/>
  <c r="BC250" i="8"/>
  <c r="BB250" i="8"/>
  <c r="BA250" i="8"/>
  <c r="AH250" i="8"/>
  <c r="AG250" i="8"/>
  <c r="AF250" i="8"/>
  <c r="AE250" i="8"/>
  <c r="AD250" i="8"/>
  <c r="BE249" i="8"/>
  <c r="BD249" i="8"/>
  <c r="BC249" i="8"/>
  <c r="BB249" i="8"/>
  <c r="BA249" i="8"/>
  <c r="AH249" i="8"/>
  <c r="AG249" i="8"/>
  <c r="AF249" i="8"/>
  <c r="AE249" i="8"/>
  <c r="AD249" i="8"/>
  <c r="BE248" i="8"/>
  <c r="BD248" i="8"/>
  <c r="BC248" i="8"/>
  <c r="BB248" i="8"/>
  <c r="BA248" i="8"/>
  <c r="AH248" i="8"/>
  <c r="AG248" i="8"/>
  <c r="AF248" i="8"/>
  <c r="AE248" i="8"/>
  <c r="AD248" i="8"/>
  <c r="BE247" i="8"/>
  <c r="BD247" i="8"/>
  <c r="BC247" i="8"/>
  <c r="BB247" i="8"/>
  <c r="BA247" i="8"/>
  <c r="AH247" i="8"/>
  <c r="AG247" i="8"/>
  <c r="AF247" i="8"/>
  <c r="AE247" i="8"/>
  <c r="AD247" i="8"/>
  <c r="BE246" i="8"/>
  <c r="BD246" i="8"/>
  <c r="BC246" i="8"/>
  <c r="BB246" i="8"/>
  <c r="BA246" i="8"/>
  <c r="AH246" i="8"/>
  <c r="AG246" i="8"/>
  <c r="AF246" i="8"/>
  <c r="AE246" i="8"/>
  <c r="AD246" i="8"/>
  <c r="BE245" i="8"/>
  <c r="BD245" i="8"/>
  <c r="BC245" i="8"/>
  <c r="BB245" i="8"/>
  <c r="BA245" i="8"/>
  <c r="AH245" i="8"/>
  <c r="AG245" i="8"/>
  <c r="AF245" i="8"/>
  <c r="AE245" i="8"/>
  <c r="AD245" i="8"/>
  <c r="BE244" i="8"/>
  <c r="BD244" i="8"/>
  <c r="BC244" i="8"/>
  <c r="BB244" i="8"/>
  <c r="BA244" i="8"/>
  <c r="AH244" i="8"/>
  <c r="AG244" i="8"/>
  <c r="AF244" i="8"/>
  <c r="AE244" i="8"/>
  <c r="AD244" i="8"/>
  <c r="BE243" i="8"/>
  <c r="BD243" i="8"/>
  <c r="BC243" i="8"/>
  <c r="BB243" i="8"/>
  <c r="BA243" i="8"/>
  <c r="AH243" i="8"/>
  <c r="AG243" i="8"/>
  <c r="AF243" i="8"/>
  <c r="AE243" i="8"/>
  <c r="AD243" i="8"/>
  <c r="BE242" i="8"/>
  <c r="BD242" i="8"/>
  <c r="BC242" i="8"/>
  <c r="BB242" i="8"/>
  <c r="BA242" i="8"/>
  <c r="AH242" i="8"/>
  <c r="AG242" i="8"/>
  <c r="AF242" i="8"/>
  <c r="AE242" i="8"/>
  <c r="AD242" i="8"/>
  <c r="BE241" i="8"/>
  <c r="BD241" i="8"/>
  <c r="BC241" i="8"/>
  <c r="BB241" i="8"/>
  <c r="BA241" i="8"/>
  <c r="AH241" i="8"/>
  <c r="AG241" i="8"/>
  <c r="AF241" i="8"/>
  <c r="AE241" i="8"/>
  <c r="AD241" i="8"/>
  <c r="BE240" i="8"/>
  <c r="BD240" i="8"/>
  <c r="BC240" i="8"/>
  <c r="BB240" i="8"/>
  <c r="BA240" i="8"/>
  <c r="AH240" i="8"/>
  <c r="AG240" i="8"/>
  <c r="AF240" i="8"/>
  <c r="AE240" i="8"/>
  <c r="AD240" i="8"/>
  <c r="BE239" i="8"/>
  <c r="BD239" i="8"/>
  <c r="BC239" i="8"/>
  <c r="BB239" i="8"/>
  <c r="BA239" i="8"/>
  <c r="AH239" i="8"/>
  <c r="AG239" i="8"/>
  <c r="AF239" i="8"/>
  <c r="AE239" i="8"/>
  <c r="AD239" i="8"/>
  <c r="BE238" i="8"/>
  <c r="BD238" i="8"/>
  <c r="BC238" i="8"/>
  <c r="BB238" i="8"/>
  <c r="BA238" i="8"/>
  <c r="AH238" i="8"/>
  <c r="AG238" i="8"/>
  <c r="AF238" i="8"/>
  <c r="AE238" i="8"/>
  <c r="AD238" i="8"/>
  <c r="BE237" i="8"/>
  <c r="BD237" i="8"/>
  <c r="BC237" i="8"/>
  <c r="BB237" i="8"/>
  <c r="BA237" i="8"/>
  <c r="AH237" i="8"/>
  <c r="AG237" i="8"/>
  <c r="AF237" i="8"/>
  <c r="AE237" i="8"/>
  <c r="AD237" i="8"/>
  <c r="BE236" i="8"/>
  <c r="BD236" i="8"/>
  <c r="BC236" i="8"/>
  <c r="BB236" i="8"/>
  <c r="BA236" i="8"/>
  <c r="AH236" i="8"/>
  <c r="AG236" i="8"/>
  <c r="AF236" i="8"/>
  <c r="AE236" i="8"/>
  <c r="AD236" i="8"/>
  <c r="BE235" i="8"/>
  <c r="BD235" i="8"/>
  <c r="BC235" i="8"/>
  <c r="BB235" i="8"/>
  <c r="BA235" i="8"/>
  <c r="AH235" i="8"/>
  <c r="AG235" i="8"/>
  <c r="AF235" i="8"/>
  <c r="AE235" i="8"/>
  <c r="AD235" i="8"/>
  <c r="BE234" i="8"/>
  <c r="BD234" i="8"/>
  <c r="BC234" i="8"/>
  <c r="BB234" i="8"/>
  <c r="BA234" i="8"/>
  <c r="AH234" i="8"/>
  <c r="AG234" i="8"/>
  <c r="AF234" i="8"/>
  <c r="AE234" i="8"/>
  <c r="AD234" i="8"/>
  <c r="BE233" i="8"/>
  <c r="BD233" i="8"/>
  <c r="BC233" i="8"/>
  <c r="BB233" i="8"/>
  <c r="BA233" i="8"/>
  <c r="AH233" i="8"/>
  <c r="AG233" i="8"/>
  <c r="AF233" i="8"/>
  <c r="AE233" i="8"/>
  <c r="AD233" i="8"/>
  <c r="BE232" i="8"/>
  <c r="BD232" i="8"/>
  <c r="BC232" i="8"/>
  <c r="BB232" i="8"/>
  <c r="BA232" i="8"/>
  <c r="AH232" i="8"/>
  <c r="AG232" i="8"/>
  <c r="AF232" i="8"/>
  <c r="AE232" i="8"/>
  <c r="AD232" i="8"/>
  <c r="BE231" i="8"/>
  <c r="BD231" i="8"/>
  <c r="BC231" i="8"/>
  <c r="BB231" i="8"/>
  <c r="BA231" i="8"/>
  <c r="AH231" i="8"/>
  <c r="AG231" i="8"/>
  <c r="AF231" i="8"/>
  <c r="AE231" i="8"/>
  <c r="AD231" i="8"/>
  <c r="BE230" i="8"/>
  <c r="BD230" i="8"/>
  <c r="BC230" i="8"/>
  <c r="BB230" i="8"/>
  <c r="BA230" i="8"/>
  <c r="AH230" i="8"/>
  <c r="AG230" i="8"/>
  <c r="AF230" i="8"/>
  <c r="AE230" i="8"/>
  <c r="AD230" i="8"/>
  <c r="BE229" i="8"/>
  <c r="BD229" i="8"/>
  <c r="BC229" i="8"/>
  <c r="BB229" i="8"/>
  <c r="BA229" i="8"/>
  <c r="AH229" i="8"/>
  <c r="AG229" i="8"/>
  <c r="AF229" i="8"/>
  <c r="AE229" i="8"/>
  <c r="AD229" i="8"/>
  <c r="BE228" i="8"/>
  <c r="BD228" i="8"/>
  <c r="BC228" i="8"/>
  <c r="BB228" i="8"/>
  <c r="BA228" i="8"/>
  <c r="AH228" i="8"/>
  <c r="AG228" i="8"/>
  <c r="AF228" i="8"/>
  <c r="AE228" i="8"/>
  <c r="AD228" i="8"/>
  <c r="BE227" i="8"/>
  <c r="BD227" i="8"/>
  <c r="BC227" i="8"/>
  <c r="BB227" i="8"/>
  <c r="BA227" i="8"/>
  <c r="AH227" i="8"/>
  <c r="AG227" i="8"/>
  <c r="AF227" i="8"/>
  <c r="AE227" i="8"/>
  <c r="AD227" i="8"/>
  <c r="BE226" i="8"/>
  <c r="BD226" i="8"/>
  <c r="BC226" i="8"/>
  <c r="BB226" i="8"/>
  <c r="BA226" i="8"/>
  <c r="AH226" i="8"/>
  <c r="AG226" i="8"/>
  <c r="AF226" i="8"/>
  <c r="AE226" i="8"/>
  <c r="AD226" i="8"/>
  <c r="BE225" i="8"/>
  <c r="BD225" i="8"/>
  <c r="BC225" i="8"/>
  <c r="BB225" i="8"/>
  <c r="BA225" i="8"/>
  <c r="AH225" i="8"/>
  <c r="AG225" i="8"/>
  <c r="AF225" i="8"/>
  <c r="AE225" i="8"/>
  <c r="AD225" i="8"/>
  <c r="BE224" i="8"/>
  <c r="BD224" i="8"/>
  <c r="BC224" i="8"/>
  <c r="BB224" i="8"/>
  <c r="BA224" i="8"/>
  <c r="AH224" i="8"/>
  <c r="AG224" i="8"/>
  <c r="AF224" i="8"/>
  <c r="AE224" i="8"/>
  <c r="AD224" i="8"/>
  <c r="BE223" i="8"/>
  <c r="BD223" i="8"/>
  <c r="BC223" i="8"/>
  <c r="BB223" i="8"/>
  <c r="BA223" i="8"/>
  <c r="AH223" i="8"/>
  <c r="AG223" i="8"/>
  <c r="AF223" i="8"/>
  <c r="AE223" i="8"/>
  <c r="AD223" i="8"/>
  <c r="BE222" i="8"/>
  <c r="BD222" i="8"/>
  <c r="BC222" i="8"/>
  <c r="BB222" i="8"/>
  <c r="BA222" i="8"/>
  <c r="AH222" i="8"/>
  <c r="AG222" i="8"/>
  <c r="AF222" i="8"/>
  <c r="AE222" i="8"/>
  <c r="AD222" i="8"/>
  <c r="BE221" i="8"/>
  <c r="BD221" i="8"/>
  <c r="BC221" i="8"/>
  <c r="BB221" i="8"/>
  <c r="BA221" i="8"/>
  <c r="AH221" i="8"/>
  <c r="AG221" i="8"/>
  <c r="AF221" i="8"/>
  <c r="AE221" i="8"/>
  <c r="AD221" i="8"/>
  <c r="BE220" i="8"/>
  <c r="BD220" i="8"/>
  <c r="BC220" i="8"/>
  <c r="BB220" i="8"/>
  <c r="BA220" i="8"/>
  <c r="AH220" i="8"/>
  <c r="AG220" i="8"/>
  <c r="AF220" i="8"/>
  <c r="AE220" i="8"/>
  <c r="AD220" i="8"/>
  <c r="BE219" i="8"/>
  <c r="BD219" i="8"/>
  <c r="BC219" i="8"/>
  <c r="BB219" i="8"/>
  <c r="BA219" i="8"/>
  <c r="AH219" i="8"/>
  <c r="AG219" i="8"/>
  <c r="AF219" i="8"/>
  <c r="AE219" i="8"/>
  <c r="AD219" i="8"/>
  <c r="BE218" i="8"/>
  <c r="BD218" i="8"/>
  <c r="BC218" i="8"/>
  <c r="BB218" i="8"/>
  <c r="BA218" i="8"/>
  <c r="AH218" i="8"/>
  <c r="AG218" i="8"/>
  <c r="AF218" i="8"/>
  <c r="AE218" i="8"/>
  <c r="AD218" i="8"/>
  <c r="BE217" i="8"/>
  <c r="BD217" i="8"/>
  <c r="BC217" i="8"/>
  <c r="BB217" i="8"/>
  <c r="BA217" i="8"/>
  <c r="AH217" i="8"/>
  <c r="AG217" i="8"/>
  <c r="AF217" i="8"/>
  <c r="AE217" i="8"/>
  <c r="AD217" i="8"/>
  <c r="BE216" i="8"/>
  <c r="BD216" i="8"/>
  <c r="BC216" i="8"/>
  <c r="BB216" i="8"/>
  <c r="BA216" i="8"/>
  <c r="AH216" i="8"/>
  <c r="AG216" i="8"/>
  <c r="AF216" i="8"/>
  <c r="AE216" i="8"/>
  <c r="AD216" i="8"/>
  <c r="BE215" i="8"/>
  <c r="BD215" i="8"/>
  <c r="BC215" i="8"/>
  <c r="BB215" i="8"/>
  <c r="BA215" i="8"/>
  <c r="AH215" i="8"/>
  <c r="AG215" i="8"/>
  <c r="AF215" i="8"/>
  <c r="AE215" i="8"/>
  <c r="AD215" i="8"/>
  <c r="BE214" i="8"/>
  <c r="BD214" i="8"/>
  <c r="BC214" i="8"/>
  <c r="BB214" i="8"/>
  <c r="BA214" i="8"/>
  <c r="AH214" i="8"/>
  <c r="AG214" i="8"/>
  <c r="AF214" i="8"/>
  <c r="AE214" i="8"/>
  <c r="AD214" i="8"/>
  <c r="BE213" i="8"/>
  <c r="BD213" i="8"/>
  <c r="BC213" i="8"/>
  <c r="BB213" i="8"/>
  <c r="BA213" i="8"/>
  <c r="AH213" i="8"/>
  <c r="AG213" i="8"/>
  <c r="AF213" i="8"/>
  <c r="AE213" i="8"/>
  <c r="AD213" i="8"/>
  <c r="BE212" i="8"/>
  <c r="BD212" i="8"/>
  <c r="BC212" i="8"/>
  <c r="BB212" i="8"/>
  <c r="BA212" i="8"/>
  <c r="AH212" i="8"/>
  <c r="AG212" i="8"/>
  <c r="AF212" i="8"/>
  <c r="AE212" i="8"/>
  <c r="AD212" i="8"/>
  <c r="BE211" i="8"/>
  <c r="BD211" i="8"/>
  <c r="BC211" i="8"/>
  <c r="BB211" i="8"/>
  <c r="BA211" i="8"/>
  <c r="AH211" i="8"/>
  <c r="AG211" i="8"/>
  <c r="AF211" i="8"/>
  <c r="AE211" i="8"/>
  <c r="AD211" i="8"/>
  <c r="BE210" i="8"/>
  <c r="BD210" i="8"/>
  <c r="BC210" i="8"/>
  <c r="BB210" i="8"/>
  <c r="BA210" i="8"/>
  <c r="AH210" i="8"/>
  <c r="AG210" i="8"/>
  <c r="AF210" i="8"/>
  <c r="AE210" i="8"/>
  <c r="AD210" i="8"/>
  <c r="BE209" i="8"/>
  <c r="BD209" i="8"/>
  <c r="BC209" i="8"/>
  <c r="BB209" i="8"/>
  <c r="BA209" i="8"/>
  <c r="AH209" i="8"/>
  <c r="AG209" i="8"/>
  <c r="AF209" i="8"/>
  <c r="AE209" i="8"/>
  <c r="AD209" i="8"/>
  <c r="BE208" i="8"/>
  <c r="BD208" i="8"/>
  <c r="BC208" i="8"/>
  <c r="BB208" i="8"/>
  <c r="BA208" i="8"/>
  <c r="AH208" i="8"/>
  <c r="AG208" i="8"/>
  <c r="AF208" i="8"/>
  <c r="AE208" i="8"/>
  <c r="AD208" i="8"/>
  <c r="BE207" i="8"/>
  <c r="BD207" i="8"/>
  <c r="BC207" i="8"/>
  <c r="BB207" i="8"/>
  <c r="BA207" i="8"/>
  <c r="AH207" i="8"/>
  <c r="AG207" i="8"/>
  <c r="AF207" i="8"/>
  <c r="AE207" i="8"/>
  <c r="AD207" i="8"/>
  <c r="BE206" i="8"/>
  <c r="BD206" i="8"/>
  <c r="BC206" i="8"/>
  <c r="BB206" i="8"/>
  <c r="BA206" i="8"/>
  <c r="AH206" i="8"/>
  <c r="AG206" i="8"/>
  <c r="AF206" i="8"/>
  <c r="AE206" i="8"/>
  <c r="AD206" i="8"/>
  <c r="BE205" i="8"/>
  <c r="BD205" i="8"/>
  <c r="BC205" i="8"/>
  <c r="BB205" i="8"/>
  <c r="BA205" i="8"/>
  <c r="AH205" i="8"/>
  <c r="AG205" i="8"/>
  <c r="AF205" i="8"/>
  <c r="AE205" i="8"/>
  <c r="AD205" i="8"/>
  <c r="BE204" i="8"/>
  <c r="BD204" i="8"/>
  <c r="BC204" i="8"/>
  <c r="BB204" i="8"/>
  <c r="BA204" i="8"/>
  <c r="AH204" i="8"/>
  <c r="AG204" i="8"/>
  <c r="AF204" i="8"/>
  <c r="AE204" i="8"/>
  <c r="AD204" i="8"/>
  <c r="BE203" i="8"/>
  <c r="BD203" i="8"/>
  <c r="BC203" i="8"/>
  <c r="BB203" i="8"/>
  <c r="BA203" i="8"/>
  <c r="AH203" i="8"/>
  <c r="AG203" i="8"/>
  <c r="AF203" i="8"/>
  <c r="AE203" i="8"/>
  <c r="AD203" i="8"/>
  <c r="BE202" i="8"/>
  <c r="BD202" i="8"/>
  <c r="BC202" i="8"/>
  <c r="BB202" i="8"/>
  <c r="BA202" i="8"/>
  <c r="AH202" i="8"/>
  <c r="AG202" i="8"/>
  <c r="AF202" i="8"/>
  <c r="AE202" i="8"/>
  <c r="AD202" i="8"/>
  <c r="BE201" i="8"/>
  <c r="BD201" i="8"/>
  <c r="BC201" i="8"/>
  <c r="BB201" i="8"/>
  <c r="BA201" i="8"/>
  <c r="AH201" i="8"/>
  <c r="AG201" i="8"/>
  <c r="AF201" i="8"/>
  <c r="AE201" i="8"/>
  <c r="AD201" i="8"/>
  <c r="BE200" i="8"/>
  <c r="BD200" i="8"/>
  <c r="BC200" i="8"/>
  <c r="BB200" i="8"/>
  <c r="BA200" i="8"/>
  <c r="AH200" i="8"/>
  <c r="AG200" i="8"/>
  <c r="AF200" i="8"/>
  <c r="AE200" i="8"/>
  <c r="AD200" i="8"/>
  <c r="BE199" i="8"/>
  <c r="BD199" i="8"/>
  <c r="BC199" i="8"/>
  <c r="BB199" i="8"/>
  <c r="BA199" i="8"/>
  <c r="AH199" i="8"/>
  <c r="AG199" i="8"/>
  <c r="AF199" i="8"/>
  <c r="AE199" i="8"/>
  <c r="AD199" i="8"/>
  <c r="BE198" i="8"/>
  <c r="BD198" i="8"/>
  <c r="BC198" i="8"/>
  <c r="BB198" i="8"/>
  <c r="BA198" i="8"/>
  <c r="AH198" i="8"/>
  <c r="AG198" i="8"/>
  <c r="AF198" i="8"/>
  <c r="AE198" i="8"/>
  <c r="AD198" i="8"/>
  <c r="BE197" i="8"/>
  <c r="BD197" i="8"/>
  <c r="BC197" i="8"/>
  <c r="BB197" i="8"/>
  <c r="BA197" i="8"/>
  <c r="AH197" i="8"/>
  <c r="AG197" i="8"/>
  <c r="AF197" i="8"/>
  <c r="AE197" i="8"/>
  <c r="AD197" i="8"/>
  <c r="BE196" i="8"/>
  <c r="BD196" i="8"/>
  <c r="BC196" i="8"/>
  <c r="BB196" i="8"/>
  <c r="BA196" i="8"/>
  <c r="AH196" i="8"/>
  <c r="AG196" i="8"/>
  <c r="AF196" i="8"/>
  <c r="AE196" i="8"/>
  <c r="AD196" i="8"/>
  <c r="BE195" i="8"/>
  <c r="BD195" i="8"/>
  <c r="BC195" i="8"/>
  <c r="BB195" i="8"/>
  <c r="BA195" i="8"/>
  <c r="AH195" i="8"/>
  <c r="AG195" i="8"/>
  <c r="AF195" i="8"/>
  <c r="AE195" i="8"/>
  <c r="AD195" i="8"/>
  <c r="BE194" i="8"/>
  <c r="BD194" i="8"/>
  <c r="BC194" i="8"/>
  <c r="BB194" i="8"/>
  <c r="BA194" i="8"/>
  <c r="AH194" i="8"/>
  <c r="AG194" i="8"/>
  <c r="AF194" i="8"/>
  <c r="AE194" i="8"/>
  <c r="AD194" i="8"/>
  <c r="BE193" i="8"/>
  <c r="BD193" i="8"/>
  <c r="BC193" i="8"/>
  <c r="BB193" i="8"/>
  <c r="BA193" i="8"/>
  <c r="AH193" i="8"/>
  <c r="AG193" i="8"/>
  <c r="AF193" i="8"/>
  <c r="AE193" i="8"/>
  <c r="AD193" i="8"/>
  <c r="BE192" i="8"/>
  <c r="BD192" i="8"/>
  <c r="BC192" i="8"/>
  <c r="BB192" i="8"/>
  <c r="BA192" i="8"/>
  <c r="AH192" i="8"/>
  <c r="AG192" i="8"/>
  <c r="AF192" i="8"/>
  <c r="AE192" i="8"/>
  <c r="AD192" i="8"/>
  <c r="BE191" i="8"/>
  <c r="BD191" i="8"/>
  <c r="BC191" i="8"/>
  <c r="BB191" i="8"/>
  <c r="BA191" i="8"/>
  <c r="AH191" i="8"/>
  <c r="AG191" i="8"/>
  <c r="AF191" i="8"/>
  <c r="AE191" i="8"/>
  <c r="AD191" i="8"/>
  <c r="BE190" i="8"/>
  <c r="BD190" i="8"/>
  <c r="BC190" i="8"/>
  <c r="BB190" i="8"/>
  <c r="BA190" i="8"/>
  <c r="AH190" i="8"/>
  <c r="AG190" i="8"/>
  <c r="AF190" i="8"/>
  <c r="AE190" i="8"/>
  <c r="AD190" i="8"/>
  <c r="BE189" i="8"/>
  <c r="BD189" i="8"/>
  <c r="BC189" i="8"/>
  <c r="BB189" i="8"/>
  <c r="BA189" i="8"/>
  <c r="AH189" i="8"/>
  <c r="AG189" i="8"/>
  <c r="AF189" i="8"/>
  <c r="AE189" i="8"/>
  <c r="AD189" i="8"/>
  <c r="BE188" i="8"/>
  <c r="BD188" i="8"/>
  <c r="BC188" i="8"/>
  <c r="BB188" i="8"/>
  <c r="BA188" i="8"/>
  <c r="AH188" i="8"/>
  <c r="AG188" i="8"/>
  <c r="AF188" i="8"/>
  <c r="AE188" i="8"/>
  <c r="AD188" i="8"/>
  <c r="BE187" i="8"/>
  <c r="BD187" i="8"/>
  <c r="BC187" i="8"/>
  <c r="BB187" i="8"/>
  <c r="BA187" i="8"/>
  <c r="AH187" i="8"/>
  <c r="AG187" i="8"/>
  <c r="AF187" i="8"/>
  <c r="AE187" i="8"/>
  <c r="AD187" i="8"/>
  <c r="BE186" i="8"/>
  <c r="BD186" i="8"/>
  <c r="BC186" i="8"/>
  <c r="BB186" i="8"/>
  <c r="BA186" i="8"/>
  <c r="AH186" i="8"/>
  <c r="AG186" i="8"/>
  <c r="AF186" i="8"/>
  <c r="AE186" i="8"/>
  <c r="AD186" i="8"/>
  <c r="BE185" i="8"/>
  <c r="BD185" i="8"/>
  <c r="BC185" i="8"/>
  <c r="BB185" i="8"/>
  <c r="BA185" i="8"/>
  <c r="AH185" i="8"/>
  <c r="AG185" i="8"/>
  <c r="AF185" i="8"/>
  <c r="AE185" i="8"/>
  <c r="AD185" i="8"/>
  <c r="BE184" i="8"/>
  <c r="BD184" i="8"/>
  <c r="BC184" i="8"/>
  <c r="BB184" i="8"/>
  <c r="BA184" i="8"/>
  <c r="AH184" i="8"/>
  <c r="AG184" i="8"/>
  <c r="AF184" i="8"/>
  <c r="AE184" i="8"/>
  <c r="AD184" i="8"/>
  <c r="BE183" i="8"/>
  <c r="BD183" i="8"/>
  <c r="BC183" i="8"/>
  <c r="BB183" i="8"/>
  <c r="BA183" i="8"/>
  <c r="AH183" i="8"/>
  <c r="AG183" i="8"/>
  <c r="AF183" i="8"/>
  <c r="AE183" i="8"/>
  <c r="AD183" i="8"/>
  <c r="BE182" i="8"/>
  <c r="BD182" i="8"/>
  <c r="BC182" i="8"/>
  <c r="BB182" i="8"/>
  <c r="BA182" i="8"/>
  <c r="AH182" i="8"/>
  <c r="AG182" i="8"/>
  <c r="AF182" i="8"/>
  <c r="AE182" i="8"/>
  <c r="AD182" i="8"/>
  <c r="BE181" i="8"/>
  <c r="BD181" i="8"/>
  <c r="BC181" i="8"/>
  <c r="BB181" i="8"/>
  <c r="BA181" i="8"/>
  <c r="AH181" i="8"/>
  <c r="AG181" i="8"/>
  <c r="AF181" i="8"/>
  <c r="AE181" i="8"/>
  <c r="AD181" i="8"/>
  <c r="BE180" i="8"/>
  <c r="BD180" i="8"/>
  <c r="BC180" i="8"/>
  <c r="BB180" i="8"/>
  <c r="BA180" i="8"/>
  <c r="AH180" i="8"/>
  <c r="AG180" i="8"/>
  <c r="AF180" i="8"/>
  <c r="AE180" i="8"/>
  <c r="AD180" i="8"/>
  <c r="BE179" i="8"/>
  <c r="BD179" i="8"/>
  <c r="BC179" i="8"/>
  <c r="BB179" i="8"/>
  <c r="BA179" i="8"/>
  <c r="AH179" i="8"/>
  <c r="AG179" i="8"/>
  <c r="AF179" i="8"/>
  <c r="AE179" i="8"/>
  <c r="AD179" i="8"/>
  <c r="BE178" i="8"/>
  <c r="BD178" i="8"/>
  <c r="BC178" i="8"/>
  <c r="BB178" i="8"/>
  <c r="BA178" i="8"/>
  <c r="AH178" i="8"/>
  <c r="AG178" i="8"/>
  <c r="AF178" i="8"/>
  <c r="AE178" i="8"/>
  <c r="AD178" i="8"/>
  <c r="BE177" i="8"/>
  <c r="BD177" i="8"/>
  <c r="BC177" i="8"/>
  <c r="BB177" i="8"/>
  <c r="BA177" i="8"/>
  <c r="AH177" i="8"/>
  <c r="AG177" i="8"/>
  <c r="AF177" i="8"/>
  <c r="AE177" i="8"/>
  <c r="AD177" i="8"/>
  <c r="BE176" i="8"/>
  <c r="BD176" i="8"/>
  <c r="BC176" i="8"/>
  <c r="BB176" i="8"/>
  <c r="BA176" i="8"/>
  <c r="AH176" i="8"/>
  <c r="AG176" i="8"/>
  <c r="AF176" i="8"/>
  <c r="AE176" i="8"/>
  <c r="AD176" i="8"/>
  <c r="BE175" i="8"/>
  <c r="BD175" i="8"/>
  <c r="BC175" i="8"/>
  <c r="BB175" i="8"/>
  <c r="BA175" i="8"/>
  <c r="AH175" i="8"/>
  <c r="AG175" i="8"/>
  <c r="AF175" i="8"/>
  <c r="AE175" i="8"/>
  <c r="AD175" i="8"/>
  <c r="BE174" i="8"/>
  <c r="BD174" i="8"/>
  <c r="BC174" i="8"/>
  <c r="BB174" i="8"/>
  <c r="BA174" i="8"/>
  <c r="AH174" i="8"/>
  <c r="AG174" i="8"/>
  <c r="AF174" i="8"/>
  <c r="AE174" i="8"/>
  <c r="AD174" i="8"/>
  <c r="BE173" i="8"/>
  <c r="BD173" i="8"/>
  <c r="BC173" i="8"/>
  <c r="BB173" i="8"/>
  <c r="BA173" i="8"/>
  <c r="AH173" i="8"/>
  <c r="AG173" i="8"/>
  <c r="AF173" i="8"/>
  <c r="AE173" i="8"/>
  <c r="AD173" i="8"/>
  <c r="BE172" i="8"/>
  <c r="BD172" i="8"/>
  <c r="BC172" i="8"/>
  <c r="BB172" i="8"/>
  <c r="BA172" i="8"/>
  <c r="AH172" i="8"/>
  <c r="AG172" i="8"/>
  <c r="AF172" i="8"/>
  <c r="AE172" i="8"/>
  <c r="AD172" i="8"/>
  <c r="BE171" i="8"/>
  <c r="BD171" i="8"/>
  <c r="BC171" i="8"/>
  <c r="BB171" i="8"/>
  <c r="BA171" i="8"/>
  <c r="AH171" i="8"/>
  <c r="AG171" i="8"/>
  <c r="AF171" i="8"/>
  <c r="AE171" i="8"/>
  <c r="AD171" i="8"/>
  <c r="BE170" i="8"/>
  <c r="BD170" i="8"/>
  <c r="BC170" i="8"/>
  <c r="BB170" i="8"/>
  <c r="BA170" i="8"/>
  <c r="AH170" i="8"/>
  <c r="AG170" i="8"/>
  <c r="AF170" i="8"/>
  <c r="AE170" i="8"/>
  <c r="AD170" i="8"/>
  <c r="BE169" i="8"/>
  <c r="BD169" i="8"/>
  <c r="BC169" i="8"/>
  <c r="BB169" i="8"/>
  <c r="BA169" i="8"/>
  <c r="AH169" i="8"/>
  <c r="AG169" i="8"/>
  <c r="AF169" i="8"/>
  <c r="AE169" i="8"/>
  <c r="AD169" i="8"/>
  <c r="BE168" i="8"/>
  <c r="BD168" i="8"/>
  <c r="BC168" i="8"/>
  <c r="BB168" i="8"/>
  <c r="BA168" i="8"/>
  <c r="AH168" i="8"/>
  <c r="AG168" i="8"/>
  <c r="AF168" i="8"/>
  <c r="AE168" i="8"/>
  <c r="AD168" i="8"/>
  <c r="BE167" i="8"/>
  <c r="BD167" i="8"/>
  <c r="BC167" i="8"/>
  <c r="BB167" i="8"/>
  <c r="BA167" i="8"/>
  <c r="AH167" i="8"/>
  <c r="AG167" i="8"/>
  <c r="AF167" i="8"/>
  <c r="AE167" i="8"/>
  <c r="AD167" i="8"/>
  <c r="BE166" i="8"/>
  <c r="BD166" i="8"/>
  <c r="BC166" i="8"/>
  <c r="BB166" i="8"/>
  <c r="BA166" i="8"/>
  <c r="AH166" i="8"/>
  <c r="AG166" i="8"/>
  <c r="AF166" i="8"/>
  <c r="AE166" i="8"/>
  <c r="AD166" i="8"/>
  <c r="BE165" i="8"/>
  <c r="BD165" i="8"/>
  <c r="BC165" i="8"/>
  <c r="BB165" i="8"/>
  <c r="BA165" i="8"/>
  <c r="AH165" i="8"/>
  <c r="AG165" i="8"/>
  <c r="AF165" i="8"/>
  <c r="AE165" i="8"/>
  <c r="AD165" i="8"/>
  <c r="BE164" i="8"/>
  <c r="BD164" i="8"/>
  <c r="BC164" i="8"/>
  <c r="BB164" i="8"/>
  <c r="BA164" i="8"/>
  <c r="AH164" i="8"/>
  <c r="AG164" i="8"/>
  <c r="AF164" i="8"/>
  <c r="AE164" i="8"/>
  <c r="AD164" i="8"/>
  <c r="BE163" i="8"/>
  <c r="BD163" i="8"/>
  <c r="BC163" i="8"/>
  <c r="BB163" i="8"/>
  <c r="BA163" i="8"/>
  <c r="AH163" i="8"/>
  <c r="AG163" i="8"/>
  <c r="AF163" i="8"/>
  <c r="AE163" i="8"/>
  <c r="AD163" i="8"/>
  <c r="AA163" i="8"/>
  <c r="Z163" i="8"/>
  <c r="Y163" i="8"/>
  <c r="X163" i="8"/>
  <c r="W163" i="8"/>
  <c r="T163" i="8"/>
  <c r="S163" i="8"/>
  <c r="R163" i="8"/>
  <c r="Q163" i="8"/>
  <c r="P163" i="8"/>
  <c r="N163" i="8"/>
  <c r="BE162" i="8"/>
  <c r="BD162" i="8"/>
  <c r="BC162" i="8"/>
  <c r="BB162" i="8"/>
  <c r="BA162" i="8"/>
  <c r="AH162" i="8"/>
  <c r="AG162" i="8"/>
  <c r="AF162" i="8"/>
  <c r="AE162" i="8"/>
  <c r="AD162" i="8"/>
  <c r="AA162" i="8"/>
  <c r="Z162" i="8"/>
  <c r="Y162" i="8"/>
  <c r="X162" i="8"/>
  <c r="W162" i="8"/>
  <c r="T162" i="8"/>
  <c r="S162" i="8"/>
  <c r="R162" i="8"/>
  <c r="Q162" i="8"/>
  <c r="P162" i="8"/>
  <c r="N162" i="8"/>
  <c r="BE161" i="8"/>
  <c r="BD161" i="8"/>
  <c r="BC161" i="8"/>
  <c r="BB161" i="8"/>
  <c r="BA161" i="8"/>
  <c r="AH161" i="8"/>
  <c r="AG161" i="8"/>
  <c r="AF161" i="8"/>
  <c r="AE161" i="8"/>
  <c r="AD161" i="8"/>
  <c r="AA161" i="8"/>
  <c r="Z161" i="8"/>
  <c r="Y161" i="8"/>
  <c r="X161" i="8"/>
  <c r="W161" i="8"/>
  <c r="T161" i="8"/>
  <c r="S161" i="8"/>
  <c r="R161" i="8"/>
  <c r="Q161" i="8"/>
  <c r="P161" i="8"/>
  <c r="N161" i="8"/>
  <c r="BE160" i="8"/>
  <c r="BD160" i="8"/>
  <c r="BC160" i="8"/>
  <c r="BB160" i="8"/>
  <c r="BA160" i="8"/>
  <c r="AH160" i="8"/>
  <c r="AG160" i="8"/>
  <c r="AF160" i="8"/>
  <c r="AE160" i="8"/>
  <c r="AD160" i="8"/>
  <c r="AA160" i="8"/>
  <c r="Z160" i="8"/>
  <c r="Y160" i="8"/>
  <c r="X160" i="8"/>
  <c r="W160" i="8"/>
  <c r="T160" i="8"/>
  <c r="S160" i="8"/>
  <c r="R160" i="8"/>
  <c r="Q160" i="8"/>
  <c r="P160" i="8"/>
  <c r="N160" i="8"/>
  <c r="BE159" i="8"/>
  <c r="BD159" i="8"/>
  <c r="BC159" i="8"/>
  <c r="BB159" i="8"/>
  <c r="BA159" i="8"/>
  <c r="AH159" i="8"/>
  <c r="AG159" i="8"/>
  <c r="AF159" i="8"/>
  <c r="AE159" i="8"/>
  <c r="AD159" i="8"/>
  <c r="AA159" i="8"/>
  <c r="Z159" i="8"/>
  <c r="Y159" i="8"/>
  <c r="X159" i="8"/>
  <c r="W159" i="8"/>
  <c r="T159" i="8"/>
  <c r="S159" i="8"/>
  <c r="R159" i="8"/>
  <c r="Q159" i="8"/>
  <c r="P159" i="8"/>
  <c r="N159" i="8"/>
  <c r="BE158" i="8"/>
  <c r="BD158" i="8"/>
  <c r="BC158" i="8"/>
  <c r="BB158" i="8"/>
  <c r="BA158" i="8"/>
  <c r="AH158" i="8"/>
  <c r="AG158" i="8"/>
  <c r="AF158" i="8"/>
  <c r="AE158" i="8"/>
  <c r="AD158" i="8"/>
  <c r="AA158" i="8"/>
  <c r="Z158" i="8"/>
  <c r="Y158" i="8"/>
  <c r="X158" i="8"/>
  <c r="W158" i="8"/>
  <c r="T158" i="8"/>
  <c r="S158" i="8"/>
  <c r="R158" i="8"/>
  <c r="Q158" i="8"/>
  <c r="P158" i="8"/>
  <c r="N158" i="8"/>
  <c r="BE157" i="8"/>
  <c r="BD157" i="8"/>
  <c r="BC157" i="8"/>
  <c r="BB157" i="8"/>
  <c r="BA157" i="8"/>
  <c r="AH157" i="8"/>
  <c r="AG157" i="8"/>
  <c r="AF157" i="8"/>
  <c r="AE157" i="8"/>
  <c r="AD157" i="8"/>
  <c r="AA157" i="8"/>
  <c r="Z157" i="8"/>
  <c r="Y157" i="8"/>
  <c r="X157" i="8"/>
  <c r="W157" i="8"/>
  <c r="T157" i="8"/>
  <c r="S157" i="8"/>
  <c r="R157" i="8"/>
  <c r="Q157" i="8"/>
  <c r="P157" i="8"/>
  <c r="N157" i="8"/>
  <c r="BE156" i="8"/>
  <c r="BD156" i="8"/>
  <c r="BC156" i="8"/>
  <c r="BB156" i="8"/>
  <c r="BA156" i="8"/>
  <c r="AH156" i="8"/>
  <c r="AG156" i="8"/>
  <c r="AF156" i="8"/>
  <c r="AE156" i="8"/>
  <c r="AD156" i="8"/>
  <c r="AA156" i="8"/>
  <c r="Z156" i="8"/>
  <c r="Y156" i="8"/>
  <c r="X156" i="8"/>
  <c r="W156" i="8"/>
  <c r="T156" i="8"/>
  <c r="S156" i="8"/>
  <c r="R156" i="8"/>
  <c r="Q156" i="8"/>
  <c r="P156" i="8"/>
  <c r="N156" i="8"/>
  <c r="BE155" i="8"/>
  <c r="BD155" i="8"/>
  <c r="BC155" i="8"/>
  <c r="BB155" i="8"/>
  <c r="BA155" i="8"/>
  <c r="AH155" i="8"/>
  <c r="AG155" i="8"/>
  <c r="AF155" i="8"/>
  <c r="AE155" i="8"/>
  <c r="AD155" i="8"/>
  <c r="AA155" i="8"/>
  <c r="Z155" i="8"/>
  <c r="Y155" i="8"/>
  <c r="X155" i="8"/>
  <c r="W155" i="8"/>
  <c r="T155" i="8"/>
  <c r="S155" i="8"/>
  <c r="R155" i="8"/>
  <c r="Q155" i="8"/>
  <c r="P155" i="8"/>
  <c r="N155" i="8"/>
  <c r="BE154" i="8"/>
  <c r="BD154" i="8"/>
  <c r="BC154" i="8"/>
  <c r="BB154" i="8"/>
  <c r="BA154" i="8"/>
  <c r="AH154" i="8"/>
  <c r="AG154" i="8"/>
  <c r="AF154" i="8"/>
  <c r="AE154" i="8"/>
  <c r="AD154" i="8"/>
  <c r="AA154" i="8"/>
  <c r="Z154" i="8"/>
  <c r="Y154" i="8"/>
  <c r="X154" i="8"/>
  <c r="W154" i="8"/>
  <c r="T154" i="8"/>
  <c r="S154" i="8"/>
  <c r="R154" i="8"/>
  <c r="Q154" i="8"/>
  <c r="P154" i="8"/>
  <c r="N154" i="8"/>
  <c r="BE153" i="8"/>
  <c r="BD153" i="8"/>
  <c r="BC153" i="8"/>
  <c r="BB153" i="8"/>
  <c r="BA153" i="8"/>
  <c r="AH153" i="8"/>
  <c r="AG153" i="8"/>
  <c r="AF153" i="8"/>
  <c r="AE153" i="8"/>
  <c r="AD153" i="8"/>
  <c r="AA153" i="8"/>
  <c r="Z153" i="8"/>
  <c r="Y153" i="8"/>
  <c r="X153" i="8"/>
  <c r="W153" i="8"/>
  <c r="T153" i="8"/>
  <c r="S153" i="8"/>
  <c r="R153" i="8"/>
  <c r="Q153" i="8"/>
  <c r="P153" i="8"/>
  <c r="N153" i="8"/>
  <c r="BE152" i="8"/>
  <c r="BD152" i="8"/>
  <c r="BC152" i="8"/>
  <c r="BB152" i="8"/>
  <c r="BA152" i="8"/>
  <c r="AH152" i="8"/>
  <c r="AG152" i="8"/>
  <c r="AF152" i="8"/>
  <c r="AE152" i="8"/>
  <c r="AD152" i="8"/>
  <c r="AA152" i="8"/>
  <c r="Z152" i="8"/>
  <c r="Y152" i="8"/>
  <c r="X152" i="8"/>
  <c r="W152" i="8"/>
  <c r="T152" i="8"/>
  <c r="S152" i="8"/>
  <c r="R152" i="8"/>
  <c r="Q152" i="8"/>
  <c r="P152" i="8"/>
  <c r="N152" i="8"/>
  <c r="G152" i="8"/>
  <c r="F152" i="8"/>
  <c r="BE151" i="8"/>
  <c r="BD151" i="8"/>
  <c r="BC151" i="8"/>
  <c r="BB151" i="8"/>
  <c r="BA151" i="8"/>
  <c r="AH151" i="8"/>
  <c r="AG151" i="8"/>
  <c r="AF151" i="8"/>
  <c r="AE151" i="8"/>
  <c r="AD151" i="8"/>
  <c r="AA151" i="8"/>
  <c r="Z151" i="8"/>
  <c r="Y151" i="8"/>
  <c r="X151" i="8"/>
  <c r="W151" i="8"/>
  <c r="T151" i="8"/>
  <c r="S151" i="8"/>
  <c r="R151" i="8"/>
  <c r="Q151" i="8"/>
  <c r="P151" i="8"/>
  <c r="N151" i="8"/>
  <c r="G151" i="8"/>
  <c r="F151" i="8"/>
  <c r="BE150" i="8"/>
  <c r="BD150" i="8"/>
  <c r="BC150" i="8"/>
  <c r="BB150" i="8"/>
  <c r="BA150" i="8"/>
  <c r="AH150" i="8"/>
  <c r="AG150" i="8"/>
  <c r="AF150" i="8"/>
  <c r="AE150" i="8"/>
  <c r="AD150" i="8"/>
  <c r="AA150" i="8"/>
  <c r="Z150" i="8"/>
  <c r="Y150" i="8"/>
  <c r="X150" i="8"/>
  <c r="W150" i="8"/>
  <c r="T150" i="8"/>
  <c r="S150" i="8"/>
  <c r="R150" i="8"/>
  <c r="Q150" i="8"/>
  <c r="P150" i="8"/>
  <c r="N150" i="8"/>
  <c r="G150" i="8"/>
  <c r="F150" i="8"/>
  <c r="BE149" i="8"/>
  <c r="BD149" i="8"/>
  <c r="BC149" i="8"/>
  <c r="BB149" i="8"/>
  <c r="BA149" i="8"/>
  <c r="AH149" i="8"/>
  <c r="AG149" i="8"/>
  <c r="AF149" i="8"/>
  <c r="AE149" i="8"/>
  <c r="AD149" i="8"/>
  <c r="AA149" i="8"/>
  <c r="Z149" i="8"/>
  <c r="Y149" i="8"/>
  <c r="X149" i="8"/>
  <c r="W149" i="8"/>
  <c r="T149" i="8"/>
  <c r="S149" i="8"/>
  <c r="R149" i="8"/>
  <c r="Q149" i="8"/>
  <c r="P149" i="8"/>
  <c r="N149" i="8"/>
  <c r="G149" i="8"/>
  <c r="F149" i="8"/>
  <c r="BE148" i="8"/>
  <c r="BD148" i="8"/>
  <c r="BC148" i="8"/>
  <c r="BB148" i="8"/>
  <c r="BA148" i="8"/>
  <c r="AH148" i="8"/>
  <c r="AG148" i="8"/>
  <c r="AF148" i="8"/>
  <c r="AE148" i="8"/>
  <c r="AD148" i="8"/>
  <c r="AA148" i="8"/>
  <c r="Z148" i="8"/>
  <c r="Y148" i="8"/>
  <c r="X148" i="8"/>
  <c r="W148" i="8"/>
  <c r="T148" i="8"/>
  <c r="S148" i="8"/>
  <c r="R148" i="8"/>
  <c r="Q148" i="8"/>
  <c r="P148" i="8"/>
  <c r="N148" i="8"/>
  <c r="G148" i="8"/>
  <c r="F148" i="8"/>
  <c r="BE147" i="8"/>
  <c r="BD147" i="8"/>
  <c r="BC147" i="8"/>
  <c r="BB147" i="8"/>
  <c r="BA147" i="8"/>
  <c r="AH147" i="8"/>
  <c r="AG147" i="8"/>
  <c r="AF147" i="8"/>
  <c r="AE147" i="8"/>
  <c r="AD147" i="8"/>
  <c r="AA147" i="8"/>
  <c r="Z147" i="8"/>
  <c r="Y147" i="8"/>
  <c r="X147" i="8"/>
  <c r="W147" i="8"/>
  <c r="T147" i="8"/>
  <c r="S147" i="8"/>
  <c r="R147" i="8"/>
  <c r="Q147" i="8"/>
  <c r="P147" i="8"/>
  <c r="N147" i="8"/>
  <c r="G147" i="8"/>
  <c r="F147" i="8"/>
  <c r="BE146" i="8"/>
  <c r="BD146" i="8"/>
  <c r="BC146" i="8"/>
  <c r="BB146" i="8"/>
  <c r="BA146" i="8"/>
  <c r="AH146" i="8"/>
  <c r="AG146" i="8"/>
  <c r="AF146" i="8"/>
  <c r="AE146" i="8"/>
  <c r="AD146" i="8"/>
  <c r="AA146" i="8"/>
  <c r="Z146" i="8"/>
  <c r="Y146" i="8"/>
  <c r="X146" i="8"/>
  <c r="W146" i="8"/>
  <c r="T146" i="8"/>
  <c r="S146" i="8"/>
  <c r="R146" i="8"/>
  <c r="Q146" i="8"/>
  <c r="P146" i="8"/>
  <c r="N146" i="8"/>
  <c r="G146" i="8"/>
  <c r="F146" i="8"/>
  <c r="BE145" i="8"/>
  <c r="BD145" i="8"/>
  <c r="BC145" i="8"/>
  <c r="BB145" i="8"/>
  <c r="BA145" i="8"/>
  <c r="AH145" i="8"/>
  <c r="AG145" i="8"/>
  <c r="AF145" i="8"/>
  <c r="AE145" i="8"/>
  <c r="AD145" i="8"/>
  <c r="AA145" i="8"/>
  <c r="Z145" i="8"/>
  <c r="Y145" i="8"/>
  <c r="X145" i="8"/>
  <c r="W145" i="8"/>
  <c r="T145" i="8"/>
  <c r="S145" i="8"/>
  <c r="R145" i="8"/>
  <c r="Q145" i="8"/>
  <c r="P145" i="8"/>
  <c r="N145" i="8"/>
  <c r="G145" i="8"/>
  <c r="F145" i="8"/>
  <c r="BE144" i="8"/>
  <c r="BD144" i="8"/>
  <c r="BC144" i="8"/>
  <c r="BB144" i="8"/>
  <c r="BA144" i="8"/>
  <c r="AH144" i="8"/>
  <c r="AG144" i="8"/>
  <c r="AF144" i="8"/>
  <c r="AE144" i="8"/>
  <c r="AD144" i="8"/>
  <c r="AA144" i="8"/>
  <c r="Z144" i="8"/>
  <c r="Y144" i="8"/>
  <c r="X144" i="8"/>
  <c r="W144" i="8"/>
  <c r="T144" i="8"/>
  <c r="S144" i="8"/>
  <c r="R144" i="8"/>
  <c r="Q144" i="8"/>
  <c r="P144" i="8"/>
  <c r="N144" i="8"/>
  <c r="G144" i="8"/>
  <c r="F144" i="8"/>
  <c r="BE143" i="8"/>
  <c r="BD143" i="8"/>
  <c r="BC143" i="8"/>
  <c r="BB143" i="8"/>
  <c r="BA143" i="8"/>
  <c r="AH143" i="8"/>
  <c r="AG143" i="8"/>
  <c r="AF143" i="8"/>
  <c r="AE143" i="8"/>
  <c r="AD143" i="8"/>
  <c r="AA143" i="8"/>
  <c r="Z143" i="8"/>
  <c r="Y143" i="8"/>
  <c r="X143" i="8"/>
  <c r="W143" i="8"/>
  <c r="T143" i="8"/>
  <c r="S143" i="8"/>
  <c r="R143" i="8"/>
  <c r="Q143" i="8"/>
  <c r="P143" i="8"/>
  <c r="N143" i="8"/>
  <c r="G143" i="8"/>
  <c r="F143" i="8"/>
  <c r="BE142" i="8"/>
  <c r="BD142" i="8"/>
  <c r="BC142" i="8"/>
  <c r="BB142" i="8"/>
  <c r="BA142" i="8"/>
  <c r="AH142" i="8"/>
  <c r="AG142" i="8"/>
  <c r="AF142" i="8"/>
  <c r="AE142" i="8"/>
  <c r="AD142" i="8"/>
  <c r="AA142" i="8"/>
  <c r="Z142" i="8"/>
  <c r="Y142" i="8"/>
  <c r="X142" i="8"/>
  <c r="W142" i="8"/>
  <c r="T142" i="8"/>
  <c r="S142" i="8"/>
  <c r="R142" i="8"/>
  <c r="Q142" i="8"/>
  <c r="P142" i="8"/>
  <c r="N142" i="8"/>
  <c r="G142" i="8"/>
  <c r="F142" i="8"/>
  <c r="BE141" i="8"/>
  <c r="BD141" i="8"/>
  <c r="BC141" i="8"/>
  <c r="BB141" i="8"/>
  <c r="BA141" i="8"/>
  <c r="AH141" i="8"/>
  <c r="AG141" i="8"/>
  <c r="AF141" i="8"/>
  <c r="AE141" i="8"/>
  <c r="AD141" i="8"/>
  <c r="AA141" i="8"/>
  <c r="Z141" i="8"/>
  <c r="Y141" i="8"/>
  <c r="X141" i="8"/>
  <c r="W141" i="8"/>
  <c r="T141" i="8"/>
  <c r="S141" i="8"/>
  <c r="R141" i="8"/>
  <c r="Q141" i="8"/>
  <c r="P141" i="8"/>
  <c r="N141" i="8"/>
  <c r="G141" i="8"/>
  <c r="F141" i="8"/>
  <c r="BE140" i="8"/>
  <c r="BD140" i="8"/>
  <c r="BC140" i="8"/>
  <c r="BB140" i="8"/>
  <c r="BA140" i="8"/>
  <c r="AH140" i="8"/>
  <c r="AG140" i="8"/>
  <c r="AF140" i="8"/>
  <c r="AE140" i="8"/>
  <c r="AD140" i="8"/>
  <c r="AA140" i="8"/>
  <c r="Z140" i="8"/>
  <c r="Y140" i="8"/>
  <c r="X140" i="8"/>
  <c r="W140" i="8"/>
  <c r="T140" i="8"/>
  <c r="S140" i="8"/>
  <c r="R140" i="8"/>
  <c r="Q140" i="8"/>
  <c r="P140" i="8"/>
  <c r="N140" i="8"/>
  <c r="G140" i="8"/>
  <c r="F140" i="8"/>
  <c r="BE139" i="8"/>
  <c r="BD139" i="8"/>
  <c r="BC139" i="8"/>
  <c r="BB139" i="8"/>
  <c r="BA139" i="8"/>
  <c r="AH139" i="8"/>
  <c r="AG139" i="8"/>
  <c r="AF139" i="8"/>
  <c r="AE139" i="8"/>
  <c r="AD139" i="8"/>
  <c r="AA139" i="8"/>
  <c r="Z139" i="8"/>
  <c r="Y139" i="8"/>
  <c r="X139" i="8"/>
  <c r="W139" i="8"/>
  <c r="T139" i="8"/>
  <c r="S139" i="8"/>
  <c r="R139" i="8"/>
  <c r="Q139" i="8"/>
  <c r="P139" i="8"/>
  <c r="N139" i="8"/>
  <c r="G139" i="8"/>
  <c r="F139" i="8"/>
  <c r="BE138" i="8"/>
  <c r="BD138" i="8"/>
  <c r="BC138" i="8"/>
  <c r="BB138" i="8"/>
  <c r="BA138" i="8"/>
  <c r="AH138" i="8"/>
  <c r="AG138" i="8"/>
  <c r="AF138" i="8"/>
  <c r="AE138" i="8"/>
  <c r="AD138" i="8"/>
  <c r="AA138" i="8"/>
  <c r="Z138" i="8"/>
  <c r="Y138" i="8"/>
  <c r="X138" i="8"/>
  <c r="W138" i="8"/>
  <c r="T138" i="8"/>
  <c r="S138" i="8"/>
  <c r="R138" i="8"/>
  <c r="Q138" i="8"/>
  <c r="P138" i="8"/>
  <c r="N138" i="8"/>
  <c r="G138" i="8"/>
  <c r="F138" i="8"/>
  <c r="BE137" i="8"/>
  <c r="BD137" i="8"/>
  <c r="BC137" i="8"/>
  <c r="BB137" i="8"/>
  <c r="BA137" i="8"/>
  <c r="AH137" i="8"/>
  <c r="AG137" i="8"/>
  <c r="AF137" i="8"/>
  <c r="AE137" i="8"/>
  <c r="AD137" i="8"/>
  <c r="AA137" i="8"/>
  <c r="Z137" i="8"/>
  <c r="Y137" i="8"/>
  <c r="X137" i="8"/>
  <c r="W137" i="8"/>
  <c r="T137" i="8"/>
  <c r="S137" i="8"/>
  <c r="R137" i="8"/>
  <c r="Q137" i="8"/>
  <c r="P137" i="8"/>
  <c r="N137" i="8"/>
  <c r="G137" i="8"/>
  <c r="F137" i="8"/>
  <c r="BE136" i="8"/>
  <c r="BD136" i="8"/>
  <c r="BC136" i="8"/>
  <c r="BB136" i="8"/>
  <c r="BA136" i="8"/>
  <c r="AH136" i="8"/>
  <c r="AG136" i="8"/>
  <c r="AF136" i="8"/>
  <c r="AE136" i="8"/>
  <c r="AD136" i="8"/>
  <c r="AA136" i="8"/>
  <c r="Z136" i="8"/>
  <c r="Y136" i="8"/>
  <c r="X136" i="8"/>
  <c r="W136" i="8"/>
  <c r="T136" i="8"/>
  <c r="S136" i="8"/>
  <c r="R136" i="8"/>
  <c r="Q136" i="8"/>
  <c r="P136" i="8"/>
  <c r="N136" i="8"/>
  <c r="G136" i="8"/>
  <c r="F136" i="8"/>
  <c r="BE135" i="8"/>
  <c r="BD135" i="8"/>
  <c r="BC135" i="8"/>
  <c r="BB135" i="8"/>
  <c r="BA135" i="8"/>
  <c r="AH135" i="8"/>
  <c r="AG135" i="8"/>
  <c r="AF135" i="8"/>
  <c r="AE135" i="8"/>
  <c r="AD135" i="8"/>
  <c r="AA135" i="8"/>
  <c r="Z135" i="8"/>
  <c r="Y135" i="8"/>
  <c r="X135" i="8"/>
  <c r="W135" i="8"/>
  <c r="T135" i="8"/>
  <c r="S135" i="8"/>
  <c r="R135" i="8"/>
  <c r="Q135" i="8"/>
  <c r="P135" i="8"/>
  <c r="N135" i="8"/>
  <c r="G135" i="8"/>
  <c r="F135" i="8"/>
  <c r="BE134" i="8"/>
  <c r="BD134" i="8"/>
  <c r="BC134" i="8"/>
  <c r="BB134" i="8"/>
  <c r="BA134" i="8"/>
  <c r="AH134" i="8"/>
  <c r="AG134" i="8"/>
  <c r="AF134" i="8"/>
  <c r="AE134" i="8"/>
  <c r="AD134" i="8"/>
  <c r="AA134" i="8"/>
  <c r="Z134" i="8"/>
  <c r="Y134" i="8"/>
  <c r="X134" i="8"/>
  <c r="W134" i="8"/>
  <c r="T134" i="8"/>
  <c r="S134" i="8"/>
  <c r="R134" i="8"/>
  <c r="Q134" i="8"/>
  <c r="P134" i="8"/>
  <c r="N134" i="8"/>
  <c r="G134" i="8"/>
  <c r="F134" i="8"/>
  <c r="BE133" i="8"/>
  <c r="BD133" i="8"/>
  <c r="BC133" i="8"/>
  <c r="BB133" i="8"/>
  <c r="BA133" i="8"/>
  <c r="AH133" i="8"/>
  <c r="AG133" i="8"/>
  <c r="AF133" i="8"/>
  <c r="AE133" i="8"/>
  <c r="AD133" i="8"/>
  <c r="AA133" i="8"/>
  <c r="Z133" i="8"/>
  <c r="Y133" i="8"/>
  <c r="X133" i="8"/>
  <c r="W133" i="8"/>
  <c r="T133" i="8"/>
  <c r="S133" i="8"/>
  <c r="R133" i="8"/>
  <c r="Q133" i="8"/>
  <c r="P133" i="8"/>
  <c r="N133" i="8"/>
  <c r="G133" i="8"/>
  <c r="F133" i="8"/>
  <c r="BE132" i="8"/>
  <c r="BD132" i="8"/>
  <c r="BC132" i="8"/>
  <c r="BB132" i="8"/>
  <c r="BA132" i="8"/>
  <c r="AH132" i="8"/>
  <c r="AG132" i="8"/>
  <c r="AF132" i="8"/>
  <c r="AE132" i="8"/>
  <c r="AD132" i="8"/>
  <c r="AA132" i="8"/>
  <c r="Z132" i="8"/>
  <c r="Y132" i="8"/>
  <c r="X132" i="8"/>
  <c r="W132" i="8"/>
  <c r="T132" i="8"/>
  <c r="S132" i="8"/>
  <c r="R132" i="8"/>
  <c r="Q132" i="8"/>
  <c r="P132" i="8"/>
  <c r="N132" i="8"/>
  <c r="G132" i="8"/>
  <c r="F132" i="8"/>
  <c r="BE131" i="8"/>
  <c r="BD131" i="8"/>
  <c r="BC131" i="8"/>
  <c r="BB131" i="8"/>
  <c r="BA131" i="8"/>
  <c r="AH131" i="8"/>
  <c r="AG131" i="8"/>
  <c r="AF131" i="8"/>
  <c r="AE131" i="8"/>
  <c r="AD131" i="8"/>
  <c r="AA131" i="8"/>
  <c r="Z131" i="8"/>
  <c r="Y131" i="8"/>
  <c r="X131" i="8"/>
  <c r="W131" i="8"/>
  <c r="T131" i="8"/>
  <c r="S131" i="8"/>
  <c r="R131" i="8"/>
  <c r="Q131" i="8"/>
  <c r="P131" i="8"/>
  <c r="N131" i="8"/>
  <c r="G131" i="8"/>
  <c r="F131" i="8"/>
  <c r="BE130" i="8"/>
  <c r="BD130" i="8"/>
  <c r="BC130" i="8"/>
  <c r="BB130" i="8"/>
  <c r="BA130" i="8"/>
  <c r="AH130" i="8"/>
  <c r="AG130" i="8"/>
  <c r="AF130" i="8"/>
  <c r="AE130" i="8"/>
  <c r="AD130" i="8"/>
  <c r="AA130" i="8"/>
  <c r="Z130" i="8"/>
  <c r="Y130" i="8"/>
  <c r="X130" i="8"/>
  <c r="W130" i="8"/>
  <c r="T130" i="8"/>
  <c r="S130" i="8"/>
  <c r="R130" i="8"/>
  <c r="Q130" i="8"/>
  <c r="P130" i="8"/>
  <c r="N130" i="8"/>
  <c r="G130" i="8"/>
  <c r="F130" i="8"/>
  <c r="BE129" i="8"/>
  <c r="BD129" i="8"/>
  <c r="BC129" i="8"/>
  <c r="BB129" i="8"/>
  <c r="BA129" i="8"/>
  <c r="AH129" i="8"/>
  <c r="AG129" i="8"/>
  <c r="AF129" i="8"/>
  <c r="AE129" i="8"/>
  <c r="AD129" i="8"/>
  <c r="AA129" i="8"/>
  <c r="Z129" i="8"/>
  <c r="Y129" i="8"/>
  <c r="X129" i="8"/>
  <c r="W129" i="8"/>
  <c r="T129" i="8"/>
  <c r="S129" i="8"/>
  <c r="R129" i="8"/>
  <c r="Q129" i="8"/>
  <c r="P129" i="8"/>
  <c r="N129" i="8"/>
  <c r="G129" i="8"/>
  <c r="F129" i="8"/>
  <c r="BE128" i="8"/>
  <c r="BD128" i="8"/>
  <c r="BC128" i="8"/>
  <c r="BB128" i="8"/>
  <c r="BA128" i="8"/>
  <c r="AH128" i="8"/>
  <c r="AG128" i="8"/>
  <c r="AF128" i="8"/>
  <c r="AE128" i="8"/>
  <c r="AD128" i="8"/>
  <c r="AA128" i="8"/>
  <c r="Z128" i="8"/>
  <c r="Y128" i="8"/>
  <c r="X128" i="8"/>
  <c r="W128" i="8"/>
  <c r="T128" i="8"/>
  <c r="S128" i="8"/>
  <c r="R128" i="8"/>
  <c r="Q128" i="8"/>
  <c r="P128" i="8"/>
  <c r="N128" i="8"/>
  <c r="G128" i="8"/>
  <c r="F128" i="8"/>
  <c r="BE127" i="8"/>
  <c r="BD127" i="8"/>
  <c r="BC127" i="8"/>
  <c r="BB127" i="8"/>
  <c r="BA127" i="8"/>
  <c r="AH127" i="8"/>
  <c r="AG127" i="8"/>
  <c r="AF127" i="8"/>
  <c r="AE127" i="8"/>
  <c r="AD127" i="8"/>
  <c r="AA127" i="8"/>
  <c r="Z127" i="8"/>
  <c r="Y127" i="8"/>
  <c r="X127" i="8"/>
  <c r="W127" i="8"/>
  <c r="T127" i="8"/>
  <c r="S127" i="8"/>
  <c r="R127" i="8"/>
  <c r="Q127" i="8"/>
  <c r="P127" i="8"/>
  <c r="N127" i="8"/>
  <c r="G127" i="8"/>
  <c r="F127" i="8"/>
  <c r="BE126" i="8"/>
  <c r="BD126" i="8"/>
  <c r="BC126" i="8"/>
  <c r="BB126" i="8"/>
  <c r="BA126" i="8"/>
  <c r="AH126" i="8"/>
  <c r="AG126" i="8"/>
  <c r="AF126" i="8"/>
  <c r="AE126" i="8"/>
  <c r="AD126" i="8"/>
  <c r="AA126" i="8"/>
  <c r="Z126" i="8"/>
  <c r="Y126" i="8"/>
  <c r="X126" i="8"/>
  <c r="W126" i="8"/>
  <c r="T126" i="8"/>
  <c r="S126" i="8"/>
  <c r="R126" i="8"/>
  <c r="Q126" i="8"/>
  <c r="P126" i="8"/>
  <c r="N126" i="8"/>
  <c r="G126" i="8"/>
  <c r="F126" i="8"/>
  <c r="BE125" i="8"/>
  <c r="BD125" i="8"/>
  <c r="BC125" i="8"/>
  <c r="BB125" i="8"/>
  <c r="BA125" i="8"/>
  <c r="AH125" i="8"/>
  <c r="AG125" i="8"/>
  <c r="AF125" i="8"/>
  <c r="AE125" i="8"/>
  <c r="AD125" i="8"/>
  <c r="AA125" i="8"/>
  <c r="Z125" i="8"/>
  <c r="Y125" i="8"/>
  <c r="X125" i="8"/>
  <c r="W125" i="8"/>
  <c r="T125" i="8"/>
  <c r="S125" i="8"/>
  <c r="R125" i="8"/>
  <c r="Q125" i="8"/>
  <c r="P125" i="8"/>
  <c r="N125" i="8"/>
  <c r="G125" i="8"/>
  <c r="F125" i="8"/>
  <c r="BE124" i="8"/>
  <c r="BD124" i="8"/>
  <c r="BC124" i="8"/>
  <c r="BB124" i="8"/>
  <c r="BA124" i="8"/>
  <c r="AH124" i="8"/>
  <c r="AG124" i="8"/>
  <c r="AF124" i="8"/>
  <c r="AE124" i="8"/>
  <c r="AD124" i="8"/>
  <c r="AA124" i="8"/>
  <c r="Z124" i="8"/>
  <c r="Y124" i="8"/>
  <c r="X124" i="8"/>
  <c r="W124" i="8"/>
  <c r="T124" i="8"/>
  <c r="S124" i="8"/>
  <c r="R124" i="8"/>
  <c r="Q124" i="8"/>
  <c r="P124" i="8"/>
  <c r="N124" i="8"/>
  <c r="G124" i="8"/>
  <c r="F124" i="8"/>
  <c r="BE123" i="8"/>
  <c r="BD123" i="8"/>
  <c r="BC123" i="8"/>
  <c r="BB123" i="8"/>
  <c r="BA123" i="8"/>
  <c r="AH123" i="8"/>
  <c r="AG123" i="8"/>
  <c r="AF123" i="8"/>
  <c r="AE123" i="8"/>
  <c r="AD123" i="8"/>
  <c r="AA123" i="8"/>
  <c r="Z123" i="8"/>
  <c r="Y123" i="8"/>
  <c r="X123" i="8"/>
  <c r="W123" i="8"/>
  <c r="T123" i="8"/>
  <c r="S123" i="8"/>
  <c r="R123" i="8"/>
  <c r="Q123" i="8"/>
  <c r="P123" i="8"/>
  <c r="N123" i="8"/>
  <c r="G123" i="8"/>
  <c r="F123" i="8"/>
  <c r="BE122" i="8"/>
  <c r="BD122" i="8"/>
  <c r="BC122" i="8"/>
  <c r="BB122" i="8"/>
  <c r="BA122" i="8"/>
  <c r="AH122" i="8"/>
  <c r="AG122" i="8"/>
  <c r="AF122" i="8"/>
  <c r="AE122" i="8"/>
  <c r="AD122" i="8"/>
  <c r="AA122" i="8"/>
  <c r="Z122" i="8"/>
  <c r="Y122" i="8"/>
  <c r="X122" i="8"/>
  <c r="W122" i="8"/>
  <c r="T122" i="8"/>
  <c r="S122" i="8"/>
  <c r="R122" i="8"/>
  <c r="Q122" i="8"/>
  <c r="P122" i="8"/>
  <c r="N122" i="8"/>
  <c r="G122" i="8"/>
  <c r="F122" i="8"/>
  <c r="BE121" i="8"/>
  <c r="BD121" i="8"/>
  <c r="BC121" i="8"/>
  <c r="BB121" i="8"/>
  <c r="BA121" i="8"/>
  <c r="AH121" i="8"/>
  <c r="AG121" i="8"/>
  <c r="AF121" i="8"/>
  <c r="AE121" i="8"/>
  <c r="AD121" i="8"/>
  <c r="AA121" i="8"/>
  <c r="Z121" i="8"/>
  <c r="Y121" i="8"/>
  <c r="X121" i="8"/>
  <c r="W121" i="8"/>
  <c r="T121" i="8"/>
  <c r="S121" i="8"/>
  <c r="R121" i="8"/>
  <c r="Q121" i="8"/>
  <c r="P121" i="8"/>
  <c r="N121" i="8"/>
  <c r="G121" i="8"/>
  <c r="F121" i="8"/>
  <c r="BE120" i="8"/>
  <c r="BD120" i="8"/>
  <c r="BC120" i="8"/>
  <c r="BB120" i="8"/>
  <c r="BA120" i="8"/>
  <c r="AH120" i="8"/>
  <c r="AG120" i="8"/>
  <c r="AF120" i="8"/>
  <c r="AE120" i="8"/>
  <c r="AD120" i="8"/>
  <c r="AA120" i="8"/>
  <c r="Z120" i="8"/>
  <c r="Y120" i="8"/>
  <c r="X120" i="8"/>
  <c r="W120" i="8"/>
  <c r="T120" i="8"/>
  <c r="S120" i="8"/>
  <c r="R120" i="8"/>
  <c r="Q120" i="8"/>
  <c r="P120" i="8"/>
  <c r="N120" i="8"/>
  <c r="G120" i="8"/>
  <c r="F120" i="8"/>
  <c r="BE119" i="8"/>
  <c r="BD119" i="8"/>
  <c r="BC119" i="8"/>
  <c r="BB119" i="8"/>
  <c r="BA119" i="8"/>
  <c r="AH119" i="8"/>
  <c r="AG119" i="8"/>
  <c r="AF119" i="8"/>
  <c r="AE119" i="8"/>
  <c r="AD119" i="8"/>
  <c r="AA119" i="8"/>
  <c r="Z119" i="8"/>
  <c r="Y119" i="8"/>
  <c r="X119" i="8"/>
  <c r="W119" i="8"/>
  <c r="T119" i="8"/>
  <c r="S119" i="8"/>
  <c r="R119" i="8"/>
  <c r="Q119" i="8"/>
  <c r="P119" i="8"/>
  <c r="N119" i="8"/>
  <c r="G119" i="8"/>
  <c r="F119" i="8"/>
  <c r="BE118" i="8"/>
  <c r="BD118" i="8"/>
  <c r="BC118" i="8"/>
  <c r="BB118" i="8"/>
  <c r="BA118" i="8"/>
  <c r="AH118" i="8"/>
  <c r="AG118" i="8"/>
  <c r="AF118" i="8"/>
  <c r="AE118" i="8"/>
  <c r="AD118" i="8"/>
  <c r="AA118" i="8"/>
  <c r="Z118" i="8"/>
  <c r="Y118" i="8"/>
  <c r="X118" i="8"/>
  <c r="W118" i="8"/>
  <c r="T118" i="8"/>
  <c r="S118" i="8"/>
  <c r="R118" i="8"/>
  <c r="Q118" i="8"/>
  <c r="P118" i="8"/>
  <c r="N118" i="8"/>
  <c r="G118" i="8"/>
  <c r="F118" i="8"/>
  <c r="BE117" i="8"/>
  <c r="BD117" i="8"/>
  <c r="BC117" i="8"/>
  <c r="BB117" i="8"/>
  <c r="BA117" i="8"/>
  <c r="AH117" i="8"/>
  <c r="AG117" i="8"/>
  <c r="AF117" i="8"/>
  <c r="AE117" i="8"/>
  <c r="AD117" i="8"/>
  <c r="AA117" i="8"/>
  <c r="Z117" i="8"/>
  <c r="Y117" i="8"/>
  <c r="X117" i="8"/>
  <c r="W117" i="8"/>
  <c r="T117" i="8"/>
  <c r="S117" i="8"/>
  <c r="R117" i="8"/>
  <c r="Q117" i="8"/>
  <c r="P117" i="8"/>
  <c r="N117" i="8"/>
  <c r="G117" i="8"/>
  <c r="F117" i="8"/>
  <c r="BE116" i="8"/>
  <c r="BD116" i="8"/>
  <c r="BC116" i="8"/>
  <c r="BB116" i="8"/>
  <c r="BA116" i="8"/>
  <c r="AH116" i="8"/>
  <c r="AG116" i="8"/>
  <c r="AF116" i="8"/>
  <c r="AE116" i="8"/>
  <c r="AD116" i="8"/>
  <c r="AA116" i="8"/>
  <c r="Z116" i="8"/>
  <c r="Y116" i="8"/>
  <c r="X116" i="8"/>
  <c r="W116" i="8"/>
  <c r="T116" i="8"/>
  <c r="S116" i="8"/>
  <c r="R116" i="8"/>
  <c r="Q116" i="8"/>
  <c r="P116" i="8"/>
  <c r="N116" i="8"/>
  <c r="G116" i="8"/>
  <c r="F116" i="8"/>
  <c r="BE115" i="8"/>
  <c r="BD115" i="8"/>
  <c r="BC115" i="8"/>
  <c r="BB115" i="8"/>
  <c r="BA115" i="8"/>
  <c r="AH115" i="8"/>
  <c r="AG115" i="8"/>
  <c r="AF115" i="8"/>
  <c r="AE115" i="8"/>
  <c r="AD115" i="8"/>
  <c r="AA115" i="8"/>
  <c r="Z115" i="8"/>
  <c r="Y115" i="8"/>
  <c r="X115" i="8"/>
  <c r="W115" i="8"/>
  <c r="T115" i="8"/>
  <c r="S115" i="8"/>
  <c r="R115" i="8"/>
  <c r="Q115" i="8"/>
  <c r="P115" i="8"/>
  <c r="N115" i="8"/>
  <c r="G115" i="8"/>
  <c r="F115" i="8"/>
  <c r="BE114" i="8"/>
  <c r="BD114" i="8"/>
  <c r="BC114" i="8"/>
  <c r="BB114" i="8"/>
  <c r="BA114" i="8"/>
  <c r="AH114" i="8"/>
  <c r="AG114" i="8"/>
  <c r="AF114" i="8"/>
  <c r="AE114" i="8"/>
  <c r="AD114" i="8"/>
  <c r="AA114" i="8"/>
  <c r="Z114" i="8"/>
  <c r="Y114" i="8"/>
  <c r="X114" i="8"/>
  <c r="W114" i="8"/>
  <c r="T114" i="8"/>
  <c r="S114" i="8"/>
  <c r="R114" i="8"/>
  <c r="Q114" i="8"/>
  <c r="P114" i="8"/>
  <c r="N114" i="8"/>
  <c r="G114" i="8"/>
  <c r="F114" i="8"/>
  <c r="BE113" i="8"/>
  <c r="BD113" i="8"/>
  <c r="BC113" i="8"/>
  <c r="BB113" i="8"/>
  <c r="BA113" i="8"/>
  <c r="AH113" i="8"/>
  <c r="AG113" i="8"/>
  <c r="AF113" i="8"/>
  <c r="AE113" i="8"/>
  <c r="AD113" i="8"/>
  <c r="AA113" i="8"/>
  <c r="Z113" i="8"/>
  <c r="Y113" i="8"/>
  <c r="X113" i="8"/>
  <c r="W113" i="8"/>
  <c r="T113" i="8"/>
  <c r="S113" i="8"/>
  <c r="R113" i="8"/>
  <c r="Q113" i="8"/>
  <c r="P113" i="8"/>
  <c r="N113" i="8"/>
  <c r="G113" i="8"/>
  <c r="F113" i="8"/>
  <c r="BE112" i="8"/>
  <c r="BD112" i="8"/>
  <c r="BC112" i="8"/>
  <c r="BB112" i="8"/>
  <c r="BA112" i="8"/>
  <c r="AH112" i="8"/>
  <c r="AG112" i="8"/>
  <c r="AF112" i="8"/>
  <c r="AE112" i="8"/>
  <c r="AD112" i="8"/>
  <c r="AA112" i="8"/>
  <c r="Z112" i="8"/>
  <c r="Y112" i="8"/>
  <c r="X112" i="8"/>
  <c r="W112" i="8"/>
  <c r="T112" i="8"/>
  <c r="S112" i="8"/>
  <c r="R112" i="8"/>
  <c r="Q112" i="8"/>
  <c r="P112" i="8"/>
  <c r="N112" i="8"/>
  <c r="G112" i="8"/>
  <c r="F112" i="8"/>
  <c r="BE111" i="8"/>
  <c r="BD111" i="8"/>
  <c r="BC111" i="8"/>
  <c r="BB111" i="8"/>
  <c r="BA111" i="8"/>
  <c r="AH111" i="8"/>
  <c r="AG111" i="8"/>
  <c r="AF111" i="8"/>
  <c r="AE111" i="8"/>
  <c r="AD111" i="8"/>
  <c r="AA111" i="8"/>
  <c r="Z111" i="8"/>
  <c r="Y111" i="8"/>
  <c r="X111" i="8"/>
  <c r="W111" i="8"/>
  <c r="T111" i="8"/>
  <c r="S111" i="8"/>
  <c r="R111" i="8"/>
  <c r="Q111" i="8"/>
  <c r="P111" i="8"/>
  <c r="N111" i="8"/>
  <c r="G111" i="8"/>
  <c r="F111" i="8"/>
  <c r="BE110" i="8"/>
  <c r="BD110" i="8"/>
  <c r="BC110" i="8"/>
  <c r="BB110" i="8"/>
  <c r="BA110" i="8"/>
  <c r="AH110" i="8"/>
  <c r="AG110" i="8"/>
  <c r="AF110" i="8"/>
  <c r="AE110" i="8"/>
  <c r="AD110" i="8"/>
  <c r="AA110" i="8"/>
  <c r="Z110" i="8"/>
  <c r="Y110" i="8"/>
  <c r="X110" i="8"/>
  <c r="W110" i="8"/>
  <c r="T110" i="8"/>
  <c r="S110" i="8"/>
  <c r="R110" i="8"/>
  <c r="Q110" i="8"/>
  <c r="P110" i="8"/>
  <c r="N110" i="8"/>
  <c r="G110" i="8"/>
  <c r="F110" i="8"/>
  <c r="BE109" i="8"/>
  <c r="BD109" i="8"/>
  <c r="BC109" i="8"/>
  <c r="BB109" i="8"/>
  <c r="BA109" i="8"/>
  <c r="AH109" i="8"/>
  <c r="AG109" i="8"/>
  <c r="AF109" i="8"/>
  <c r="AE109" i="8"/>
  <c r="AD109" i="8"/>
  <c r="AA109" i="8"/>
  <c r="Z109" i="8"/>
  <c r="Y109" i="8"/>
  <c r="X109" i="8"/>
  <c r="W109" i="8"/>
  <c r="T109" i="8"/>
  <c r="S109" i="8"/>
  <c r="R109" i="8"/>
  <c r="Q109" i="8"/>
  <c r="P109" i="8"/>
  <c r="N109" i="8"/>
  <c r="G109" i="8"/>
  <c r="F109" i="8"/>
  <c r="BE108" i="8"/>
  <c r="BD108" i="8"/>
  <c r="BC108" i="8"/>
  <c r="BB108" i="8"/>
  <c r="BA108" i="8"/>
  <c r="AH108" i="8"/>
  <c r="AG108" i="8"/>
  <c r="AF108" i="8"/>
  <c r="AE108" i="8"/>
  <c r="AD108" i="8"/>
  <c r="AA108" i="8"/>
  <c r="Z108" i="8"/>
  <c r="Y108" i="8"/>
  <c r="X108" i="8"/>
  <c r="W108" i="8"/>
  <c r="T108" i="8"/>
  <c r="S108" i="8"/>
  <c r="R108" i="8"/>
  <c r="Q108" i="8"/>
  <c r="P108" i="8"/>
  <c r="N108" i="8"/>
  <c r="G108" i="8"/>
  <c r="F108" i="8"/>
  <c r="BE107" i="8"/>
  <c r="BD107" i="8"/>
  <c r="BC107" i="8"/>
  <c r="BB107" i="8"/>
  <c r="BA107" i="8"/>
  <c r="AH107" i="8"/>
  <c r="AG107" i="8"/>
  <c r="AF107" i="8"/>
  <c r="AE107" i="8"/>
  <c r="AD107" i="8"/>
  <c r="AA107" i="8"/>
  <c r="Z107" i="8"/>
  <c r="Y107" i="8"/>
  <c r="X107" i="8"/>
  <c r="W107" i="8"/>
  <c r="T107" i="8"/>
  <c r="S107" i="8"/>
  <c r="R107" i="8"/>
  <c r="Q107" i="8"/>
  <c r="P107" i="8"/>
  <c r="N107" i="8"/>
  <c r="G107" i="8"/>
  <c r="F107" i="8"/>
  <c r="BE106" i="8"/>
  <c r="BD106" i="8"/>
  <c r="BC106" i="8"/>
  <c r="BB106" i="8"/>
  <c r="BA106" i="8"/>
  <c r="AH106" i="8"/>
  <c r="AG106" i="8"/>
  <c r="AF106" i="8"/>
  <c r="AE106" i="8"/>
  <c r="AD106" i="8"/>
  <c r="AA106" i="8"/>
  <c r="Z106" i="8"/>
  <c r="Y106" i="8"/>
  <c r="X106" i="8"/>
  <c r="W106" i="8"/>
  <c r="T106" i="8"/>
  <c r="S106" i="8"/>
  <c r="R106" i="8"/>
  <c r="Q106" i="8"/>
  <c r="P106" i="8"/>
  <c r="N106" i="8"/>
  <c r="G106" i="8"/>
  <c r="F106" i="8"/>
  <c r="BE105" i="8"/>
  <c r="BD105" i="8"/>
  <c r="BC105" i="8"/>
  <c r="BB105" i="8"/>
  <c r="BA105" i="8"/>
  <c r="AH105" i="8"/>
  <c r="AG105" i="8"/>
  <c r="AF105" i="8"/>
  <c r="AE105" i="8"/>
  <c r="AD105" i="8"/>
  <c r="AA105" i="8"/>
  <c r="Z105" i="8"/>
  <c r="Y105" i="8"/>
  <c r="X105" i="8"/>
  <c r="W105" i="8"/>
  <c r="T105" i="8"/>
  <c r="S105" i="8"/>
  <c r="R105" i="8"/>
  <c r="Q105" i="8"/>
  <c r="P105" i="8"/>
  <c r="N105" i="8"/>
  <c r="G105" i="8"/>
  <c r="F105" i="8"/>
  <c r="BE104" i="8"/>
  <c r="BD104" i="8"/>
  <c r="BC104" i="8"/>
  <c r="BB104" i="8"/>
  <c r="BA104" i="8"/>
  <c r="AH104" i="8"/>
  <c r="AG104" i="8"/>
  <c r="AF104" i="8"/>
  <c r="AE104" i="8"/>
  <c r="AD104" i="8"/>
  <c r="AA104" i="8"/>
  <c r="Z104" i="8"/>
  <c r="Y104" i="8"/>
  <c r="X104" i="8"/>
  <c r="W104" i="8"/>
  <c r="T104" i="8"/>
  <c r="S104" i="8"/>
  <c r="R104" i="8"/>
  <c r="Q104" i="8"/>
  <c r="P104" i="8"/>
  <c r="N104" i="8"/>
  <c r="G104" i="8"/>
  <c r="F104" i="8"/>
  <c r="BN103" i="8"/>
  <c r="BM103" i="8"/>
  <c r="BL103" i="8"/>
  <c r="BK103" i="8"/>
  <c r="BJ103" i="8"/>
  <c r="BE103" i="8"/>
  <c r="BD103" i="8"/>
  <c r="BC103" i="8"/>
  <c r="BB103" i="8"/>
  <c r="BA103" i="8"/>
  <c r="AH103" i="8"/>
  <c r="AG103" i="8"/>
  <c r="AF103" i="8"/>
  <c r="AE103" i="8"/>
  <c r="AD103" i="8"/>
  <c r="AA103" i="8"/>
  <c r="Z103" i="8"/>
  <c r="Y103" i="8"/>
  <c r="X103" i="8"/>
  <c r="W103" i="8"/>
  <c r="T103" i="8"/>
  <c r="S103" i="8"/>
  <c r="R103" i="8"/>
  <c r="Q103" i="8"/>
  <c r="P103" i="8"/>
  <c r="N103" i="8"/>
  <c r="G103" i="8"/>
  <c r="F103" i="8"/>
  <c r="BN102" i="8"/>
  <c r="BM102" i="8"/>
  <c r="BL102" i="8"/>
  <c r="BK102" i="8"/>
  <c r="BJ102" i="8"/>
  <c r="BE102" i="8"/>
  <c r="BD102" i="8"/>
  <c r="BC102" i="8"/>
  <c r="BB102" i="8"/>
  <c r="BA102" i="8"/>
  <c r="AH102" i="8"/>
  <c r="AG102" i="8"/>
  <c r="AF102" i="8"/>
  <c r="AE102" i="8"/>
  <c r="AD102" i="8"/>
  <c r="AA102" i="8"/>
  <c r="Z102" i="8"/>
  <c r="Y102" i="8"/>
  <c r="X102" i="8"/>
  <c r="W102" i="8"/>
  <c r="T102" i="8"/>
  <c r="S102" i="8"/>
  <c r="R102" i="8"/>
  <c r="Q102" i="8"/>
  <c r="P102" i="8"/>
  <c r="N102" i="8"/>
  <c r="G102" i="8"/>
  <c r="F102" i="8"/>
  <c r="BN101" i="8"/>
  <c r="BM101" i="8"/>
  <c r="BL101" i="8"/>
  <c r="BK101" i="8"/>
  <c r="BJ101" i="8"/>
  <c r="BE101" i="8"/>
  <c r="BD101" i="8"/>
  <c r="BC101" i="8"/>
  <c r="BB101" i="8"/>
  <c r="BA101" i="8"/>
  <c r="AH101" i="8"/>
  <c r="AG101" i="8"/>
  <c r="AF101" i="8"/>
  <c r="AE101" i="8"/>
  <c r="AD101" i="8"/>
  <c r="AA101" i="8"/>
  <c r="Z101" i="8"/>
  <c r="Y101" i="8"/>
  <c r="X101" i="8"/>
  <c r="W101" i="8"/>
  <c r="T101" i="8"/>
  <c r="S101" i="8"/>
  <c r="R101" i="8"/>
  <c r="Q101" i="8"/>
  <c r="P101" i="8"/>
  <c r="N101" i="8"/>
  <c r="G101" i="8"/>
  <c r="F101" i="8"/>
  <c r="BN100" i="8"/>
  <c r="BM100" i="8"/>
  <c r="BL100" i="8"/>
  <c r="BK100" i="8"/>
  <c r="BJ100" i="8"/>
  <c r="BE100" i="8"/>
  <c r="BD100" i="8"/>
  <c r="BC100" i="8"/>
  <c r="BB100" i="8"/>
  <c r="BA100" i="8"/>
  <c r="AH100" i="8"/>
  <c r="AG100" i="8"/>
  <c r="AF100" i="8"/>
  <c r="AE100" i="8"/>
  <c r="AD100" i="8"/>
  <c r="AA100" i="8"/>
  <c r="Z100" i="8"/>
  <c r="Y100" i="8"/>
  <c r="X100" i="8"/>
  <c r="W100" i="8"/>
  <c r="T100" i="8"/>
  <c r="S100" i="8"/>
  <c r="R100" i="8"/>
  <c r="Q100" i="8"/>
  <c r="P100" i="8"/>
  <c r="N100" i="8"/>
  <c r="G100" i="8"/>
  <c r="F100" i="8"/>
  <c r="BN99" i="8"/>
  <c r="BM99" i="8"/>
  <c r="BL99" i="8"/>
  <c r="BK99" i="8"/>
  <c r="BJ99" i="8"/>
  <c r="BE99" i="8"/>
  <c r="BD99" i="8"/>
  <c r="BC99" i="8"/>
  <c r="BB99" i="8"/>
  <c r="BA99" i="8"/>
  <c r="AH99" i="8"/>
  <c r="AG99" i="8"/>
  <c r="AF99" i="8"/>
  <c r="AE99" i="8"/>
  <c r="AD99" i="8"/>
  <c r="AA99" i="8"/>
  <c r="Z99" i="8"/>
  <c r="Y99" i="8"/>
  <c r="X99" i="8"/>
  <c r="W99" i="8"/>
  <c r="T99" i="8"/>
  <c r="S99" i="8"/>
  <c r="R99" i="8"/>
  <c r="Q99" i="8"/>
  <c r="P99" i="8"/>
  <c r="N99" i="8"/>
  <c r="G99" i="8"/>
  <c r="F99" i="8"/>
  <c r="BN98" i="8"/>
  <c r="BM98" i="8"/>
  <c r="BL98" i="8"/>
  <c r="BK98" i="8"/>
  <c r="BJ98" i="8"/>
  <c r="BE98" i="8"/>
  <c r="BD98" i="8"/>
  <c r="BC98" i="8"/>
  <c r="BB98" i="8"/>
  <c r="BA98" i="8"/>
  <c r="AH98" i="8"/>
  <c r="AG98" i="8"/>
  <c r="AF98" i="8"/>
  <c r="AE98" i="8"/>
  <c r="AD98" i="8"/>
  <c r="AA98" i="8"/>
  <c r="Z98" i="8"/>
  <c r="Y98" i="8"/>
  <c r="X98" i="8"/>
  <c r="W98" i="8"/>
  <c r="T98" i="8"/>
  <c r="S98" i="8"/>
  <c r="R98" i="8"/>
  <c r="Q98" i="8"/>
  <c r="P98" i="8"/>
  <c r="N98" i="8"/>
  <c r="G98" i="8"/>
  <c r="F98" i="8"/>
  <c r="BN97" i="8"/>
  <c r="BM97" i="8"/>
  <c r="BL97" i="8"/>
  <c r="BK97" i="8"/>
  <c r="BJ97" i="8"/>
  <c r="BE97" i="8"/>
  <c r="BD97" i="8"/>
  <c r="BC97" i="8"/>
  <c r="BB97" i="8"/>
  <c r="BA97" i="8"/>
  <c r="AH97" i="8"/>
  <c r="AG97" i="8"/>
  <c r="AF97" i="8"/>
  <c r="AE97" i="8"/>
  <c r="AD97" i="8"/>
  <c r="AA97" i="8"/>
  <c r="Z97" i="8"/>
  <c r="Y97" i="8"/>
  <c r="X97" i="8"/>
  <c r="W97" i="8"/>
  <c r="T97" i="8"/>
  <c r="S97" i="8"/>
  <c r="R97" i="8"/>
  <c r="Q97" i="8"/>
  <c r="P97" i="8"/>
  <c r="N97" i="8"/>
  <c r="G97" i="8"/>
  <c r="F97" i="8"/>
  <c r="BN96" i="8"/>
  <c r="BM96" i="8"/>
  <c r="BL96" i="8"/>
  <c r="BK96" i="8"/>
  <c r="BJ96" i="8"/>
  <c r="BE96" i="8"/>
  <c r="BD96" i="8"/>
  <c r="BC96" i="8"/>
  <c r="BB96" i="8"/>
  <c r="BA96" i="8"/>
  <c r="AH96" i="8"/>
  <c r="AG96" i="8"/>
  <c r="AF96" i="8"/>
  <c r="AE96" i="8"/>
  <c r="AD96" i="8"/>
  <c r="AA96" i="8"/>
  <c r="Z96" i="8"/>
  <c r="Y96" i="8"/>
  <c r="X96" i="8"/>
  <c r="W96" i="8"/>
  <c r="T96" i="8"/>
  <c r="S96" i="8"/>
  <c r="R96" i="8"/>
  <c r="Q96" i="8"/>
  <c r="P96" i="8"/>
  <c r="N96" i="8"/>
  <c r="G96" i="8"/>
  <c r="F96" i="8"/>
  <c r="BN95" i="8"/>
  <c r="BM95" i="8"/>
  <c r="BL95" i="8"/>
  <c r="BK95" i="8"/>
  <c r="BJ95" i="8"/>
  <c r="BE95" i="8"/>
  <c r="BD95" i="8"/>
  <c r="BC95" i="8"/>
  <c r="BB95" i="8"/>
  <c r="BA95" i="8"/>
  <c r="AH95" i="8"/>
  <c r="AG95" i="8"/>
  <c r="AF95" i="8"/>
  <c r="AE95" i="8"/>
  <c r="AD95" i="8"/>
  <c r="AA95" i="8"/>
  <c r="Z95" i="8"/>
  <c r="Y95" i="8"/>
  <c r="X95" i="8"/>
  <c r="W95" i="8"/>
  <c r="T95" i="8"/>
  <c r="S95" i="8"/>
  <c r="R95" i="8"/>
  <c r="Q95" i="8"/>
  <c r="P95" i="8"/>
  <c r="N95" i="8"/>
  <c r="G95" i="8"/>
  <c r="F95" i="8"/>
  <c r="BN94" i="8"/>
  <c r="BM94" i="8"/>
  <c r="BL94" i="8"/>
  <c r="BK94" i="8"/>
  <c r="BJ94" i="8"/>
  <c r="BE94" i="8"/>
  <c r="BD94" i="8"/>
  <c r="BC94" i="8"/>
  <c r="BB94" i="8"/>
  <c r="BA94" i="8"/>
  <c r="AH94" i="8"/>
  <c r="AG94" i="8"/>
  <c r="AF94" i="8"/>
  <c r="AE94" i="8"/>
  <c r="AD94" i="8"/>
  <c r="AA94" i="8"/>
  <c r="Z94" i="8"/>
  <c r="Y94" i="8"/>
  <c r="X94" i="8"/>
  <c r="W94" i="8"/>
  <c r="T94" i="8"/>
  <c r="S94" i="8"/>
  <c r="R94" i="8"/>
  <c r="Q94" i="8"/>
  <c r="P94" i="8"/>
  <c r="N94" i="8"/>
  <c r="G94" i="8"/>
  <c r="F94" i="8"/>
  <c r="BN93" i="8"/>
  <c r="BM93" i="8"/>
  <c r="BL93" i="8"/>
  <c r="BK93" i="8"/>
  <c r="BJ93" i="8"/>
  <c r="BE93" i="8"/>
  <c r="BD93" i="8"/>
  <c r="BC93" i="8"/>
  <c r="BB93" i="8"/>
  <c r="BA93" i="8"/>
  <c r="AH93" i="8"/>
  <c r="AG93" i="8"/>
  <c r="AF93" i="8"/>
  <c r="AE93" i="8"/>
  <c r="AD93" i="8"/>
  <c r="AA93" i="8"/>
  <c r="Z93" i="8"/>
  <c r="Y93" i="8"/>
  <c r="X93" i="8"/>
  <c r="W93" i="8"/>
  <c r="T93" i="8"/>
  <c r="S93" i="8"/>
  <c r="R93" i="8"/>
  <c r="Q93" i="8"/>
  <c r="P93" i="8"/>
  <c r="N93" i="8"/>
  <c r="G93" i="8"/>
  <c r="F93" i="8"/>
  <c r="BN92" i="8"/>
  <c r="BM92" i="8"/>
  <c r="BL92" i="8"/>
  <c r="BK92" i="8"/>
  <c r="BJ92" i="8"/>
  <c r="BE92" i="8"/>
  <c r="BD92" i="8"/>
  <c r="BC92" i="8"/>
  <c r="BB92" i="8"/>
  <c r="BA92" i="8"/>
  <c r="AH92" i="8"/>
  <c r="AG92" i="8"/>
  <c r="AF92" i="8"/>
  <c r="AE92" i="8"/>
  <c r="AD92" i="8"/>
  <c r="AA92" i="8"/>
  <c r="Z92" i="8"/>
  <c r="Y92" i="8"/>
  <c r="X92" i="8"/>
  <c r="W92" i="8"/>
  <c r="T92" i="8"/>
  <c r="S92" i="8"/>
  <c r="R92" i="8"/>
  <c r="Q92" i="8"/>
  <c r="P92" i="8"/>
  <c r="N92" i="8"/>
  <c r="G92" i="8"/>
  <c r="F92" i="8"/>
  <c r="BN91" i="8"/>
  <c r="BM91" i="8"/>
  <c r="BL91" i="8"/>
  <c r="BK91" i="8"/>
  <c r="BJ91" i="8"/>
  <c r="BE91" i="8"/>
  <c r="BD91" i="8"/>
  <c r="BC91" i="8"/>
  <c r="BB91" i="8"/>
  <c r="BA91" i="8"/>
  <c r="AH91" i="8"/>
  <c r="AG91" i="8"/>
  <c r="AF91" i="8"/>
  <c r="AE91" i="8"/>
  <c r="AD91" i="8"/>
  <c r="AA91" i="8"/>
  <c r="Z91" i="8"/>
  <c r="Y91" i="8"/>
  <c r="X91" i="8"/>
  <c r="W91" i="8"/>
  <c r="T91" i="8"/>
  <c r="S91" i="8"/>
  <c r="R91" i="8"/>
  <c r="Q91" i="8"/>
  <c r="P91" i="8"/>
  <c r="N91" i="8"/>
  <c r="G91" i="8"/>
  <c r="F91" i="8"/>
  <c r="BN90" i="8"/>
  <c r="BM90" i="8"/>
  <c r="BL90" i="8"/>
  <c r="BK90" i="8"/>
  <c r="BJ90" i="8"/>
  <c r="BE90" i="8"/>
  <c r="BD90" i="8"/>
  <c r="BC90" i="8"/>
  <c r="BB90" i="8"/>
  <c r="BA90" i="8"/>
  <c r="AH90" i="8"/>
  <c r="AG90" i="8"/>
  <c r="AF90" i="8"/>
  <c r="AE90" i="8"/>
  <c r="AD90" i="8"/>
  <c r="AA90" i="8"/>
  <c r="Z90" i="8"/>
  <c r="Y90" i="8"/>
  <c r="X90" i="8"/>
  <c r="W90" i="8"/>
  <c r="T90" i="8"/>
  <c r="S90" i="8"/>
  <c r="R90" i="8"/>
  <c r="Q90" i="8"/>
  <c r="P90" i="8"/>
  <c r="N90" i="8"/>
  <c r="G90" i="8"/>
  <c r="F90" i="8"/>
  <c r="BN89" i="8"/>
  <c r="BM89" i="8"/>
  <c r="BL89" i="8"/>
  <c r="BK89" i="8"/>
  <c r="BJ89" i="8"/>
  <c r="BE89" i="8"/>
  <c r="BD89" i="8"/>
  <c r="BC89" i="8"/>
  <c r="BB89" i="8"/>
  <c r="BA89" i="8"/>
  <c r="AH89" i="8"/>
  <c r="AG89" i="8"/>
  <c r="AF89" i="8"/>
  <c r="AE89" i="8"/>
  <c r="AD89" i="8"/>
  <c r="AA89" i="8"/>
  <c r="Z89" i="8"/>
  <c r="Y89" i="8"/>
  <c r="X89" i="8"/>
  <c r="W89" i="8"/>
  <c r="T89" i="8"/>
  <c r="S89" i="8"/>
  <c r="R89" i="8"/>
  <c r="Q89" i="8"/>
  <c r="P89" i="8"/>
  <c r="N89" i="8"/>
  <c r="G89" i="8"/>
  <c r="F89" i="8"/>
  <c r="BN88" i="8"/>
  <c r="BM88" i="8"/>
  <c r="BL88" i="8"/>
  <c r="BK88" i="8"/>
  <c r="BJ88" i="8"/>
  <c r="BE88" i="8"/>
  <c r="BD88" i="8"/>
  <c r="BC88" i="8"/>
  <c r="BB88" i="8"/>
  <c r="BA88" i="8"/>
  <c r="AH88" i="8"/>
  <c r="AG88" i="8"/>
  <c r="AF88" i="8"/>
  <c r="AE88" i="8"/>
  <c r="AD88" i="8"/>
  <c r="AA88" i="8"/>
  <c r="Z88" i="8"/>
  <c r="Y88" i="8"/>
  <c r="X88" i="8"/>
  <c r="W88" i="8"/>
  <c r="T88" i="8"/>
  <c r="S88" i="8"/>
  <c r="R88" i="8"/>
  <c r="Q88" i="8"/>
  <c r="P88" i="8"/>
  <c r="N88" i="8"/>
  <c r="G88" i="8"/>
  <c r="F88" i="8"/>
  <c r="BN87" i="8"/>
  <c r="BM87" i="8"/>
  <c r="BL87" i="8"/>
  <c r="BK87" i="8"/>
  <c r="BJ87" i="8"/>
  <c r="BE87" i="8"/>
  <c r="BD87" i="8"/>
  <c r="BC87" i="8"/>
  <c r="BB87" i="8"/>
  <c r="BA87" i="8"/>
  <c r="AH87" i="8"/>
  <c r="AG87" i="8"/>
  <c r="AF87" i="8"/>
  <c r="AE87" i="8"/>
  <c r="AD87" i="8"/>
  <c r="AA87" i="8"/>
  <c r="Z87" i="8"/>
  <c r="Y87" i="8"/>
  <c r="X87" i="8"/>
  <c r="W87" i="8"/>
  <c r="T87" i="8"/>
  <c r="S87" i="8"/>
  <c r="R87" i="8"/>
  <c r="Q87" i="8"/>
  <c r="P87" i="8"/>
  <c r="N87" i="8"/>
  <c r="G87" i="8"/>
  <c r="F87" i="8"/>
  <c r="BN86" i="8"/>
  <c r="BM86" i="8"/>
  <c r="BL86" i="8"/>
  <c r="BK86" i="8"/>
  <c r="BJ86" i="8"/>
  <c r="BE86" i="8"/>
  <c r="BD86" i="8"/>
  <c r="BC86" i="8"/>
  <c r="BB86" i="8"/>
  <c r="BA86" i="8"/>
  <c r="AH86" i="8"/>
  <c r="AG86" i="8"/>
  <c r="AF86" i="8"/>
  <c r="AE86" i="8"/>
  <c r="AD86" i="8"/>
  <c r="AA86" i="8"/>
  <c r="Z86" i="8"/>
  <c r="Y86" i="8"/>
  <c r="X86" i="8"/>
  <c r="W86" i="8"/>
  <c r="T86" i="8"/>
  <c r="S86" i="8"/>
  <c r="R86" i="8"/>
  <c r="Q86" i="8"/>
  <c r="P86" i="8"/>
  <c r="N86" i="8"/>
  <c r="G86" i="8"/>
  <c r="F86" i="8"/>
  <c r="BN85" i="8"/>
  <c r="BM85" i="8"/>
  <c r="BL85" i="8"/>
  <c r="BK85" i="8"/>
  <c r="BJ85" i="8"/>
  <c r="BE85" i="8"/>
  <c r="BD85" i="8"/>
  <c r="BC85" i="8"/>
  <c r="BB85" i="8"/>
  <c r="BA85" i="8"/>
  <c r="AH85" i="8"/>
  <c r="AG85" i="8"/>
  <c r="AF85" i="8"/>
  <c r="AE85" i="8"/>
  <c r="AD85" i="8"/>
  <c r="AA85" i="8"/>
  <c r="Z85" i="8"/>
  <c r="Y85" i="8"/>
  <c r="X85" i="8"/>
  <c r="W85" i="8"/>
  <c r="T85" i="8"/>
  <c r="S85" i="8"/>
  <c r="R85" i="8"/>
  <c r="Q85" i="8"/>
  <c r="P85" i="8"/>
  <c r="N85" i="8"/>
  <c r="G85" i="8"/>
  <c r="F85" i="8"/>
  <c r="BN84" i="8"/>
  <c r="BM84" i="8"/>
  <c r="BL84" i="8"/>
  <c r="BK84" i="8"/>
  <c r="BJ84" i="8"/>
  <c r="BE84" i="8"/>
  <c r="BD84" i="8"/>
  <c r="BC84" i="8"/>
  <c r="BB84" i="8"/>
  <c r="BA84" i="8"/>
  <c r="AH84" i="8"/>
  <c r="AG84" i="8"/>
  <c r="AF84" i="8"/>
  <c r="AE84" i="8"/>
  <c r="AD84" i="8"/>
  <c r="AA84" i="8"/>
  <c r="Z84" i="8"/>
  <c r="Y84" i="8"/>
  <c r="X84" i="8"/>
  <c r="W84" i="8"/>
  <c r="T84" i="8"/>
  <c r="S84" i="8"/>
  <c r="R84" i="8"/>
  <c r="Q84" i="8"/>
  <c r="P84" i="8"/>
  <c r="N84" i="8"/>
  <c r="G84" i="8"/>
  <c r="F84" i="8"/>
  <c r="BN83" i="8"/>
  <c r="BM83" i="8"/>
  <c r="BL83" i="8"/>
  <c r="BK83" i="8"/>
  <c r="BJ83" i="8"/>
  <c r="BE83" i="8"/>
  <c r="BD83" i="8"/>
  <c r="BC83" i="8"/>
  <c r="BB83" i="8"/>
  <c r="BA83" i="8"/>
  <c r="AH83" i="8"/>
  <c r="AG83" i="8"/>
  <c r="AF83" i="8"/>
  <c r="AE83" i="8"/>
  <c r="AD83" i="8"/>
  <c r="AA83" i="8"/>
  <c r="Z83" i="8"/>
  <c r="Y83" i="8"/>
  <c r="X83" i="8"/>
  <c r="W83" i="8"/>
  <c r="T83" i="8"/>
  <c r="S83" i="8"/>
  <c r="R83" i="8"/>
  <c r="Q83" i="8"/>
  <c r="P83" i="8"/>
  <c r="N83" i="8"/>
  <c r="G83" i="8"/>
  <c r="F83" i="8"/>
  <c r="BN82" i="8"/>
  <c r="BM82" i="8"/>
  <c r="BL82" i="8"/>
  <c r="BK82" i="8"/>
  <c r="BJ82" i="8"/>
  <c r="BE82" i="8"/>
  <c r="BD82" i="8"/>
  <c r="BC82" i="8"/>
  <c r="BB82" i="8"/>
  <c r="BA82" i="8"/>
  <c r="AH82" i="8"/>
  <c r="AG82" i="8"/>
  <c r="AF82" i="8"/>
  <c r="AE82" i="8"/>
  <c r="AD82" i="8"/>
  <c r="AA82" i="8"/>
  <c r="Z82" i="8"/>
  <c r="Y82" i="8"/>
  <c r="X82" i="8"/>
  <c r="W82" i="8"/>
  <c r="T82" i="8"/>
  <c r="S82" i="8"/>
  <c r="R82" i="8"/>
  <c r="Q82" i="8"/>
  <c r="P82" i="8"/>
  <c r="N82" i="8"/>
  <c r="G82" i="8"/>
  <c r="F82" i="8"/>
  <c r="BN81" i="8"/>
  <c r="BM81" i="8"/>
  <c r="BL81" i="8"/>
  <c r="BK81" i="8"/>
  <c r="BJ81" i="8"/>
  <c r="BE81" i="8"/>
  <c r="BD81" i="8"/>
  <c r="BC81" i="8"/>
  <c r="BB81" i="8"/>
  <c r="BA81" i="8"/>
  <c r="AH81" i="8"/>
  <c r="AG81" i="8"/>
  <c r="AF81" i="8"/>
  <c r="AE81" i="8"/>
  <c r="AD81" i="8"/>
  <c r="AA81" i="8"/>
  <c r="Z81" i="8"/>
  <c r="Y81" i="8"/>
  <c r="X81" i="8"/>
  <c r="W81" i="8"/>
  <c r="T81" i="8"/>
  <c r="S81" i="8"/>
  <c r="R81" i="8"/>
  <c r="Q81" i="8"/>
  <c r="P81" i="8"/>
  <c r="N81" i="8"/>
  <c r="G81" i="8"/>
  <c r="F81" i="8"/>
  <c r="BN80" i="8"/>
  <c r="BM80" i="8"/>
  <c r="BL80" i="8"/>
  <c r="BK80" i="8"/>
  <c r="BJ80" i="8"/>
  <c r="BE80" i="8"/>
  <c r="BD80" i="8"/>
  <c r="BC80" i="8"/>
  <c r="BB80" i="8"/>
  <c r="BA80" i="8"/>
  <c r="AH80" i="8"/>
  <c r="AG80" i="8"/>
  <c r="AF80" i="8"/>
  <c r="AE80" i="8"/>
  <c r="AD80" i="8"/>
  <c r="AA80" i="8"/>
  <c r="Z80" i="8"/>
  <c r="Y80" i="8"/>
  <c r="X80" i="8"/>
  <c r="W80" i="8"/>
  <c r="T80" i="8"/>
  <c r="S80" i="8"/>
  <c r="R80" i="8"/>
  <c r="Q80" i="8"/>
  <c r="P80" i="8"/>
  <c r="N80" i="8"/>
  <c r="G80" i="8"/>
  <c r="F80" i="8"/>
  <c r="BN79" i="8"/>
  <c r="BM79" i="8"/>
  <c r="BL79" i="8"/>
  <c r="BK79" i="8"/>
  <c r="BJ79" i="8"/>
  <c r="BE79" i="8"/>
  <c r="BD79" i="8"/>
  <c r="BC79" i="8"/>
  <c r="BB79" i="8"/>
  <c r="BA79" i="8"/>
  <c r="AH79" i="8"/>
  <c r="AG79" i="8"/>
  <c r="AF79" i="8"/>
  <c r="AE79" i="8"/>
  <c r="AD79" i="8"/>
  <c r="AA79" i="8"/>
  <c r="Z79" i="8"/>
  <c r="Y79" i="8"/>
  <c r="X79" i="8"/>
  <c r="W79" i="8"/>
  <c r="T79" i="8"/>
  <c r="S79" i="8"/>
  <c r="R79" i="8"/>
  <c r="Q79" i="8"/>
  <c r="P79" i="8"/>
  <c r="N79" i="8"/>
  <c r="G79" i="8"/>
  <c r="F79" i="8"/>
  <c r="BN78" i="8"/>
  <c r="BM78" i="8"/>
  <c r="BL78" i="8"/>
  <c r="BK78" i="8"/>
  <c r="BJ78" i="8"/>
  <c r="BE78" i="8"/>
  <c r="BD78" i="8"/>
  <c r="BC78" i="8"/>
  <c r="BB78" i="8"/>
  <c r="BA78" i="8"/>
  <c r="AH78" i="8"/>
  <c r="AG78" i="8"/>
  <c r="AF78" i="8"/>
  <c r="AE78" i="8"/>
  <c r="AD78" i="8"/>
  <c r="AA78" i="8"/>
  <c r="Z78" i="8"/>
  <c r="Y78" i="8"/>
  <c r="X78" i="8"/>
  <c r="W78" i="8"/>
  <c r="T78" i="8"/>
  <c r="S78" i="8"/>
  <c r="R78" i="8"/>
  <c r="Q78" i="8"/>
  <c r="P78" i="8"/>
  <c r="N78" i="8"/>
  <c r="G78" i="8"/>
  <c r="F78" i="8"/>
  <c r="BN77" i="8"/>
  <c r="BM77" i="8"/>
  <c r="BL77" i="8"/>
  <c r="BK77" i="8"/>
  <c r="BJ77" i="8"/>
  <c r="BE77" i="8"/>
  <c r="BD77" i="8"/>
  <c r="BC77" i="8"/>
  <c r="BB77" i="8"/>
  <c r="BA77" i="8"/>
  <c r="AH77" i="8"/>
  <c r="AG77" i="8"/>
  <c r="AF77" i="8"/>
  <c r="AE77" i="8"/>
  <c r="AD77" i="8"/>
  <c r="AA77" i="8"/>
  <c r="Z77" i="8"/>
  <c r="Y77" i="8"/>
  <c r="X77" i="8"/>
  <c r="W77" i="8"/>
  <c r="T77" i="8"/>
  <c r="S77" i="8"/>
  <c r="R77" i="8"/>
  <c r="Q77" i="8"/>
  <c r="P77" i="8"/>
  <c r="N77" i="8"/>
  <c r="G77" i="8"/>
  <c r="F77" i="8"/>
  <c r="BN76" i="8"/>
  <c r="BM76" i="8"/>
  <c r="BL76" i="8"/>
  <c r="BK76" i="8"/>
  <c r="BJ76" i="8"/>
  <c r="BE76" i="8"/>
  <c r="BD76" i="8"/>
  <c r="BC76" i="8"/>
  <c r="BB76" i="8"/>
  <c r="BA76" i="8"/>
  <c r="AH76" i="8"/>
  <c r="AG76" i="8"/>
  <c r="AF76" i="8"/>
  <c r="AE76" i="8"/>
  <c r="AD76" i="8"/>
  <c r="AA76" i="8"/>
  <c r="Z76" i="8"/>
  <c r="Y76" i="8"/>
  <c r="X76" i="8"/>
  <c r="W76" i="8"/>
  <c r="T76" i="8"/>
  <c r="S76" i="8"/>
  <c r="R76" i="8"/>
  <c r="Q76" i="8"/>
  <c r="P76" i="8"/>
  <c r="N76" i="8"/>
  <c r="G76" i="8"/>
  <c r="F76" i="8"/>
  <c r="BN75" i="8"/>
  <c r="BM75" i="8"/>
  <c r="BL75" i="8"/>
  <c r="BK75" i="8"/>
  <c r="BJ75" i="8"/>
  <c r="BE75" i="8"/>
  <c r="BD75" i="8"/>
  <c r="BC75" i="8"/>
  <c r="BB75" i="8"/>
  <c r="BA75" i="8"/>
  <c r="AH75" i="8"/>
  <c r="AG75" i="8"/>
  <c r="AF75" i="8"/>
  <c r="AE75" i="8"/>
  <c r="AD75" i="8"/>
  <c r="AA75" i="8"/>
  <c r="Z75" i="8"/>
  <c r="Y75" i="8"/>
  <c r="X75" i="8"/>
  <c r="W75" i="8"/>
  <c r="T75" i="8"/>
  <c r="S75" i="8"/>
  <c r="R75" i="8"/>
  <c r="Q75" i="8"/>
  <c r="P75" i="8"/>
  <c r="N75" i="8"/>
  <c r="G75" i="8"/>
  <c r="F75" i="8"/>
  <c r="BN74" i="8"/>
  <c r="BM74" i="8"/>
  <c r="BL74" i="8"/>
  <c r="BK74" i="8"/>
  <c r="BJ74" i="8"/>
  <c r="BE74" i="8"/>
  <c r="BD74" i="8"/>
  <c r="BC74" i="8"/>
  <c r="BB74" i="8"/>
  <c r="BA74" i="8"/>
  <c r="AH74" i="8"/>
  <c r="AG74" i="8"/>
  <c r="AF74" i="8"/>
  <c r="AE74" i="8"/>
  <c r="AD74" i="8"/>
  <c r="AA74" i="8"/>
  <c r="Z74" i="8"/>
  <c r="Y74" i="8"/>
  <c r="X74" i="8"/>
  <c r="W74" i="8"/>
  <c r="T74" i="8"/>
  <c r="S74" i="8"/>
  <c r="R74" i="8"/>
  <c r="Q74" i="8"/>
  <c r="P74" i="8"/>
  <c r="N74" i="8"/>
  <c r="G74" i="8"/>
  <c r="F74" i="8"/>
  <c r="BN73" i="8"/>
  <c r="BM73" i="8"/>
  <c r="BL73" i="8"/>
  <c r="BK73" i="8"/>
  <c r="BJ73" i="8"/>
  <c r="BE73" i="8"/>
  <c r="BD73" i="8"/>
  <c r="BC73" i="8"/>
  <c r="BB73" i="8"/>
  <c r="BA73" i="8"/>
  <c r="AH73" i="8"/>
  <c r="AG73" i="8"/>
  <c r="AF73" i="8"/>
  <c r="AE73" i="8"/>
  <c r="AD73" i="8"/>
  <c r="AA73" i="8"/>
  <c r="Z73" i="8"/>
  <c r="Y73" i="8"/>
  <c r="X73" i="8"/>
  <c r="W73" i="8"/>
  <c r="T73" i="8"/>
  <c r="S73" i="8"/>
  <c r="R73" i="8"/>
  <c r="Q73" i="8"/>
  <c r="P73" i="8"/>
  <c r="N73" i="8"/>
  <c r="G73" i="8"/>
  <c r="F73" i="8"/>
  <c r="BN72" i="8"/>
  <c r="BM72" i="8"/>
  <c r="BL72" i="8"/>
  <c r="BK72" i="8"/>
  <c r="BJ72" i="8"/>
  <c r="BE72" i="8"/>
  <c r="BD72" i="8"/>
  <c r="BC72" i="8"/>
  <c r="BB72" i="8"/>
  <c r="BA72" i="8"/>
  <c r="AH72" i="8"/>
  <c r="AG72" i="8"/>
  <c r="AF72" i="8"/>
  <c r="AE72" i="8"/>
  <c r="AD72" i="8"/>
  <c r="AA72" i="8"/>
  <c r="Z72" i="8"/>
  <c r="Y72" i="8"/>
  <c r="X72" i="8"/>
  <c r="W72" i="8"/>
  <c r="T72" i="8"/>
  <c r="S72" i="8"/>
  <c r="R72" i="8"/>
  <c r="Q72" i="8"/>
  <c r="P72" i="8"/>
  <c r="N72" i="8"/>
  <c r="G72" i="8"/>
  <c r="F72" i="8"/>
  <c r="BN71" i="8"/>
  <c r="BM71" i="8"/>
  <c r="BL71" i="8"/>
  <c r="BK71" i="8"/>
  <c r="BJ71" i="8"/>
  <c r="BE71" i="8"/>
  <c r="BD71" i="8"/>
  <c r="BC71" i="8"/>
  <c r="BB71" i="8"/>
  <c r="BA71" i="8"/>
  <c r="AH71" i="8"/>
  <c r="AG71" i="8"/>
  <c r="AF71" i="8"/>
  <c r="AE71" i="8"/>
  <c r="AD71" i="8"/>
  <c r="AA71" i="8"/>
  <c r="Z71" i="8"/>
  <c r="Y71" i="8"/>
  <c r="X71" i="8"/>
  <c r="W71" i="8"/>
  <c r="T71" i="8"/>
  <c r="S71" i="8"/>
  <c r="R71" i="8"/>
  <c r="Q71" i="8"/>
  <c r="P71" i="8"/>
  <c r="N71" i="8"/>
  <c r="G71" i="8"/>
  <c r="F71" i="8"/>
  <c r="BN70" i="8"/>
  <c r="BM70" i="8"/>
  <c r="BL70" i="8"/>
  <c r="BK70" i="8"/>
  <c r="BJ70" i="8"/>
  <c r="BE70" i="8"/>
  <c r="BD70" i="8"/>
  <c r="BC70" i="8"/>
  <c r="BB70" i="8"/>
  <c r="BA70" i="8"/>
  <c r="AH70" i="8"/>
  <c r="AG70" i="8"/>
  <c r="AF70" i="8"/>
  <c r="AE70" i="8"/>
  <c r="AD70" i="8"/>
  <c r="AA70" i="8"/>
  <c r="Z70" i="8"/>
  <c r="Y70" i="8"/>
  <c r="X70" i="8"/>
  <c r="W70" i="8"/>
  <c r="T70" i="8"/>
  <c r="S70" i="8"/>
  <c r="R70" i="8"/>
  <c r="Q70" i="8"/>
  <c r="P70" i="8"/>
  <c r="N70" i="8"/>
  <c r="G70" i="8"/>
  <c r="F70" i="8"/>
  <c r="BN69" i="8"/>
  <c r="BM69" i="8"/>
  <c r="BL69" i="8"/>
  <c r="BK69" i="8"/>
  <c r="BJ69" i="8"/>
  <c r="BE69" i="8"/>
  <c r="BD69" i="8"/>
  <c r="BC69" i="8"/>
  <c r="BB69" i="8"/>
  <c r="BA69" i="8"/>
  <c r="AH69" i="8"/>
  <c r="AG69" i="8"/>
  <c r="AF69" i="8"/>
  <c r="AE69" i="8"/>
  <c r="AD69" i="8"/>
  <c r="AA69" i="8"/>
  <c r="Z69" i="8"/>
  <c r="Y69" i="8"/>
  <c r="X69" i="8"/>
  <c r="W69" i="8"/>
  <c r="T69" i="8"/>
  <c r="S69" i="8"/>
  <c r="R69" i="8"/>
  <c r="Q69" i="8"/>
  <c r="P69" i="8"/>
  <c r="N69" i="8"/>
  <c r="G69" i="8"/>
  <c r="F69" i="8"/>
  <c r="BN68" i="8"/>
  <c r="BM68" i="8"/>
  <c r="BL68" i="8"/>
  <c r="BK68" i="8"/>
  <c r="BJ68" i="8"/>
  <c r="BE68" i="8"/>
  <c r="BD68" i="8"/>
  <c r="BC68" i="8"/>
  <c r="BB68" i="8"/>
  <c r="BA68" i="8"/>
  <c r="AH68" i="8"/>
  <c r="AG68" i="8"/>
  <c r="AF68" i="8"/>
  <c r="AE68" i="8"/>
  <c r="AD68" i="8"/>
  <c r="AA68" i="8"/>
  <c r="Z68" i="8"/>
  <c r="Y68" i="8"/>
  <c r="X68" i="8"/>
  <c r="W68" i="8"/>
  <c r="T68" i="8"/>
  <c r="S68" i="8"/>
  <c r="R68" i="8"/>
  <c r="Q68" i="8"/>
  <c r="P68" i="8"/>
  <c r="N68" i="8"/>
  <c r="G68" i="8"/>
  <c r="F68" i="8"/>
  <c r="BN67" i="8"/>
  <c r="BM67" i="8"/>
  <c r="BL67" i="8"/>
  <c r="BK67" i="8"/>
  <c r="BJ67" i="8"/>
  <c r="BE67" i="8"/>
  <c r="BD67" i="8"/>
  <c r="BC67" i="8"/>
  <c r="BB67" i="8"/>
  <c r="BA67" i="8"/>
  <c r="AH67" i="8"/>
  <c r="AG67" i="8"/>
  <c r="AF67" i="8"/>
  <c r="AE67" i="8"/>
  <c r="AD67" i="8"/>
  <c r="AA67" i="8"/>
  <c r="Z67" i="8"/>
  <c r="Y67" i="8"/>
  <c r="X67" i="8"/>
  <c r="W67" i="8"/>
  <c r="T67" i="8"/>
  <c r="S67" i="8"/>
  <c r="R67" i="8"/>
  <c r="Q67" i="8"/>
  <c r="P67" i="8"/>
  <c r="N67" i="8"/>
  <c r="G67" i="8"/>
  <c r="F67" i="8"/>
  <c r="BN66" i="8"/>
  <c r="BM66" i="8"/>
  <c r="BL66" i="8"/>
  <c r="BK66" i="8"/>
  <c r="BJ66" i="8"/>
  <c r="BE66" i="8"/>
  <c r="BD66" i="8"/>
  <c r="BC66" i="8"/>
  <c r="BB66" i="8"/>
  <c r="BA66" i="8"/>
  <c r="AH66" i="8"/>
  <c r="AG66" i="8"/>
  <c r="AF66" i="8"/>
  <c r="AE66" i="8"/>
  <c r="AD66" i="8"/>
  <c r="AA66" i="8"/>
  <c r="Z66" i="8"/>
  <c r="Y66" i="8"/>
  <c r="X66" i="8"/>
  <c r="W66" i="8"/>
  <c r="T66" i="8"/>
  <c r="S66" i="8"/>
  <c r="R66" i="8"/>
  <c r="Q66" i="8"/>
  <c r="P66" i="8"/>
  <c r="N66" i="8"/>
  <c r="G66" i="8"/>
  <c r="F66" i="8"/>
  <c r="BN65" i="8"/>
  <c r="BM65" i="8"/>
  <c r="BL65" i="8"/>
  <c r="BK65" i="8"/>
  <c r="BJ65" i="8"/>
  <c r="BE65" i="8"/>
  <c r="BD65" i="8"/>
  <c r="BC65" i="8"/>
  <c r="BB65" i="8"/>
  <c r="BA65" i="8"/>
  <c r="AH65" i="8"/>
  <c r="AG65" i="8"/>
  <c r="AF65" i="8"/>
  <c r="AE65" i="8"/>
  <c r="AD65" i="8"/>
  <c r="AA65" i="8"/>
  <c r="Z65" i="8"/>
  <c r="Y65" i="8"/>
  <c r="X65" i="8"/>
  <c r="W65" i="8"/>
  <c r="T65" i="8"/>
  <c r="S65" i="8"/>
  <c r="R65" i="8"/>
  <c r="Q65" i="8"/>
  <c r="P65" i="8"/>
  <c r="N65" i="8"/>
  <c r="G65" i="8"/>
  <c r="F65" i="8"/>
  <c r="BN64" i="8"/>
  <c r="BM64" i="8"/>
  <c r="BL64" i="8"/>
  <c r="BK64" i="8"/>
  <c r="BJ64" i="8"/>
  <c r="BE64" i="8"/>
  <c r="BD64" i="8"/>
  <c r="BC64" i="8"/>
  <c r="BB64" i="8"/>
  <c r="BA64" i="8"/>
  <c r="AH64" i="8"/>
  <c r="AG64" i="8"/>
  <c r="AF64" i="8"/>
  <c r="AE64" i="8"/>
  <c r="AD64" i="8"/>
  <c r="AA64" i="8"/>
  <c r="Z64" i="8"/>
  <c r="Y64" i="8"/>
  <c r="X64" i="8"/>
  <c r="W64" i="8"/>
  <c r="T64" i="8"/>
  <c r="S64" i="8"/>
  <c r="R64" i="8"/>
  <c r="Q64" i="8"/>
  <c r="P64" i="8"/>
  <c r="N64" i="8"/>
  <c r="G64" i="8"/>
  <c r="F64" i="8"/>
  <c r="BN63" i="8"/>
  <c r="BM63" i="8"/>
  <c r="BL63" i="8"/>
  <c r="BK63" i="8"/>
  <c r="BJ63" i="8"/>
  <c r="BE63" i="8"/>
  <c r="BD63" i="8"/>
  <c r="BC63" i="8"/>
  <c r="BB63" i="8"/>
  <c r="BA63" i="8"/>
  <c r="AH63" i="8"/>
  <c r="AG63" i="8"/>
  <c r="AF63" i="8"/>
  <c r="AE63" i="8"/>
  <c r="AD63" i="8"/>
  <c r="AA63" i="8"/>
  <c r="Z63" i="8"/>
  <c r="Y63" i="8"/>
  <c r="X63" i="8"/>
  <c r="W63" i="8"/>
  <c r="T63" i="8"/>
  <c r="S63" i="8"/>
  <c r="R63" i="8"/>
  <c r="Q63" i="8"/>
  <c r="P63" i="8"/>
  <c r="N63" i="8"/>
  <c r="G63" i="8"/>
  <c r="F63" i="8"/>
  <c r="BN62" i="8"/>
  <c r="BM62" i="8"/>
  <c r="BL62" i="8"/>
  <c r="BK62" i="8"/>
  <c r="BJ62" i="8"/>
  <c r="BE62" i="8"/>
  <c r="BD62" i="8"/>
  <c r="BC62" i="8"/>
  <c r="BB62" i="8"/>
  <c r="BA62" i="8"/>
  <c r="AH62" i="8"/>
  <c r="AG62" i="8"/>
  <c r="AF62" i="8"/>
  <c r="AE62" i="8"/>
  <c r="AD62" i="8"/>
  <c r="AA62" i="8"/>
  <c r="Z62" i="8"/>
  <c r="Y62" i="8"/>
  <c r="X62" i="8"/>
  <c r="W62" i="8"/>
  <c r="T62" i="8"/>
  <c r="S62" i="8"/>
  <c r="R62" i="8"/>
  <c r="Q62" i="8"/>
  <c r="P62" i="8"/>
  <c r="N62" i="8"/>
  <c r="G62" i="8"/>
  <c r="F62" i="8"/>
  <c r="BN61" i="8"/>
  <c r="BM61" i="8"/>
  <c r="BL61" i="8"/>
  <c r="BK61" i="8"/>
  <c r="BJ61" i="8"/>
  <c r="BE61" i="8"/>
  <c r="BD61" i="8"/>
  <c r="BC61" i="8"/>
  <c r="BB61" i="8"/>
  <c r="BA61" i="8"/>
  <c r="AH61" i="8"/>
  <c r="AG61" i="8"/>
  <c r="AF61" i="8"/>
  <c r="AE61" i="8"/>
  <c r="AD61" i="8"/>
  <c r="AA61" i="8"/>
  <c r="Z61" i="8"/>
  <c r="Y61" i="8"/>
  <c r="X61" i="8"/>
  <c r="W61" i="8"/>
  <c r="T61" i="8"/>
  <c r="S61" i="8"/>
  <c r="R61" i="8"/>
  <c r="Q61" i="8"/>
  <c r="P61" i="8"/>
  <c r="N61" i="8"/>
  <c r="G61" i="8"/>
  <c r="F61" i="8"/>
  <c r="BN60" i="8"/>
  <c r="BM60" i="8"/>
  <c r="BL60" i="8"/>
  <c r="BK60" i="8"/>
  <c r="BJ60" i="8"/>
  <c r="BE60" i="8"/>
  <c r="BD60" i="8"/>
  <c r="BC60" i="8"/>
  <c r="BB60" i="8"/>
  <c r="BA60" i="8"/>
  <c r="AH60" i="8"/>
  <c r="AG60" i="8"/>
  <c r="AF60" i="8"/>
  <c r="AE60" i="8"/>
  <c r="AD60" i="8"/>
  <c r="AA60" i="8"/>
  <c r="Z60" i="8"/>
  <c r="Y60" i="8"/>
  <c r="X60" i="8"/>
  <c r="W60" i="8"/>
  <c r="T60" i="8"/>
  <c r="S60" i="8"/>
  <c r="R60" i="8"/>
  <c r="Q60" i="8"/>
  <c r="P60" i="8"/>
  <c r="N60" i="8"/>
  <c r="G60" i="8"/>
  <c r="F60" i="8"/>
  <c r="BN59" i="8"/>
  <c r="BM59" i="8"/>
  <c r="BL59" i="8"/>
  <c r="BK59" i="8"/>
  <c r="BJ59" i="8"/>
  <c r="BE59" i="8"/>
  <c r="BD59" i="8"/>
  <c r="BC59" i="8"/>
  <c r="BB59" i="8"/>
  <c r="BA59" i="8"/>
  <c r="AH59" i="8"/>
  <c r="AG59" i="8"/>
  <c r="AF59" i="8"/>
  <c r="AE59" i="8"/>
  <c r="AD59" i="8"/>
  <c r="AA59" i="8"/>
  <c r="Z59" i="8"/>
  <c r="Y59" i="8"/>
  <c r="X59" i="8"/>
  <c r="W59" i="8"/>
  <c r="T59" i="8"/>
  <c r="S59" i="8"/>
  <c r="R59" i="8"/>
  <c r="Q59" i="8"/>
  <c r="P59" i="8"/>
  <c r="N59" i="8"/>
  <c r="G59" i="8"/>
  <c r="F59" i="8"/>
  <c r="BN58" i="8"/>
  <c r="BM58" i="8"/>
  <c r="BL58" i="8"/>
  <c r="BK58" i="8"/>
  <c r="BJ58" i="8"/>
  <c r="BE58" i="8"/>
  <c r="BD58" i="8"/>
  <c r="BC58" i="8"/>
  <c r="BB58" i="8"/>
  <c r="BA58" i="8"/>
  <c r="AH58" i="8"/>
  <c r="AG58" i="8"/>
  <c r="AF58" i="8"/>
  <c r="AE58" i="8"/>
  <c r="AD58" i="8"/>
  <c r="AA58" i="8"/>
  <c r="Z58" i="8"/>
  <c r="Y58" i="8"/>
  <c r="X58" i="8"/>
  <c r="W58" i="8"/>
  <c r="T58" i="8"/>
  <c r="S58" i="8"/>
  <c r="R58" i="8"/>
  <c r="Q58" i="8"/>
  <c r="P58" i="8"/>
  <c r="N58" i="8"/>
  <c r="G58" i="8"/>
  <c r="F58" i="8"/>
  <c r="BN57" i="8"/>
  <c r="BM57" i="8"/>
  <c r="BL57" i="8"/>
  <c r="BK57" i="8"/>
  <c r="BJ57" i="8"/>
  <c r="BE57" i="8"/>
  <c r="BD57" i="8"/>
  <c r="BC57" i="8"/>
  <c r="BB57" i="8"/>
  <c r="BA57" i="8"/>
  <c r="AH57" i="8"/>
  <c r="AG57" i="8"/>
  <c r="AF57" i="8"/>
  <c r="AE57" i="8"/>
  <c r="AD57" i="8"/>
  <c r="AA57" i="8"/>
  <c r="Z57" i="8"/>
  <c r="Y57" i="8"/>
  <c r="X57" i="8"/>
  <c r="W57" i="8"/>
  <c r="T57" i="8"/>
  <c r="S57" i="8"/>
  <c r="R57" i="8"/>
  <c r="Q57" i="8"/>
  <c r="P57" i="8"/>
  <c r="N57" i="8"/>
  <c r="G57" i="8"/>
  <c r="F57" i="8"/>
  <c r="BN56" i="8"/>
  <c r="BM56" i="8"/>
  <c r="BL56" i="8"/>
  <c r="BK56" i="8"/>
  <c r="BJ56" i="8"/>
  <c r="BE56" i="8"/>
  <c r="BD56" i="8"/>
  <c r="BC56" i="8"/>
  <c r="BB56" i="8"/>
  <c r="BA56" i="8"/>
  <c r="AH56" i="8"/>
  <c r="AG56" i="8"/>
  <c r="AF56" i="8"/>
  <c r="AE56" i="8"/>
  <c r="AD56" i="8"/>
  <c r="AA56" i="8"/>
  <c r="Z56" i="8"/>
  <c r="Y56" i="8"/>
  <c r="X56" i="8"/>
  <c r="W56" i="8"/>
  <c r="T56" i="8"/>
  <c r="S56" i="8"/>
  <c r="R56" i="8"/>
  <c r="Q56" i="8"/>
  <c r="P56" i="8"/>
  <c r="N56" i="8"/>
  <c r="G56" i="8"/>
  <c r="F56" i="8"/>
  <c r="BN55" i="8"/>
  <c r="BM55" i="8"/>
  <c r="BL55" i="8"/>
  <c r="BK55" i="8"/>
  <c r="BJ55" i="8"/>
  <c r="BE55" i="8"/>
  <c r="BD55" i="8"/>
  <c r="BC55" i="8"/>
  <c r="BB55" i="8"/>
  <c r="BA55" i="8"/>
  <c r="AH55" i="8"/>
  <c r="AG55" i="8"/>
  <c r="AF55" i="8"/>
  <c r="AE55" i="8"/>
  <c r="AD55" i="8"/>
  <c r="AA55" i="8"/>
  <c r="Z55" i="8"/>
  <c r="Y55" i="8"/>
  <c r="X55" i="8"/>
  <c r="W55" i="8"/>
  <c r="T55" i="8"/>
  <c r="S55" i="8"/>
  <c r="R55" i="8"/>
  <c r="Q55" i="8"/>
  <c r="P55" i="8"/>
  <c r="N55" i="8"/>
  <c r="G55" i="8"/>
  <c r="F55" i="8"/>
  <c r="BN54" i="8"/>
  <c r="BM54" i="8"/>
  <c r="BL54" i="8"/>
  <c r="BK54" i="8"/>
  <c r="BJ54" i="8"/>
  <c r="BE54" i="8"/>
  <c r="BD54" i="8"/>
  <c r="BC54" i="8"/>
  <c r="BB54" i="8"/>
  <c r="BA54" i="8"/>
  <c r="AH54" i="8"/>
  <c r="AG54" i="8"/>
  <c r="AF54" i="8"/>
  <c r="AE54" i="8"/>
  <c r="AD54" i="8"/>
  <c r="AA54" i="8"/>
  <c r="Z54" i="8"/>
  <c r="Y54" i="8"/>
  <c r="X54" i="8"/>
  <c r="W54" i="8"/>
  <c r="T54" i="8"/>
  <c r="S54" i="8"/>
  <c r="R54" i="8"/>
  <c r="Q54" i="8"/>
  <c r="P54" i="8"/>
  <c r="N54" i="8"/>
  <c r="G54" i="8"/>
  <c r="F54" i="8"/>
  <c r="BN53" i="8"/>
  <c r="BM53" i="8"/>
  <c r="BL53" i="8"/>
  <c r="BK53" i="8"/>
  <c r="BJ53" i="8"/>
  <c r="BE53" i="8"/>
  <c r="BD53" i="8"/>
  <c r="BC53" i="8"/>
  <c r="BB53" i="8"/>
  <c r="BA53" i="8"/>
  <c r="AX53" i="8"/>
  <c r="AW53" i="8"/>
  <c r="AV53" i="8"/>
  <c r="AU53" i="8"/>
  <c r="AT53" i="8"/>
  <c r="AQ53" i="8"/>
  <c r="AP53" i="8"/>
  <c r="AO53" i="8"/>
  <c r="AN53" i="8"/>
  <c r="AM53" i="8"/>
  <c r="AH53" i="8"/>
  <c r="AG53" i="8"/>
  <c r="AF53" i="8"/>
  <c r="AE53" i="8"/>
  <c r="AD53" i="8"/>
  <c r="AA53" i="8"/>
  <c r="Z53" i="8"/>
  <c r="Y53" i="8"/>
  <c r="X53" i="8"/>
  <c r="W53" i="8"/>
  <c r="T53" i="8"/>
  <c r="S53" i="8"/>
  <c r="R53" i="8"/>
  <c r="Q53" i="8"/>
  <c r="P53" i="8"/>
  <c r="N53" i="8"/>
  <c r="G53" i="8"/>
  <c r="F53" i="8"/>
  <c r="BN52" i="8"/>
  <c r="BM52" i="8"/>
  <c r="BL52" i="8"/>
  <c r="BK52" i="8"/>
  <c r="BJ52" i="8"/>
  <c r="BE52" i="8"/>
  <c r="BD52" i="8"/>
  <c r="BC52" i="8"/>
  <c r="BB52" i="8"/>
  <c r="BA52" i="8"/>
  <c r="AX52" i="8"/>
  <c r="AW52" i="8"/>
  <c r="AV52" i="8"/>
  <c r="AU52" i="8"/>
  <c r="AT52" i="8"/>
  <c r="AQ52" i="8"/>
  <c r="AP52" i="8"/>
  <c r="AO52" i="8"/>
  <c r="AN52" i="8"/>
  <c r="AM52" i="8"/>
  <c r="AH52" i="8"/>
  <c r="AG52" i="8"/>
  <c r="AF52" i="8"/>
  <c r="AE52" i="8"/>
  <c r="AD52" i="8"/>
  <c r="AA52" i="8"/>
  <c r="Z52" i="8"/>
  <c r="Y52" i="8"/>
  <c r="X52" i="8"/>
  <c r="W52" i="8"/>
  <c r="T52" i="8"/>
  <c r="S52" i="8"/>
  <c r="R52" i="8"/>
  <c r="Q52" i="8"/>
  <c r="P52" i="8"/>
  <c r="N52" i="8"/>
  <c r="K52" i="8"/>
  <c r="J52" i="8"/>
  <c r="I52" i="8"/>
  <c r="G52" i="8"/>
  <c r="F52" i="8"/>
  <c r="BN51" i="8"/>
  <c r="BM51" i="8"/>
  <c r="BL51" i="8"/>
  <c r="BK51" i="8"/>
  <c r="BJ51" i="8"/>
  <c r="BE51" i="8"/>
  <c r="BD51" i="8"/>
  <c r="BC51" i="8"/>
  <c r="BB51" i="8"/>
  <c r="BA51" i="8"/>
  <c r="AX51" i="8"/>
  <c r="AW51" i="8"/>
  <c r="AV51" i="8"/>
  <c r="AU51" i="8"/>
  <c r="AT51" i="8"/>
  <c r="AQ51" i="8"/>
  <c r="AP51" i="8"/>
  <c r="AO51" i="8"/>
  <c r="AN51" i="8"/>
  <c r="AM51" i="8"/>
  <c r="AH51" i="8"/>
  <c r="AG51" i="8"/>
  <c r="AF51" i="8"/>
  <c r="AE51" i="8"/>
  <c r="AD51" i="8"/>
  <c r="AA51" i="8"/>
  <c r="Z51" i="8"/>
  <c r="Y51" i="8"/>
  <c r="X51" i="8"/>
  <c r="W51" i="8"/>
  <c r="T51" i="8"/>
  <c r="S51" i="8"/>
  <c r="R51" i="8"/>
  <c r="Q51" i="8"/>
  <c r="P51" i="8"/>
  <c r="N51" i="8"/>
  <c r="K51" i="8"/>
  <c r="J51" i="8"/>
  <c r="I51" i="8"/>
  <c r="G51" i="8"/>
  <c r="F51" i="8"/>
  <c r="BN50" i="8"/>
  <c r="BM50" i="8"/>
  <c r="BL50" i="8"/>
  <c r="BK50" i="8"/>
  <c r="BJ50" i="8"/>
  <c r="BE50" i="8"/>
  <c r="BD50" i="8"/>
  <c r="BC50" i="8"/>
  <c r="BB50" i="8"/>
  <c r="BA50" i="8"/>
  <c r="AX50" i="8"/>
  <c r="AW50" i="8"/>
  <c r="AV50" i="8"/>
  <c r="AU50" i="8"/>
  <c r="AT50" i="8"/>
  <c r="AQ50" i="8"/>
  <c r="AP50" i="8"/>
  <c r="AO50" i="8"/>
  <c r="AN50" i="8"/>
  <c r="AM50" i="8"/>
  <c r="AH50" i="8"/>
  <c r="AG50" i="8"/>
  <c r="AF50" i="8"/>
  <c r="AE50" i="8"/>
  <c r="AD50" i="8"/>
  <c r="AA50" i="8"/>
  <c r="Z50" i="8"/>
  <c r="Y50" i="8"/>
  <c r="X50" i="8"/>
  <c r="W50" i="8"/>
  <c r="T50" i="8"/>
  <c r="S50" i="8"/>
  <c r="R50" i="8"/>
  <c r="Q50" i="8"/>
  <c r="P50" i="8"/>
  <c r="N50" i="8"/>
  <c r="K50" i="8"/>
  <c r="J50" i="8"/>
  <c r="I50" i="8"/>
  <c r="G50" i="8"/>
  <c r="F50" i="8"/>
  <c r="BN49" i="8"/>
  <c r="BM49" i="8"/>
  <c r="BL49" i="8"/>
  <c r="BK49" i="8"/>
  <c r="BJ49" i="8"/>
  <c r="BE49" i="8"/>
  <c r="BD49" i="8"/>
  <c r="BC49" i="8"/>
  <c r="BB49" i="8"/>
  <c r="BA49" i="8"/>
  <c r="AX49" i="8"/>
  <c r="AW49" i="8"/>
  <c r="AV49" i="8"/>
  <c r="AU49" i="8"/>
  <c r="AT49" i="8"/>
  <c r="AQ49" i="8"/>
  <c r="AP49" i="8"/>
  <c r="AO49" i="8"/>
  <c r="AN49" i="8"/>
  <c r="AM49" i="8"/>
  <c r="AH49" i="8"/>
  <c r="AG49" i="8"/>
  <c r="AF49" i="8"/>
  <c r="AE49" i="8"/>
  <c r="AD49" i="8"/>
  <c r="AA49" i="8"/>
  <c r="Z49" i="8"/>
  <c r="Y49" i="8"/>
  <c r="X49" i="8"/>
  <c r="W49" i="8"/>
  <c r="T49" i="8"/>
  <c r="S49" i="8"/>
  <c r="R49" i="8"/>
  <c r="Q49" i="8"/>
  <c r="P49" i="8"/>
  <c r="N49" i="8"/>
  <c r="K49" i="8"/>
  <c r="J49" i="8"/>
  <c r="I49" i="8"/>
  <c r="G49" i="8"/>
  <c r="F49" i="8"/>
  <c r="BN48" i="8"/>
  <c r="BM48" i="8"/>
  <c r="BL48" i="8"/>
  <c r="BK48" i="8"/>
  <c r="BJ48" i="8"/>
  <c r="BE48" i="8"/>
  <c r="BD48" i="8"/>
  <c r="BC48" i="8"/>
  <c r="BB48" i="8"/>
  <c r="BA48" i="8"/>
  <c r="AX48" i="8"/>
  <c r="AW48" i="8"/>
  <c r="AV48" i="8"/>
  <c r="AU48" i="8"/>
  <c r="AT48" i="8"/>
  <c r="AQ48" i="8"/>
  <c r="AP48" i="8"/>
  <c r="AO48" i="8"/>
  <c r="AN48" i="8"/>
  <c r="AM48" i="8"/>
  <c r="AH48" i="8"/>
  <c r="AG48" i="8"/>
  <c r="AF48" i="8"/>
  <c r="AE48" i="8"/>
  <c r="AD48" i="8"/>
  <c r="AA48" i="8"/>
  <c r="Z48" i="8"/>
  <c r="Y48" i="8"/>
  <c r="X48" i="8"/>
  <c r="W48" i="8"/>
  <c r="T48" i="8"/>
  <c r="S48" i="8"/>
  <c r="R48" i="8"/>
  <c r="Q48" i="8"/>
  <c r="P48" i="8"/>
  <c r="N48" i="8"/>
  <c r="K48" i="8"/>
  <c r="J48" i="8"/>
  <c r="I48" i="8"/>
  <c r="G48" i="8"/>
  <c r="F48" i="8"/>
  <c r="BN47" i="8"/>
  <c r="BM47" i="8"/>
  <c r="BL47" i="8"/>
  <c r="BK47" i="8"/>
  <c r="BJ47" i="8"/>
  <c r="BE47" i="8"/>
  <c r="BD47" i="8"/>
  <c r="BC47" i="8"/>
  <c r="BB47" i="8"/>
  <c r="BA47" i="8"/>
  <c r="AX47" i="8"/>
  <c r="AW47" i="8"/>
  <c r="AV47" i="8"/>
  <c r="AU47" i="8"/>
  <c r="AT47" i="8"/>
  <c r="AQ47" i="8"/>
  <c r="AP47" i="8"/>
  <c r="AO47" i="8"/>
  <c r="AN47" i="8"/>
  <c r="AM47" i="8"/>
  <c r="AH47" i="8"/>
  <c r="AG47" i="8"/>
  <c r="AF47" i="8"/>
  <c r="AE47" i="8"/>
  <c r="AD47" i="8"/>
  <c r="AA47" i="8"/>
  <c r="Z47" i="8"/>
  <c r="Y47" i="8"/>
  <c r="X47" i="8"/>
  <c r="W47" i="8"/>
  <c r="T47" i="8"/>
  <c r="S47" i="8"/>
  <c r="R47" i="8"/>
  <c r="Q47" i="8"/>
  <c r="P47" i="8"/>
  <c r="N47" i="8"/>
  <c r="K47" i="8"/>
  <c r="J47" i="8"/>
  <c r="I47" i="8"/>
  <c r="G47" i="8"/>
  <c r="F47" i="8"/>
  <c r="BN46" i="8"/>
  <c r="BM46" i="8"/>
  <c r="BL46" i="8"/>
  <c r="BK46" i="8"/>
  <c r="BJ46" i="8"/>
  <c r="BE46" i="8"/>
  <c r="BD46" i="8"/>
  <c r="BC46" i="8"/>
  <c r="BB46" i="8"/>
  <c r="BA46" i="8"/>
  <c r="AX46" i="8"/>
  <c r="AW46" i="8"/>
  <c r="AV46" i="8"/>
  <c r="AU46" i="8"/>
  <c r="AT46" i="8"/>
  <c r="AQ46" i="8"/>
  <c r="AP46" i="8"/>
  <c r="AO46" i="8"/>
  <c r="AN46" i="8"/>
  <c r="AM46" i="8"/>
  <c r="AH46" i="8"/>
  <c r="AG46" i="8"/>
  <c r="AF46" i="8"/>
  <c r="AE46" i="8"/>
  <c r="AD46" i="8"/>
  <c r="AA46" i="8"/>
  <c r="Z46" i="8"/>
  <c r="Y46" i="8"/>
  <c r="X46" i="8"/>
  <c r="W46" i="8"/>
  <c r="T46" i="8"/>
  <c r="S46" i="8"/>
  <c r="R46" i="8"/>
  <c r="Q46" i="8"/>
  <c r="P46" i="8"/>
  <c r="N46" i="8"/>
  <c r="K46" i="8"/>
  <c r="J46" i="8"/>
  <c r="I46" i="8"/>
  <c r="G46" i="8"/>
  <c r="F46" i="8"/>
  <c r="BN45" i="8"/>
  <c r="BM45" i="8"/>
  <c r="BL45" i="8"/>
  <c r="BK45" i="8"/>
  <c r="BJ45" i="8"/>
  <c r="BE45" i="8"/>
  <c r="BD45" i="8"/>
  <c r="BC45" i="8"/>
  <c r="BB45" i="8"/>
  <c r="BA45" i="8"/>
  <c r="AX45" i="8"/>
  <c r="AW45" i="8"/>
  <c r="AV45" i="8"/>
  <c r="AU45" i="8"/>
  <c r="AT45" i="8"/>
  <c r="AQ45" i="8"/>
  <c r="AP45" i="8"/>
  <c r="AO45" i="8"/>
  <c r="AN45" i="8"/>
  <c r="AM45" i="8"/>
  <c r="AH45" i="8"/>
  <c r="AG45" i="8"/>
  <c r="AF45" i="8"/>
  <c r="AE45" i="8"/>
  <c r="AD45" i="8"/>
  <c r="AA45" i="8"/>
  <c r="Z45" i="8"/>
  <c r="Y45" i="8"/>
  <c r="X45" i="8"/>
  <c r="W45" i="8"/>
  <c r="T45" i="8"/>
  <c r="S45" i="8"/>
  <c r="R45" i="8"/>
  <c r="Q45" i="8"/>
  <c r="P45" i="8"/>
  <c r="N45" i="8"/>
  <c r="K45" i="8"/>
  <c r="J45" i="8"/>
  <c r="I45" i="8"/>
  <c r="G45" i="8"/>
  <c r="F45" i="8"/>
  <c r="BN44" i="8"/>
  <c r="BM44" i="8"/>
  <c r="BL44" i="8"/>
  <c r="BK44" i="8"/>
  <c r="BJ44" i="8"/>
  <c r="BE44" i="8"/>
  <c r="BD44" i="8"/>
  <c r="BC44" i="8"/>
  <c r="BB44" i="8"/>
  <c r="BA44" i="8"/>
  <c r="AX44" i="8"/>
  <c r="AW44" i="8"/>
  <c r="AV44" i="8"/>
  <c r="AU44" i="8"/>
  <c r="AT44" i="8"/>
  <c r="AQ44" i="8"/>
  <c r="AP44" i="8"/>
  <c r="AO44" i="8"/>
  <c r="AN44" i="8"/>
  <c r="AM44" i="8"/>
  <c r="AH44" i="8"/>
  <c r="AG44" i="8"/>
  <c r="AF44" i="8"/>
  <c r="AE44" i="8"/>
  <c r="AD44" i="8"/>
  <c r="AA44" i="8"/>
  <c r="Z44" i="8"/>
  <c r="Y44" i="8"/>
  <c r="X44" i="8"/>
  <c r="W44" i="8"/>
  <c r="T44" i="8"/>
  <c r="S44" i="8"/>
  <c r="R44" i="8"/>
  <c r="Q44" i="8"/>
  <c r="P44" i="8"/>
  <c r="N44" i="8"/>
  <c r="K44" i="8"/>
  <c r="J44" i="8"/>
  <c r="I44" i="8"/>
  <c r="G44" i="8"/>
  <c r="F44" i="8"/>
  <c r="BN43" i="8"/>
  <c r="BM43" i="8"/>
  <c r="BL43" i="8"/>
  <c r="BK43" i="8"/>
  <c r="BJ43" i="8"/>
  <c r="BE43" i="8"/>
  <c r="BD43" i="8"/>
  <c r="BC43" i="8"/>
  <c r="BB43" i="8"/>
  <c r="BA43" i="8"/>
  <c r="AX43" i="8"/>
  <c r="AW43" i="8"/>
  <c r="AV43" i="8"/>
  <c r="AU43" i="8"/>
  <c r="AT43" i="8"/>
  <c r="AQ43" i="8"/>
  <c r="AP43" i="8"/>
  <c r="AO43" i="8"/>
  <c r="AN43" i="8"/>
  <c r="AM43" i="8"/>
  <c r="AH43" i="8"/>
  <c r="AG43" i="8"/>
  <c r="AF43" i="8"/>
  <c r="AE43" i="8"/>
  <c r="AD43" i="8"/>
  <c r="AA43" i="8"/>
  <c r="Z43" i="8"/>
  <c r="Y43" i="8"/>
  <c r="X43" i="8"/>
  <c r="W43" i="8"/>
  <c r="T43" i="8"/>
  <c r="S43" i="8"/>
  <c r="R43" i="8"/>
  <c r="Q43" i="8"/>
  <c r="P43" i="8"/>
  <c r="N43" i="8"/>
  <c r="K43" i="8"/>
  <c r="J43" i="8"/>
  <c r="I43" i="8"/>
  <c r="G43" i="8"/>
  <c r="F43" i="8"/>
  <c r="BN42" i="8"/>
  <c r="BM42" i="8"/>
  <c r="BL42" i="8"/>
  <c r="BK42" i="8"/>
  <c r="BJ42" i="8"/>
  <c r="BE42" i="8"/>
  <c r="BD42" i="8"/>
  <c r="BC42" i="8"/>
  <c r="BB42" i="8"/>
  <c r="BA42" i="8"/>
  <c r="AX42" i="8"/>
  <c r="AW42" i="8"/>
  <c r="AV42" i="8"/>
  <c r="AU42" i="8"/>
  <c r="AT42" i="8"/>
  <c r="AQ42" i="8"/>
  <c r="AP42" i="8"/>
  <c r="AO42" i="8"/>
  <c r="AN42" i="8"/>
  <c r="AM42" i="8"/>
  <c r="AH42" i="8"/>
  <c r="AG42" i="8"/>
  <c r="AF42" i="8"/>
  <c r="AE42" i="8"/>
  <c r="AD42" i="8"/>
  <c r="AA42" i="8"/>
  <c r="Z42" i="8"/>
  <c r="Y42" i="8"/>
  <c r="X42" i="8"/>
  <c r="W42" i="8"/>
  <c r="T42" i="8"/>
  <c r="S42" i="8"/>
  <c r="R42" i="8"/>
  <c r="Q42" i="8"/>
  <c r="P42" i="8"/>
  <c r="N42" i="8"/>
  <c r="K42" i="8"/>
  <c r="J42" i="8"/>
  <c r="I42" i="8"/>
  <c r="G42" i="8"/>
  <c r="F42" i="8"/>
  <c r="BN41" i="8"/>
  <c r="BM41" i="8"/>
  <c r="BL41" i="8"/>
  <c r="BK41" i="8"/>
  <c r="BJ41" i="8"/>
  <c r="BE41" i="8"/>
  <c r="BD41" i="8"/>
  <c r="BC41" i="8"/>
  <c r="BB41" i="8"/>
  <c r="BA41" i="8"/>
  <c r="AX41" i="8"/>
  <c r="AW41" i="8"/>
  <c r="AV41" i="8"/>
  <c r="AU41" i="8"/>
  <c r="AT41" i="8"/>
  <c r="AQ41" i="8"/>
  <c r="AP41" i="8"/>
  <c r="AO41" i="8"/>
  <c r="AN41" i="8"/>
  <c r="AM41" i="8"/>
  <c r="AH41" i="8"/>
  <c r="AG41" i="8"/>
  <c r="AF41" i="8"/>
  <c r="AE41" i="8"/>
  <c r="AD41" i="8"/>
  <c r="AA41" i="8"/>
  <c r="Z41" i="8"/>
  <c r="Y41" i="8"/>
  <c r="X41" i="8"/>
  <c r="W41" i="8"/>
  <c r="T41" i="8"/>
  <c r="S41" i="8"/>
  <c r="R41" i="8"/>
  <c r="Q41" i="8"/>
  <c r="P41" i="8"/>
  <c r="N41" i="8"/>
  <c r="K41" i="8"/>
  <c r="J41" i="8"/>
  <c r="I41" i="8"/>
  <c r="G41" i="8"/>
  <c r="F41" i="8"/>
  <c r="BN40" i="8"/>
  <c r="BM40" i="8"/>
  <c r="BL40" i="8"/>
  <c r="BK40" i="8"/>
  <c r="BJ40" i="8"/>
  <c r="BE40" i="8"/>
  <c r="BD40" i="8"/>
  <c r="BC40" i="8"/>
  <c r="BB40" i="8"/>
  <c r="BA40" i="8"/>
  <c r="AX40" i="8"/>
  <c r="AW40" i="8"/>
  <c r="AV40" i="8"/>
  <c r="AU40" i="8"/>
  <c r="AT40" i="8"/>
  <c r="AQ40" i="8"/>
  <c r="AP40" i="8"/>
  <c r="AO40" i="8"/>
  <c r="AN40" i="8"/>
  <c r="AM40" i="8"/>
  <c r="AH40" i="8"/>
  <c r="AG40" i="8"/>
  <c r="AF40" i="8"/>
  <c r="AE40" i="8"/>
  <c r="AD40" i="8"/>
  <c r="AA40" i="8"/>
  <c r="Z40" i="8"/>
  <c r="Y40" i="8"/>
  <c r="X40" i="8"/>
  <c r="W40" i="8"/>
  <c r="T40" i="8"/>
  <c r="S40" i="8"/>
  <c r="R40" i="8"/>
  <c r="Q40" i="8"/>
  <c r="P40" i="8"/>
  <c r="N40" i="8"/>
  <c r="K40" i="8"/>
  <c r="J40" i="8"/>
  <c r="I40" i="8"/>
  <c r="G40" i="8"/>
  <c r="F40" i="8"/>
  <c r="BN39" i="8"/>
  <c r="BM39" i="8"/>
  <c r="BL39" i="8"/>
  <c r="BK39" i="8"/>
  <c r="BJ39" i="8"/>
  <c r="BE39" i="8"/>
  <c r="BD39" i="8"/>
  <c r="BC39" i="8"/>
  <c r="BB39" i="8"/>
  <c r="BA39" i="8"/>
  <c r="AX39" i="8"/>
  <c r="AW39" i="8"/>
  <c r="AV39" i="8"/>
  <c r="AU39" i="8"/>
  <c r="AT39" i="8"/>
  <c r="AQ39" i="8"/>
  <c r="AP39" i="8"/>
  <c r="AO39" i="8"/>
  <c r="AN39" i="8"/>
  <c r="AM39" i="8"/>
  <c r="AH39" i="8"/>
  <c r="AG39" i="8"/>
  <c r="AF39" i="8"/>
  <c r="AE39" i="8"/>
  <c r="AD39" i="8"/>
  <c r="AA39" i="8"/>
  <c r="Z39" i="8"/>
  <c r="Y39" i="8"/>
  <c r="X39" i="8"/>
  <c r="W39" i="8"/>
  <c r="T39" i="8"/>
  <c r="S39" i="8"/>
  <c r="R39" i="8"/>
  <c r="Q39" i="8"/>
  <c r="P39" i="8"/>
  <c r="N39" i="8"/>
  <c r="K39" i="8"/>
  <c r="J39" i="8"/>
  <c r="I39" i="8"/>
  <c r="G39" i="8"/>
  <c r="F39" i="8"/>
  <c r="BN38" i="8"/>
  <c r="BM38" i="8"/>
  <c r="BL38" i="8"/>
  <c r="BK38" i="8"/>
  <c r="BJ38" i="8"/>
  <c r="BE38" i="8"/>
  <c r="BD38" i="8"/>
  <c r="BC38" i="8"/>
  <c r="BB38" i="8"/>
  <c r="BA38" i="8"/>
  <c r="AX38" i="8"/>
  <c r="AW38" i="8"/>
  <c r="AV38" i="8"/>
  <c r="AU38" i="8"/>
  <c r="AT38" i="8"/>
  <c r="AQ38" i="8"/>
  <c r="AP38" i="8"/>
  <c r="AO38" i="8"/>
  <c r="AN38" i="8"/>
  <c r="AM38" i="8"/>
  <c r="AH38" i="8"/>
  <c r="AG38" i="8"/>
  <c r="AF38" i="8"/>
  <c r="AE38" i="8"/>
  <c r="AD38" i="8"/>
  <c r="AA38" i="8"/>
  <c r="Z38" i="8"/>
  <c r="Y38" i="8"/>
  <c r="X38" i="8"/>
  <c r="W38" i="8"/>
  <c r="T38" i="8"/>
  <c r="S38" i="8"/>
  <c r="R38" i="8"/>
  <c r="Q38" i="8"/>
  <c r="P38" i="8"/>
  <c r="N38" i="8"/>
  <c r="K38" i="8"/>
  <c r="J38" i="8"/>
  <c r="I38" i="8"/>
  <c r="G38" i="8"/>
  <c r="F38" i="8"/>
  <c r="BN37" i="8"/>
  <c r="BM37" i="8"/>
  <c r="BL37" i="8"/>
  <c r="BK37" i="8"/>
  <c r="BJ37" i="8"/>
  <c r="BE37" i="8"/>
  <c r="BD37" i="8"/>
  <c r="BC37" i="8"/>
  <c r="BB37" i="8"/>
  <c r="BA37" i="8"/>
  <c r="AX37" i="8"/>
  <c r="AW37" i="8"/>
  <c r="AV37" i="8"/>
  <c r="AU37" i="8"/>
  <c r="AT37" i="8"/>
  <c r="AQ37" i="8"/>
  <c r="AP37" i="8"/>
  <c r="AO37" i="8"/>
  <c r="AN37" i="8"/>
  <c r="AM37" i="8"/>
  <c r="AH37" i="8"/>
  <c r="AG37" i="8"/>
  <c r="AF37" i="8"/>
  <c r="AE37" i="8"/>
  <c r="AD37" i="8"/>
  <c r="AA37" i="8"/>
  <c r="Z37" i="8"/>
  <c r="Y37" i="8"/>
  <c r="X37" i="8"/>
  <c r="W37" i="8"/>
  <c r="T37" i="8"/>
  <c r="S37" i="8"/>
  <c r="R37" i="8"/>
  <c r="Q37" i="8"/>
  <c r="P37" i="8"/>
  <c r="N37" i="8"/>
  <c r="K37" i="8"/>
  <c r="J37" i="8"/>
  <c r="I37" i="8"/>
  <c r="G37" i="8"/>
  <c r="F37" i="8"/>
  <c r="BN36" i="8"/>
  <c r="BM36" i="8"/>
  <c r="BL36" i="8"/>
  <c r="BK36" i="8"/>
  <c r="BJ36" i="8"/>
  <c r="BE36" i="8"/>
  <c r="BD36" i="8"/>
  <c r="BC36" i="8"/>
  <c r="BB36" i="8"/>
  <c r="BA36" i="8"/>
  <c r="AX36" i="8"/>
  <c r="AW36" i="8"/>
  <c r="AV36" i="8"/>
  <c r="AU36" i="8"/>
  <c r="AT36" i="8"/>
  <c r="AQ36" i="8"/>
  <c r="AP36" i="8"/>
  <c r="AO36" i="8"/>
  <c r="AN36" i="8"/>
  <c r="AM36" i="8"/>
  <c r="AH36" i="8"/>
  <c r="AG36" i="8"/>
  <c r="AF36" i="8"/>
  <c r="AE36" i="8"/>
  <c r="AD36" i="8"/>
  <c r="AA36" i="8"/>
  <c r="Z36" i="8"/>
  <c r="Y36" i="8"/>
  <c r="X36" i="8"/>
  <c r="W36" i="8"/>
  <c r="T36" i="8"/>
  <c r="S36" i="8"/>
  <c r="R36" i="8"/>
  <c r="Q36" i="8"/>
  <c r="P36" i="8"/>
  <c r="N36" i="8"/>
  <c r="K36" i="8"/>
  <c r="J36" i="8"/>
  <c r="I36" i="8"/>
  <c r="G36" i="8"/>
  <c r="F36" i="8"/>
  <c r="BN35" i="8"/>
  <c r="BM35" i="8"/>
  <c r="BL35" i="8"/>
  <c r="BK35" i="8"/>
  <c r="BJ35" i="8"/>
  <c r="BE35" i="8"/>
  <c r="BD35" i="8"/>
  <c r="BC35" i="8"/>
  <c r="BB35" i="8"/>
  <c r="BA35" i="8"/>
  <c r="AX35" i="8"/>
  <c r="AW35" i="8"/>
  <c r="AV35" i="8"/>
  <c r="AU35" i="8"/>
  <c r="AT35" i="8"/>
  <c r="AQ35" i="8"/>
  <c r="AP35" i="8"/>
  <c r="AO35" i="8"/>
  <c r="AN35" i="8"/>
  <c r="AM35" i="8"/>
  <c r="AH35" i="8"/>
  <c r="AG35" i="8"/>
  <c r="AF35" i="8"/>
  <c r="AE35" i="8"/>
  <c r="AD35" i="8"/>
  <c r="AA35" i="8"/>
  <c r="Z35" i="8"/>
  <c r="Y35" i="8"/>
  <c r="X35" i="8"/>
  <c r="W35" i="8"/>
  <c r="T35" i="8"/>
  <c r="S35" i="8"/>
  <c r="R35" i="8"/>
  <c r="Q35" i="8"/>
  <c r="P35" i="8"/>
  <c r="N35" i="8"/>
  <c r="K35" i="8"/>
  <c r="J35" i="8"/>
  <c r="I35" i="8"/>
  <c r="G35" i="8"/>
  <c r="F35" i="8"/>
  <c r="D35" i="8"/>
  <c r="C35" i="8"/>
  <c r="B35" i="8"/>
  <c r="BN34" i="8"/>
  <c r="BM34" i="8"/>
  <c r="BL34" i="8"/>
  <c r="BK34" i="8"/>
  <c r="BJ34" i="8"/>
  <c r="BE34" i="8"/>
  <c r="BD34" i="8"/>
  <c r="BC34" i="8"/>
  <c r="BB34" i="8"/>
  <c r="BA34" i="8"/>
  <c r="AX34" i="8"/>
  <c r="AW34" i="8"/>
  <c r="AV34" i="8"/>
  <c r="AU34" i="8"/>
  <c r="AT34" i="8"/>
  <c r="AQ34" i="8"/>
  <c r="AP34" i="8"/>
  <c r="AO34" i="8"/>
  <c r="AN34" i="8"/>
  <c r="AM34" i="8"/>
  <c r="AH34" i="8"/>
  <c r="AG34" i="8"/>
  <c r="AF34" i="8"/>
  <c r="AE34" i="8"/>
  <c r="AD34" i="8"/>
  <c r="AA34" i="8"/>
  <c r="Z34" i="8"/>
  <c r="Y34" i="8"/>
  <c r="X34" i="8"/>
  <c r="W34" i="8"/>
  <c r="T34" i="8"/>
  <c r="S34" i="8"/>
  <c r="R34" i="8"/>
  <c r="Q34" i="8"/>
  <c r="P34" i="8"/>
  <c r="N34" i="8"/>
  <c r="K34" i="8"/>
  <c r="J34" i="8"/>
  <c r="I34" i="8"/>
  <c r="G34" i="8"/>
  <c r="F34" i="8"/>
  <c r="D34" i="8"/>
  <c r="C34" i="8"/>
  <c r="B34" i="8"/>
  <c r="BN33" i="8"/>
  <c r="BM33" i="8"/>
  <c r="BL33" i="8"/>
  <c r="BK33" i="8"/>
  <c r="BJ33" i="8"/>
  <c r="BE33" i="8"/>
  <c r="BD33" i="8"/>
  <c r="BC33" i="8"/>
  <c r="BB33" i="8"/>
  <c r="BA33" i="8"/>
  <c r="AX33" i="8"/>
  <c r="AW33" i="8"/>
  <c r="AV33" i="8"/>
  <c r="AU33" i="8"/>
  <c r="AT33" i="8"/>
  <c r="AQ33" i="8"/>
  <c r="AP33" i="8"/>
  <c r="AO33" i="8"/>
  <c r="AN33" i="8"/>
  <c r="AM33" i="8"/>
  <c r="AH33" i="8"/>
  <c r="AG33" i="8"/>
  <c r="AF33" i="8"/>
  <c r="AE33" i="8"/>
  <c r="AD33" i="8"/>
  <c r="AA33" i="8"/>
  <c r="Z33" i="8"/>
  <c r="Y33" i="8"/>
  <c r="X33" i="8"/>
  <c r="W33" i="8"/>
  <c r="T33" i="8"/>
  <c r="S33" i="8"/>
  <c r="R33" i="8"/>
  <c r="Q33" i="8"/>
  <c r="P33" i="8"/>
  <c r="N33" i="8"/>
  <c r="K33" i="8"/>
  <c r="J33" i="8"/>
  <c r="I33" i="8"/>
  <c r="G33" i="8"/>
  <c r="F33" i="8"/>
  <c r="D33" i="8"/>
  <c r="C33" i="8"/>
  <c r="B33" i="8"/>
  <c r="BN32" i="8"/>
  <c r="BM32" i="8"/>
  <c r="BL32" i="8"/>
  <c r="BK32" i="8"/>
  <c r="BJ32" i="8"/>
  <c r="BE32" i="8"/>
  <c r="BD32" i="8"/>
  <c r="BC32" i="8"/>
  <c r="BB32" i="8"/>
  <c r="BA32" i="8"/>
  <c r="AX32" i="8"/>
  <c r="AW32" i="8"/>
  <c r="AV32" i="8"/>
  <c r="AU32" i="8"/>
  <c r="AT32" i="8"/>
  <c r="AQ32" i="8"/>
  <c r="AP32" i="8"/>
  <c r="AO32" i="8"/>
  <c r="AN32" i="8"/>
  <c r="AM32" i="8"/>
  <c r="AH32" i="8"/>
  <c r="AG32" i="8"/>
  <c r="AF32" i="8"/>
  <c r="AE32" i="8"/>
  <c r="AD32" i="8"/>
  <c r="AA32" i="8"/>
  <c r="Z32" i="8"/>
  <c r="Y32" i="8"/>
  <c r="X32" i="8"/>
  <c r="W32" i="8"/>
  <c r="T32" i="8"/>
  <c r="S32" i="8"/>
  <c r="R32" i="8"/>
  <c r="Q32" i="8"/>
  <c r="P32" i="8"/>
  <c r="N32" i="8"/>
  <c r="K32" i="8"/>
  <c r="J32" i="8"/>
  <c r="I32" i="8"/>
  <c r="G32" i="8"/>
  <c r="F32" i="8"/>
  <c r="D32" i="8"/>
  <c r="C32" i="8"/>
  <c r="B32" i="8"/>
  <c r="BN31" i="8"/>
  <c r="BM31" i="8"/>
  <c r="BL31" i="8"/>
  <c r="BK31" i="8"/>
  <c r="BJ31" i="8"/>
  <c r="BE31" i="8"/>
  <c r="BD31" i="8"/>
  <c r="BC31" i="8"/>
  <c r="BB31" i="8"/>
  <c r="BA31" i="8"/>
  <c r="AX31" i="8"/>
  <c r="AW31" i="8"/>
  <c r="AV31" i="8"/>
  <c r="AU31" i="8"/>
  <c r="AT31" i="8"/>
  <c r="AQ31" i="8"/>
  <c r="AP31" i="8"/>
  <c r="AO31" i="8"/>
  <c r="AN31" i="8"/>
  <c r="AM31" i="8"/>
  <c r="AH31" i="8"/>
  <c r="AG31" i="8"/>
  <c r="AF31" i="8"/>
  <c r="AE31" i="8"/>
  <c r="AD31" i="8"/>
  <c r="AA31" i="8"/>
  <c r="Z31" i="8"/>
  <c r="Y31" i="8"/>
  <c r="X31" i="8"/>
  <c r="W31" i="8"/>
  <c r="T31" i="8"/>
  <c r="S31" i="8"/>
  <c r="R31" i="8"/>
  <c r="Q31" i="8"/>
  <c r="P31" i="8"/>
  <c r="N31" i="8"/>
  <c r="K31" i="8"/>
  <c r="J31" i="8"/>
  <c r="I31" i="8"/>
  <c r="G31" i="8"/>
  <c r="F31" i="8"/>
  <c r="D31" i="8"/>
  <c r="C31" i="8"/>
  <c r="B31" i="8"/>
  <c r="BN30" i="8"/>
  <c r="BM30" i="8"/>
  <c r="BL30" i="8"/>
  <c r="BK30" i="8"/>
  <c r="BJ30" i="8"/>
  <c r="BE30" i="8"/>
  <c r="BD30" i="8"/>
  <c r="BC30" i="8"/>
  <c r="BB30" i="8"/>
  <c r="BA30" i="8"/>
  <c r="AX30" i="8"/>
  <c r="AW30" i="8"/>
  <c r="AV30" i="8"/>
  <c r="AU30" i="8"/>
  <c r="AT30" i="8"/>
  <c r="AQ30" i="8"/>
  <c r="AP30" i="8"/>
  <c r="AO30" i="8"/>
  <c r="AN30" i="8"/>
  <c r="AM30" i="8"/>
  <c r="AH30" i="8"/>
  <c r="AG30" i="8"/>
  <c r="AF30" i="8"/>
  <c r="AE30" i="8"/>
  <c r="AD30" i="8"/>
  <c r="AA30" i="8"/>
  <c r="Z30" i="8"/>
  <c r="Y30" i="8"/>
  <c r="X30" i="8"/>
  <c r="W30" i="8"/>
  <c r="T30" i="8"/>
  <c r="S30" i="8"/>
  <c r="R30" i="8"/>
  <c r="Q30" i="8"/>
  <c r="P30" i="8"/>
  <c r="N30" i="8"/>
  <c r="K30" i="8"/>
  <c r="J30" i="8"/>
  <c r="I30" i="8"/>
  <c r="G30" i="8"/>
  <c r="F30" i="8"/>
  <c r="D30" i="8"/>
  <c r="C30" i="8"/>
  <c r="B30" i="8"/>
  <c r="BN29" i="8"/>
  <c r="BM29" i="8"/>
  <c r="BL29" i="8"/>
  <c r="BK29" i="8"/>
  <c r="BJ29" i="8"/>
  <c r="BE29" i="8"/>
  <c r="BD29" i="8"/>
  <c r="BC29" i="8"/>
  <c r="BB29" i="8"/>
  <c r="BA29" i="8"/>
  <c r="AX29" i="8"/>
  <c r="AW29" i="8"/>
  <c r="AV29" i="8"/>
  <c r="AU29" i="8"/>
  <c r="AT29" i="8"/>
  <c r="AQ29" i="8"/>
  <c r="AP29" i="8"/>
  <c r="AO29" i="8"/>
  <c r="AN29" i="8"/>
  <c r="AM29" i="8"/>
  <c r="AH29" i="8"/>
  <c r="AG29" i="8"/>
  <c r="AF29" i="8"/>
  <c r="AE29" i="8"/>
  <c r="AD29" i="8"/>
  <c r="AA29" i="8"/>
  <c r="Z29" i="8"/>
  <c r="Y29" i="8"/>
  <c r="X29" i="8"/>
  <c r="W29" i="8"/>
  <c r="T29" i="8"/>
  <c r="S29" i="8"/>
  <c r="R29" i="8"/>
  <c r="Q29" i="8"/>
  <c r="P29" i="8"/>
  <c r="N29" i="8"/>
  <c r="K29" i="8"/>
  <c r="J29" i="8"/>
  <c r="I29" i="8"/>
  <c r="G29" i="8"/>
  <c r="F29" i="8"/>
  <c r="D29" i="8"/>
  <c r="C29" i="8"/>
  <c r="B29" i="8"/>
  <c r="BN28" i="8"/>
  <c r="BM28" i="8"/>
  <c r="BL28" i="8"/>
  <c r="BK28" i="8"/>
  <c r="BJ28" i="8"/>
  <c r="BE28" i="8"/>
  <c r="BD28" i="8"/>
  <c r="BC28" i="8"/>
  <c r="BB28" i="8"/>
  <c r="BA28" i="8"/>
  <c r="AX28" i="8"/>
  <c r="AW28" i="8"/>
  <c r="AV28" i="8"/>
  <c r="AU28" i="8"/>
  <c r="AT28" i="8"/>
  <c r="AQ28" i="8"/>
  <c r="AP28" i="8"/>
  <c r="AO28" i="8"/>
  <c r="AN28" i="8"/>
  <c r="AM28" i="8"/>
  <c r="AH28" i="8"/>
  <c r="AG28" i="8"/>
  <c r="AF28" i="8"/>
  <c r="AE28" i="8"/>
  <c r="AD28" i="8"/>
  <c r="AA28" i="8"/>
  <c r="Z28" i="8"/>
  <c r="Y28" i="8"/>
  <c r="X28" i="8"/>
  <c r="W28" i="8"/>
  <c r="T28" i="8"/>
  <c r="S28" i="8"/>
  <c r="R28" i="8"/>
  <c r="Q28" i="8"/>
  <c r="P28" i="8"/>
  <c r="N28" i="8"/>
  <c r="K28" i="8"/>
  <c r="J28" i="8"/>
  <c r="I28" i="8"/>
  <c r="G28" i="8"/>
  <c r="F28" i="8"/>
  <c r="D28" i="8"/>
  <c r="C28" i="8"/>
  <c r="B28" i="8"/>
  <c r="BN27" i="8"/>
  <c r="BM27" i="8"/>
  <c r="BL27" i="8"/>
  <c r="BK27" i="8"/>
  <c r="BJ27" i="8"/>
  <c r="BE27" i="8"/>
  <c r="BD27" i="8"/>
  <c r="BC27" i="8"/>
  <c r="BB27" i="8"/>
  <c r="BA27" i="8"/>
  <c r="AX27" i="8"/>
  <c r="AW27" i="8"/>
  <c r="AV27" i="8"/>
  <c r="AU27" i="8"/>
  <c r="AT27" i="8"/>
  <c r="AQ27" i="8"/>
  <c r="AP27" i="8"/>
  <c r="AO27" i="8"/>
  <c r="AN27" i="8"/>
  <c r="AM27" i="8"/>
  <c r="AH27" i="8"/>
  <c r="AG27" i="8"/>
  <c r="AF27" i="8"/>
  <c r="AE27" i="8"/>
  <c r="AD27" i="8"/>
  <c r="AA27" i="8"/>
  <c r="Z27" i="8"/>
  <c r="Y27" i="8"/>
  <c r="X27" i="8"/>
  <c r="W27" i="8"/>
  <c r="T27" i="8"/>
  <c r="S27" i="8"/>
  <c r="R27" i="8"/>
  <c r="Q27" i="8"/>
  <c r="P27" i="8"/>
  <c r="N27" i="8"/>
  <c r="K27" i="8"/>
  <c r="J27" i="8"/>
  <c r="I27" i="8"/>
  <c r="G27" i="8"/>
  <c r="F27" i="8"/>
  <c r="D27" i="8"/>
  <c r="C27" i="8"/>
  <c r="B27" i="8"/>
  <c r="BN26" i="8"/>
  <c r="BM26" i="8"/>
  <c r="BL26" i="8"/>
  <c r="BK26" i="8"/>
  <c r="BJ26" i="8"/>
  <c r="BE26" i="8"/>
  <c r="BD26" i="8"/>
  <c r="BC26" i="8"/>
  <c r="BB26" i="8"/>
  <c r="BA26" i="8"/>
  <c r="AX26" i="8"/>
  <c r="AW26" i="8"/>
  <c r="AV26" i="8"/>
  <c r="AU26" i="8"/>
  <c r="AT26" i="8"/>
  <c r="AQ26" i="8"/>
  <c r="AP26" i="8"/>
  <c r="AO26" i="8"/>
  <c r="AN26" i="8"/>
  <c r="AM26" i="8"/>
  <c r="AH26" i="8"/>
  <c r="AG26" i="8"/>
  <c r="AF26" i="8"/>
  <c r="AE26" i="8"/>
  <c r="AD26" i="8"/>
  <c r="AA26" i="8"/>
  <c r="Z26" i="8"/>
  <c r="Y26" i="8"/>
  <c r="X26" i="8"/>
  <c r="W26" i="8"/>
  <c r="T26" i="8"/>
  <c r="S26" i="8"/>
  <c r="R26" i="8"/>
  <c r="Q26" i="8"/>
  <c r="P26" i="8"/>
  <c r="N26" i="8"/>
  <c r="K26" i="8"/>
  <c r="J26" i="8"/>
  <c r="I26" i="8"/>
  <c r="G26" i="8"/>
  <c r="F26" i="8"/>
  <c r="D26" i="8"/>
  <c r="C26" i="8"/>
  <c r="B26" i="8"/>
  <c r="BN25" i="8"/>
  <c r="BM25" i="8"/>
  <c r="BL25" i="8"/>
  <c r="BK25" i="8"/>
  <c r="BJ25" i="8"/>
  <c r="BE25" i="8"/>
  <c r="BD25" i="8"/>
  <c r="BC25" i="8"/>
  <c r="BB25" i="8"/>
  <c r="BA25" i="8"/>
  <c r="AX25" i="8"/>
  <c r="AW25" i="8"/>
  <c r="AV25" i="8"/>
  <c r="AU25" i="8"/>
  <c r="AT25" i="8"/>
  <c r="AQ25" i="8"/>
  <c r="AP25" i="8"/>
  <c r="AO25" i="8"/>
  <c r="AN25" i="8"/>
  <c r="AM25" i="8"/>
  <c r="AH25" i="8"/>
  <c r="AG25" i="8"/>
  <c r="AF25" i="8"/>
  <c r="AE25" i="8"/>
  <c r="AD25" i="8"/>
  <c r="AA25" i="8"/>
  <c r="Z25" i="8"/>
  <c r="Y25" i="8"/>
  <c r="X25" i="8"/>
  <c r="W25" i="8"/>
  <c r="T25" i="8"/>
  <c r="S25" i="8"/>
  <c r="R25" i="8"/>
  <c r="Q25" i="8"/>
  <c r="P25" i="8"/>
  <c r="N25" i="8"/>
  <c r="K25" i="8"/>
  <c r="J25" i="8"/>
  <c r="I25" i="8"/>
  <c r="G25" i="8"/>
  <c r="F25" i="8"/>
  <c r="D25" i="8"/>
  <c r="C25" i="8"/>
  <c r="B25" i="8"/>
  <c r="BN24" i="8"/>
  <c r="BM24" i="8"/>
  <c r="BL24" i="8"/>
  <c r="BK24" i="8"/>
  <c r="BJ24" i="8"/>
  <c r="BE24" i="8"/>
  <c r="BD24" i="8"/>
  <c r="BC24" i="8"/>
  <c r="BB24" i="8"/>
  <c r="BA24" i="8"/>
  <c r="AX24" i="8"/>
  <c r="AW24" i="8"/>
  <c r="AV24" i="8"/>
  <c r="AU24" i="8"/>
  <c r="AT24" i="8"/>
  <c r="AQ24" i="8"/>
  <c r="AP24" i="8"/>
  <c r="AO24" i="8"/>
  <c r="AN24" i="8"/>
  <c r="AM24" i="8"/>
  <c r="AH24" i="8"/>
  <c r="AG24" i="8"/>
  <c r="AF24" i="8"/>
  <c r="AE24" i="8"/>
  <c r="AD24" i="8"/>
  <c r="AA24" i="8"/>
  <c r="Z24" i="8"/>
  <c r="Y24" i="8"/>
  <c r="X24" i="8"/>
  <c r="W24" i="8"/>
  <c r="T24" i="8"/>
  <c r="S24" i="8"/>
  <c r="R24" i="8"/>
  <c r="Q24" i="8"/>
  <c r="P24" i="8"/>
  <c r="N24" i="8"/>
  <c r="K24" i="8"/>
  <c r="J24" i="8"/>
  <c r="I24" i="8"/>
  <c r="G24" i="8"/>
  <c r="F24" i="8"/>
  <c r="D24" i="8"/>
  <c r="C24" i="8"/>
  <c r="B24" i="8"/>
  <c r="BN23" i="8"/>
  <c r="BM23" i="8"/>
  <c r="BL23" i="8"/>
  <c r="BK23" i="8"/>
  <c r="BJ23" i="8"/>
  <c r="BE23" i="8"/>
  <c r="BD23" i="8"/>
  <c r="BC23" i="8"/>
  <c r="BB23" i="8"/>
  <c r="BA23" i="8"/>
  <c r="AX23" i="8"/>
  <c r="AW23" i="8"/>
  <c r="AV23" i="8"/>
  <c r="AU23" i="8"/>
  <c r="AT23" i="8"/>
  <c r="AQ23" i="8"/>
  <c r="AP23" i="8"/>
  <c r="AO23" i="8"/>
  <c r="AN23" i="8"/>
  <c r="AM23" i="8"/>
  <c r="AH23" i="8"/>
  <c r="AG23" i="8"/>
  <c r="AF23" i="8"/>
  <c r="AE23" i="8"/>
  <c r="AD23" i="8"/>
  <c r="AA23" i="8"/>
  <c r="Z23" i="8"/>
  <c r="Y23" i="8"/>
  <c r="X23" i="8"/>
  <c r="W23" i="8"/>
  <c r="T23" i="8"/>
  <c r="S23" i="8"/>
  <c r="R23" i="8"/>
  <c r="Q23" i="8"/>
  <c r="P23" i="8"/>
  <c r="N23" i="8"/>
  <c r="K23" i="8"/>
  <c r="J23" i="8"/>
  <c r="I23" i="8"/>
  <c r="G23" i="8"/>
  <c r="F23" i="8"/>
  <c r="BN22" i="8"/>
  <c r="BM22" i="8"/>
  <c r="BL22" i="8"/>
  <c r="BK22" i="8"/>
  <c r="BJ22" i="8"/>
  <c r="BE22" i="8"/>
  <c r="BD22" i="8"/>
  <c r="BC22" i="8"/>
  <c r="BB22" i="8"/>
  <c r="BA22" i="8"/>
  <c r="AX22" i="8"/>
  <c r="AW22" i="8"/>
  <c r="AV22" i="8"/>
  <c r="AU22" i="8"/>
  <c r="AT22" i="8"/>
  <c r="AQ22" i="8"/>
  <c r="AP22" i="8"/>
  <c r="AO22" i="8"/>
  <c r="AN22" i="8"/>
  <c r="AM22" i="8"/>
  <c r="AH22" i="8"/>
  <c r="AG22" i="8"/>
  <c r="AF22" i="8"/>
  <c r="AE22" i="8"/>
  <c r="AD22" i="8"/>
  <c r="AA22" i="8"/>
  <c r="Z22" i="8"/>
  <c r="Y22" i="8"/>
  <c r="X22" i="8"/>
  <c r="W22" i="8"/>
  <c r="T22" i="8"/>
  <c r="S22" i="8"/>
  <c r="R22" i="8"/>
  <c r="Q22" i="8"/>
  <c r="P22" i="8"/>
  <c r="N22" i="8"/>
  <c r="K22" i="8"/>
  <c r="J22" i="8"/>
  <c r="I22" i="8"/>
  <c r="G22" i="8"/>
  <c r="F22" i="8"/>
  <c r="BN21" i="8"/>
  <c r="BM21" i="8"/>
  <c r="BL21" i="8"/>
  <c r="BK21" i="8"/>
  <c r="BJ21" i="8"/>
  <c r="BE21" i="8"/>
  <c r="BD21" i="8"/>
  <c r="BC21" i="8"/>
  <c r="BB21" i="8"/>
  <c r="BA21" i="8"/>
  <c r="AX21" i="8"/>
  <c r="AW21" i="8"/>
  <c r="AV21" i="8"/>
  <c r="AU21" i="8"/>
  <c r="AT21" i="8"/>
  <c r="AQ21" i="8"/>
  <c r="AP21" i="8"/>
  <c r="AO21" i="8"/>
  <c r="AN21" i="8"/>
  <c r="AM21" i="8"/>
  <c r="AH21" i="8"/>
  <c r="AG21" i="8"/>
  <c r="AF21" i="8"/>
  <c r="AE21" i="8"/>
  <c r="AD21" i="8"/>
  <c r="AA21" i="8"/>
  <c r="Z21" i="8"/>
  <c r="Y21" i="8"/>
  <c r="X21" i="8"/>
  <c r="W21" i="8"/>
  <c r="T21" i="8"/>
  <c r="S21" i="8"/>
  <c r="R21" i="8"/>
  <c r="Q21" i="8"/>
  <c r="P21" i="8"/>
  <c r="N21" i="8"/>
  <c r="K21" i="8"/>
  <c r="J21" i="8"/>
  <c r="I21" i="8"/>
  <c r="G21" i="8"/>
  <c r="F21" i="8"/>
  <c r="BN20" i="8"/>
  <c r="BM20" i="8"/>
  <c r="BL20" i="8"/>
  <c r="BK20" i="8"/>
  <c r="BJ20" i="8"/>
  <c r="BE20" i="8"/>
  <c r="BD20" i="8"/>
  <c r="BC20" i="8"/>
  <c r="BB20" i="8"/>
  <c r="BA20" i="8"/>
  <c r="AX20" i="8"/>
  <c r="AW20" i="8"/>
  <c r="AV20" i="8"/>
  <c r="AU20" i="8"/>
  <c r="AT20" i="8"/>
  <c r="AQ20" i="8"/>
  <c r="AP20" i="8"/>
  <c r="AO20" i="8"/>
  <c r="AN20" i="8"/>
  <c r="AM20" i="8"/>
  <c r="AH20" i="8"/>
  <c r="AG20" i="8"/>
  <c r="AF20" i="8"/>
  <c r="AE20" i="8"/>
  <c r="AD20" i="8"/>
  <c r="AA20" i="8"/>
  <c r="Z20" i="8"/>
  <c r="Y20" i="8"/>
  <c r="X20" i="8"/>
  <c r="W20" i="8"/>
  <c r="T20" i="8"/>
  <c r="S20" i="8"/>
  <c r="R20" i="8"/>
  <c r="Q20" i="8"/>
  <c r="P20" i="8"/>
  <c r="N20" i="8"/>
  <c r="K20" i="8"/>
  <c r="J20" i="8"/>
  <c r="I20" i="8"/>
  <c r="G20" i="8"/>
  <c r="F20" i="8"/>
  <c r="BN19" i="8"/>
  <c r="BM19" i="8"/>
  <c r="BL19" i="8"/>
  <c r="BK19" i="8"/>
  <c r="BJ19" i="8"/>
  <c r="BE19" i="8"/>
  <c r="BD19" i="8"/>
  <c r="BC19" i="8"/>
  <c r="BB19" i="8"/>
  <c r="BA19" i="8"/>
  <c r="AX19" i="8"/>
  <c r="AW19" i="8"/>
  <c r="AV19" i="8"/>
  <c r="AU19" i="8"/>
  <c r="AT19" i="8"/>
  <c r="AQ19" i="8"/>
  <c r="AP19" i="8"/>
  <c r="AO19" i="8"/>
  <c r="AN19" i="8"/>
  <c r="AM19" i="8"/>
  <c r="AH19" i="8"/>
  <c r="AG19" i="8"/>
  <c r="AF19" i="8"/>
  <c r="AE19" i="8"/>
  <c r="AD19" i="8"/>
  <c r="AA19" i="8"/>
  <c r="Z19" i="8"/>
  <c r="Y19" i="8"/>
  <c r="X19" i="8"/>
  <c r="W19" i="8"/>
  <c r="T19" i="8"/>
  <c r="S19" i="8"/>
  <c r="R19" i="8"/>
  <c r="Q19" i="8"/>
  <c r="P19" i="8"/>
  <c r="N19" i="8"/>
  <c r="K19" i="8"/>
  <c r="J19" i="8"/>
  <c r="I19" i="8"/>
  <c r="G19" i="8"/>
  <c r="F19" i="8"/>
  <c r="BN18" i="8"/>
  <c r="BM18" i="8"/>
  <c r="BL18" i="8"/>
  <c r="BK18" i="8"/>
  <c r="BJ18" i="8"/>
  <c r="BE18" i="8"/>
  <c r="BD18" i="8"/>
  <c r="BC18" i="8"/>
  <c r="BB18" i="8"/>
  <c r="BA18" i="8"/>
  <c r="AX18" i="8"/>
  <c r="AW18" i="8"/>
  <c r="AV18" i="8"/>
  <c r="AU18" i="8"/>
  <c r="AT18" i="8"/>
  <c r="AQ18" i="8"/>
  <c r="AP18" i="8"/>
  <c r="AO18" i="8"/>
  <c r="AN18" i="8"/>
  <c r="AM18" i="8"/>
  <c r="AH18" i="8"/>
  <c r="AG18" i="8"/>
  <c r="AF18" i="8"/>
  <c r="AE18" i="8"/>
  <c r="AD18" i="8"/>
  <c r="AA18" i="8"/>
  <c r="Z18" i="8"/>
  <c r="Y18" i="8"/>
  <c r="X18" i="8"/>
  <c r="W18" i="8"/>
  <c r="T18" i="8"/>
  <c r="S18" i="8"/>
  <c r="R18" i="8"/>
  <c r="Q18" i="8"/>
  <c r="P18" i="8"/>
  <c r="N18" i="8"/>
  <c r="K18" i="8"/>
  <c r="J18" i="8"/>
  <c r="I18" i="8"/>
  <c r="G18" i="8"/>
  <c r="F18" i="8"/>
  <c r="BN17" i="8"/>
  <c r="BM17" i="8"/>
  <c r="BL17" i="8"/>
  <c r="BK17" i="8"/>
  <c r="BJ17" i="8"/>
  <c r="BE17" i="8"/>
  <c r="BD17" i="8"/>
  <c r="BC17" i="8"/>
  <c r="BB17" i="8"/>
  <c r="BA17" i="8"/>
  <c r="AX17" i="8"/>
  <c r="AW17" i="8"/>
  <c r="AV17" i="8"/>
  <c r="AU17" i="8"/>
  <c r="AT17" i="8"/>
  <c r="AQ17" i="8"/>
  <c r="AP17" i="8"/>
  <c r="AO17" i="8"/>
  <c r="AN17" i="8"/>
  <c r="AM17" i="8"/>
  <c r="AH17" i="8"/>
  <c r="AG17" i="8"/>
  <c r="AF17" i="8"/>
  <c r="AE17" i="8"/>
  <c r="AD17" i="8"/>
  <c r="AA17" i="8"/>
  <c r="Z17" i="8"/>
  <c r="Y17" i="8"/>
  <c r="X17" i="8"/>
  <c r="W17" i="8"/>
  <c r="T17" i="8"/>
  <c r="S17" i="8"/>
  <c r="R17" i="8"/>
  <c r="Q17" i="8"/>
  <c r="P17" i="8"/>
  <c r="N17" i="8"/>
  <c r="K17" i="8"/>
  <c r="J17" i="8"/>
  <c r="I17" i="8"/>
  <c r="G17" i="8"/>
  <c r="F17" i="8"/>
  <c r="D17" i="8"/>
  <c r="C17" i="8"/>
  <c r="B17" i="8"/>
  <c r="BN16" i="8"/>
  <c r="BM16" i="8"/>
  <c r="BL16" i="8"/>
  <c r="BK16" i="8"/>
  <c r="BJ16" i="8"/>
  <c r="BE16" i="8"/>
  <c r="BD16" i="8"/>
  <c r="BC16" i="8"/>
  <c r="BB16" i="8"/>
  <c r="BA16" i="8"/>
  <c r="AX16" i="8"/>
  <c r="AW16" i="8"/>
  <c r="AV16" i="8"/>
  <c r="AU16" i="8"/>
  <c r="AT16" i="8"/>
  <c r="AQ16" i="8"/>
  <c r="AP16" i="8"/>
  <c r="AO16" i="8"/>
  <c r="AN16" i="8"/>
  <c r="AM16" i="8"/>
  <c r="AH16" i="8"/>
  <c r="AG16" i="8"/>
  <c r="AF16" i="8"/>
  <c r="AE16" i="8"/>
  <c r="AD16" i="8"/>
  <c r="AA16" i="8"/>
  <c r="Z16" i="8"/>
  <c r="Y16" i="8"/>
  <c r="X16" i="8"/>
  <c r="W16" i="8"/>
  <c r="T16" i="8"/>
  <c r="S16" i="8"/>
  <c r="R16" i="8"/>
  <c r="Q16" i="8"/>
  <c r="P16" i="8"/>
  <c r="N16" i="8"/>
  <c r="K16" i="8"/>
  <c r="J16" i="8"/>
  <c r="I16" i="8"/>
  <c r="G16" i="8"/>
  <c r="F16" i="8"/>
  <c r="D16" i="8"/>
  <c r="C16" i="8"/>
  <c r="B16" i="8"/>
  <c r="BN15" i="8"/>
  <c r="BM15" i="8"/>
  <c r="BL15" i="8"/>
  <c r="BK15" i="8"/>
  <c r="BJ15" i="8"/>
  <c r="BE15" i="8"/>
  <c r="BD15" i="8"/>
  <c r="BC15" i="8"/>
  <c r="BB15" i="8"/>
  <c r="BA15" i="8"/>
  <c r="AX15" i="8"/>
  <c r="AW15" i="8"/>
  <c r="AV15" i="8"/>
  <c r="AU15" i="8"/>
  <c r="AT15" i="8"/>
  <c r="AQ15" i="8"/>
  <c r="AP15" i="8"/>
  <c r="AO15" i="8"/>
  <c r="AN15" i="8"/>
  <c r="AM15" i="8"/>
  <c r="AH15" i="8"/>
  <c r="AG15" i="8"/>
  <c r="AF15" i="8"/>
  <c r="AE15" i="8"/>
  <c r="AD15" i="8"/>
  <c r="AA15" i="8"/>
  <c r="Z15" i="8"/>
  <c r="Y15" i="8"/>
  <c r="X15" i="8"/>
  <c r="W15" i="8"/>
  <c r="T15" i="8"/>
  <c r="S15" i="8"/>
  <c r="R15" i="8"/>
  <c r="Q15" i="8"/>
  <c r="P15" i="8"/>
  <c r="N15" i="8"/>
  <c r="K15" i="8"/>
  <c r="J15" i="8"/>
  <c r="I15" i="8"/>
  <c r="G15" i="8"/>
  <c r="F15" i="8"/>
  <c r="D15" i="8"/>
  <c r="C15" i="8"/>
  <c r="B15" i="8"/>
  <c r="BN14" i="8"/>
  <c r="BM14" i="8"/>
  <c r="BL14" i="8"/>
  <c r="BK14" i="8"/>
  <c r="BJ14" i="8"/>
  <c r="BE14" i="8"/>
  <c r="BD14" i="8"/>
  <c r="BC14" i="8"/>
  <c r="BB14" i="8"/>
  <c r="BA14" i="8"/>
  <c r="AX14" i="8"/>
  <c r="AW14" i="8"/>
  <c r="AV14" i="8"/>
  <c r="AU14" i="8"/>
  <c r="AT14" i="8"/>
  <c r="AQ14" i="8"/>
  <c r="AP14" i="8"/>
  <c r="AO14" i="8"/>
  <c r="AN14" i="8"/>
  <c r="AM14" i="8"/>
  <c r="AH14" i="8"/>
  <c r="AG14" i="8"/>
  <c r="AF14" i="8"/>
  <c r="AE14" i="8"/>
  <c r="AD14" i="8"/>
  <c r="AA14" i="8"/>
  <c r="Z14" i="8"/>
  <c r="Y14" i="8"/>
  <c r="X14" i="8"/>
  <c r="W14" i="8"/>
  <c r="T14" i="8"/>
  <c r="S14" i="8"/>
  <c r="R14" i="8"/>
  <c r="Q14" i="8"/>
  <c r="P14" i="8"/>
  <c r="N14" i="8"/>
  <c r="K14" i="8"/>
  <c r="J14" i="8"/>
  <c r="I14" i="8"/>
  <c r="G14" i="8"/>
  <c r="F14" i="8"/>
  <c r="D14" i="8"/>
  <c r="C14" i="8"/>
  <c r="B14" i="8"/>
  <c r="BN13" i="8"/>
  <c r="BM13" i="8"/>
  <c r="BL13" i="8"/>
  <c r="BK13" i="8"/>
  <c r="BJ13" i="8"/>
  <c r="BE13" i="8"/>
  <c r="BD13" i="8"/>
  <c r="BC13" i="8"/>
  <c r="BB13" i="8"/>
  <c r="BA13" i="8"/>
  <c r="AX13" i="8"/>
  <c r="AW13" i="8"/>
  <c r="AV13" i="8"/>
  <c r="AU13" i="8"/>
  <c r="AT13" i="8"/>
  <c r="AQ13" i="8"/>
  <c r="AP13" i="8"/>
  <c r="AO13" i="8"/>
  <c r="AN13" i="8"/>
  <c r="AM13" i="8"/>
  <c r="AH13" i="8"/>
  <c r="AG13" i="8"/>
  <c r="AF13" i="8"/>
  <c r="AE13" i="8"/>
  <c r="AD13" i="8"/>
  <c r="AA13" i="8"/>
  <c r="Z13" i="8"/>
  <c r="Y13" i="8"/>
  <c r="X13" i="8"/>
  <c r="W13" i="8"/>
  <c r="T13" i="8"/>
  <c r="S13" i="8"/>
  <c r="R13" i="8"/>
  <c r="Q13" i="8"/>
  <c r="P13" i="8"/>
  <c r="N13" i="8"/>
  <c r="K13" i="8"/>
  <c r="J13" i="8"/>
  <c r="I13" i="8"/>
  <c r="G13" i="8"/>
  <c r="F13" i="8"/>
  <c r="D13" i="8"/>
  <c r="C13" i="8"/>
  <c r="B13" i="8"/>
  <c r="BN12" i="8"/>
  <c r="BM12" i="8"/>
  <c r="BL12" i="8"/>
  <c r="BK12" i="8"/>
  <c r="BJ12" i="8"/>
  <c r="BE12" i="8"/>
  <c r="BD12" i="8"/>
  <c r="BC12" i="8"/>
  <c r="BB12" i="8"/>
  <c r="BA12" i="8"/>
  <c r="AX12" i="8"/>
  <c r="AW12" i="8"/>
  <c r="AV12" i="8"/>
  <c r="AU12" i="8"/>
  <c r="AT12" i="8"/>
  <c r="AQ12" i="8"/>
  <c r="AP12" i="8"/>
  <c r="AO12" i="8"/>
  <c r="AN12" i="8"/>
  <c r="AM12" i="8"/>
  <c r="AH12" i="8"/>
  <c r="AG12" i="8"/>
  <c r="AF12" i="8"/>
  <c r="AE12" i="8"/>
  <c r="AD12" i="8"/>
  <c r="AA12" i="8"/>
  <c r="Z12" i="8"/>
  <c r="Y12" i="8"/>
  <c r="X12" i="8"/>
  <c r="W12" i="8"/>
  <c r="T12" i="8"/>
  <c r="S12" i="8"/>
  <c r="R12" i="8"/>
  <c r="Q12" i="8"/>
  <c r="P12" i="8"/>
  <c r="N12" i="8"/>
  <c r="K12" i="8"/>
  <c r="J12" i="8"/>
  <c r="I12" i="8"/>
  <c r="G12" i="8"/>
  <c r="F12" i="8"/>
  <c r="D12" i="8"/>
  <c r="C12" i="8"/>
  <c r="B12" i="8"/>
  <c r="BN11" i="8"/>
  <c r="BM11" i="8"/>
  <c r="BL11" i="8"/>
  <c r="BK11" i="8"/>
  <c r="BJ11" i="8"/>
  <c r="BE11" i="8"/>
  <c r="BD11" i="8"/>
  <c r="BC11" i="8"/>
  <c r="BB11" i="8"/>
  <c r="BA11" i="8"/>
  <c r="AX11" i="8"/>
  <c r="AW11" i="8"/>
  <c r="AV11" i="8"/>
  <c r="AU11" i="8"/>
  <c r="AT11" i="8"/>
  <c r="AQ11" i="8"/>
  <c r="AP11" i="8"/>
  <c r="AO11" i="8"/>
  <c r="AN11" i="8"/>
  <c r="AM11" i="8"/>
  <c r="AH11" i="8"/>
  <c r="AG11" i="8"/>
  <c r="AF11" i="8"/>
  <c r="AE11" i="8"/>
  <c r="AD11" i="8"/>
  <c r="AA11" i="8"/>
  <c r="Z11" i="8"/>
  <c r="Y11" i="8"/>
  <c r="X11" i="8"/>
  <c r="W11" i="8"/>
  <c r="T11" i="8"/>
  <c r="S11" i="8"/>
  <c r="R11" i="8"/>
  <c r="Q11" i="8"/>
  <c r="P11" i="8"/>
  <c r="N11" i="8"/>
  <c r="K11" i="8"/>
  <c r="J11" i="8"/>
  <c r="I11" i="8"/>
  <c r="G11" i="8"/>
  <c r="F11" i="8"/>
  <c r="D11" i="8"/>
  <c r="C11" i="8"/>
  <c r="B11" i="8"/>
  <c r="BN10" i="8"/>
  <c r="BM10" i="8"/>
  <c r="BL10" i="8"/>
  <c r="BK10" i="8"/>
  <c r="BJ10" i="8"/>
  <c r="BE10" i="8"/>
  <c r="BD10" i="8"/>
  <c r="BC10" i="8"/>
  <c r="BB10" i="8"/>
  <c r="BA10" i="8"/>
  <c r="AX10" i="8"/>
  <c r="AW10" i="8"/>
  <c r="AV10" i="8"/>
  <c r="AU10" i="8"/>
  <c r="AT10" i="8"/>
  <c r="AQ10" i="8"/>
  <c r="AP10" i="8"/>
  <c r="AO10" i="8"/>
  <c r="AN10" i="8"/>
  <c r="AM10" i="8"/>
  <c r="AH10" i="8"/>
  <c r="AG10" i="8"/>
  <c r="AF10" i="8"/>
  <c r="AE10" i="8"/>
  <c r="AD10" i="8"/>
  <c r="AA10" i="8"/>
  <c r="Z10" i="8"/>
  <c r="Y10" i="8"/>
  <c r="X10" i="8"/>
  <c r="W10" i="8"/>
  <c r="T10" i="8"/>
  <c r="S10" i="8"/>
  <c r="R10" i="8"/>
  <c r="Q10" i="8"/>
  <c r="P10" i="8"/>
  <c r="N10" i="8"/>
  <c r="K10" i="8"/>
  <c r="J10" i="8"/>
  <c r="I10" i="8"/>
  <c r="G10" i="8"/>
  <c r="F10" i="8"/>
  <c r="D10" i="8"/>
  <c r="C10" i="8"/>
  <c r="B10" i="8"/>
  <c r="BN9" i="8"/>
  <c r="BM9" i="8"/>
  <c r="BL9" i="8"/>
  <c r="BK9" i="8"/>
  <c r="BJ9" i="8"/>
  <c r="BE9" i="8"/>
  <c r="BD9" i="8"/>
  <c r="BC9" i="8"/>
  <c r="BB9" i="8"/>
  <c r="BA9" i="8"/>
  <c r="AX9" i="8"/>
  <c r="AW9" i="8"/>
  <c r="AV9" i="8"/>
  <c r="AU9" i="8"/>
  <c r="AT9" i="8"/>
  <c r="AQ9" i="8"/>
  <c r="AP9" i="8"/>
  <c r="AO9" i="8"/>
  <c r="AN9" i="8"/>
  <c r="AM9" i="8"/>
  <c r="AH9" i="8"/>
  <c r="AG9" i="8"/>
  <c r="AF9" i="8"/>
  <c r="AE9" i="8"/>
  <c r="AD9" i="8"/>
  <c r="AA9" i="8"/>
  <c r="Z9" i="8"/>
  <c r="Y9" i="8"/>
  <c r="X9" i="8"/>
  <c r="W9" i="8"/>
  <c r="T9" i="8"/>
  <c r="S9" i="8"/>
  <c r="R9" i="8"/>
  <c r="Q9" i="8"/>
  <c r="P9" i="8"/>
  <c r="N9" i="8"/>
  <c r="K9" i="8"/>
  <c r="J9" i="8"/>
  <c r="I9" i="8"/>
  <c r="G9" i="8"/>
  <c r="F9" i="8"/>
  <c r="D9" i="8"/>
  <c r="C9" i="8"/>
  <c r="B9" i="8"/>
  <c r="BN8" i="8"/>
  <c r="BM8" i="8"/>
  <c r="BL8" i="8"/>
  <c r="BK8" i="8"/>
  <c r="BJ8" i="8"/>
  <c r="BE8" i="8"/>
  <c r="BD8" i="8"/>
  <c r="BC8" i="8"/>
  <c r="BB8" i="8"/>
  <c r="BA8" i="8"/>
  <c r="AX8" i="8"/>
  <c r="AW8" i="8"/>
  <c r="AV8" i="8"/>
  <c r="AU8" i="8"/>
  <c r="AT8" i="8"/>
  <c r="AQ8" i="8"/>
  <c r="AP8" i="8"/>
  <c r="AO8" i="8"/>
  <c r="AN8" i="8"/>
  <c r="AM8" i="8"/>
  <c r="AH8" i="8"/>
  <c r="AG8" i="8"/>
  <c r="AF8" i="8"/>
  <c r="AE8" i="8"/>
  <c r="AD8" i="8"/>
  <c r="AA8" i="8"/>
  <c r="Z8" i="8"/>
  <c r="Y8" i="8"/>
  <c r="X8" i="8"/>
  <c r="W8" i="8"/>
  <c r="T8" i="8"/>
  <c r="S8" i="8"/>
  <c r="R8" i="8"/>
  <c r="Q8" i="8"/>
  <c r="P8" i="8"/>
  <c r="N8" i="8"/>
  <c r="K8" i="8"/>
  <c r="J8" i="8"/>
  <c r="I8" i="8"/>
  <c r="G8" i="8"/>
  <c r="F8" i="8"/>
  <c r="D8" i="8"/>
  <c r="C8" i="8"/>
  <c r="B8" i="8"/>
  <c r="BN7" i="8"/>
  <c r="BM7" i="8"/>
  <c r="BL7" i="8"/>
  <c r="BK7" i="8"/>
  <c r="BJ7" i="8"/>
  <c r="BE7" i="8"/>
  <c r="BD7" i="8"/>
  <c r="BC7" i="8"/>
  <c r="BB7" i="8"/>
  <c r="BA7" i="8"/>
  <c r="AX7" i="8"/>
  <c r="AW7" i="8"/>
  <c r="AV7" i="8"/>
  <c r="AU7" i="8"/>
  <c r="AT7" i="8"/>
  <c r="AQ7" i="8"/>
  <c r="AP7" i="8"/>
  <c r="AO7" i="8"/>
  <c r="AN7" i="8"/>
  <c r="AM7" i="8"/>
  <c r="AH7" i="8"/>
  <c r="AG7" i="8"/>
  <c r="AF7" i="8"/>
  <c r="AE7" i="8"/>
  <c r="AD7" i="8"/>
  <c r="AA7" i="8"/>
  <c r="Z7" i="8"/>
  <c r="Y7" i="8"/>
  <c r="X7" i="8"/>
  <c r="W7" i="8"/>
  <c r="T7" i="8"/>
  <c r="S7" i="8"/>
  <c r="R7" i="8"/>
  <c r="Q7" i="8"/>
  <c r="P7" i="8"/>
  <c r="N7" i="8"/>
  <c r="K7" i="8"/>
  <c r="J7" i="8"/>
  <c r="I7" i="8"/>
  <c r="G7" i="8"/>
  <c r="F7" i="8"/>
  <c r="BN6" i="8"/>
  <c r="BM6" i="8"/>
  <c r="BL6" i="8"/>
  <c r="BK6" i="8"/>
  <c r="BJ6" i="8"/>
  <c r="BE6" i="8"/>
  <c r="BD6" i="8"/>
  <c r="BC6" i="8"/>
  <c r="BB6" i="8"/>
  <c r="BA6" i="8"/>
  <c r="AX6" i="8"/>
  <c r="AW6" i="8"/>
  <c r="AV6" i="8"/>
  <c r="AU6" i="8"/>
  <c r="AT6" i="8"/>
  <c r="AQ6" i="8"/>
  <c r="AP6" i="8"/>
  <c r="AO6" i="8"/>
  <c r="AN6" i="8"/>
  <c r="AM6" i="8"/>
  <c r="AH6" i="8"/>
  <c r="AG6" i="8"/>
  <c r="AF6" i="8"/>
  <c r="AE6" i="8"/>
  <c r="AD6" i="8"/>
  <c r="AA6" i="8"/>
  <c r="Z6" i="8"/>
  <c r="Y6" i="8"/>
  <c r="X6" i="8"/>
  <c r="W6" i="8"/>
  <c r="T6" i="8"/>
  <c r="S6" i="8"/>
  <c r="R6" i="8"/>
  <c r="Q6" i="8"/>
  <c r="P6" i="8"/>
  <c r="N6" i="8"/>
  <c r="K6" i="8"/>
  <c r="J6" i="8"/>
  <c r="I6" i="8"/>
  <c r="G6" i="8"/>
  <c r="F6" i="8"/>
  <c r="BN5" i="8"/>
  <c r="BM5" i="8"/>
  <c r="BL5" i="8"/>
  <c r="BK5" i="8"/>
  <c r="BJ5" i="8"/>
  <c r="BE5" i="8"/>
  <c r="BD5" i="8"/>
  <c r="BC5" i="8"/>
  <c r="BB5" i="8"/>
  <c r="BA5" i="8"/>
  <c r="AX5" i="8"/>
  <c r="AW5" i="8"/>
  <c r="AV5" i="8"/>
  <c r="AU5" i="8"/>
  <c r="AT5" i="8"/>
  <c r="AQ5" i="8"/>
  <c r="AP5" i="8"/>
  <c r="AO5" i="8"/>
  <c r="AN5" i="8"/>
  <c r="AM5" i="8"/>
  <c r="AH5" i="8"/>
  <c r="AG5" i="8"/>
  <c r="AF5" i="8"/>
  <c r="AE5" i="8"/>
  <c r="AD5" i="8"/>
  <c r="AA5" i="8"/>
  <c r="Z5" i="8"/>
  <c r="Y5" i="8"/>
  <c r="X5" i="8"/>
  <c r="W5" i="8"/>
  <c r="T5" i="8"/>
  <c r="S5" i="8"/>
  <c r="R5" i="8"/>
  <c r="Q5" i="8"/>
  <c r="P5" i="8"/>
  <c r="N5" i="8"/>
  <c r="K5" i="8"/>
  <c r="J5" i="8"/>
  <c r="I5" i="8"/>
  <c r="G5" i="8"/>
  <c r="F5" i="8"/>
  <c r="BN4" i="8"/>
  <c r="BM4" i="8"/>
  <c r="BL4" i="8"/>
  <c r="BK4" i="8"/>
  <c r="BJ4" i="8"/>
  <c r="BE4" i="8"/>
  <c r="BD4" i="8"/>
  <c r="BC4" i="8"/>
  <c r="BB4" i="8"/>
  <c r="BA4" i="8"/>
  <c r="AX4" i="8"/>
  <c r="AW4" i="8"/>
  <c r="AV4" i="8"/>
  <c r="AU4" i="8"/>
  <c r="AT4" i="8"/>
  <c r="AQ4" i="8"/>
  <c r="AP4" i="8"/>
  <c r="AO4" i="8"/>
  <c r="AN4" i="8"/>
  <c r="AM4" i="8"/>
  <c r="AH4" i="8"/>
  <c r="AG4" i="8"/>
  <c r="AF4" i="8"/>
  <c r="AE4" i="8"/>
  <c r="AD4" i="8"/>
  <c r="AA4" i="8"/>
  <c r="Z4" i="8"/>
  <c r="Y4" i="8"/>
  <c r="X4" i="8"/>
  <c r="W4" i="8"/>
  <c r="T4" i="8"/>
  <c r="S4" i="8"/>
  <c r="R4" i="8"/>
  <c r="Q4" i="8"/>
  <c r="P4" i="8"/>
  <c r="N4" i="8"/>
  <c r="K4" i="8"/>
  <c r="J4" i="8"/>
  <c r="I4" i="8"/>
  <c r="G4" i="8"/>
  <c r="F4" i="8"/>
  <c r="N3" i="8"/>
  <c r="K3" i="8"/>
  <c r="J3" i="8"/>
  <c r="I3" i="8"/>
  <c r="G3" i="8"/>
  <c r="F3" i="8"/>
  <c r="AA29" i="11"/>
  <c r="AA31" i="11"/>
  <c r="AB87" i="11"/>
  <c r="AE104" i="11"/>
  <c r="AE69" i="11"/>
  <c r="AD75" i="11"/>
  <c r="AB57" i="11"/>
  <c r="AD61" i="11"/>
  <c r="AE22" i="11"/>
  <c r="AD18" i="11"/>
  <c r="AB52" i="11"/>
  <c r="AE156" i="11"/>
  <c r="AE150" i="11"/>
  <c r="AA42" i="11"/>
  <c r="AC70" i="11"/>
  <c r="AE137" i="11"/>
  <c r="AC120" i="11"/>
  <c r="AA167" i="11"/>
  <c r="AE115" i="11"/>
  <c r="AA102" i="11"/>
  <c r="AE159" i="11"/>
  <c r="AB117" i="11"/>
  <c r="AE89" i="11"/>
  <c r="AD37" i="11"/>
  <c r="AA113" i="11"/>
  <c r="AC60" i="11"/>
  <c r="AD72" i="11"/>
  <c r="AB27" i="11"/>
  <c r="AD102" i="11"/>
  <c r="AA60" i="11"/>
  <c r="AD128" i="11"/>
  <c r="AE70" i="11"/>
  <c r="AD26" i="11"/>
  <c r="AA64" i="11"/>
  <c r="AD52" i="11"/>
  <c r="AE31" i="11"/>
  <c r="AD65" i="11"/>
  <c r="AD30" i="11"/>
  <c r="AC118" i="11"/>
  <c r="AC117" i="11"/>
  <c r="AB30" i="11"/>
  <c r="AE28" i="11"/>
  <c r="AA21" i="11"/>
  <c r="AE32" i="11"/>
  <c r="AD106" i="11"/>
  <c r="AE47" i="11"/>
  <c r="AD19" i="11"/>
  <c r="AD139" i="11"/>
  <c r="AD156" i="11"/>
  <c r="AA135" i="11"/>
  <c r="AE95" i="11"/>
  <c r="AA100" i="11"/>
  <c r="AD138" i="11"/>
  <c r="AC65" i="11"/>
  <c r="AA51" i="11"/>
  <c r="AD145" i="11"/>
  <c r="AB85" i="11"/>
  <c r="AD153" i="11"/>
  <c r="AE41" i="11"/>
  <c r="AB64" i="11"/>
  <c r="AA18" i="11"/>
  <c r="AE128" i="11"/>
  <c r="AC73" i="11"/>
  <c r="AC11" i="11"/>
  <c r="AD163" i="11"/>
  <c r="AE141" i="11"/>
  <c r="AB97" i="11"/>
  <c r="AA103" i="11"/>
  <c r="AC27" i="11"/>
  <c r="AD114" i="11"/>
  <c r="AD60" i="11"/>
  <c r="AC99" i="11"/>
  <c r="AB142" i="11"/>
  <c r="AB139" i="11"/>
  <c r="AD103" i="11"/>
  <c r="AC38" i="11"/>
  <c r="AB26" i="11"/>
  <c r="AB133" i="11"/>
  <c r="AD79" i="11"/>
  <c r="AA68" i="11"/>
  <c r="AB132" i="11"/>
  <c r="AE11" i="11"/>
  <c r="AB70" i="11"/>
  <c r="AA133" i="11"/>
  <c r="AE23" i="11"/>
  <c r="AB167" i="11"/>
  <c r="AA43" i="11"/>
  <c r="AC165" i="11"/>
  <c r="AE127" i="11"/>
  <c r="AD55" i="11"/>
  <c r="AE165" i="11"/>
  <c r="AD35" i="11"/>
  <c r="AB119" i="11"/>
  <c r="AE78" i="11"/>
  <c r="AA126" i="11"/>
  <c r="AC83" i="11"/>
  <c r="AD99" i="11"/>
  <c r="AC114" i="11"/>
  <c r="AC92" i="11"/>
  <c r="AC69" i="11"/>
  <c r="AD91" i="11"/>
  <c r="AE149" i="11"/>
  <c r="AD32" i="11"/>
  <c r="AA22" i="11"/>
  <c r="AB159" i="11"/>
  <c r="AC67" i="11"/>
  <c r="AE54" i="11"/>
  <c r="AD93" i="11"/>
  <c r="AC46" i="11"/>
  <c r="AE79" i="11"/>
  <c r="AA23" i="11"/>
  <c r="AC154" i="11"/>
  <c r="AD135" i="11"/>
  <c r="AC167" i="11"/>
  <c r="AD118" i="11"/>
  <c r="AA138" i="11"/>
  <c r="AC29" i="11"/>
  <c r="AB29" i="11"/>
  <c r="AB113" i="11"/>
  <c r="AD74" i="11"/>
  <c r="AB31" i="11"/>
  <c r="AE140" i="11"/>
  <c r="AC41" i="11"/>
  <c r="AE25" i="11"/>
  <c r="AE19" i="11"/>
  <c r="AA142" i="11"/>
  <c r="AB92" i="11"/>
  <c r="AD31" i="11"/>
  <c r="AD123" i="11"/>
  <c r="AE142" i="11"/>
  <c r="AE145" i="11"/>
  <c r="AB50" i="11"/>
  <c r="AC133" i="11"/>
  <c r="AA140" i="11"/>
  <c r="AB15" i="11"/>
  <c r="AD130" i="11"/>
  <c r="AE18" i="11"/>
  <c r="AA123" i="11"/>
  <c r="AD150" i="11"/>
  <c r="AE74" i="11"/>
  <c r="AA170" i="11"/>
  <c r="AA165" i="11"/>
  <c r="AB42" i="11"/>
  <c r="AE52" i="11"/>
  <c r="AD152" i="11"/>
  <c r="AC25" i="11"/>
  <c r="AD170" i="11"/>
  <c r="AA46" i="11"/>
  <c r="AD162" i="11"/>
  <c r="AB40" i="11"/>
  <c r="AA109" i="11"/>
  <c r="AD76" i="11"/>
  <c r="AC141" i="11"/>
  <c r="AE105" i="11"/>
  <c r="AB112" i="11"/>
  <c r="AE65" i="11"/>
  <c r="AB76" i="11"/>
  <c r="AA146" i="11"/>
  <c r="AA145" i="11"/>
  <c r="AE59" i="11"/>
  <c r="AD69" i="11"/>
  <c r="AE29" i="11"/>
  <c r="AE60" i="11"/>
  <c r="AB114" i="11"/>
  <c r="AE67" i="11"/>
  <c r="AB18" i="11"/>
  <c r="AA111" i="11"/>
  <c r="AE20" i="11"/>
  <c r="AC48" i="11"/>
  <c r="AE27" i="11"/>
  <c r="AD59" i="11"/>
  <c r="AD89" i="11"/>
  <c r="AC134" i="11"/>
  <c r="AD119" i="11"/>
  <c r="AA150" i="11"/>
  <c r="AD54" i="11"/>
  <c r="AD46" i="11"/>
  <c r="AA56" i="11"/>
  <c r="AB116" i="11"/>
  <c r="AA62" i="11"/>
  <c r="AB134" i="11"/>
  <c r="AD66" i="11"/>
  <c r="AE132" i="11"/>
  <c r="AC53" i="11"/>
  <c r="AB23" i="11"/>
  <c r="AC115" i="11"/>
  <c r="AB158" i="11"/>
  <c r="AD63" i="11"/>
  <c r="AC155" i="11"/>
  <c r="AD108" i="11"/>
  <c r="AA20" i="11"/>
  <c r="AA78" i="11"/>
  <c r="AD53" i="11"/>
  <c r="AE63" i="11"/>
  <c r="AA85" i="11"/>
  <c r="AA40" i="11"/>
  <c r="AC30" i="11"/>
  <c r="AE21" i="11"/>
  <c r="AB75" i="11"/>
  <c r="AE13" i="11"/>
  <c r="AA107" i="11"/>
  <c r="AE91" i="11"/>
  <c r="AC142" i="11"/>
  <c r="AA112" i="11"/>
  <c r="AC47" i="11"/>
  <c r="AE112" i="11"/>
  <c r="AA55" i="11"/>
  <c r="AD50" i="11"/>
  <c r="AE131" i="11"/>
  <c r="AA67" i="11"/>
  <c r="AC57" i="11"/>
  <c r="AE58" i="11"/>
  <c r="AA168" i="11"/>
  <c r="AB22" i="11"/>
  <c r="AB121" i="11"/>
  <c r="AB86" i="11"/>
  <c r="AE66" i="11"/>
  <c r="AE42" i="11"/>
  <c r="AA106" i="11"/>
  <c r="AC34" i="11"/>
  <c r="AB60" i="11"/>
  <c r="AD23" i="11"/>
  <c r="AD73" i="11"/>
  <c r="AE51" i="11"/>
  <c r="AB78" i="11"/>
  <c r="AD124" i="11"/>
  <c r="AD42" i="11"/>
  <c r="AA99" i="11"/>
  <c r="AE40" i="11"/>
  <c r="AA127" i="11"/>
  <c r="AB110" i="11"/>
  <c r="AA147" i="11"/>
  <c r="AC61" i="11"/>
  <c r="AE77" i="11"/>
  <c r="AC37" i="11"/>
  <c r="AD49" i="11"/>
  <c r="AB66" i="11"/>
  <c r="AB111" i="11"/>
  <c r="AD17" i="11"/>
  <c r="AD86" i="11"/>
  <c r="AB109" i="11"/>
  <c r="AE123" i="11"/>
  <c r="AB84" i="11"/>
  <c r="AE134" i="11"/>
  <c r="AC31" i="11"/>
  <c r="AE113" i="11"/>
  <c r="AE146" i="11"/>
  <c r="AA169" i="11"/>
  <c r="AB98" i="11"/>
  <c r="AA97" i="11"/>
  <c r="AE50" i="11"/>
  <c r="AE116" i="11"/>
  <c r="AB48" i="11"/>
  <c r="AA143" i="11"/>
  <c r="AC108" i="11"/>
  <c r="AA30" i="11"/>
  <c r="AA159" i="11"/>
  <c r="AA32" i="11"/>
  <c r="AB130" i="11"/>
  <c r="AE143" i="11"/>
  <c r="AA120" i="11"/>
  <c r="AE133" i="11"/>
  <c r="AC66" i="11"/>
  <c r="AB165" i="11"/>
  <c r="AC129" i="11"/>
  <c r="AE45" i="11"/>
  <c r="AE103" i="11"/>
  <c r="AE84" i="11"/>
  <c r="AA164" i="11"/>
  <c r="AB118" i="11"/>
  <c r="AD29" i="11"/>
  <c r="AA73" i="11"/>
  <c r="AB143" i="11"/>
  <c r="AE135" i="11"/>
  <c r="AD157" i="11"/>
  <c r="AE157" i="11"/>
  <c r="AA71" i="11"/>
  <c r="AC170" i="11"/>
  <c r="AB120" i="11"/>
  <c r="AE34" i="11"/>
  <c r="AA50" i="11"/>
  <c r="AC64" i="11"/>
  <c r="AA86" i="11"/>
  <c r="AA134" i="11"/>
  <c r="AB83" i="11"/>
  <c r="AA63" i="11"/>
  <c r="AE147" i="11"/>
  <c r="AA76" i="11"/>
  <c r="AC22" i="11"/>
  <c r="AB150" i="11"/>
  <c r="AB25" i="11"/>
  <c r="AC39" i="11"/>
  <c r="AC123" i="11"/>
  <c r="AD41" i="11"/>
  <c r="AB68" i="11"/>
  <c r="AA155" i="11"/>
  <c r="AD98" i="11"/>
  <c r="AA144" i="11"/>
  <c r="AC82" i="11"/>
  <c r="AC116" i="11"/>
  <c r="AE109" i="11"/>
  <c r="AE88" i="11"/>
  <c r="AA34" i="11"/>
  <c r="AE98" i="11"/>
  <c r="AB80" i="11"/>
  <c r="AC136" i="11"/>
  <c r="AD133" i="11"/>
  <c r="AC72" i="11"/>
  <c r="AE81" i="11"/>
  <c r="AE144" i="11"/>
  <c r="AB138" i="11"/>
  <c r="AD143" i="11"/>
  <c r="AA163" i="11"/>
  <c r="AB69" i="11"/>
  <c r="AE126" i="11"/>
  <c r="AE130" i="11"/>
  <c r="AC28" i="11"/>
  <c r="AA105" i="11"/>
  <c r="AA128" i="11"/>
  <c r="AA15" i="11"/>
  <c r="AD71" i="11"/>
  <c r="AB51" i="11"/>
  <c r="AA80" i="11"/>
  <c r="AE129" i="11"/>
  <c r="AE158" i="11"/>
  <c r="AA79" i="11"/>
  <c r="AB148" i="11"/>
  <c r="AA96" i="11"/>
  <c r="AD165" i="11"/>
  <c r="AA35" i="11"/>
  <c r="AB53" i="11"/>
  <c r="AD140" i="11"/>
  <c r="AE114" i="11"/>
  <c r="AD136" i="11"/>
  <c r="AD161" i="11"/>
  <c r="AA61" i="11"/>
  <c r="AD13" i="11"/>
  <c r="AD80" i="11"/>
  <c r="AE117" i="11"/>
  <c r="AE61" i="11"/>
  <c r="AB71" i="11"/>
  <c r="AD122" i="11"/>
  <c r="AD146" i="11"/>
  <c r="AE111" i="11"/>
  <c r="AB122" i="11"/>
  <c r="AA28" i="11"/>
  <c r="AD21" i="11"/>
  <c r="AB38" i="11"/>
  <c r="AB32" i="11"/>
  <c r="AB100" i="11"/>
  <c r="AB104" i="11"/>
  <c r="AE119" i="11"/>
  <c r="AC137" i="11"/>
  <c r="AD97" i="11"/>
  <c r="AE46" i="11"/>
  <c r="AC127" i="11"/>
  <c r="AC111" i="11"/>
  <c r="AA148" i="11"/>
  <c r="AC88" i="11"/>
  <c r="AB163" i="11"/>
  <c r="AB160" i="11"/>
  <c r="AA154" i="11"/>
  <c r="AB47" i="11"/>
  <c r="AB14" i="11"/>
  <c r="AA118" i="11"/>
  <c r="AA139" i="11"/>
  <c r="AA27" i="11"/>
  <c r="AA77" i="11"/>
  <c r="AA24" i="11"/>
  <c r="AC43" i="11"/>
  <c r="AA161" i="11"/>
  <c r="AB58" i="11"/>
  <c r="AE153" i="11"/>
  <c r="AC140" i="11"/>
  <c r="AA26" i="11"/>
  <c r="AD48" i="11"/>
  <c r="AC90" i="11"/>
  <c r="AB131" i="11"/>
  <c r="AB151" i="11"/>
  <c r="AE86" i="11"/>
  <c r="AA49" i="11"/>
  <c r="AD116" i="11"/>
  <c r="AA44" i="11"/>
  <c r="AD11" i="11"/>
  <c r="AD149" i="11"/>
  <c r="AA131" i="11"/>
  <c r="AE92" i="11"/>
  <c r="AB129" i="11"/>
  <c r="AC100" i="11"/>
  <c r="AC157" i="11"/>
  <c r="AD90" i="11"/>
  <c r="AA95" i="11"/>
  <c r="AA83" i="11"/>
  <c r="AC75" i="11"/>
  <c r="AD168" i="11"/>
  <c r="AD125" i="11"/>
  <c r="AB39" i="11"/>
  <c r="AC80" i="11"/>
  <c r="AB102" i="11"/>
  <c r="AC36" i="11"/>
  <c r="AB126" i="11"/>
  <c r="AD104" i="11"/>
  <c r="AB155" i="11"/>
  <c r="AE44" i="11"/>
  <c r="AB44" i="11"/>
  <c r="AB96" i="11"/>
  <c r="AC164" i="11"/>
  <c r="AD14" i="11"/>
  <c r="AA98" i="11"/>
  <c r="AA14" i="11"/>
  <c r="AC93" i="11"/>
  <c r="AC98" i="11"/>
  <c r="AE55" i="11"/>
  <c r="AC19" i="11"/>
  <c r="AD151" i="11"/>
  <c r="AE97" i="11"/>
  <c r="AA88" i="11"/>
  <c r="AB20" i="11"/>
  <c r="AC59" i="11"/>
  <c r="AC113" i="11"/>
  <c r="AB166" i="11"/>
  <c r="AC52" i="11"/>
  <c r="AB95" i="11"/>
  <c r="AD44" i="11"/>
  <c r="AB24" i="11"/>
  <c r="AA141" i="11"/>
  <c r="AA66" i="11"/>
  <c r="AA151" i="11"/>
  <c r="AE154" i="11"/>
  <c r="AB162" i="11"/>
  <c r="AA41" i="11"/>
  <c r="AD120" i="11"/>
  <c r="AB157" i="11"/>
  <c r="AC153" i="11"/>
  <c r="AB91" i="11"/>
  <c r="AC40" i="11"/>
  <c r="AD158" i="11"/>
  <c r="AB59" i="11"/>
  <c r="AC55" i="11"/>
  <c r="AC56" i="11"/>
  <c r="AD144" i="11"/>
  <c r="AB123" i="11"/>
  <c r="AA137" i="11"/>
  <c r="AC77" i="11"/>
  <c r="AC125" i="11"/>
  <c r="AC139" i="11"/>
  <c r="AE38" i="11"/>
  <c r="AC62" i="11"/>
  <c r="AD81" i="11"/>
  <c r="AB79" i="11"/>
  <c r="AD47" i="11"/>
  <c r="AE100" i="11"/>
  <c r="AC14" i="11"/>
  <c r="AA13" i="11"/>
  <c r="AC138" i="11"/>
  <c r="AB88" i="11"/>
  <c r="AA157" i="11"/>
  <c r="AD131" i="11"/>
  <c r="AA84" i="11"/>
  <c r="AA94" i="11"/>
  <c r="AD64" i="11"/>
  <c r="AD166" i="11"/>
  <c r="AC160" i="11"/>
  <c r="AA129" i="11"/>
  <c r="AC91" i="11"/>
  <c r="AA92" i="11"/>
  <c r="AB94" i="11"/>
  <c r="AC21" i="11"/>
  <c r="AE161" i="11"/>
  <c r="AB105" i="11"/>
  <c r="AB170" i="11"/>
  <c r="AA110" i="11"/>
  <c r="AE96" i="11"/>
  <c r="AC152" i="11"/>
  <c r="AB153" i="11"/>
  <c r="AD51" i="11"/>
  <c r="AC50" i="11"/>
  <c r="AC20" i="11"/>
  <c r="AB17" i="11"/>
  <c r="AB107" i="11"/>
  <c r="AA54" i="11"/>
  <c r="AD83" i="11"/>
  <c r="AC58" i="11"/>
  <c r="AA12" i="11"/>
  <c r="AE167" i="11"/>
  <c r="AE16" i="11"/>
  <c r="AB34" i="11"/>
  <c r="AB45" i="11"/>
  <c r="AC130" i="11"/>
  <c r="AA130" i="11"/>
  <c r="AE107" i="11"/>
  <c r="AA70" i="11"/>
  <c r="AB61" i="11"/>
  <c r="AA121" i="11"/>
  <c r="AD141" i="11"/>
  <c r="AC97" i="11"/>
  <c r="AB89" i="11"/>
  <c r="AA89" i="11"/>
  <c r="AB72" i="11"/>
  <c r="AD126" i="11"/>
  <c r="AD121" i="11"/>
  <c r="AB90" i="11"/>
  <c r="AC12" i="11"/>
  <c r="AC107" i="11"/>
  <c r="AC33" i="11"/>
  <c r="AE121" i="11"/>
  <c r="AB146" i="11"/>
  <c r="AE26" i="11"/>
  <c r="AE101" i="11"/>
  <c r="AD159" i="11"/>
  <c r="AD101" i="11"/>
  <c r="AC49" i="11"/>
  <c r="AB33" i="11"/>
  <c r="AC102" i="11"/>
  <c r="AE160" i="11"/>
  <c r="AD62" i="11"/>
  <c r="AD155" i="11"/>
  <c r="AA59" i="11"/>
  <c r="AE37" i="11"/>
  <c r="AE57" i="11"/>
  <c r="AB55" i="11"/>
  <c r="AB135" i="11"/>
  <c r="AA104" i="11"/>
  <c r="AC122" i="11"/>
  <c r="AE151" i="11"/>
  <c r="AD39" i="11"/>
  <c r="AE17" i="11"/>
  <c r="AB21" i="11"/>
  <c r="AD167" i="11"/>
  <c r="AD105" i="11"/>
  <c r="AC51" i="11"/>
  <c r="AB73" i="11"/>
  <c r="AC166" i="11"/>
  <c r="AA17" i="11"/>
  <c r="AA136" i="11"/>
  <c r="AB62" i="11"/>
  <c r="AA52" i="11"/>
  <c r="AE35" i="11"/>
  <c r="AD16" i="11"/>
  <c r="AB93" i="11"/>
  <c r="AD169" i="11"/>
  <c r="AA125" i="11"/>
  <c r="AB140" i="11"/>
  <c r="AC74" i="11"/>
  <c r="AD96" i="11"/>
  <c r="AB81" i="11"/>
  <c r="AC119" i="11"/>
  <c r="AE71" i="11"/>
  <c r="AE155" i="11"/>
  <c r="AB161" i="11"/>
  <c r="AA37" i="11"/>
  <c r="AC162" i="11"/>
  <c r="AC32" i="11"/>
  <c r="AC128" i="11"/>
  <c r="AD57" i="11"/>
  <c r="AD58" i="11"/>
  <c r="AE12" i="11"/>
  <c r="AE76" i="11"/>
  <c r="AD132" i="11"/>
  <c r="AC85" i="11"/>
  <c r="AE124" i="11"/>
  <c r="AE164" i="11"/>
  <c r="AD88" i="11"/>
  <c r="AD127" i="11"/>
  <c r="AE169" i="11"/>
  <c r="AA57" i="11"/>
  <c r="AA119" i="11"/>
  <c r="AC150" i="11"/>
  <c r="AC13" i="11"/>
  <c r="AA114" i="11"/>
  <c r="AA48" i="11"/>
  <c r="AD94" i="11"/>
  <c r="AA156" i="11"/>
  <c r="AC101" i="11"/>
  <c r="AD34" i="11"/>
  <c r="AD33" i="11"/>
  <c r="AA69" i="11"/>
  <c r="AC42" i="11"/>
  <c r="AB154" i="11"/>
  <c r="AD22" i="11"/>
  <c r="AE152" i="11"/>
  <c r="AC106" i="11"/>
  <c r="AC131" i="11"/>
  <c r="AC95" i="11"/>
  <c r="AD147" i="11"/>
  <c r="AA124" i="11"/>
  <c r="AC54" i="11"/>
  <c r="AB56" i="11"/>
  <c r="AD107" i="11"/>
  <c r="AB137" i="11"/>
  <c r="AD40" i="11"/>
  <c r="AE102" i="11"/>
  <c r="AE139" i="11"/>
  <c r="AE68" i="11"/>
  <c r="AC143" i="11"/>
  <c r="AA152" i="11"/>
  <c r="AC156" i="11"/>
  <c r="AD15" i="11"/>
  <c r="AD111" i="11"/>
  <c r="AE80" i="11"/>
  <c r="AD100" i="11"/>
  <c r="AA91" i="11"/>
  <c r="AB63" i="11"/>
  <c r="AC126" i="11"/>
  <c r="AB115" i="11"/>
  <c r="AB128" i="11"/>
  <c r="AC81" i="11"/>
  <c r="AD70" i="11"/>
  <c r="AD38" i="11"/>
  <c r="AE162" i="11"/>
  <c r="AE99" i="11"/>
  <c r="AB35" i="11"/>
  <c r="AD85" i="11"/>
  <c r="AB41" i="11"/>
  <c r="AB124" i="11"/>
  <c r="AE85" i="11"/>
  <c r="AC63" i="11"/>
  <c r="AE15" i="11"/>
  <c r="AC18" i="11"/>
  <c r="AC169" i="11"/>
  <c r="AC44" i="11"/>
  <c r="AC15" i="11"/>
  <c r="AE30" i="11"/>
  <c r="AA11" i="11"/>
  <c r="AA158" i="11"/>
  <c r="AB144" i="11"/>
  <c r="AD77" i="11"/>
  <c r="AE87" i="11"/>
  <c r="AE14" i="11"/>
  <c r="AD92" i="11"/>
  <c r="AB106" i="11"/>
  <c r="AA65" i="11"/>
  <c r="AA74" i="11"/>
  <c r="AB127" i="11"/>
  <c r="AB136" i="11"/>
  <c r="AD25" i="11"/>
  <c r="AD68" i="11"/>
  <c r="AE82" i="11"/>
  <c r="AA116" i="11"/>
  <c r="AB77" i="11"/>
  <c r="AB149" i="11"/>
  <c r="AC124" i="11"/>
  <c r="AA53" i="11"/>
  <c r="AA19" i="11"/>
  <c r="AA33" i="11"/>
  <c r="AE43" i="11"/>
  <c r="AD28" i="11"/>
  <c r="AA39" i="11"/>
  <c r="AE170" i="11"/>
  <c r="AC104" i="11"/>
  <c r="AE163" i="11"/>
  <c r="AC147" i="11"/>
  <c r="AE108" i="11"/>
  <c r="AB46" i="11"/>
  <c r="AB101" i="11"/>
  <c r="AC159" i="11"/>
  <c r="AE118" i="11"/>
  <c r="AD154" i="11"/>
  <c r="AA149" i="11"/>
  <c r="AC149" i="11"/>
  <c r="AC168" i="11"/>
  <c r="AC163" i="11"/>
  <c r="AD43" i="11"/>
  <c r="AE106" i="11"/>
  <c r="AE94" i="11"/>
  <c r="AA166" i="11"/>
  <c r="AB125" i="11"/>
  <c r="AD84" i="11"/>
  <c r="AE110" i="11"/>
  <c r="AD87" i="11"/>
  <c r="AC78" i="11"/>
  <c r="AE72" i="11"/>
  <c r="AC68" i="11"/>
  <c r="AD67" i="11"/>
  <c r="AA47" i="11"/>
  <c r="AC158" i="11"/>
  <c r="AD113" i="11"/>
  <c r="AC26" i="11"/>
  <c r="AC121" i="11"/>
  <c r="AD45" i="11"/>
  <c r="AB49" i="11"/>
  <c r="AC146" i="11"/>
  <c r="AC109" i="11"/>
  <c r="AC71" i="11"/>
  <c r="AC45" i="11"/>
  <c r="AD142" i="11"/>
  <c r="AB65" i="11"/>
  <c r="AE83" i="11"/>
  <c r="AB54" i="11"/>
  <c r="AC23" i="11"/>
  <c r="AA38" i="11"/>
  <c r="AC148" i="11"/>
  <c r="AA101" i="11"/>
  <c r="AB28" i="11"/>
  <c r="AB19" i="11"/>
  <c r="AE48" i="11"/>
  <c r="AB156" i="11"/>
  <c r="AB37" i="11"/>
  <c r="AA82" i="11"/>
  <c r="AC135" i="11"/>
  <c r="AE62" i="11"/>
  <c r="AD110" i="11"/>
  <c r="AE122" i="11"/>
  <c r="AA132" i="11"/>
  <c r="AD36" i="11"/>
  <c r="AC103" i="11"/>
  <c r="AB11" i="11"/>
  <c r="AD137" i="11"/>
  <c r="AA81" i="11"/>
  <c r="AD117" i="11"/>
  <c r="AB99" i="11"/>
  <c r="AD27" i="11"/>
  <c r="AD164" i="11"/>
  <c r="AA108" i="11"/>
  <c r="AE148" i="11"/>
  <c r="AA58" i="11"/>
  <c r="AC24" i="11"/>
  <c r="AA115" i="11"/>
  <c r="AD115" i="11"/>
  <c r="AB108" i="11"/>
  <c r="AC35" i="11"/>
  <c r="AC89" i="11"/>
  <c r="AD134" i="11"/>
  <c r="AB36" i="11"/>
  <c r="AE53" i="11"/>
  <c r="AC110" i="11"/>
  <c r="AE33" i="11"/>
  <c r="AE49" i="11"/>
  <c r="AB43" i="11"/>
  <c r="AA72" i="11"/>
  <c r="AA93" i="11"/>
  <c r="AD82" i="11"/>
  <c r="AA16" i="11"/>
  <c r="AE125" i="11"/>
  <c r="AE64" i="11"/>
  <c r="AA162" i="11"/>
  <c r="AD24" i="11"/>
  <c r="AE168" i="11"/>
  <c r="AA153" i="11"/>
  <c r="AC84" i="11"/>
  <c r="AB82" i="11"/>
  <c r="AB13" i="11"/>
  <c r="AC145" i="11"/>
  <c r="AE120" i="11"/>
  <c r="AD20" i="11"/>
  <c r="AE75" i="11"/>
  <c r="AE36" i="11"/>
  <c r="AC76" i="11"/>
  <c r="AE73" i="11"/>
  <c r="AA87" i="11"/>
  <c r="AD109" i="11"/>
  <c r="AC105" i="11"/>
  <c r="AE24" i="11"/>
  <c r="AE90" i="11"/>
  <c r="AB168" i="11"/>
  <c r="AA36" i="11"/>
  <c r="AE136" i="11"/>
  <c r="AC94" i="11"/>
  <c r="AC132" i="11"/>
  <c r="AB67" i="11"/>
  <c r="AE93" i="11"/>
  <c r="AB12" i="11"/>
  <c r="AC16" i="11"/>
  <c r="AB103" i="11"/>
  <c r="AD160" i="11"/>
  <c r="AD129" i="11"/>
  <c r="AA90" i="11"/>
  <c r="AC96" i="11"/>
  <c r="AC79" i="11"/>
  <c r="AD78" i="11"/>
  <c r="AE138" i="11"/>
  <c r="AB169" i="11"/>
  <c r="AB16" i="11"/>
  <c r="AA160" i="11"/>
  <c r="AB145" i="11"/>
  <c r="AC144" i="11"/>
  <c r="AE166" i="11"/>
  <c r="AC86" i="11"/>
  <c r="AD12" i="11"/>
  <c r="AB141" i="11"/>
  <c r="AD95" i="11"/>
  <c r="AC151" i="11"/>
  <c r="AC87" i="11"/>
  <c r="AD112" i="11"/>
  <c r="AB74" i="11"/>
  <c r="AC161" i="11"/>
  <c r="AA25" i="11"/>
  <c r="AA75" i="11"/>
  <c r="AE39" i="11"/>
  <c r="AE56" i="11"/>
  <c r="AB152" i="11"/>
  <c r="AB147" i="11"/>
  <c r="AA117" i="11"/>
  <c r="AA45" i="11"/>
  <c r="AD56" i="11"/>
  <c r="AC112" i="11"/>
  <c r="AC17" i="11"/>
  <c r="AA122" i="11"/>
  <c r="AD148" i="11"/>
  <c r="AB164" i="11"/>
  <c r="AG64" i="7" l="1"/>
  <c r="AG55" i="7"/>
  <c r="AE203" i="7"/>
  <c r="AG37" i="7"/>
  <c r="AG73" i="7"/>
  <c r="AG46" i="7"/>
  <c r="AG325" i="7"/>
  <c r="AG65" i="7"/>
  <c r="AG28" i="7"/>
  <c r="BB63" i="7"/>
  <c r="BB26" i="7"/>
  <c r="BB38" i="7"/>
  <c r="BB50" i="7"/>
  <c r="BB62" i="7"/>
  <c r="BB19" i="7"/>
  <c r="BB43" i="7"/>
  <c r="BB32" i="7"/>
  <c r="BB21" i="7"/>
  <c r="BB22" i="7"/>
  <c r="BB58" i="7"/>
  <c r="BB15" i="7"/>
  <c r="BB27" i="7"/>
  <c r="BB39" i="7"/>
  <c r="BB51" i="7"/>
  <c r="BB14" i="7"/>
  <c r="BB54" i="7"/>
  <c r="BB55" i="7"/>
  <c r="BB56" i="7"/>
  <c r="BB57" i="7"/>
  <c r="BB16" i="7"/>
  <c r="BB28" i="7"/>
  <c r="BB40" i="7"/>
  <c r="BB52" i="7"/>
  <c r="BB31" i="7"/>
  <c r="BB44" i="7"/>
  <c r="BB33" i="7"/>
  <c r="BB34" i="7"/>
  <c r="BB17" i="7"/>
  <c r="BB29" i="7"/>
  <c r="BB41" i="7"/>
  <c r="BB53" i="7"/>
  <c r="BB42" i="7"/>
  <c r="BB20" i="7"/>
  <c r="BB45" i="7"/>
  <c r="BB46" i="7"/>
  <c r="BB18" i="7"/>
  <c r="BB30" i="7"/>
  <c r="BB23" i="7"/>
  <c r="BB35" i="7"/>
  <c r="BB47" i="7"/>
  <c r="BB59" i="7"/>
  <c r="BB24" i="7"/>
  <c r="BB36" i="7"/>
  <c r="BB48" i="7"/>
  <c r="BB60" i="7"/>
  <c r="BB25" i="7"/>
  <c r="BB37" i="7"/>
  <c r="BB49" i="7"/>
  <c r="BB61" i="7"/>
  <c r="AG298" i="7"/>
  <c r="AG172" i="7"/>
  <c r="AG136" i="7"/>
  <c r="AG118" i="7"/>
  <c r="AG109" i="7"/>
  <c r="AG163" i="7"/>
  <c r="AG91" i="7"/>
  <c r="AG100" i="7"/>
  <c r="AG127" i="7"/>
  <c r="AG262" i="7"/>
  <c r="AG253" i="7"/>
  <c r="AG235" i="7"/>
  <c r="AG244" i="7"/>
  <c r="AG208" i="7"/>
  <c r="AG307" i="7"/>
  <c r="AG217" i="7"/>
  <c r="AG271" i="7"/>
  <c r="AG190" i="7"/>
  <c r="AG289" i="7"/>
  <c r="AG145" i="7"/>
  <c r="AG181" i="7"/>
  <c r="AG280" i="7"/>
  <c r="AG316" i="7"/>
  <c r="AG82" i="7"/>
  <c r="AG226" i="7"/>
  <c r="AG199" i="7"/>
  <c r="AG154" i="7"/>
  <c r="N53" i="7"/>
  <c r="H53" i="7"/>
  <c r="AG326" i="7" l="1"/>
  <c r="AG47" i="7"/>
  <c r="AG74" i="7"/>
  <c r="AG38" i="7"/>
  <c r="AG29" i="7"/>
  <c r="AE212" i="7"/>
  <c r="AG56" i="7"/>
  <c r="AG308" i="7"/>
  <c r="AG173" i="7"/>
  <c r="AG236" i="7"/>
  <c r="AG254" i="7"/>
  <c r="AG155" i="7"/>
  <c r="AG128" i="7"/>
  <c r="AG200" i="7"/>
  <c r="AG101" i="7"/>
  <c r="AG191" i="7"/>
  <c r="AG317" i="7"/>
  <c r="AG110" i="7"/>
  <c r="AG281" i="7"/>
  <c r="AG218" i="7"/>
  <c r="AG263" i="7"/>
  <c r="AG119" i="7"/>
  <c r="AG137" i="7"/>
  <c r="AG146" i="7"/>
  <c r="AG83" i="7"/>
  <c r="AG164" i="7"/>
  <c r="AG272" i="7"/>
  <c r="AG182" i="7"/>
  <c r="AG209" i="7"/>
  <c r="AG227" i="7"/>
  <c r="AG290" i="7"/>
  <c r="AG245" i="7"/>
  <c r="AG92" i="7"/>
  <c r="AG299" i="7"/>
  <c r="AN39" i="7"/>
  <c r="AN38" i="7"/>
  <c r="AN37" i="7"/>
  <c r="AN36" i="7"/>
  <c r="AN35" i="7"/>
  <c r="AN34" i="7"/>
  <c r="AN33" i="7"/>
  <c r="AN32" i="7"/>
  <c r="AG30" i="7" l="1"/>
  <c r="AG39" i="7"/>
  <c r="AG48" i="7"/>
  <c r="AE221" i="7"/>
  <c r="AG327" i="7"/>
  <c r="AG291" i="7"/>
  <c r="AG282" i="7"/>
  <c r="AG129" i="7"/>
  <c r="AG228" i="7"/>
  <c r="AG147" i="7"/>
  <c r="AG156" i="7"/>
  <c r="AG210" i="7"/>
  <c r="AG138" i="7"/>
  <c r="AG318" i="7"/>
  <c r="AG255" i="7"/>
  <c r="AG300" i="7"/>
  <c r="AG183" i="7"/>
  <c r="AG120" i="7"/>
  <c r="AG192" i="7"/>
  <c r="AG237" i="7"/>
  <c r="AG93" i="7"/>
  <c r="AG273" i="7"/>
  <c r="AG264" i="7"/>
  <c r="AG174" i="7"/>
  <c r="AG246" i="7"/>
  <c r="AG165" i="7"/>
  <c r="AG219" i="7"/>
  <c r="AG201" i="7"/>
  <c r="AG309" i="7"/>
  <c r="N59" i="7"/>
  <c r="H59" i="7"/>
  <c r="N47" i="7"/>
  <c r="H47" i="7"/>
  <c r="N41" i="7"/>
  <c r="H41" i="7"/>
  <c r="AE230" i="7" l="1"/>
  <c r="W23" i="7"/>
  <c r="H29" i="7"/>
  <c r="H65" i="7"/>
  <c r="H35" i="7"/>
  <c r="H23" i="7"/>
  <c r="AE239" i="7" l="1"/>
  <c r="U924" i="7"/>
  <c r="U824" i="7"/>
  <c r="U724" i="7"/>
  <c r="U624" i="7"/>
  <c r="U524" i="7"/>
  <c r="U424" i="7"/>
  <c r="U324" i="7"/>
  <c r="U224" i="7"/>
  <c r="T24" i="7"/>
  <c r="V123" i="7"/>
  <c r="U124" i="7"/>
  <c r="AE248" i="7" l="1"/>
  <c r="U825" i="7"/>
  <c r="U826" i="7" s="1"/>
  <c r="U625" i="7"/>
  <c r="U626" i="7" s="1"/>
  <c r="U725" i="7"/>
  <c r="U726" i="7" s="1"/>
  <c r="U925" i="7"/>
  <c r="V124" i="7"/>
  <c r="U325" i="7"/>
  <c r="V223" i="7"/>
  <c r="U225" i="7"/>
  <c r="U226" i="7" s="1"/>
  <c r="U525" i="7"/>
  <c r="U425" i="7"/>
  <c r="X123" i="7"/>
  <c r="T25" i="7"/>
  <c r="U125" i="7"/>
  <c r="AE257" i="7" l="1"/>
  <c r="X124" i="7"/>
  <c r="V224" i="7"/>
  <c r="V125" i="7"/>
  <c r="V323" i="7"/>
  <c r="X223" i="7"/>
  <c r="T26" i="7"/>
  <c r="U426" i="7"/>
  <c r="U427" i="7" s="1"/>
  <c r="U526" i="7"/>
  <c r="U527" i="7" s="1"/>
  <c r="U326" i="7"/>
  <c r="U926" i="7"/>
  <c r="U827" i="7"/>
  <c r="U727" i="7"/>
  <c r="U627" i="7"/>
  <c r="U227" i="7"/>
  <c r="U126" i="7"/>
  <c r="X224" i="7" l="1"/>
  <c r="V225" i="7"/>
  <c r="X125" i="7"/>
  <c r="AE266" i="7"/>
  <c r="V126" i="7"/>
  <c r="U927" i="7"/>
  <c r="T27" i="7"/>
  <c r="U327" i="7"/>
  <c r="U328" i="7" s="1"/>
  <c r="X323" i="7"/>
  <c r="V423" i="7"/>
  <c r="V324" i="7"/>
  <c r="U127" i="7"/>
  <c r="U828" i="7"/>
  <c r="U728" i="7"/>
  <c r="U628" i="7"/>
  <c r="U528" i="7"/>
  <c r="U428" i="7"/>
  <c r="U228" i="7"/>
  <c r="X225" i="7" l="1"/>
  <c r="X423" i="7"/>
  <c r="X324" i="7"/>
  <c r="X126" i="7"/>
  <c r="AE275" i="7"/>
  <c r="V226" i="7"/>
  <c r="V127" i="7"/>
  <c r="V523" i="7"/>
  <c r="V424" i="7"/>
  <c r="V325" i="7"/>
  <c r="T28" i="7"/>
  <c r="U928" i="7"/>
  <c r="U128" i="7"/>
  <c r="U829" i="7"/>
  <c r="U729" i="7"/>
  <c r="U629" i="7"/>
  <c r="U529" i="7"/>
  <c r="U429" i="7"/>
  <c r="U329" i="7"/>
  <c r="U229" i="7"/>
  <c r="V326" i="7" l="1"/>
  <c r="X127" i="7"/>
  <c r="V524" i="7"/>
  <c r="V227" i="7"/>
  <c r="X226" i="7"/>
  <c r="X424" i="7"/>
  <c r="AE284" i="7"/>
  <c r="V623" i="7"/>
  <c r="X523" i="7"/>
  <c r="X325" i="7"/>
  <c r="V128" i="7"/>
  <c r="V425" i="7"/>
  <c r="T29" i="7"/>
  <c r="U929" i="7"/>
  <c r="U129" i="7"/>
  <c r="U830" i="7"/>
  <c r="U730" i="7"/>
  <c r="U630" i="7"/>
  <c r="U530" i="7"/>
  <c r="U430" i="7"/>
  <c r="U330" i="7"/>
  <c r="U230" i="7"/>
  <c r="V327" i="7" l="1"/>
  <c r="X524" i="7"/>
  <c r="V525" i="7"/>
  <c r="X326" i="7"/>
  <c r="V624" i="7"/>
  <c r="AE293" i="7"/>
  <c r="X425" i="7"/>
  <c r="V129" i="7"/>
  <c r="X227" i="7"/>
  <c r="V228" i="7"/>
  <c r="X623" i="7"/>
  <c r="V723" i="7"/>
  <c r="X128" i="7"/>
  <c r="V426" i="7"/>
  <c r="U930" i="7"/>
  <c r="T30" i="7"/>
  <c r="X327" i="7"/>
  <c r="V328" i="7"/>
  <c r="U130" i="7"/>
  <c r="V130" i="7"/>
  <c r="U831" i="7"/>
  <c r="U731" i="7"/>
  <c r="U631" i="7"/>
  <c r="U531" i="7"/>
  <c r="U431" i="7"/>
  <c r="U331" i="7"/>
  <c r="U231" i="7"/>
  <c r="X525" i="7" l="1"/>
  <c r="X129" i="7"/>
  <c r="V625" i="7"/>
  <c r="V526" i="7"/>
  <c r="X624" i="7"/>
  <c r="V823" i="7"/>
  <c r="AE302" i="7"/>
  <c r="V229" i="7"/>
  <c r="X228" i="7"/>
  <c r="X723" i="7"/>
  <c r="X426" i="7"/>
  <c r="V724" i="7"/>
  <c r="V427" i="7"/>
  <c r="T31" i="7"/>
  <c r="U931" i="7"/>
  <c r="U131" i="7"/>
  <c r="X526" i="7"/>
  <c r="V527" i="7"/>
  <c r="X328" i="7"/>
  <c r="V329" i="7"/>
  <c r="X625" i="7"/>
  <c r="V626" i="7"/>
  <c r="V131" i="7"/>
  <c r="X130" i="7"/>
  <c r="U832" i="7"/>
  <c r="U732" i="7"/>
  <c r="U632" i="7"/>
  <c r="U532" i="7"/>
  <c r="U432" i="7"/>
  <c r="U332" i="7"/>
  <c r="U232" i="7"/>
  <c r="V824" i="7" l="1"/>
  <c r="V725" i="7"/>
  <c r="X823" i="7"/>
  <c r="V923" i="7"/>
  <c r="X427" i="7"/>
  <c r="X724" i="7"/>
  <c r="U132" i="7"/>
  <c r="X229" i="7"/>
  <c r="V230" i="7"/>
  <c r="AE311" i="7"/>
  <c r="V428" i="7"/>
  <c r="U932" i="7"/>
  <c r="T32" i="7"/>
  <c r="V132" i="7"/>
  <c r="X329" i="7"/>
  <c r="V330" i="7"/>
  <c r="X527" i="7"/>
  <c r="V528" i="7"/>
  <c r="X824" i="7"/>
  <c r="V825" i="7"/>
  <c r="X131" i="7"/>
  <c r="X923" i="7"/>
  <c r="V924" i="7"/>
  <c r="X725" i="7"/>
  <c r="V726" i="7"/>
  <c r="X626" i="7"/>
  <c r="V627" i="7"/>
  <c r="U833" i="7"/>
  <c r="U733" i="7"/>
  <c r="U633" i="7"/>
  <c r="U533" i="7"/>
  <c r="U433" i="7"/>
  <c r="U333" i="7"/>
  <c r="U233" i="7"/>
  <c r="U133" i="7"/>
  <c r="AE320" i="7" l="1"/>
  <c r="X230" i="7"/>
  <c r="V231" i="7"/>
  <c r="X428" i="7"/>
  <c r="V429" i="7"/>
  <c r="U933" i="7"/>
  <c r="T33" i="7"/>
  <c r="X726" i="7"/>
  <c r="V727" i="7"/>
  <c r="X825" i="7"/>
  <c r="V826" i="7"/>
  <c r="X528" i="7"/>
  <c r="V529" i="7"/>
  <c r="V133" i="7"/>
  <c r="X627" i="7"/>
  <c r="V628" i="7"/>
  <c r="X924" i="7"/>
  <c r="V925" i="7"/>
  <c r="X330" i="7"/>
  <c r="V331" i="7"/>
  <c r="X132" i="7"/>
  <c r="U834" i="7"/>
  <c r="U734" i="7"/>
  <c r="U634" i="7"/>
  <c r="U534" i="7"/>
  <c r="U434" i="7"/>
  <c r="U334" i="7"/>
  <c r="U234" i="7"/>
  <c r="U134" i="7"/>
  <c r="X429" i="7" l="1"/>
  <c r="V430" i="7"/>
  <c r="V232" i="7"/>
  <c r="X231" i="7"/>
  <c r="X133" i="7"/>
  <c r="T34" i="7"/>
  <c r="U934" i="7"/>
  <c r="X529" i="7"/>
  <c r="V530" i="7"/>
  <c r="X727" i="7"/>
  <c r="V728" i="7"/>
  <c r="X331" i="7"/>
  <c r="V332" i="7"/>
  <c r="X826" i="7"/>
  <c r="V827" i="7"/>
  <c r="X925" i="7"/>
  <c r="V926" i="7"/>
  <c r="V134" i="7"/>
  <c r="X628" i="7"/>
  <c r="V629" i="7"/>
  <c r="U835" i="7"/>
  <c r="U735" i="7"/>
  <c r="U635" i="7"/>
  <c r="U535" i="7"/>
  <c r="U435" i="7"/>
  <c r="U335" i="7"/>
  <c r="U235" i="7"/>
  <c r="U135" i="7"/>
  <c r="X430" i="7" l="1"/>
  <c r="V431" i="7"/>
  <c r="X431" i="7" s="1"/>
  <c r="X232" i="7"/>
  <c r="V233" i="7"/>
  <c r="X134" i="7"/>
  <c r="U935" i="7"/>
  <c r="T35" i="7"/>
  <c r="X530" i="7"/>
  <c r="V531" i="7"/>
  <c r="V135" i="7"/>
  <c r="X332" i="7"/>
  <c r="V333" i="7"/>
  <c r="X629" i="7"/>
  <c r="V630" i="7"/>
  <c r="X926" i="7"/>
  <c r="V927" i="7"/>
  <c r="X827" i="7"/>
  <c r="V828" i="7"/>
  <c r="X728" i="7"/>
  <c r="V729" i="7"/>
  <c r="U836" i="7"/>
  <c r="U736" i="7"/>
  <c r="U636" i="7"/>
  <c r="U536" i="7"/>
  <c r="U436" i="7"/>
  <c r="U336" i="7"/>
  <c r="U236" i="7"/>
  <c r="U136" i="7"/>
  <c r="V432" i="7" l="1"/>
  <c r="X135" i="7"/>
  <c r="X233" i="7"/>
  <c r="V234" i="7"/>
  <c r="T36" i="7"/>
  <c r="U936" i="7"/>
  <c r="X828" i="7"/>
  <c r="V829" i="7"/>
  <c r="X630" i="7"/>
  <c r="V631" i="7"/>
  <c r="X531" i="7"/>
  <c r="V532" i="7"/>
  <c r="X729" i="7"/>
  <c r="V730" i="7"/>
  <c r="X333" i="7"/>
  <c r="V334" i="7"/>
  <c r="X927" i="7"/>
  <c r="V928" i="7"/>
  <c r="V136" i="7"/>
  <c r="U837" i="7"/>
  <c r="U737" i="7"/>
  <c r="U637" i="7"/>
  <c r="U537" i="7"/>
  <c r="U437" i="7"/>
  <c r="U337" i="7"/>
  <c r="U237" i="7"/>
  <c r="U137" i="7"/>
  <c r="V433" i="7" l="1"/>
  <c r="X432" i="7"/>
  <c r="V235" i="7"/>
  <c r="X234" i="7"/>
  <c r="X136" i="7"/>
  <c r="U937" i="7"/>
  <c r="T37" i="7"/>
  <c r="X334" i="7"/>
  <c r="V335" i="7"/>
  <c r="X532" i="7"/>
  <c r="V533" i="7"/>
  <c r="X829" i="7"/>
  <c r="V830" i="7"/>
  <c r="X433" i="7"/>
  <c r="V434" i="7"/>
  <c r="V137" i="7"/>
  <c r="X730" i="7"/>
  <c r="V731" i="7"/>
  <c r="X631" i="7"/>
  <c r="V632" i="7"/>
  <c r="X928" i="7"/>
  <c r="V929" i="7"/>
  <c r="U838" i="7"/>
  <c r="U738" i="7"/>
  <c r="U638" i="7"/>
  <c r="U538" i="7"/>
  <c r="U438" i="7"/>
  <c r="U338" i="7"/>
  <c r="U238" i="7"/>
  <c r="U138" i="7"/>
  <c r="V236" i="7" l="1"/>
  <c r="X235" i="7"/>
  <c r="U938" i="7"/>
  <c r="X137" i="7"/>
  <c r="T38" i="7"/>
  <c r="X533" i="7"/>
  <c r="V534" i="7"/>
  <c r="X632" i="7"/>
  <c r="V633" i="7"/>
  <c r="X830" i="7"/>
  <c r="V831" i="7"/>
  <c r="X335" i="7"/>
  <c r="V336" i="7"/>
  <c r="X929" i="7"/>
  <c r="V930" i="7"/>
  <c r="X731" i="7"/>
  <c r="V732" i="7"/>
  <c r="V138" i="7"/>
  <c r="X434" i="7"/>
  <c r="V435" i="7"/>
  <c r="U839" i="7"/>
  <c r="U739" i="7"/>
  <c r="U639" i="7"/>
  <c r="U539" i="7"/>
  <c r="U439" i="7"/>
  <c r="U339" i="7"/>
  <c r="U239" i="7"/>
  <c r="U139" i="7"/>
  <c r="X236" i="7" l="1"/>
  <c r="V237" i="7"/>
  <c r="X138" i="7"/>
  <c r="T39" i="7"/>
  <c r="U939" i="7"/>
  <c r="X732" i="7"/>
  <c r="V733" i="7"/>
  <c r="X930" i="7"/>
  <c r="V931" i="7"/>
  <c r="X831" i="7"/>
  <c r="V832" i="7"/>
  <c r="X435" i="7"/>
  <c r="V436" i="7"/>
  <c r="V139" i="7"/>
  <c r="X336" i="7"/>
  <c r="V337" i="7"/>
  <c r="X534" i="7"/>
  <c r="V535" i="7"/>
  <c r="X633" i="7"/>
  <c r="V634" i="7"/>
  <c r="U840" i="7"/>
  <c r="U740" i="7"/>
  <c r="U640" i="7"/>
  <c r="U540" i="7"/>
  <c r="U440" i="7"/>
  <c r="U340" i="7"/>
  <c r="U240" i="7"/>
  <c r="U140" i="7"/>
  <c r="V238" i="7" l="1"/>
  <c r="X237" i="7"/>
  <c r="T40" i="7"/>
  <c r="X139" i="7"/>
  <c r="U940" i="7"/>
  <c r="X337" i="7"/>
  <c r="V338" i="7"/>
  <c r="X931" i="7"/>
  <c r="V932" i="7"/>
  <c r="X436" i="7"/>
  <c r="V437" i="7"/>
  <c r="X832" i="7"/>
  <c r="V833" i="7"/>
  <c r="X733" i="7"/>
  <c r="V734" i="7"/>
  <c r="X634" i="7"/>
  <c r="V635" i="7"/>
  <c r="X535" i="7"/>
  <c r="V536" i="7"/>
  <c r="V140" i="7"/>
  <c r="U841" i="7"/>
  <c r="U741" i="7"/>
  <c r="U641" i="7"/>
  <c r="U541" i="7"/>
  <c r="U441" i="7"/>
  <c r="U341" i="7"/>
  <c r="U241" i="7"/>
  <c r="U141" i="7"/>
  <c r="V239" i="7" l="1"/>
  <c r="X238" i="7"/>
  <c r="U941" i="7"/>
  <c r="T41" i="7"/>
  <c r="X932" i="7"/>
  <c r="V933" i="7"/>
  <c r="V141" i="7"/>
  <c r="X734" i="7"/>
  <c r="V735" i="7"/>
  <c r="X437" i="7"/>
  <c r="V438" i="7"/>
  <c r="X833" i="7"/>
  <c r="V834" i="7"/>
  <c r="X536" i="7"/>
  <c r="V537" i="7"/>
  <c r="X338" i="7"/>
  <c r="V339" i="7"/>
  <c r="X140" i="7"/>
  <c r="X635" i="7"/>
  <c r="V636" i="7"/>
  <c r="U842" i="7"/>
  <c r="U742" i="7"/>
  <c r="U642" i="7"/>
  <c r="U542" i="7"/>
  <c r="U442" i="7"/>
  <c r="U342" i="7"/>
  <c r="U242" i="7"/>
  <c r="U142" i="7"/>
  <c r="X239" i="7" l="1"/>
  <c r="V240" i="7"/>
  <c r="X141" i="7"/>
  <c r="T42" i="7"/>
  <c r="U942" i="7"/>
  <c r="X636" i="7"/>
  <c r="V637" i="7"/>
  <c r="X339" i="7"/>
  <c r="V340" i="7"/>
  <c r="X834" i="7"/>
  <c r="V835" i="7"/>
  <c r="X735" i="7"/>
  <c r="V736" i="7"/>
  <c r="X933" i="7"/>
  <c r="V934" i="7"/>
  <c r="X537" i="7"/>
  <c r="V538" i="7"/>
  <c r="X438" i="7"/>
  <c r="V439" i="7"/>
  <c r="V142" i="7"/>
  <c r="U843" i="7"/>
  <c r="U743" i="7"/>
  <c r="U643" i="7"/>
  <c r="U543" i="7"/>
  <c r="U443" i="7"/>
  <c r="U343" i="7"/>
  <c r="U243" i="7"/>
  <c r="U143" i="7"/>
  <c r="X240" i="7" l="1"/>
  <c r="V241" i="7"/>
  <c r="U943" i="7"/>
  <c r="T43" i="7"/>
  <c r="V143" i="7"/>
  <c r="X538" i="7"/>
  <c r="V539" i="7"/>
  <c r="X142" i="7"/>
  <c r="X835" i="7"/>
  <c r="V836" i="7"/>
  <c r="X637" i="7"/>
  <c r="V638" i="7"/>
  <c r="X439" i="7"/>
  <c r="V440" i="7"/>
  <c r="X736" i="7"/>
  <c r="V737" i="7"/>
  <c r="X340" i="7"/>
  <c r="V341" i="7"/>
  <c r="X934" i="7"/>
  <c r="V935" i="7"/>
  <c r="X143" i="7"/>
  <c r="U844" i="7"/>
  <c r="U744" i="7"/>
  <c r="U644" i="7"/>
  <c r="U544" i="7"/>
  <c r="U444" i="7"/>
  <c r="U344" i="7"/>
  <c r="U244" i="7"/>
  <c r="U144" i="7"/>
  <c r="X241" i="7" l="1"/>
  <c r="V242" i="7"/>
  <c r="T44" i="7"/>
  <c r="U944" i="7"/>
  <c r="X638" i="7"/>
  <c r="V639" i="7"/>
  <c r="X539" i="7"/>
  <c r="V540" i="7"/>
  <c r="X935" i="7"/>
  <c r="V936" i="7"/>
  <c r="X341" i="7"/>
  <c r="V342" i="7"/>
  <c r="X440" i="7"/>
  <c r="V441" i="7"/>
  <c r="V144" i="7"/>
  <c r="X737" i="7"/>
  <c r="V738" i="7"/>
  <c r="X836" i="7"/>
  <c r="V837" i="7"/>
  <c r="U845" i="7"/>
  <c r="U745" i="7"/>
  <c r="U645" i="7"/>
  <c r="U545" i="7"/>
  <c r="U445" i="7"/>
  <c r="U345" i="7"/>
  <c r="U245" i="7"/>
  <c r="U145" i="7"/>
  <c r="X144" i="7" l="1"/>
  <c r="V243" i="7"/>
  <c r="X242" i="7"/>
  <c r="U945" i="7"/>
  <c r="T45" i="7"/>
  <c r="X738" i="7"/>
  <c r="V739" i="7"/>
  <c r="X441" i="7"/>
  <c r="V442" i="7"/>
  <c r="X936" i="7"/>
  <c r="V937" i="7"/>
  <c r="X639" i="7"/>
  <c r="V640" i="7"/>
  <c r="X540" i="7"/>
  <c r="V541" i="7"/>
  <c r="X342" i="7"/>
  <c r="V343" i="7"/>
  <c r="X837" i="7"/>
  <c r="V838" i="7"/>
  <c r="V145" i="7"/>
  <c r="U846" i="7"/>
  <c r="U746" i="7"/>
  <c r="U646" i="7"/>
  <c r="U546" i="7"/>
  <c r="U446" i="7"/>
  <c r="U346" i="7"/>
  <c r="U246" i="7"/>
  <c r="U146" i="7"/>
  <c r="V244" i="7" l="1"/>
  <c r="X243" i="7"/>
  <c r="T46" i="7"/>
  <c r="X145" i="7"/>
  <c r="U946" i="7"/>
  <c r="X640" i="7"/>
  <c r="V641" i="7"/>
  <c r="X442" i="7"/>
  <c r="V443" i="7"/>
  <c r="X541" i="7"/>
  <c r="V542" i="7"/>
  <c r="X838" i="7"/>
  <c r="V839" i="7"/>
  <c r="X937" i="7"/>
  <c r="V938" i="7"/>
  <c r="X739" i="7"/>
  <c r="V740" i="7"/>
  <c r="X343" i="7"/>
  <c r="V344" i="7"/>
  <c r="V146" i="7"/>
  <c r="U847" i="7"/>
  <c r="U747" i="7"/>
  <c r="U647" i="7"/>
  <c r="U547" i="7"/>
  <c r="U447" i="7"/>
  <c r="U347" i="7"/>
  <c r="U247" i="7"/>
  <c r="U147" i="7"/>
  <c r="X244" i="7" l="1"/>
  <c r="V245" i="7"/>
  <c r="U947" i="7"/>
  <c r="X146" i="7"/>
  <c r="T47" i="7"/>
  <c r="X938" i="7"/>
  <c r="V939" i="7"/>
  <c r="X542" i="7"/>
  <c r="V543" i="7"/>
  <c r="X641" i="7"/>
  <c r="V642" i="7"/>
  <c r="X344" i="7"/>
  <c r="V345" i="7"/>
  <c r="X740" i="7"/>
  <c r="V741" i="7"/>
  <c r="X839" i="7"/>
  <c r="V840" i="7"/>
  <c r="X443" i="7"/>
  <c r="V444" i="7"/>
  <c r="V147" i="7"/>
  <c r="U848" i="7"/>
  <c r="U748" i="7"/>
  <c r="U648" i="7"/>
  <c r="U548" i="7"/>
  <c r="U448" i="7"/>
  <c r="U348" i="7"/>
  <c r="U248" i="7"/>
  <c r="U148" i="7"/>
  <c r="X245" i="7" l="1"/>
  <c r="V246" i="7"/>
  <c r="T48" i="7"/>
  <c r="U948" i="7"/>
  <c r="V148" i="7"/>
  <c r="X840" i="7"/>
  <c r="V841" i="7"/>
  <c r="X147" i="7"/>
  <c r="X543" i="7"/>
  <c r="V544" i="7"/>
  <c r="X444" i="7"/>
  <c r="V445" i="7"/>
  <c r="X741" i="7"/>
  <c r="V742" i="7"/>
  <c r="X642" i="7"/>
  <c r="V643" i="7"/>
  <c r="X939" i="7"/>
  <c r="V940" i="7"/>
  <c r="X345" i="7"/>
  <c r="V346" i="7"/>
  <c r="U849" i="7"/>
  <c r="U749" i="7"/>
  <c r="U649" i="7"/>
  <c r="U549" i="7"/>
  <c r="U449" i="7"/>
  <c r="U349" i="7"/>
  <c r="U249" i="7"/>
  <c r="U149" i="7"/>
  <c r="V247" i="7" l="1"/>
  <c r="X246" i="7"/>
  <c r="X148" i="7"/>
  <c r="U949" i="7"/>
  <c r="T49" i="7"/>
  <c r="X841" i="7"/>
  <c r="V842" i="7"/>
  <c r="X544" i="7"/>
  <c r="V545" i="7"/>
  <c r="X445" i="7"/>
  <c r="V446" i="7"/>
  <c r="V149" i="7"/>
  <c r="X346" i="7"/>
  <c r="V347" i="7"/>
  <c r="X940" i="7"/>
  <c r="V941" i="7"/>
  <c r="X643" i="7"/>
  <c r="V644" i="7"/>
  <c r="X742" i="7"/>
  <c r="V743" i="7"/>
  <c r="U850" i="7"/>
  <c r="U750" i="7"/>
  <c r="U650" i="7"/>
  <c r="U550" i="7"/>
  <c r="U450" i="7"/>
  <c r="U350" i="7"/>
  <c r="U250" i="7"/>
  <c r="U150" i="7"/>
  <c r="X247" i="7" l="1"/>
  <c r="V248" i="7"/>
  <c r="T50" i="7"/>
  <c r="U950" i="7"/>
  <c r="X149" i="7"/>
  <c r="X941" i="7"/>
  <c r="V942" i="7"/>
  <c r="V150" i="7"/>
  <c r="X842" i="7"/>
  <c r="V843" i="7"/>
  <c r="X545" i="7"/>
  <c r="V546" i="7"/>
  <c r="X743" i="7"/>
  <c r="V744" i="7"/>
  <c r="X644" i="7"/>
  <c r="V645" i="7"/>
  <c r="X347" i="7"/>
  <c r="V348" i="7"/>
  <c r="X446" i="7"/>
  <c r="V447" i="7"/>
  <c r="U851" i="7"/>
  <c r="U751" i="7"/>
  <c r="U651" i="7"/>
  <c r="U551" i="7"/>
  <c r="U451" i="7"/>
  <c r="U351" i="7"/>
  <c r="U251" i="7"/>
  <c r="U151" i="7"/>
  <c r="V249" i="7" l="1"/>
  <c r="X248" i="7"/>
  <c r="U951" i="7"/>
  <c r="X150" i="7"/>
  <c r="T51" i="7"/>
  <c r="X348" i="7"/>
  <c r="V349" i="7"/>
  <c r="X447" i="7"/>
  <c r="V448" i="7"/>
  <c r="X744" i="7"/>
  <c r="V745" i="7"/>
  <c r="X843" i="7"/>
  <c r="V844" i="7"/>
  <c r="X645" i="7"/>
  <c r="V646" i="7"/>
  <c r="X942" i="7"/>
  <c r="V943" i="7"/>
  <c r="X546" i="7"/>
  <c r="V547" i="7"/>
  <c r="V151" i="7"/>
  <c r="U852" i="7"/>
  <c r="U752" i="7"/>
  <c r="U652" i="7"/>
  <c r="U552" i="7"/>
  <c r="U452" i="7"/>
  <c r="U352" i="7"/>
  <c r="U252" i="7"/>
  <c r="U152" i="7"/>
  <c r="V250" i="7" l="1"/>
  <c r="X249" i="7"/>
  <c r="T52" i="7"/>
  <c r="U952" i="7"/>
  <c r="X349" i="7"/>
  <c r="V350" i="7"/>
  <c r="X943" i="7"/>
  <c r="V944" i="7"/>
  <c r="X646" i="7"/>
  <c r="V647" i="7"/>
  <c r="V152" i="7"/>
  <c r="X448" i="7"/>
  <c r="V449" i="7"/>
  <c r="X547" i="7"/>
  <c r="V548" i="7"/>
  <c r="X844" i="7"/>
  <c r="V845" i="7"/>
  <c r="X745" i="7"/>
  <c r="V746" i="7"/>
  <c r="X151" i="7"/>
  <c r="U853" i="7"/>
  <c r="U753" i="7"/>
  <c r="U653" i="7"/>
  <c r="U553" i="7"/>
  <c r="U453" i="7"/>
  <c r="U353" i="7"/>
  <c r="U253" i="7"/>
  <c r="U153" i="7"/>
  <c r="X250" i="7" l="1"/>
  <c r="V251" i="7"/>
  <c r="U953" i="7"/>
  <c r="T53" i="7"/>
  <c r="X548" i="7"/>
  <c r="V549" i="7"/>
  <c r="V153" i="7"/>
  <c r="X152" i="7"/>
  <c r="X350" i="7"/>
  <c r="V351" i="7"/>
  <c r="X845" i="7"/>
  <c r="V846" i="7"/>
  <c r="X449" i="7"/>
  <c r="V450" i="7"/>
  <c r="X944" i="7"/>
  <c r="V945" i="7"/>
  <c r="X746" i="7"/>
  <c r="V747" i="7"/>
  <c r="X647" i="7"/>
  <c r="V648" i="7"/>
  <c r="U854" i="7"/>
  <c r="U754" i="7"/>
  <c r="U654" i="7"/>
  <c r="U554" i="7"/>
  <c r="U454" i="7"/>
  <c r="U354" i="7"/>
  <c r="U254" i="7"/>
  <c r="U154" i="7"/>
  <c r="U24" i="7"/>
  <c r="E29" i="7"/>
  <c r="X251" i="7" l="1"/>
  <c r="V252" i="7"/>
  <c r="AK77" i="7"/>
  <c r="T54" i="7"/>
  <c r="X153" i="7"/>
  <c r="M29" i="7"/>
  <c r="U954" i="7"/>
  <c r="X747" i="7"/>
  <c r="V748" i="7"/>
  <c r="X450" i="7"/>
  <c r="V451" i="7"/>
  <c r="X549" i="7"/>
  <c r="V550" i="7"/>
  <c r="X945" i="7"/>
  <c r="V946" i="7"/>
  <c r="X846" i="7"/>
  <c r="V847" i="7"/>
  <c r="X351" i="7"/>
  <c r="V352" i="7"/>
  <c r="V154" i="7"/>
  <c r="X648" i="7"/>
  <c r="V649" i="7"/>
  <c r="U855" i="7"/>
  <c r="U755" i="7"/>
  <c r="U655" i="7"/>
  <c r="U555" i="7"/>
  <c r="U455" i="7"/>
  <c r="U355" i="7"/>
  <c r="U255" i="7"/>
  <c r="U155" i="7"/>
  <c r="U25" i="7"/>
  <c r="V24" i="7"/>
  <c r="V253" i="7" l="1"/>
  <c r="X252" i="7"/>
  <c r="X154" i="7"/>
  <c r="AL77" i="7"/>
  <c r="AU95" i="7"/>
  <c r="AU77" i="7"/>
  <c r="U955" i="7"/>
  <c r="T55" i="7"/>
  <c r="W24" i="7"/>
  <c r="X352" i="7"/>
  <c r="V353" i="7"/>
  <c r="X946" i="7"/>
  <c r="V947" i="7"/>
  <c r="X550" i="7"/>
  <c r="V551" i="7"/>
  <c r="X748" i="7"/>
  <c r="V749" i="7"/>
  <c r="V155" i="7"/>
  <c r="X847" i="7"/>
  <c r="V848" i="7"/>
  <c r="X451" i="7"/>
  <c r="V452" i="7"/>
  <c r="V25" i="7"/>
  <c r="X649" i="7"/>
  <c r="V650" i="7"/>
  <c r="X24" i="7"/>
  <c r="U856" i="7"/>
  <c r="U756" i="7"/>
  <c r="U656" i="7"/>
  <c r="U556" i="7"/>
  <c r="U456" i="7"/>
  <c r="U356" i="7"/>
  <c r="U256" i="7"/>
  <c r="U156" i="7"/>
  <c r="U26" i="7"/>
  <c r="V254" i="7" l="1"/>
  <c r="X253" i="7"/>
  <c r="AU86" i="7"/>
  <c r="X155" i="7"/>
  <c r="U956" i="7"/>
  <c r="W25" i="7"/>
  <c r="T56" i="7"/>
  <c r="V26" i="7"/>
  <c r="X848" i="7"/>
  <c r="V849" i="7"/>
  <c r="X650" i="7"/>
  <c r="V651" i="7"/>
  <c r="X25" i="7"/>
  <c r="X551" i="7"/>
  <c r="V552" i="7"/>
  <c r="X353" i="7"/>
  <c r="V354" i="7"/>
  <c r="X452" i="7"/>
  <c r="V453" i="7"/>
  <c r="V156" i="7"/>
  <c r="X749" i="7"/>
  <c r="V750" i="7"/>
  <c r="X947" i="7"/>
  <c r="V948" i="7"/>
  <c r="U857" i="7"/>
  <c r="U757" i="7"/>
  <c r="U657" i="7"/>
  <c r="U557" i="7"/>
  <c r="U457" i="7"/>
  <c r="U357" i="7"/>
  <c r="U257" i="7"/>
  <c r="U157" i="7"/>
  <c r="U27" i="7"/>
  <c r="X254" i="7" l="1"/>
  <c r="V255" i="7"/>
  <c r="U957" i="7"/>
  <c r="T57" i="7"/>
  <c r="X26" i="7"/>
  <c r="W26" i="7"/>
  <c r="V27" i="7"/>
  <c r="V157" i="7"/>
  <c r="X948" i="7"/>
  <c r="V949" i="7"/>
  <c r="X750" i="7"/>
  <c r="V751" i="7"/>
  <c r="X453" i="7"/>
  <c r="V454" i="7"/>
  <c r="X354" i="7"/>
  <c r="V355" i="7"/>
  <c r="X552" i="7"/>
  <c r="V553" i="7"/>
  <c r="X156" i="7"/>
  <c r="X651" i="7"/>
  <c r="V652" i="7"/>
  <c r="X849" i="7"/>
  <c r="V850" i="7"/>
  <c r="U858" i="7"/>
  <c r="U758" i="7"/>
  <c r="U658" i="7"/>
  <c r="U558" i="7"/>
  <c r="U458" i="7"/>
  <c r="U358" i="7"/>
  <c r="U258" i="7"/>
  <c r="U158" i="7"/>
  <c r="U28" i="7"/>
  <c r="X255" i="7" l="1"/>
  <c r="V256" i="7"/>
  <c r="AU87" i="7"/>
  <c r="W27" i="7"/>
  <c r="T58" i="7"/>
  <c r="V28" i="7"/>
  <c r="X157" i="7"/>
  <c r="U958" i="7"/>
  <c r="X27" i="7"/>
  <c r="X850" i="7"/>
  <c r="V851" i="7"/>
  <c r="X454" i="7"/>
  <c r="V455" i="7"/>
  <c r="X652" i="7"/>
  <c r="V653" i="7"/>
  <c r="X355" i="7"/>
  <c r="V356" i="7"/>
  <c r="X751" i="7"/>
  <c r="V752" i="7"/>
  <c r="V158" i="7"/>
  <c r="X553" i="7"/>
  <c r="V554" i="7"/>
  <c r="X949" i="7"/>
  <c r="V950" i="7"/>
  <c r="U859" i="7"/>
  <c r="U759" i="7"/>
  <c r="U659" i="7"/>
  <c r="U559" i="7"/>
  <c r="U459" i="7"/>
  <c r="U359" i="7"/>
  <c r="U259" i="7"/>
  <c r="U159" i="7"/>
  <c r="U29" i="7"/>
  <c r="V257" i="7" l="1"/>
  <c r="X256" i="7"/>
  <c r="X28" i="7"/>
  <c r="V29" i="7"/>
  <c r="T59" i="7"/>
  <c r="W28" i="7"/>
  <c r="U959" i="7"/>
  <c r="X356" i="7"/>
  <c r="V357" i="7"/>
  <c r="X950" i="7"/>
  <c r="V951" i="7"/>
  <c r="X455" i="7"/>
  <c r="V456" i="7"/>
  <c r="X752" i="7"/>
  <c r="V753" i="7"/>
  <c r="V159" i="7"/>
  <c r="X554" i="7"/>
  <c r="V555" i="7"/>
  <c r="X653" i="7"/>
  <c r="V654" i="7"/>
  <c r="X851" i="7"/>
  <c r="V852" i="7"/>
  <c r="X158" i="7"/>
  <c r="U860" i="7"/>
  <c r="U760" i="7"/>
  <c r="U660" i="7"/>
  <c r="U560" i="7"/>
  <c r="U460" i="7"/>
  <c r="U360" i="7"/>
  <c r="U260" i="7"/>
  <c r="U160" i="7"/>
  <c r="U30" i="7"/>
  <c r="W29" i="7" l="1"/>
  <c r="V258" i="7"/>
  <c r="X257" i="7"/>
  <c r="X29" i="7"/>
  <c r="T60" i="7"/>
  <c r="U960" i="7"/>
  <c r="V30" i="7"/>
  <c r="V160" i="7"/>
  <c r="X951" i="7"/>
  <c r="V952" i="7"/>
  <c r="X654" i="7"/>
  <c r="V655" i="7"/>
  <c r="X456" i="7"/>
  <c r="V457" i="7"/>
  <c r="X357" i="7"/>
  <c r="V358" i="7"/>
  <c r="X555" i="7"/>
  <c r="V556" i="7"/>
  <c r="X753" i="7"/>
  <c r="V754" i="7"/>
  <c r="X852" i="7"/>
  <c r="V853" i="7"/>
  <c r="X159" i="7"/>
  <c r="U861" i="7"/>
  <c r="U761" i="7"/>
  <c r="U661" i="7"/>
  <c r="U561" i="7"/>
  <c r="U461" i="7"/>
  <c r="U361" i="7"/>
  <c r="U261" i="7"/>
  <c r="U161" i="7"/>
  <c r="U31" i="7"/>
  <c r="X160" i="7" l="1"/>
  <c r="W30" i="7"/>
  <c r="AU80" i="7"/>
  <c r="V259" i="7"/>
  <c r="X258" i="7"/>
  <c r="X30" i="7"/>
  <c r="V31" i="7"/>
  <c r="T61" i="7"/>
  <c r="U961" i="7"/>
  <c r="X556" i="7"/>
  <c r="V557" i="7"/>
  <c r="X358" i="7"/>
  <c r="V359" i="7"/>
  <c r="X655" i="7"/>
  <c r="V656" i="7"/>
  <c r="X457" i="7"/>
  <c r="V458" i="7"/>
  <c r="X754" i="7"/>
  <c r="V755" i="7"/>
  <c r="X853" i="7"/>
  <c r="V854" i="7"/>
  <c r="V161" i="7"/>
  <c r="X952" i="7"/>
  <c r="V953" i="7"/>
  <c r="U862" i="7"/>
  <c r="U762" i="7"/>
  <c r="U662" i="7"/>
  <c r="U562" i="7"/>
  <c r="U462" i="7"/>
  <c r="U362" i="7"/>
  <c r="U262" i="7"/>
  <c r="U162" i="7"/>
  <c r="U32" i="7"/>
  <c r="X31" i="7" l="1"/>
  <c r="X259" i="7"/>
  <c r="V260" i="7"/>
  <c r="AK79" i="7"/>
  <c r="W31" i="7"/>
  <c r="T62" i="7"/>
  <c r="V32" i="7"/>
  <c r="U962" i="7"/>
  <c r="V162" i="7"/>
  <c r="X656" i="7"/>
  <c r="V657" i="7"/>
  <c r="X854" i="7"/>
  <c r="V855" i="7"/>
  <c r="X458" i="7"/>
  <c r="V459" i="7"/>
  <c r="X557" i="7"/>
  <c r="V558" i="7"/>
  <c r="X953" i="7"/>
  <c r="V954" i="7"/>
  <c r="X161" i="7"/>
  <c r="U33" i="7"/>
  <c r="X32" i="7"/>
  <c r="X755" i="7"/>
  <c r="V756" i="7"/>
  <c r="X359" i="7"/>
  <c r="V360" i="7"/>
  <c r="U863" i="7"/>
  <c r="U763" i="7"/>
  <c r="U663" i="7"/>
  <c r="U563" i="7"/>
  <c r="U463" i="7"/>
  <c r="U363" i="7"/>
  <c r="U263" i="7"/>
  <c r="U163" i="7"/>
  <c r="AN24" i="7"/>
  <c r="AN25" i="7"/>
  <c r="AN26" i="7"/>
  <c r="AN27" i="7"/>
  <c r="AN28" i="7"/>
  <c r="AN29" i="7"/>
  <c r="AN30" i="7"/>
  <c r="AN23" i="7"/>
  <c r="X260" i="7" l="1"/>
  <c r="V261" i="7"/>
  <c r="W32" i="7"/>
  <c r="AL79" i="7"/>
  <c r="AU79" i="7"/>
  <c r="U963" i="7"/>
  <c r="X162" i="7"/>
  <c r="T63" i="7"/>
  <c r="V33" i="7"/>
  <c r="V163" i="7"/>
  <c r="X558" i="7"/>
  <c r="V559" i="7"/>
  <c r="X657" i="7"/>
  <c r="V658" i="7"/>
  <c r="X756" i="7"/>
  <c r="V757" i="7"/>
  <c r="U34" i="7"/>
  <c r="X954" i="7"/>
  <c r="V955" i="7"/>
  <c r="X360" i="7"/>
  <c r="V361" i="7"/>
  <c r="X855" i="7"/>
  <c r="V856" i="7"/>
  <c r="X459" i="7"/>
  <c r="V460" i="7"/>
  <c r="U864" i="7"/>
  <c r="U764" i="7"/>
  <c r="U664" i="7"/>
  <c r="U564" i="7"/>
  <c r="U464" i="7"/>
  <c r="U364" i="7"/>
  <c r="U264" i="7"/>
  <c r="U164" i="7"/>
  <c r="N29" i="7"/>
  <c r="N23" i="7"/>
  <c r="N35" i="7"/>
  <c r="N65" i="7"/>
  <c r="D9" i="7"/>
  <c r="G30" i="7" s="1"/>
  <c r="X261" i="7" l="1"/>
  <c r="V262" i="7"/>
  <c r="U35" i="7"/>
  <c r="V34" i="7"/>
  <c r="X33" i="7"/>
  <c r="T64" i="7"/>
  <c r="X163" i="7"/>
  <c r="W33" i="7"/>
  <c r="U964" i="7"/>
  <c r="G24" i="7"/>
  <c r="G84" i="7"/>
  <c r="G78" i="7"/>
  <c r="G72" i="7"/>
  <c r="X856" i="7"/>
  <c r="V857" i="7"/>
  <c r="V164" i="7"/>
  <c r="X559" i="7"/>
  <c r="V560" i="7"/>
  <c r="D10" i="7"/>
  <c r="G54" i="7"/>
  <c r="G48" i="7"/>
  <c r="G42" i="7"/>
  <c r="G60" i="7"/>
  <c r="G66" i="7"/>
  <c r="G36" i="7"/>
  <c r="X460" i="7"/>
  <c r="V461" i="7"/>
  <c r="X361" i="7"/>
  <c r="V362" i="7"/>
  <c r="X658" i="7"/>
  <c r="V659" i="7"/>
  <c r="X955" i="7"/>
  <c r="V956" i="7"/>
  <c r="X757" i="7"/>
  <c r="V758" i="7"/>
  <c r="N30" i="7"/>
  <c r="H30" i="7"/>
  <c r="U865" i="7"/>
  <c r="U765" i="7"/>
  <c r="U665" i="7"/>
  <c r="U565" i="7"/>
  <c r="U465" i="7"/>
  <c r="U365" i="7"/>
  <c r="U265" i="7"/>
  <c r="U165" i="7"/>
  <c r="AU176" i="7" l="1"/>
  <c r="V263" i="7"/>
  <c r="X262" i="7"/>
  <c r="X34" i="7"/>
  <c r="H24" i="7"/>
  <c r="U36" i="7"/>
  <c r="N24" i="7"/>
  <c r="M24" i="7"/>
  <c r="N36" i="7"/>
  <c r="T65" i="7"/>
  <c r="M66" i="7"/>
  <c r="U965" i="7"/>
  <c r="W34" i="7"/>
  <c r="V35" i="7"/>
  <c r="G79" i="7"/>
  <c r="G85" i="7"/>
  <c r="G73" i="7"/>
  <c r="N72" i="7"/>
  <c r="H72" i="7"/>
  <c r="M72" i="7"/>
  <c r="M78" i="7"/>
  <c r="N78" i="7"/>
  <c r="H78" i="7"/>
  <c r="N84" i="7"/>
  <c r="H84" i="7"/>
  <c r="M84" i="7"/>
  <c r="N42" i="7"/>
  <c r="M42" i="7"/>
  <c r="H42" i="7"/>
  <c r="X560" i="7"/>
  <c r="V561" i="7"/>
  <c r="V165" i="7"/>
  <c r="N48" i="7"/>
  <c r="M48" i="7"/>
  <c r="H48" i="7"/>
  <c r="X857" i="7"/>
  <c r="V858" i="7"/>
  <c r="X956" i="7"/>
  <c r="V957" i="7"/>
  <c r="X362" i="7"/>
  <c r="V363" i="7"/>
  <c r="N54" i="7"/>
  <c r="M54" i="7"/>
  <c r="H54" i="7"/>
  <c r="H36" i="7"/>
  <c r="M36" i="7"/>
  <c r="D11" i="7"/>
  <c r="G55" i="7"/>
  <c r="G49" i="7"/>
  <c r="G43" i="7"/>
  <c r="G61" i="7"/>
  <c r="G31" i="7"/>
  <c r="G25" i="7"/>
  <c r="G67" i="7"/>
  <c r="G37" i="7"/>
  <c r="H66" i="7"/>
  <c r="N66" i="7"/>
  <c r="X758" i="7"/>
  <c r="V759" i="7"/>
  <c r="X659" i="7"/>
  <c r="V660" i="7"/>
  <c r="X461" i="7"/>
  <c r="V462" i="7"/>
  <c r="M60" i="7"/>
  <c r="H60" i="7"/>
  <c r="N60" i="7"/>
  <c r="X164" i="7"/>
  <c r="U866" i="7"/>
  <c r="U766" i="7"/>
  <c r="U666" i="7"/>
  <c r="U566" i="7"/>
  <c r="U466" i="7"/>
  <c r="U366" i="7"/>
  <c r="U266" i="7"/>
  <c r="U166" i="7"/>
  <c r="U37" i="7" l="1"/>
  <c r="X165" i="7"/>
  <c r="X263" i="7"/>
  <c r="V264" i="7"/>
  <c r="T66" i="7"/>
  <c r="M67" i="7"/>
  <c r="X35" i="7"/>
  <c r="W35" i="7"/>
  <c r="V36" i="7"/>
  <c r="U966" i="7"/>
  <c r="G80" i="7"/>
  <c r="G86" i="7"/>
  <c r="G74" i="7"/>
  <c r="N73" i="7"/>
  <c r="M73" i="7"/>
  <c r="H73" i="7"/>
  <c r="N85" i="7"/>
  <c r="M85" i="7"/>
  <c r="H85" i="7"/>
  <c r="H79" i="7"/>
  <c r="N79" i="7"/>
  <c r="M79" i="7"/>
  <c r="N61" i="7"/>
  <c r="M61" i="7"/>
  <c r="H61" i="7"/>
  <c r="X561" i="7"/>
  <c r="V562" i="7"/>
  <c r="M37" i="7"/>
  <c r="H37" i="7"/>
  <c r="N37" i="7"/>
  <c r="X363" i="7"/>
  <c r="V364" i="7"/>
  <c r="X858" i="7"/>
  <c r="V859" i="7"/>
  <c r="N43" i="7"/>
  <c r="M43" i="7"/>
  <c r="H43" i="7"/>
  <c r="X462" i="7"/>
  <c r="V463" i="7"/>
  <c r="X759" i="7"/>
  <c r="V760" i="7"/>
  <c r="N49" i="7"/>
  <c r="M49" i="7"/>
  <c r="H49" i="7"/>
  <c r="H67" i="7"/>
  <c r="N67" i="7"/>
  <c r="N55" i="7"/>
  <c r="M55" i="7"/>
  <c r="H55" i="7"/>
  <c r="M25" i="7"/>
  <c r="N25" i="7"/>
  <c r="H25" i="7"/>
  <c r="D12" i="7"/>
  <c r="G56" i="7"/>
  <c r="G50" i="7"/>
  <c r="G62" i="7"/>
  <c r="G38" i="7"/>
  <c r="G68" i="7"/>
  <c r="G32" i="7"/>
  <c r="V166" i="7"/>
  <c r="X660" i="7"/>
  <c r="V661" i="7"/>
  <c r="N31" i="7"/>
  <c r="H31" i="7"/>
  <c r="X957" i="7"/>
  <c r="V958" i="7"/>
  <c r="U867" i="7"/>
  <c r="U767" i="7"/>
  <c r="U667" i="7"/>
  <c r="U567" i="7"/>
  <c r="U467" i="7"/>
  <c r="U367" i="7"/>
  <c r="U267" i="7"/>
  <c r="U167" i="7"/>
  <c r="U38" i="7"/>
  <c r="E30" i="7"/>
  <c r="E31" i="7"/>
  <c r="E32" i="7"/>
  <c r="E33" i="7"/>
  <c r="E34" i="7"/>
  <c r="X264" i="7" l="1"/>
  <c r="V265" i="7"/>
  <c r="X166" i="7"/>
  <c r="U967" i="7"/>
  <c r="X36" i="7"/>
  <c r="V37" i="7"/>
  <c r="W36" i="7"/>
  <c r="M32" i="7"/>
  <c r="M31" i="7"/>
  <c r="M30" i="7"/>
  <c r="T67" i="7"/>
  <c r="M68" i="7"/>
  <c r="G87" i="7"/>
  <c r="G81" i="7"/>
  <c r="G75" i="7"/>
  <c r="H74" i="7"/>
  <c r="M74" i="7"/>
  <c r="N74" i="7"/>
  <c r="H86" i="7"/>
  <c r="N86" i="7"/>
  <c r="M86" i="7"/>
  <c r="H80" i="7"/>
  <c r="N80" i="7"/>
  <c r="M80" i="7"/>
  <c r="M56" i="7"/>
  <c r="H56" i="7"/>
  <c r="N56" i="7"/>
  <c r="X760" i="7"/>
  <c r="V761" i="7"/>
  <c r="X661" i="7"/>
  <c r="V662" i="7"/>
  <c r="H68" i="7"/>
  <c r="N68" i="7"/>
  <c r="X364" i="7"/>
  <c r="V365" i="7"/>
  <c r="H32" i="7"/>
  <c r="N32" i="7"/>
  <c r="D13" i="7"/>
  <c r="G57" i="7"/>
  <c r="G63" i="7"/>
  <c r="G51" i="7"/>
  <c r="G69" i="7"/>
  <c r="G33" i="7"/>
  <c r="G39" i="7"/>
  <c r="X463" i="7"/>
  <c r="V464" i="7"/>
  <c r="X562" i="7"/>
  <c r="V563" i="7"/>
  <c r="X958" i="7"/>
  <c r="V959" i="7"/>
  <c r="M38" i="7"/>
  <c r="H38" i="7"/>
  <c r="N38" i="7"/>
  <c r="M62" i="7"/>
  <c r="H62" i="7"/>
  <c r="N62" i="7"/>
  <c r="V167" i="7"/>
  <c r="M50" i="7"/>
  <c r="H50" i="7"/>
  <c r="N50" i="7"/>
  <c r="X859" i="7"/>
  <c r="V860" i="7"/>
  <c r="U868" i="7"/>
  <c r="U768" i="7"/>
  <c r="U668" i="7"/>
  <c r="U568" i="7"/>
  <c r="U468" i="7"/>
  <c r="U368" i="7"/>
  <c r="U268" i="7"/>
  <c r="U168" i="7"/>
  <c r="U39" i="7"/>
  <c r="X265" i="7" l="1"/>
  <c r="V266" i="7"/>
  <c r="M69" i="7"/>
  <c r="X37" i="7"/>
  <c r="V38" i="7"/>
  <c r="W37" i="7"/>
  <c r="X167" i="7"/>
  <c r="T68" i="7"/>
  <c r="U968" i="7"/>
  <c r="G82" i="7"/>
  <c r="G88" i="7"/>
  <c r="G76" i="7"/>
  <c r="H75" i="7"/>
  <c r="N75" i="7"/>
  <c r="M75" i="7"/>
  <c r="H81" i="7"/>
  <c r="M81" i="7"/>
  <c r="N81" i="7"/>
  <c r="H87" i="7"/>
  <c r="M87" i="7"/>
  <c r="N87" i="7"/>
  <c r="H39" i="7"/>
  <c r="M39" i="7"/>
  <c r="N39" i="7"/>
  <c r="G58" i="7"/>
  <c r="G64" i="7"/>
  <c r="G52" i="7"/>
  <c r="G34" i="7"/>
  <c r="G40" i="7"/>
  <c r="G70" i="7"/>
  <c r="H69" i="7"/>
  <c r="N69" i="7"/>
  <c r="X662" i="7"/>
  <c r="V663" i="7"/>
  <c r="X464" i="7"/>
  <c r="V465" i="7"/>
  <c r="N33" i="7"/>
  <c r="H33" i="7"/>
  <c r="X365" i="7"/>
  <c r="V366" i="7"/>
  <c r="M51" i="7"/>
  <c r="H51" i="7"/>
  <c r="N51" i="7"/>
  <c r="X860" i="7"/>
  <c r="V861" i="7"/>
  <c r="X959" i="7"/>
  <c r="V960" i="7"/>
  <c r="X563" i="7"/>
  <c r="V564" i="7"/>
  <c r="M63" i="7"/>
  <c r="H63" i="7"/>
  <c r="N63" i="7"/>
  <c r="V168" i="7"/>
  <c r="N57" i="7"/>
  <c r="M57" i="7"/>
  <c r="M33" i="7"/>
  <c r="X761" i="7"/>
  <c r="V762" i="7"/>
  <c r="H57" i="7"/>
  <c r="U869" i="7"/>
  <c r="U769" i="7"/>
  <c r="U669" i="7"/>
  <c r="U569" i="7"/>
  <c r="U469" i="7"/>
  <c r="U369" i="7"/>
  <c r="U269" i="7"/>
  <c r="U169" i="7"/>
  <c r="U40" i="7"/>
  <c r="X168" i="7" l="1"/>
  <c r="V267" i="7"/>
  <c r="X266" i="7"/>
  <c r="M70" i="7"/>
  <c r="T69" i="7"/>
  <c r="W38" i="7"/>
  <c r="V39" i="7"/>
  <c r="X38" i="7"/>
  <c r="U969" i="7"/>
  <c r="N76" i="7"/>
  <c r="M76" i="7"/>
  <c r="H76" i="7"/>
  <c r="N88" i="7"/>
  <c r="M88" i="7"/>
  <c r="H88" i="7"/>
  <c r="N82" i="7"/>
  <c r="M82" i="7"/>
  <c r="H82" i="7"/>
  <c r="N64" i="7"/>
  <c r="M64" i="7"/>
  <c r="H64" i="7"/>
  <c r="X762" i="7"/>
  <c r="V763" i="7"/>
  <c r="X564" i="7"/>
  <c r="V565" i="7"/>
  <c r="X861" i="7"/>
  <c r="V862" i="7"/>
  <c r="X663" i="7"/>
  <c r="V664" i="7"/>
  <c r="N58" i="7"/>
  <c r="M58" i="7"/>
  <c r="H58" i="7"/>
  <c r="V169" i="7"/>
  <c r="H70" i="7"/>
  <c r="N70" i="7"/>
  <c r="M40" i="7"/>
  <c r="H40" i="7"/>
  <c r="N40" i="7"/>
  <c r="X465" i="7"/>
  <c r="V466" i="7"/>
  <c r="X960" i="7"/>
  <c r="V961" i="7"/>
  <c r="X366" i="7"/>
  <c r="V367" i="7"/>
  <c r="N34" i="7"/>
  <c r="H34" i="7"/>
  <c r="M34" i="7"/>
  <c r="M52" i="7"/>
  <c r="N52" i="7"/>
  <c r="H52" i="7"/>
  <c r="U870" i="7"/>
  <c r="U770" i="7"/>
  <c r="U670" i="7"/>
  <c r="U570" i="7"/>
  <c r="U470" i="7"/>
  <c r="U370" i="7"/>
  <c r="U270" i="7"/>
  <c r="U170" i="7"/>
  <c r="U41" i="7"/>
  <c r="V268" i="7" l="1"/>
  <c r="X267" i="7"/>
  <c r="W39" i="7"/>
  <c r="V40" i="7"/>
  <c r="X39" i="7"/>
  <c r="T70" i="7"/>
  <c r="X169" i="7"/>
  <c r="U970" i="7"/>
  <c r="X466" i="7"/>
  <c r="V467" i="7"/>
  <c r="X961" i="7"/>
  <c r="V962" i="7"/>
  <c r="X664" i="7"/>
  <c r="V665" i="7"/>
  <c r="V170" i="7"/>
  <c r="X367" i="7"/>
  <c r="V368" i="7"/>
  <c r="X862" i="7"/>
  <c r="V863" i="7"/>
  <c r="X763" i="7"/>
  <c r="V764" i="7"/>
  <c r="X565" i="7"/>
  <c r="V566" i="7"/>
  <c r="U871" i="7"/>
  <c r="U771" i="7"/>
  <c r="U671" i="7"/>
  <c r="U571" i="7"/>
  <c r="U471" i="7"/>
  <c r="U371" i="7"/>
  <c r="U271" i="7"/>
  <c r="U171" i="7"/>
  <c r="U42" i="7"/>
  <c r="X268" i="7" l="1"/>
  <c r="V269" i="7"/>
  <c r="U971" i="7"/>
  <c r="T71" i="7"/>
  <c r="V41" i="7"/>
  <c r="X40" i="7"/>
  <c r="W40" i="7"/>
  <c r="X764" i="7"/>
  <c r="V765" i="7"/>
  <c r="X368" i="7"/>
  <c r="V369" i="7"/>
  <c r="V171" i="7"/>
  <c r="X665" i="7"/>
  <c r="V666" i="7"/>
  <c r="X467" i="7"/>
  <c r="V468" i="7"/>
  <c r="X566" i="7"/>
  <c r="V567" i="7"/>
  <c r="X863" i="7"/>
  <c r="V864" i="7"/>
  <c r="X170" i="7"/>
  <c r="X962" i="7"/>
  <c r="V963" i="7"/>
  <c r="U872" i="7"/>
  <c r="U772" i="7"/>
  <c r="U672" i="7"/>
  <c r="U572" i="7"/>
  <c r="U472" i="7"/>
  <c r="U372" i="7"/>
  <c r="U272" i="7"/>
  <c r="U172" i="7"/>
  <c r="U43" i="7"/>
  <c r="V270" i="7" l="1"/>
  <c r="X269" i="7"/>
  <c r="X41" i="7"/>
  <c r="V42" i="7"/>
  <c r="W41" i="7"/>
  <c r="X171" i="7"/>
  <c r="T72" i="7"/>
  <c r="U972" i="7"/>
  <c r="X765" i="7"/>
  <c r="V766" i="7"/>
  <c r="X666" i="7"/>
  <c r="V667" i="7"/>
  <c r="V172" i="7"/>
  <c r="X963" i="7"/>
  <c r="V964" i="7"/>
  <c r="X567" i="7"/>
  <c r="V568" i="7"/>
  <c r="X369" i="7"/>
  <c r="V370" i="7"/>
  <c r="X864" i="7"/>
  <c r="V865" i="7"/>
  <c r="X468" i="7"/>
  <c r="V469" i="7"/>
  <c r="U873" i="7"/>
  <c r="U773" i="7"/>
  <c r="U673" i="7"/>
  <c r="U573" i="7"/>
  <c r="U473" i="7"/>
  <c r="U373" i="7"/>
  <c r="U273" i="7"/>
  <c r="U173" i="7"/>
  <c r="U44" i="7"/>
  <c r="X270" i="7" l="1"/>
  <c r="V271" i="7"/>
  <c r="U973" i="7"/>
  <c r="W42" i="7"/>
  <c r="V43" i="7"/>
  <c r="X42" i="7"/>
  <c r="X172" i="7"/>
  <c r="T73" i="7"/>
  <c r="X568" i="7"/>
  <c r="V569" i="7"/>
  <c r="X766" i="7"/>
  <c r="V767" i="7"/>
  <c r="X469" i="7"/>
  <c r="V470" i="7"/>
  <c r="X865" i="7"/>
  <c r="V866" i="7"/>
  <c r="X667" i="7"/>
  <c r="V668" i="7"/>
  <c r="X370" i="7"/>
  <c r="V371" i="7"/>
  <c r="X964" i="7"/>
  <c r="V965" i="7"/>
  <c r="V173" i="7"/>
  <c r="U874" i="7"/>
  <c r="U774" i="7"/>
  <c r="U674" i="7"/>
  <c r="U574" i="7"/>
  <c r="U474" i="7"/>
  <c r="U374" i="7"/>
  <c r="U274" i="7"/>
  <c r="U174" i="7"/>
  <c r="U45" i="7"/>
  <c r="V272" i="7" l="1"/>
  <c r="X271" i="7"/>
  <c r="X173" i="7"/>
  <c r="X43" i="7"/>
  <c r="V44" i="7"/>
  <c r="W43" i="7"/>
  <c r="U974" i="7"/>
  <c r="T74" i="7"/>
  <c r="X965" i="7"/>
  <c r="V966" i="7"/>
  <c r="X371" i="7"/>
  <c r="V372" i="7"/>
  <c r="X866" i="7"/>
  <c r="V867" i="7"/>
  <c r="X569" i="7"/>
  <c r="V570" i="7"/>
  <c r="V174" i="7"/>
  <c r="X767" i="7"/>
  <c r="V768" i="7"/>
  <c r="X668" i="7"/>
  <c r="V669" i="7"/>
  <c r="X470" i="7"/>
  <c r="V471" i="7"/>
  <c r="U875" i="7"/>
  <c r="U775" i="7"/>
  <c r="U675" i="7"/>
  <c r="U575" i="7"/>
  <c r="U475" i="7"/>
  <c r="U375" i="7"/>
  <c r="U275" i="7"/>
  <c r="U175" i="7"/>
  <c r="U46" i="7"/>
  <c r="X272" i="7" l="1"/>
  <c r="V273" i="7"/>
  <c r="T75" i="7"/>
  <c r="W44" i="7"/>
  <c r="X44" i="7"/>
  <c r="V45" i="7"/>
  <c r="U975" i="7"/>
  <c r="X867" i="7"/>
  <c r="V868" i="7"/>
  <c r="X966" i="7"/>
  <c r="V967" i="7"/>
  <c r="V175" i="7"/>
  <c r="X372" i="7"/>
  <c r="V373" i="7"/>
  <c r="X570" i="7"/>
  <c r="V571" i="7"/>
  <c r="X768" i="7"/>
  <c r="V769" i="7"/>
  <c r="X174" i="7"/>
  <c r="X471" i="7"/>
  <c r="V472" i="7"/>
  <c r="X669" i="7"/>
  <c r="V670" i="7"/>
  <c r="U876" i="7"/>
  <c r="U776" i="7"/>
  <c r="U676" i="7"/>
  <c r="U576" i="7"/>
  <c r="U476" i="7"/>
  <c r="U376" i="7"/>
  <c r="U276" i="7"/>
  <c r="U176" i="7"/>
  <c r="U47" i="7"/>
  <c r="V274" i="7" l="1"/>
  <c r="X273" i="7"/>
  <c r="U976" i="7"/>
  <c r="W45" i="7"/>
  <c r="V46" i="7"/>
  <c r="X45" i="7"/>
  <c r="T76" i="7"/>
  <c r="X571" i="7"/>
  <c r="V572" i="7"/>
  <c r="V176" i="7"/>
  <c r="X868" i="7"/>
  <c r="V869" i="7"/>
  <c r="X373" i="7"/>
  <c r="V374" i="7"/>
  <c r="X769" i="7"/>
  <c r="V770" i="7"/>
  <c r="X472" i="7"/>
  <c r="V473" i="7"/>
  <c r="X670" i="7"/>
  <c r="V671" i="7"/>
  <c r="X175" i="7"/>
  <c r="X967" i="7"/>
  <c r="V968" i="7"/>
  <c r="U877" i="7"/>
  <c r="U777" i="7"/>
  <c r="U677" i="7"/>
  <c r="U577" i="7"/>
  <c r="U477" i="7"/>
  <c r="U377" i="7"/>
  <c r="U277" i="7"/>
  <c r="U177" i="7"/>
  <c r="U48" i="7"/>
  <c r="X274" i="7" l="1"/>
  <c r="V275" i="7"/>
  <c r="X176" i="7"/>
  <c r="T77" i="7"/>
  <c r="U977" i="7"/>
  <c r="W46" i="7"/>
  <c r="V47" i="7"/>
  <c r="X46" i="7"/>
  <c r="X770" i="7"/>
  <c r="V771" i="7"/>
  <c r="V177" i="7"/>
  <c r="X869" i="7"/>
  <c r="V870" i="7"/>
  <c r="X671" i="7"/>
  <c r="V672" i="7"/>
  <c r="X473" i="7"/>
  <c r="V474" i="7"/>
  <c r="X572" i="7"/>
  <c r="V573" i="7"/>
  <c r="X968" i="7"/>
  <c r="V969" i="7"/>
  <c r="X374" i="7"/>
  <c r="V375" i="7"/>
  <c r="U878" i="7"/>
  <c r="U778" i="7"/>
  <c r="U678" i="7"/>
  <c r="U578" i="7"/>
  <c r="U478" i="7"/>
  <c r="U378" i="7"/>
  <c r="U278" i="7"/>
  <c r="U178" i="7"/>
  <c r="U49" i="7"/>
  <c r="V276" i="7" l="1"/>
  <c r="X275" i="7"/>
  <c r="U978" i="7"/>
  <c r="T78" i="7"/>
  <c r="W47" i="7"/>
  <c r="X47" i="7"/>
  <c r="V48" i="7"/>
  <c r="V178" i="7"/>
  <c r="X573" i="7"/>
  <c r="V574" i="7"/>
  <c r="X771" i="7"/>
  <c r="V772" i="7"/>
  <c r="X870" i="7"/>
  <c r="V871" i="7"/>
  <c r="X177" i="7"/>
  <c r="X375" i="7"/>
  <c r="V376" i="7"/>
  <c r="X969" i="7"/>
  <c r="V970" i="7"/>
  <c r="X474" i="7"/>
  <c r="V475" i="7"/>
  <c r="X672" i="7"/>
  <c r="V673" i="7"/>
  <c r="U879" i="7"/>
  <c r="U779" i="7"/>
  <c r="U679" i="7"/>
  <c r="U579" i="7"/>
  <c r="U479" i="7"/>
  <c r="U379" i="7"/>
  <c r="U279" i="7"/>
  <c r="U179" i="7"/>
  <c r="U50" i="7"/>
  <c r="V277" i="7" l="1"/>
  <c r="X276" i="7"/>
  <c r="X178" i="7"/>
  <c r="T79" i="7"/>
  <c r="U979" i="7"/>
  <c r="X48" i="7"/>
  <c r="W48" i="7"/>
  <c r="V49" i="7"/>
  <c r="X970" i="7"/>
  <c r="V971" i="7"/>
  <c r="X574" i="7"/>
  <c r="V575" i="7"/>
  <c r="V179" i="7"/>
  <c r="X475" i="7"/>
  <c r="V476" i="7"/>
  <c r="X673" i="7"/>
  <c r="V674" i="7"/>
  <c r="X871" i="7"/>
  <c r="V872" i="7"/>
  <c r="X376" i="7"/>
  <c r="V377" i="7"/>
  <c r="X772" i="7"/>
  <c r="V773" i="7"/>
  <c r="U880" i="7"/>
  <c r="U780" i="7"/>
  <c r="U680" i="7"/>
  <c r="U580" i="7"/>
  <c r="U480" i="7"/>
  <c r="U380" i="7"/>
  <c r="U280" i="7"/>
  <c r="U180" i="7"/>
  <c r="U51" i="7"/>
  <c r="V278" i="7" l="1"/>
  <c r="X277" i="7"/>
  <c r="U980" i="7"/>
  <c r="W49" i="7"/>
  <c r="V50" i="7"/>
  <c r="X49" i="7"/>
  <c r="T80" i="7"/>
  <c r="X377" i="7"/>
  <c r="V378" i="7"/>
  <c r="X872" i="7"/>
  <c r="V873" i="7"/>
  <c r="V180" i="7"/>
  <c r="X179" i="7"/>
  <c r="X476" i="7"/>
  <c r="V477" i="7"/>
  <c r="X971" i="7"/>
  <c r="V972" i="7"/>
  <c r="X575" i="7"/>
  <c r="V576" i="7"/>
  <c r="X773" i="7"/>
  <c r="V774" i="7"/>
  <c r="X674" i="7"/>
  <c r="V675" i="7"/>
  <c r="U881" i="7"/>
  <c r="U781" i="7"/>
  <c r="U681" i="7"/>
  <c r="U581" i="7"/>
  <c r="U481" i="7"/>
  <c r="U381" i="7"/>
  <c r="U281" i="7"/>
  <c r="U181" i="7"/>
  <c r="U52" i="7"/>
  <c r="X278" i="7" l="1"/>
  <c r="V279" i="7"/>
  <c r="U981" i="7"/>
  <c r="W50" i="7"/>
  <c r="V51" i="7"/>
  <c r="X50" i="7"/>
  <c r="T81" i="7"/>
  <c r="X675" i="7"/>
  <c r="V676" i="7"/>
  <c r="X477" i="7"/>
  <c r="V478" i="7"/>
  <c r="V181" i="7"/>
  <c r="X576" i="7"/>
  <c r="V577" i="7"/>
  <c r="X873" i="7"/>
  <c r="V874" i="7"/>
  <c r="X774" i="7"/>
  <c r="V775" i="7"/>
  <c r="X972" i="7"/>
  <c r="V973" i="7"/>
  <c r="X180" i="7"/>
  <c r="X378" i="7"/>
  <c r="V379" i="7"/>
  <c r="U882" i="7"/>
  <c r="U782" i="7"/>
  <c r="U682" i="7"/>
  <c r="U582" i="7"/>
  <c r="U482" i="7"/>
  <c r="U382" i="7"/>
  <c r="U282" i="7"/>
  <c r="U182" i="7"/>
  <c r="U53" i="7"/>
  <c r="X279" i="7" l="1"/>
  <c r="V280" i="7"/>
  <c r="W51" i="7"/>
  <c r="X51" i="7"/>
  <c r="V52" i="7"/>
  <c r="T82" i="7"/>
  <c r="X181" i="7"/>
  <c r="U982" i="7"/>
  <c r="X973" i="7"/>
  <c r="V974" i="7"/>
  <c r="X577" i="7"/>
  <c r="V578" i="7"/>
  <c r="X676" i="7"/>
  <c r="V677" i="7"/>
  <c r="X775" i="7"/>
  <c r="V776" i="7"/>
  <c r="X874" i="7"/>
  <c r="V875" i="7"/>
  <c r="V182" i="7"/>
  <c r="X379" i="7"/>
  <c r="V380" i="7"/>
  <c r="X478" i="7"/>
  <c r="V479" i="7"/>
  <c r="U883" i="7"/>
  <c r="U783" i="7"/>
  <c r="U683" i="7"/>
  <c r="U583" i="7"/>
  <c r="U483" i="7"/>
  <c r="U383" i="7"/>
  <c r="U283" i="7"/>
  <c r="U183" i="7"/>
  <c r="U54" i="7"/>
  <c r="AU311" i="7" l="1"/>
  <c r="X280" i="7"/>
  <c r="V281" i="7"/>
  <c r="T83" i="7"/>
  <c r="X52" i="7"/>
  <c r="W52" i="7"/>
  <c r="V53" i="7"/>
  <c r="U983" i="7"/>
  <c r="X974" i="7"/>
  <c r="V975" i="7"/>
  <c r="X479" i="7"/>
  <c r="V480" i="7"/>
  <c r="X578" i="7"/>
  <c r="V579" i="7"/>
  <c r="V183" i="7"/>
  <c r="X182" i="7"/>
  <c r="X875" i="7"/>
  <c r="V876" i="7"/>
  <c r="X776" i="7"/>
  <c r="V777" i="7"/>
  <c r="X380" i="7"/>
  <c r="V381" i="7"/>
  <c r="X677" i="7"/>
  <c r="V678" i="7"/>
  <c r="U884" i="7"/>
  <c r="U784" i="7"/>
  <c r="U684" i="7"/>
  <c r="U584" i="7"/>
  <c r="U484" i="7"/>
  <c r="U384" i="7"/>
  <c r="U284" i="7"/>
  <c r="U184" i="7"/>
  <c r="U55" i="7"/>
  <c r="V282" i="7" l="1"/>
  <c r="X281" i="7"/>
  <c r="X183" i="7"/>
  <c r="X53" i="7"/>
  <c r="W53" i="7"/>
  <c r="V54" i="7"/>
  <c r="T84" i="7"/>
  <c r="U984" i="7"/>
  <c r="X678" i="7"/>
  <c r="V679" i="7"/>
  <c r="X876" i="7"/>
  <c r="V877" i="7"/>
  <c r="V184" i="7"/>
  <c r="X480" i="7"/>
  <c r="V481" i="7"/>
  <c r="X975" i="7"/>
  <c r="V976" i="7"/>
  <c r="X381" i="7"/>
  <c r="V382" i="7"/>
  <c r="X777" i="7"/>
  <c r="V778" i="7"/>
  <c r="X579" i="7"/>
  <c r="V580" i="7"/>
  <c r="U885" i="7"/>
  <c r="U785" i="7"/>
  <c r="U685" i="7"/>
  <c r="U585" i="7"/>
  <c r="U485" i="7"/>
  <c r="U385" i="7"/>
  <c r="U285" i="7"/>
  <c r="U185" i="7"/>
  <c r="U56" i="7"/>
  <c r="X282" i="7" l="1"/>
  <c r="V283" i="7"/>
  <c r="X184" i="7"/>
  <c r="U985" i="7"/>
  <c r="T85" i="7"/>
  <c r="X54" i="7"/>
  <c r="V55" i="7"/>
  <c r="W54" i="7"/>
  <c r="X976" i="7"/>
  <c r="V977" i="7"/>
  <c r="V185" i="7"/>
  <c r="X778" i="7"/>
  <c r="V779" i="7"/>
  <c r="X481" i="7"/>
  <c r="V482" i="7"/>
  <c r="X679" i="7"/>
  <c r="V680" i="7"/>
  <c r="X877" i="7"/>
  <c r="V878" i="7"/>
  <c r="X580" i="7"/>
  <c r="V581" i="7"/>
  <c r="X382" i="7"/>
  <c r="V383" i="7"/>
  <c r="U886" i="7"/>
  <c r="U786" i="7"/>
  <c r="U686" i="7"/>
  <c r="U586" i="7"/>
  <c r="U486" i="7"/>
  <c r="U386" i="7"/>
  <c r="U286" i="7"/>
  <c r="U186" i="7"/>
  <c r="U57" i="7"/>
  <c r="V284" i="7" l="1"/>
  <c r="X283" i="7"/>
  <c r="W55" i="7"/>
  <c r="V56" i="7"/>
  <c r="X55" i="7"/>
  <c r="T86" i="7"/>
  <c r="U986" i="7"/>
  <c r="X185" i="7"/>
  <c r="X878" i="7"/>
  <c r="V879" i="7"/>
  <c r="X482" i="7"/>
  <c r="V483" i="7"/>
  <c r="X383" i="7"/>
  <c r="V384" i="7"/>
  <c r="V186" i="7"/>
  <c r="X977" i="7"/>
  <c r="V978" i="7"/>
  <c r="X581" i="7"/>
  <c r="V582" i="7"/>
  <c r="X680" i="7"/>
  <c r="V681" i="7"/>
  <c r="X779" i="7"/>
  <c r="V780" i="7"/>
  <c r="U887" i="7"/>
  <c r="U787" i="7"/>
  <c r="U687" i="7"/>
  <c r="U587" i="7"/>
  <c r="U487" i="7"/>
  <c r="U387" i="7"/>
  <c r="U287" i="7"/>
  <c r="U187" i="7"/>
  <c r="U58" i="7"/>
  <c r="X284" i="7" l="1"/>
  <c r="V285" i="7"/>
  <c r="T87" i="7"/>
  <c r="U987" i="7"/>
  <c r="X56" i="7"/>
  <c r="W56" i="7"/>
  <c r="V57" i="7"/>
  <c r="X186" i="7"/>
  <c r="X483" i="7"/>
  <c r="V484" i="7"/>
  <c r="X879" i="7"/>
  <c r="V880" i="7"/>
  <c r="X582" i="7"/>
  <c r="V583" i="7"/>
  <c r="X681" i="7"/>
  <c r="V682" i="7"/>
  <c r="X978" i="7"/>
  <c r="V979" i="7"/>
  <c r="X780" i="7"/>
  <c r="V781" i="7"/>
  <c r="V187" i="7"/>
  <c r="X384" i="7"/>
  <c r="V385" i="7"/>
  <c r="U888" i="7"/>
  <c r="U788" i="7"/>
  <c r="U688" i="7"/>
  <c r="U588" i="7"/>
  <c r="U488" i="7"/>
  <c r="U388" i="7"/>
  <c r="U288" i="7"/>
  <c r="U188" i="7"/>
  <c r="U59" i="7"/>
  <c r="X285" i="7" l="1"/>
  <c r="V286" i="7"/>
  <c r="X187" i="7"/>
  <c r="X57" i="7"/>
  <c r="W57" i="7"/>
  <c r="V58" i="7"/>
  <c r="U988" i="7"/>
  <c r="T88" i="7"/>
  <c r="X583" i="7"/>
  <c r="V584" i="7"/>
  <c r="X484" i="7"/>
  <c r="V485" i="7"/>
  <c r="X880" i="7"/>
  <c r="V881" i="7"/>
  <c r="X385" i="7"/>
  <c r="V386" i="7"/>
  <c r="X979" i="7"/>
  <c r="V980" i="7"/>
  <c r="X781" i="7"/>
  <c r="V782" i="7"/>
  <c r="V188" i="7"/>
  <c r="X682" i="7"/>
  <c r="V683" i="7"/>
  <c r="U889" i="7"/>
  <c r="U789" i="7"/>
  <c r="U689" i="7"/>
  <c r="U589" i="7"/>
  <c r="U489" i="7"/>
  <c r="U389" i="7"/>
  <c r="U289" i="7"/>
  <c r="U189" i="7"/>
  <c r="U60" i="7"/>
  <c r="X286" i="7" l="1"/>
  <c r="V287" i="7"/>
  <c r="X58" i="7"/>
  <c r="V59" i="7"/>
  <c r="W58" i="7"/>
  <c r="T89" i="7"/>
  <c r="X188" i="7"/>
  <c r="U989" i="7"/>
  <c r="X584" i="7"/>
  <c r="V585" i="7"/>
  <c r="X683" i="7"/>
  <c r="V684" i="7"/>
  <c r="X980" i="7"/>
  <c r="V981" i="7"/>
  <c r="X881" i="7"/>
  <c r="V882" i="7"/>
  <c r="X485" i="7"/>
  <c r="V486" i="7"/>
  <c r="X386" i="7"/>
  <c r="V387" i="7"/>
  <c r="V189" i="7"/>
  <c r="X782" i="7"/>
  <c r="V783" i="7"/>
  <c r="U890" i="7"/>
  <c r="U790" i="7"/>
  <c r="U690" i="7"/>
  <c r="U590" i="7"/>
  <c r="U490" i="7"/>
  <c r="U390" i="7"/>
  <c r="U290" i="7"/>
  <c r="U190" i="7"/>
  <c r="U61" i="7"/>
  <c r="X287" i="7" l="1"/>
  <c r="V288" i="7"/>
  <c r="X189" i="7"/>
  <c r="T90" i="7"/>
  <c r="U990" i="7"/>
  <c r="X59" i="7"/>
  <c r="W59" i="7"/>
  <c r="V60" i="7"/>
  <c r="X981" i="7"/>
  <c r="V982" i="7"/>
  <c r="X783" i="7"/>
  <c r="V784" i="7"/>
  <c r="X387" i="7"/>
  <c r="V388" i="7"/>
  <c r="X882" i="7"/>
  <c r="V883" i="7"/>
  <c r="X585" i="7"/>
  <c r="V586" i="7"/>
  <c r="V190" i="7"/>
  <c r="X684" i="7"/>
  <c r="V685" i="7"/>
  <c r="X486" i="7"/>
  <c r="V487" i="7"/>
  <c r="U891" i="7"/>
  <c r="U791" i="7"/>
  <c r="U691" i="7"/>
  <c r="U591" i="7"/>
  <c r="U491" i="7"/>
  <c r="U391" i="7"/>
  <c r="U291" i="7"/>
  <c r="U191" i="7"/>
  <c r="U62" i="7"/>
  <c r="X288" i="7" l="1"/>
  <c r="V289" i="7"/>
  <c r="X190" i="7"/>
  <c r="X60" i="7"/>
  <c r="W60" i="7"/>
  <c r="V61" i="7"/>
  <c r="U991" i="7"/>
  <c r="T91" i="7"/>
  <c r="X883" i="7"/>
  <c r="V884" i="7"/>
  <c r="X388" i="7"/>
  <c r="V389" i="7"/>
  <c r="X982" i="7"/>
  <c r="V983" i="7"/>
  <c r="X586" i="7"/>
  <c r="V587" i="7"/>
  <c r="X487" i="7"/>
  <c r="V488" i="7"/>
  <c r="V191" i="7"/>
  <c r="X685" i="7"/>
  <c r="V686" i="7"/>
  <c r="X784" i="7"/>
  <c r="V785" i="7"/>
  <c r="U892" i="7"/>
  <c r="U792" i="7"/>
  <c r="U692" i="7"/>
  <c r="U592" i="7"/>
  <c r="U492" i="7"/>
  <c r="U392" i="7"/>
  <c r="U292" i="7"/>
  <c r="U192" i="7"/>
  <c r="U63" i="7"/>
  <c r="X289" i="7" l="1"/>
  <c r="V290" i="7"/>
  <c r="X191" i="7"/>
  <c r="X61" i="7"/>
  <c r="W61" i="7"/>
  <c r="V62" i="7"/>
  <c r="T92" i="7"/>
  <c r="U992" i="7"/>
  <c r="X785" i="7"/>
  <c r="V786" i="7"/>
  <c r="X389" i="7"/>
  <c r="V390" i="7"/>
  <c r="X983" i="7"/>
  <c r="V984" i="7"/>
  <c r="X884" i="7"/>
  <c r="V885" i="7"/>
  <c r="X488" i="7"/>
  <c r="V489" i="7"/>
  <c r="X686" i="7"/>
  <c r="V687" i="7"/>
  <c r="V192" i="7"/>
  <c r="X587" i="7"/>
  <c r="V588" i="7"/>
  <c r="U893" i="7"/>
  <c r="U793" i="7"/>
  <c r="U693" i="7"/>
  <c r="U593" i="7"/>
  <c r="U493" i="7"/>
  <c r="U393" i="7"/>
  <c r="U293" i="7"/>
  <c r="U193" i="7"/>
  <c r="U64" i="7"/>
  <c r="X192" i="7" l="1"/>
  <c r="X290" i="7"/>
  <c r="V291" i="7"/>
  <c r="T93" i="7"/>
  <c r="V63" i="7"/>
  <c r="X62" i="7"/>
  <c r="W62" i="7"/>
  <c r="U993" i="7"/>
  <c r="X390" i="7"/>
  <c r="V391" i="7"/>
  <c r="X588" i="7"/>
  <c r="V589" i="7"/>
  <c r="X489" i="7"/>
  <c r="V490" i="7"/>
  <c r="X786" i="7"/>
  <c r="V787" i="7"/>
  <c r="X984" i="7"/>
  <c r="V985" i="7"/>
  <c r="V193" i="7"/>
  <c r="X885" i="7"/>
  <c r="V886" i="7"/>
  <c r="X687" i="7"/>
  <c r="V688" i="7"/>
  <c r="U894" i="7"/>
  <c r="U794" i="7"/>
  <c r="U694" i="7"/>
  <c r="U594" i="7"/>
  <c r="U494" i="7"/>
  <c r="U394" i="7"/>
  <c r="U294" i="7"/>
  <c r="U194" i="7"/>
  <c r="U65" i="7"/>
  <c r="X291" i="7" l="1"/>
  <c r="V292" i="7"/>
  <c r="X63" i="7"/>
  <c r="W63" i="7"/>
  <c r="V64" i="7"/>
  <c r="U994" i="7"/>
  <c r="X193" i="7"/>
  <c r="T94" i="7"/>
  <c r="X688" i="7"/>
  <c r="V689" i="7"/>
  <c r="X985" i="7"/>
  <c r="V986" i="7"/>
  <c r="V194" i="7"/>
  <c r="X490" i="7"/>
  <c r="V491" i="7"/>
  <c r="X391" i="7"/>
  <c r="V392" i="7"/>
  <c r="X886" i="7"/>
  <c r="V887" i="7"/>
  <c r="X787" i="7"/>
  <c r="V788" i="7"/>
  <c r="X589" i="7"/>
  <c r="V590" i="7"/>
  <c r="U895" i="7"/>
  <c r="U795" i="7"/>
  <c r="U695" i="7"/>
  <c r="U595" i="7"/>
  <c r="U495" i="7"/>
  <c r="U395" i="7"/>
  <c r="U295" i="7"/>
  <c r="U195" i="7"/>
  <c r="U66" i="7"/>
  <c r="X292" i="7" l="1"/>
  <c r="V293" i="7"/>
  <c r="U995" i="7"/>
  <c r="V65" i="7"/>
  <c r="X64" i="7"/>
  <c r="W64" i="7"/>
  <c r="T95" i="7"/>
  <c r="X194" i="7"/>
  <c r="X590" i="7"/>
  <c r="V591" i="7"/>
  <c r="X491" i="7"/>
  <c r="V492" i="7"/>
  <c r="X986" i="7"/>
  <c r="V987" i="7"/>
  <c r="X689" i="7"/>
  <c r="V690" i="7"/>
  <c r="X788" i="7"/>
  <c r="V789" i="7"/>
  <c r="X392" i="7"/>
  <c r="V393" i="7"/>
  <c r="X887" i="7"/>
  <c r="V888" i="7"/>
  <c r="V195" i="7"/>
  <c r="U896" i="7"/>
  <c r="U796" i="7"/>
  <c r="U696" i="7"/>
  <c r="U596" i="7"/>
  <c r="U496" i="7"/>
  <c r="U396" i="7"/>
  <c r="U296" i="7"/>
  <c r="U196" i="7"/>
  <c r="U67" i="7"/>
  <c r="X195" i="7" l="1"/>
  <c r="V294" i="7"/>
  <c r="X293" i="7"/>
  <c r="T96" i="7"/>
  <c r="X65" i="7"/>
  <c r="V66" i="7"/>
  <c r="W65" i="7"/>
  <c r="U996" i="7"/>
  <c r="V196" i="7"/>
  <c r="X591" i="7"/>
  <c r="V592" i="7"/>
  <c r="X987" i="7"/>
  <c r="V988" i="7"/>
  <c r="X789" i="7"/>
  <c r="V790" i="7"/>
  <c r="X690" i="7"/>
  <c r="V691" i="7"/>
  <c r="X888" i="7"/>
  <c r="V889" i="7"/>
  <c r="X393" i="7"/>
  <c r="V394" i="7"/>
  <c r="X492" i="7"/>
  <c r="V493" i="7"/>
  <c r="U897" i="7"/>
  <c r="U797" i="7"/>
  <c r="U697" i="7"/>
  <c r="U597" i="7"/>
  <c r="U497" i="7"/>
  <c r="U397" i="7"/>
  <c r="U297" i="7"/>
  <c r="U197" i="7"/>
  <c r="U68" i="7"/>
  <c r="X294" i="7" l="1"/>
  <c r="V295" i="7"/>
  <c r="X196" i="7"/>
  <c r="X66" i="7"/>
  <c r="W66" i="7"/>
  <c r="V67" i="7"/>
  <c r="U997" i="7"/>
  <c r="T97" i="7"/>
  <c r="X988" i="7"/>
  <c r="V989" i="7"/>
  <c r="X592" i="7"/>
  <c r="V593" i="7"/>
  <c r="X493" i="7"/>
  <c r="V494" i="7"/>
  <c r="X790" i="7"/>
  <c r="V791" i="7"/>
  <c r="X394" i="7"/>
  <c r="V395" i="7"/>
  <c r="V197" i="7"/>
  <c r="X889" i="7"/>
  <c r="V890" i="7"/>
  <c r="X691" i="7"/>
  <c r="V692" i="7"/>
  <c r="U898" i="7"/>
  <c r="U798" i="7"/>
  <c r="U698" i="7"/>
  <c r="U598" i="7"/>
  <c r="U498" i="7"/>
  <c r="U398" i="7"/>
  <c r="U298" i="7"/>
  <c r="U198" i="7"/>
  <c r="U69" i="7"/>
  <c r="X295" i="7" l="1"/>
  <c r="V296" i="7"/>
  <c r="X197" i="7"/>
  <c r="U998" i="7"/>
  <c r="V68" i="7"/>
  <c r="X67" i="7"/>
  <c r="W67" i="7"/>
  <c r="T98" i="7"/>
  <c r="X692" i="7"/>
  <c r="V693" i="7"/>
  <c r="X989" i="7"/>
  <c r="V990" i="7"/>
  <c r="X395" i="7"/>
  <c r="V396" i="7"/>
  <c r="X494" i="7"/>
  <c r="V495" i="7"/>
  <c r="X791" i="7"/>
  <c r="V792" i="7"/>
  <c r="X890" i="7"/>
  <c r="V891" i="7"/>
  <c r="V198" i="7"/>
  <c r="X593" i="7"/>
  <c r="V594" i="7"/>
  <c r="U899" i="7"/>
  <c r="U799" i="7"/>
  <c r="U699" i="7"/>
  <c r="U599" i="7"/>
  <c r="U499" i="7"/>
  <c r="U399" i="7"/>
  <c r="U299" i="7"/>
  <c r="U199" i="7"/>
  <c r="U70" i="7"/>
  <c r="X296" i="7" l="1"/>
  <c r="V297" i="7"/>
  <c r="W68" i="7"/>
  <c r="X68" i="7"/>
  <c r="V69" i="7"/>
  <c r="U999" i="7"/>
  <c r="X198" i="7"/>
  <c r="T99" i="7"/>
  <c r="X891" i="7"/>
  <c r="V892" i="7"/>
  <c r="X990" i="7"/>
  <c r="V991" i="7"/>
  <c r="X594" i="7"/>
  <c r="V595" i="7"/>
  <c r="X396" i="7"/>
  <c r="V397" i="7"/>
  <c r="V199" i="7"/>
  <c r="X792" i="7"/>
  <c r="V793" i="7"/>
  <c r="X495" i="7"/>
  <c r="V496" i="7"/>
  <c r="X693" i="7"/>
  <c r="V694" i="7"/>
  <c r="U900" i="7"/>
  <c r="U800" i="7"/>
  <c r="U700" i="7"/>
  <c r="U600" i="7"/>
  <c r="U500" i="7"/>
  <c r="U400" i="7"/>
  <c r="U300" i="7"/>
  <c r="U200" i="7"/>
  <c r="U71" i="7"/>
  <c r="X297" i="7" l="1"/>
  <c r="V298" i="7"/>
  <c r="U1000" i="7"/>
  <c r="X199" i="7"/>
  <c r="X69" i="7"/>
  <c r="W69" i="7"/>
  <c r="V70" i="7"/>
  <c r="T100" i="7"/>
  <c r="X397" i="7"/>
  <c r="V398" i="7"/>
  <c r="X892" i="7"/>
  <c r="V893" i="7"/>
  <c r="X694" i="7"/>
  <c r="V695" i="7"/>
  <c r="X793" i="7"/>
  <c r="V794" i="7"/>
  <c r="X595" i="7"/>
  <c r="V596" i="7"/>
  <c r="X991" i="7"/>
  <c r="V992" i="7"/>
  <c r="V200" i="7"/>
  <c r="X496" i="7"/>
  <c r="V497" i="7"/>
  <c r="U901" i="7"/>
  <c r="U801" i="7"/>
  <c r="U701" i="7"/>
  <c r="U601" i="7"/>
  <c r="U501" i="7"/>
  <c r="U401" i="7"/>
  <c r="U301" i="7"/>
  <c r="U201" i="7"/>
  <c r="U72" i="7"/>
  <c r="X298" i="7" l="1"/>
  <c r="V299" i="7"/>
  <c r="W70" i="7"/>
  <c r="V71" i="7"/>
  <c r="X70" i="7"/>
  <c r="X200" i="7"/>
  <c r="U1001" i="7"/>
  <c r="T101" i="7"/>
  <c r="X695" i="7"/>
  <c r="V696" i="7"/>
  <c r="X992" i="7"/>
  <c r="V993" i="7"/>
  <c r="X398" i="7"/>
  <c r="V399" i="7"/>
  <c r="X497" i="7"/>
  <c r="V498" i="7"/>
  <c r="X794" i="7"/>
  <c r="V795" i="7"/>
  <c r="X893" i="7"/>
  <c r="V894" i="7"/>
  <c r="V201" i="7"/>
  <c r="X596" i="7"/>
  <c r="V597" i="7"/>
  <c r="U902" i="7"/>
  <c r="U802" i="7"/>
  <c r="U702" i="7"/>
  <c r="U602" i="7"/>
  <c r="U502" i="7"/>
  <c r="U402" i="7"/>
  <c r="U302" i="7"/>
  <c r="U202" i="7"/>
  <c r="U73" i="7"/>
  <c r="X299" i="7" l="1"/>
  <c r="V300" i="7"/>
  <c r="X201" i="7"/>
  <c r="U1002" i="7"/>
  <c r="X71" i="7"/>
  <c r="W71" i="7"/>
  <c r="V72" i="7"/>
  <c r="T102" i="7"/>
  <c r="V202" i="7"/>
  <c r="X696" i="7"/>
  <c r="V697" i="7"/>
  <c r="X993" i="7"/>
  <c r="V994" i="7"/>
  <c r="X795" i="7"/>
  <c r="V796" i="7"/>
  <c r="X597" i="7"/>
  <c r="V598" i="7"/>
  <c r="X894" i="7"/>
  <c r="V895" i="7"/>
  <c r="X399" i="7"/>
  <c r="V400" i="7"/>
  <c r="X498" i="7"/>
  <c r="V499" i="7"/>
  <c r="U903" i="7"/>
  <c r="U803" i="7"/>
  <c r="U703" i="7"/>
  <c r="U603" i="7"/>
  <c r="U503" i="7"/>
  <c r="U403" i="7"/>
  <c r="U303" i="7"/>
  <c r="U203" i="7"/>
  <c r="U74" i="7"/>
  <c r="X300" i="7" l="1"/>
  <c r="V301" i="7"/>
  <c r="T103" i="7"/>
  <c r="X72" i="7"/>
  <c r="W72" i="7"/>
  <c r="V73" i="7"/>
  <c r="U1003" i="7"/>
  <c r="X499" i="7"/>
  <c r="V500" i="7"/>
  <c r="X400" i="7"/>
  <c r="V401" i="7"/>
  <c r="V203" i="7"/>
  <c r="X598" i="7"/>
  <c r="V599" i="7"/>
  <c r="X796" i="7"/>
  <c r="V797" i="7"/>
  <c r="X994" i="7"/>
  <c r="V995" i="7"/>
  <c r="X202" i="7"/>
  <c r="X895" i="7"/>
  <c r="V896" i="7"/>
  <c r="X697" i="7"/>
  <c r="V698" i="7"/>
  <c r="U904" i="7"/>
  <c r="U804" i="7"/>
  <c r="U704" i="7"/>
  <c r="U604" i="7"/>
  <c r="U504" i="7"/>
  <c r="U404" i="7"/>
  <c r="U304" i="7"/>
  <c r="U204" i="7"/>
  <c r="U75" i="7"/>
  <c r="X301" i="7" l="1"/>
  <c r="V302" i="7"/>
  <c r="U1004" i="7"/>
  <c r="W73" i="7"/>
  <c r="X73" i="7"/>
  <c r="V74" i="7"/>
  <c r="T104" i="7"/>
  <c r="V204" i="7"/>
  <c r="X698" i="7"/>
  <c r="V699" i="7"/>
  <c r="X896" i="7"/>
  <c r="V897" i="7"/>
  <c r="X797" i="7"/>
  <c r="V798" i="7"/>
  <c r="X500" i="7"/>
  <c r="V501" i="7"/>
  <c r="X995" i="7"/>
  <c r="V996" i="7"/>
  <c r="X599" i="7"/>
  <c r="V600" i="7"/>
  <c r="X401" i="7"/>
  <c r="V402" i="7"/>
  <c r="X203" i="7"/>
  <c r="U905" i="7"/>
  <c r="U805" i="7"/>
  <c r="U705" i="7"/>
  <c r="U605" i="7"/>
  <c r="U505" i="7"/>
  <c r="U405" i="7"/>
  <c r="U305" i="7"/>
  <c r="U205" i="7"/>
  <c r="U76" i="7"/>
  <c r="X302" i="7" l="1"/>
  <c r="V303" i="7"/>
  <c r="T105" i="7"/>
  <c r="W74" i="7"/>
  <c r="V75" i="7"/>
  <c r="X74" i="7"/>
  <c r="X204" i="7"/>
  <c r="U1005" i="7"/>
  <c r="X402" i="7"/>
  <c r="V403" i="7"/>
  <c r="X996" i="7"/>
  <c r="V997" i="7"/>
  <c r="X501" i="7"/>
  <c r="V502" i="7"/>
  <c r="X600" i="7"/>
  <c r="V601" i="7"/>
  <c r="X699" i="7"/>
  <c r="V700" i="7"/>
  <c r="V205" i="7"/>
  <c r="X798" i="7"/>
  <c r="V799" i="7"/>
  <c r="X897" i="7"/>
  <c r="V898" i="7"/>
  <c r="U906" i="7"/>
  <c r="U806" i="7"/>
  <c r="U706" i="7"/>
  <c r="U606" i="7"/>
  <c r="U506" i="7"/>
  <c r="U406" i="7"/>
  <c r="U306" i="7"/>
  <c r="U206" i="7"/>
  <c r="U77" i="7"/>
  <c r="X303" i="7" l="1"/>
  <c r="V304" i="7"/>
  <c r="U1006" i="7"/>
  <c r="W75" i="7"/>
  <c r="X75" i="7"/>
  <c r="V76" i="7"/>
  <c r="X205" i="7"/>
  <c r="T106" i="7"/>
  <c r="X898" i="7"/>
  <c r="V899" i="7"/>
  <c r="X601" i="7"/>
  <c r="V602" i="7"/>
  <c r="X502" i="7"/>
  <c r="V503" i="7"/>
  <c r="X403" i="7"/>
  <c r="V404" i="7"/>
  <c r="X997" i="7"/>
  <c r="V998" i="7"/>
  <c r="V206" i="7"/>
  <c r="X799" i="7"/>
  <c r="V800" i="7"/>
  <c r="X700" i="7"/>
  <c r="V701" i="7"/>
  <c r="U907" i="7"/>
  <c r="U807" i="7"/>
  <c r="U707" i="7"/>
  <c r="U607" i="7"/>
  <c r="U507" i="7"/>
  <c r="U407" i="7"/>
  <c r="U307" i="7"/>
  <c r="U207" i="7"/>
  <c r="U78" i="7"/>
  <c r="X304" i="7" l="1"/>
  <c r="V305" i="7"/>
  <c r="T107" i="7"/>
  <c r="X76" i="7"/>
  <c r="W76" i="7"/>
  <c r="V77" i="7"/>
  <c r="X206" i="7"/>
  <c r="U1007" i="7"/>
  <c r="X998" i="7"/>
  <c r="V999" i="7"/>
  <c r="X701" i="7"/>
  <c r="V702" i="7"/>
  <c r="X503" i="7"/>
  <c r="V504" i="7"/>
  <c r="V207" i="7"/>
  <c r="X899" i="7"/>
  <c r="V900" i="7"/>
  <c r="X800" i="7"/>
  <c r="V801" i="7"/>
  <c r="X404" i="7"/>
  <c r="V405" i="7"/>
  <c r="X602" i="7"/>
  <c r="V603" i="7"/>
  <c r="U908" i="7"/>
  <c r="U808" i="7"/>
  <c r="U708" i="7"/>
  <c r="U608" i="7"/>
  <c r="U508" i="7"/>
  <c r="U408" i="7"/>
  <c r="U308" i="7"/>
  <c r="U208" i="7"/>
  <c r="U79" i="7"/>
  <c r="X305" i="7" l="1"/>
  <c r="V306" i="7"/>
  <c r="U1008" i="7"/>
  <c r="X77" i="7"/>
  <c r="W77" i="7"/>
  <c r="V78" i="7"/>
  <c r="T108" i="7"/>
  <c r="X504" i="7"/>
  <c r="V505" i="7"/>
  <c r="X405" i="7"/>
  <c r="V406" i="7"/>
  <c r="X900" i="7"/>
  <c r="V901" i="7"/>
  <c r="X702" i="7"/>
  <c r="V703" i="7"/>
  <c r="X999" i="7"/>
  <c r="V1000" i="7"/>
  <c r="V208" i="7"/>
  <c r="X603" i="7"/>
  <c r="V604" i="7"/>
  <c r="X801" i="7"/>
  <c r="V802" i="7"/>
  <c r="X207" i="7"/>
  <c r="U909" i="7"/>
  <c r="U809" i="7"/>
  <c r="U709" i="7"/>
  <c r="U609" i="7"/>
  <c r="U509" i="7"/>
  <c r="U409" i="7"/>
  <c r="U309" i="7"/>
  <c r="U209" i="7"/>
  <c r="U80" i="7"/>
  <c r="X208" i="7" l="1"/>
  <c r="X306" i="7"/>
  <c r="V307" i="7"/>
  <c r="V79" i="7"/>
  <c r="X78" i="7"/>
  <c r="W78" i="7"/>
  <c r="T109" i="7"/>
  <c r="U1009" i="7"/>
  <c r="X604" i="7"/>
  <c r="V605" i="7"/>
  <c r="X1000" i="7"/>
  <c r="V1001" i="7"/>
  <c r="X505" i="7"/>
  <c r="V506" i="7"/>
  <c r="X802" i="7"/>
  <c r="V803" i="7"/>
  <c r="X703" i="7"/>
  <c r="V704" i="7"/>
  <c r="X406" i="7"/>
  <c r="V407" i="7"/>
  <c r="V209" i="7"/>
  <c r="X901" i="7"/>
  <c r="V902" i="7"/>
  <c r="U910" i="7"/>
  <c r="U810" i="7"/>
  <c r="U710" i="7"/>
  <c r="U610" i="7"/>
  <c r="U510" i="7"/>
  <c r="U410" i="7"/>
  <c r="U310" i="7"/>
  <c r="U210" i="7"/>
  <c r="U81" i="7"/>
  <c r="V308" i="7" l="1"/>
  <c r="X307" i="7"/>
  <c r="U1010" i="7"/>
  <c r="X209" i="7"/>
  <c r="V80" i="7"/>
  <c r="X79" i="7"/>
  <c r="W79" i="7"/>
  <c r="T110" i="7"/>
  <c r="X605" i="7"/>
  <c r="V606" i="7"/>
  <c r="X407" i="7"/>
  <c r="V408" i="7"/>
  <c r="X704" i="7"/>
  <c r="V705" i="7"/>
  <c r="X1001" i="7"/>
  <c r="V1002" i="7"/>
  <c r="X803" i="7"/>
  <c r="V804" i="7"/>
  <c r="V210" i="7"/>
  <c r="X902" i="7"/>
  <c r="V903" i="7"/>
  <c r="X506" i="7"/>
  <c r="V507" i="7"/>
  <c r="U911" i="7"/>
  <c r="U811" i="7"/>
  <c r="U711" i="7"/>
  <c r="U611" i="7"/>
  <c r="U511" i="7"/>
  <c r="U411" i="7"/>
  <c r="U311" i="7"/>
  <c r="U211" i="7"/>
  <c r="U82" i="7"/>
  <c r="X308" i="7" l="1"/>
  <c r="V309" i="7"/>
  <c r="X210" i="7"/>
  <c r="V81" i="7"/>
  <c r="X80" i="7"/>
  <c r="W80" i="7"/>
  <c r="T111" i="7"/>
  <c r="U1011" i="7"/>
  <c r="X408" i="7"/>
  <c r="V409" i="7"/>
  <c r="X804" i="7"/>
  <c r="V805" i="7"/>
  <c r="X507" i="7"/>
  <c r="V508" i="7"/>
  <c r="X705" i="7"/>
  <c r="V706" i="7"/>
  <c r="X606" i="7"/>
  <c r="V607" i="7"/>
  <c r="V211" i="7"/>
  <c r="X1002" i="7"/>
  <c r="V1003" i="7"/>
  <c r="X903" i="7"/>
  <c r="V904" i="7"/>
  <c r="U912" i="7"/>
  <c r="U812" i="7"/>
  <c r="U712" i="7"/>
  <c r="U612" i="7"/>
  <c r="U512" i="7"/>
  <c r="U412" i="7"/>
  <c r="U312" i="7"/>
  <c r="U212" i="7"/>
  <c r="U83" i="7"/>
  <c r="X309" i="7" l="1"/>
  <c r="V310" i="7"/>
  <c r="T112" i="7"/>
  <c r="X81" i="7"/>
  <c r="V82" i="7"/>
  <c r="W81" i="7"/>
  <c r="U1012" i="7"/>
  <c r="X1003" i="7"/>
  <c r="V1004" i="7"/>
  <c r="X508" i="7"/>
  <c r="V509" i="7"/>
  <c r="V212" i="7"/>
  <c r="X211" i="7"/>
  <c r="X409" i="7"/>
  <c r="V410" i="7"/>
  <c r="X607" i="7"/>
  <c r="V608" i="7"/>
  <c r="X706" i="7"/>
  <c r="V707" i="7"/>
  <c r="X904" i="7"/>
  <c r="V905" i="7"/>
  <c r="X805" i="7"/>
  <c r="V806" i="7"/>
  <c r="U913" i="7"/>
  <c r="U813" i="7"/>
  <c r="U713" i="7"/>
  <c r="U613" i="7"/>
  <c r="U513" i="7"/>
  <c r="U413" i="7"/>
  <c r="U313" i="7"/>
  <c r="U213" i="7"/>
  <c r="U84" i="7"/>
  <c r="X310" i="7" l="1"/>
  <c r="V311" i="7"/>
  <c r="X212" i="7"/>
  <c r="X82" i="7"/>
  <c r="W82" i="7"/>
  <c r="V83" i="7"/>
  <c r="U1013" i="7"/>
  <c r="T113" i="7"/>
  <c r="X707" i="7"/>
  <c r="V708" i="7"/>
  <c r="V213" i="7"/>
  <c r="X410" i="7"/>
  <c r="V411" i="7"/>
  <c r="X1004" i="7"/>
  <c r="V1005" i="7"/>
  <c r="X905" i="7"/>
  <c r="V906" i="7"/>
  <c r="X608" i="7"/>
  <c r="V609" i="7"/>
  <c r="X509" i="7"/>
  <c r="V510" i="7"/>
  <c r="X806" i="7"/>
  <c r="V807" i="7"/>
  <c r="U914" i="7"/>
  <c r="U814" i="7"/>
  <c r="U714" i="7"/>
  <c r="U614" i="7"/>
  <c r="U514" i="7"/>
  <c r="U414" i="7"/>
  <c r="U314" i="7"/>
  <c r="U214" i="7"/>
  <c r="U85" i="7"/>
  <c r="X311" i="7" l="1"/>
  <c r="V312" i="7"/>
  <c r="U1014" i="7"/>
  <c r="X83" i="7"/>
  <c r="W83" i="7"/>
  <c r="V84" i="7"/>
  <c r="T114" i="7"/>
  <c r="X213" i="7"/>
  <c r="X807" i="7"/>
  <c r="V808" i="7"/>
  <c r="X510" i="7"/>
  <c r="V511" i="7"/>
  <c r="X906" i="7"/>
  <c r="V907" i="7"/>
  <c r="X1005" i="7"/>
  <c r="V1006" i="7"/>
  <c r="X411" i="7"/>
  <c r="V412" i="7"/>
  <c r="X609" i="7"/>
  <c r="V610" i="7"/>
  <c r="V214" i="7"/>
  <c r="X708" i="7"/>
  <c r="V709" i="7"/>
  <c r="U915" i="7"/>
  <c r="U815" i="7"/>
  <c r="U715" i="7"/>
  <c r="U615" i="7"/>
  <c r="U515" i="7"/>
  <c r="U415" i="7"/>
  <c r="U315" i="7"/>
  <c r="U215" i="7"/>
  <c r="U86" i="7"/>
  <c r="X312" i="7" l="1"/>
  <c r="V313" i="7"/>
  <c r="T115" i="7"/>
  <c r="U1015" i="7"/>
  <c r="X84" i="7"/>
  <c r="V85" i="7"/>
  <c r="W84" i="7"/>
  <c r="X610" i="7"/>
  <c r="V611" i="7"/>
  <c r="X907" i="7"/>
  <c r="V908" i="7"/>
  <c r="X808" i="7"/>
  <c r="V809" i="7"/>
  <c r="X709" i="7"/>
  <c r="V710" i="7"/>
  <c r="X412" i="7"/>
  <c r="V413" i="7"/>
  <c r="V215" i="7"/>
  <c r="X1006" i="7"/>
  <c r="V1007" i="7"/>
  <c r="X511" i="7"/>
  <c r="V512" i="7"/>
  <c r="X214" i="7"/>
  <c r="U916" i="7"/>
  <c r="U816" i="7"/>
  <c r="U716" i="7"/>
  <c r="U616" i="7"/>
  <c r="U516" i="7"/>
  <c r="U416" i="7"/>
  <c r="U316" i="7"/>
  <c r="U216" i="7"/>
  <c r="U87" i="7"/>
  <c r="X313" i="7" l="1"/>
  <c r="V314" i="7"/>
  <c r="U1016" i="7"/>
  <c r="X85" i="7"/>
  <c r="W85" i="7"/>
  <c r="V86" i="7"/>
  <c r="X215" i="7"/>
  <c r="T116" i="7"/>
  <c r="X710" i="7"/>
  <c r="V711" i="7"/>
  <c r="X1007" i="7"/>
  <c r="V1008" i="7"/>
  <c r="X908" i="7"/>
  <c r="V909" i="7"/>
  <c r="X413" i="7"/>
  <c r="V414" i="7"/>
  <c r="X611" i="7"/>
  <c r="V612" i="7"/>
  <c r="X512" i="7"/>
  <c r="V513" i="7"/>
  <c r="V216" i="7"/>
  <c r="X809" i="7"/>
  <c r="V810" i="7"/>
  <c r="U917" i="7"/>
  <c r="U817" i="7"/>
  <c r="U717" i="7"/>
  <c r="U617" i="7"/>
  <c r="U517" i="7"/>
  <c r="U417" i="7"/>
  <c r="U317" i="7"/>
  <c r="U217" i="7"/>
  <c r="U88" i="7"/>
  <c r="V315" i="7" l="1"/>
  <c r="X314" i="7"/>
  <c r="X216" i="7"/>
  <c r="U1017" i="7"/>
  <c r="T117" i="7"/>
  <c r="W86" i="7"/>
  <c r="V87" i="7"/>
  <c r="X86" i="7"/>
  <c r="X909" i="7"/>
  <c r="V910" i="7"/>
  <c r="X810" i="7"/>
  <c r="V811" i="7"/>
  <c r="X711" i="7"/>
  <c r="V712" i="7"/>
  <c r="X414" i="7"/>
  <c r="V415" i="7"/>
  <c r="X513" i="7"/>
  <c r="V514" i="7"/>
  <c r="V217" i="7"/>
  <c r="X612" i="7"/>
  <c r="V613" i="7"/>
  <c r="X1008" i="7"/>
  <c r="V1009" i="7"/>
  <c r="U918" i="7"/>
  <c r="U818" i="7"/>
  <c r="U718" i="7"/>
  <c r="U618" i="7"/>
  <c r="U518" i="7"/>
  <c r="U418" i="7"/>
  <c r="U318" i="7"/>
  <c r="U218" i="7"/>
  <c r="U89" i="7"/>
  <c r="X315" i="7" l="1"/>
  <c r="V316" i="7"/>
  <c r="W87" i="7"/>
  <c r="V88" i="7"/>
  <c r="X87" i="7"/>
  <c r="T118" i="7"/>
  <c r="U1018" i="7"/>
  <c r="X217" i="7"/>
  <c r="X415" i="7"/>
  <c r="V416" i="7"/>
  <c r="X910" i="7"/>
  <c r="V911" i="7"/>
  <c r="X613" i="7"/>
  <c r="V614" i="7"/>
  <c r="X514" i="7"/>
  <c r="V515" i="7"/>
  <c r="V218" i="7"/>
  <c r="X712" i="7"/>
  <c r="V713" i="7"/>
  <c r="X811" i="7"/>
  <c r="V812" i="7"/>
  <c r="X1009" i="7"/>
  <c r="V1010" i="7"/>
  <c r="U919" i="7"/>
  <c r="U819" i="7"/>
  <c r="U719" i="7"/>
  <c r="U619" i="7"/>
  <c r="U519" i="7"/>
  <c r="U419" i="7"/>
  <c r="U319" i="7"/>
  <c r="U219" i="7"/>
  <c r="U90" i="7"/>
  <c r="X316" i="7" l="1"/>
  <c r="V317" i="7"/>
  <c r="X218" i="7"/>
  <c r="X88" i="7"/>
  <c r="V89" i="7"/>
  <c r="W88" i="7"/>
  <c r="U1019" i="7"/>
  <c r="T119" i="7"/>
  <c r="X713" i="7"/>
  <c r="V714" i="7"/>
  <c r="X1010" i="7"/>
  <c r="V1011" i="7"/>
  <c r="X515" i="7"/>
  <c r="V516" i="7"/>
  <c r="X614" i="7"/>
  <c r="V615" i="7"/>
  <c r="X416" i="7"/>
  <c r="V417" i="7"/>
  <c r="V219" i="7"/>
  <c r="X812" i="7"/>
  <c r="V813" i="7"/>
  <c r="X911" i="7"/>
  <c r="V912" i="7"/>
  <c r="U920" i="7"/>
  <c r="U820" i="7"/>
  <c r="U720" i="7"/>
  <c r="U620" i="7"/>
  <c r="U520" i="7"/>
  <c r="U420" i="7"/>
  <c r="U320" i="7"/>
  <c r="U220" i="7"/>
  <c r="U91" i="7"/>
  <c r="V318" i="7" l="1"/>
  <c r="X317" i="7"/>
  <c r="T120" i="7"/>
  <c r="U1020" i="7"/>
  <c r="X89" i="7"/>
  <c r="W89" i="7"/>
  <c r="V90" i="7"/>
  <c r="X912" i="7"/>
  <c r="V913" i="7"/>
  <c r="V220" i="7"/>
  <c r="X615" i="7"/>
  <c r="V616" i="7"/>
  <c r="X219" i="7"/>
  <c r="X714" i="7"/>
  <c r="V715" i="7"/>
  <c r="X813" i="7"/>
  <c r="V814" i="7"/>
  <c r="X417" i="7"/>
  <c r="V418" i="7"/>
  <c r="X516" i="7"/>
  <c r="V517" i="7"/>
  <c r="X1011" i="7"/>
  <c r="V1012" i="7"/>
  <c r="U921" i="7"/>
  <c r="U821" i="7"/>
  <c r="U721" i="7"/>
  <c r="U621" i="7"/>
  <c r="U521" i="7"/>
  <c r="U421" i="7"/>
  <c r="U321" i="7"/>
  <c r="U221" i="7"/>
  <c r="U92" i="7"/>
  <c r="X318" i="7" l="1"/>
  <c r="V319" i="7"/>
  <c r="X220" i="7"/>
  <c r="U1021" i="7"/>
  <c r="X90" i="7"/>
  <c r="V91" i="7"/>
  <c r="W90" i="7"/>
  <c r="T121" i="7"/>
  <c r="X1012" i="7"/>
  <c r="V1013" i="7"/>
  <c r="X418" i="7"/>
  <c r="V419" i="7"/>
  <c r="V221" i="7"/>
  <c r="X913" i="7"/>
  <c r="V914" i="7"/>
  <c r="X517" i="7"/>
  <c r="V518" i="7"/>
  <c r="X616" i="7"/>
  <c r="V617" i="7"/>
  <c r="X715" i="7"/>
  <c r="V716" i="7"/>
  <c r="X814" i="7"/>
  <c r="V815" i="7"/>
  <c r="U922" i="7"/>
  <c r="U822" i="7"/>
  <c r="U722" i="7"/>
  <c r="U622" i="7"/>
  <c r="U522" i="7"/>
  <c r="U422" i="7"/>
  <c r="U322" i="7"/>
  <c r="U222" i="7"/>
  <c r="U93" i="7"/>
  <c r="X319" i="7" l="1"/>
  <c r="V320" i="7"/>
  <c r="T122" i="7"/>
  <c r="X221" i="7"/>
  <c r="W91" i="7"/>
  <c r="X91" i="7"/>
  <c r="V92" i="7"/>
  <c r="X518" i="7"/>
  <c r="V519" i="7"/>
  <c r="X914" i="7"/>
  <c r="V915" i="7"/>
  <c r="X1013" i="7"/>
  <c r="V1014" i="7"/>
  <c r="V222" i="7"/>
  <c r="X815" i="7"/>
  <c r="V816" i="7"/>
  <c r="X716" i="7"/>
  <c r="V717" i="7"/>
  <c r="X617" i="7"/>
  <c r="V618" i="7"/>
  <c r="X419" i="7"/>
  <c r="V420" i="7"/>
  <c r="U94" i="7"/>
  <c r="V321" i="7" l="1"/>
  <c r="X320" i="7"/>
  <c r="X92" i="7"/>
  <c r="W92" i="7"/>
  <c r="V93" i="7"/>
  <c r="T123" i="7"/>
  <c r="X222" i="7"/>
  <c r="X915" i="7"/>
  <c r="V916" i="7"/>
  <c r="X816" i="7"/>
  <c r="V817" i="7"/>
  <c r="X420" i="7"/>
  <c r="V421" i="7"/>
  <c r="X618" i="7"/>
  <c r="V619" i="7"/>
  <c r="X1014" i="7"/>
  <c r="V1015" i="7"/>
  <c r="X519" i="7"/>
  <c r="V520" i="7"/>
  <c r="X717" i="7"/>
  <c r="V718" i="7"/>
  <c r="U95" i="7"/>
  <c r="V322" i="7" l="1"/>
  <c r="X321" i="7"/>
  <c r="T124" i="7"/>
  <c r="W123" i="7"/>
  <c r="W93" i="7"/>
  <c r="X93" i="7"/>
  <c r="V94" i="7"/>
  <c r="X718" i="7"/>
  <c r="V719" i="7"/>
  <c r="X1015" i="7"/>
  <c r="V1016" i="7"/>
  <c r="X421" i="7"/>
  <c r="V422" i="7"/>
  <c r="X916" i="7"/>
  <c r="V917" i="7"/>
  <c r="X520" i="7"/>
  <c r="V521" i="7"/>
  <c r="X619" i="7"/>
  <c r="V620" i="7"/>
  <c r="X817" i="7"/>
  <c r="V818" i="7"/>
  <c r="U96" i="7"/>
  <c r="X322" i="7" l="1"/>
  <c r="X94" i="7"/>
  <c r="W94" i="7"/>
  <c r="V95" i="7"/>
  <c r="T125" i="7"/>
  <c r="W124" i="7"/>
  <c r="X1016" i="7"/>
  <c r="V1017" i="7"/>
  <c r="X422" i="7"/>
  <c r="X719" i="7"/>
  <c r="V720" i="7"/>
  <c r="X521" i="7"/>
  <c r="V522" i="7"/>
  <c r="X620" i="7"/>
  <c r="V621" i="7"/>
  <c r="X917" i="7"/>
  <c r="V918" i="7"/>
  <c r="X818" i="7"/>
  <c r="V819" i="7"/>
  <c r="U97" i="7"/>
  <c r="T126" i="7" l="1"/>
  <c r="W125" i="7"/>
  <c r="W95" i="7"/>
  <c r="X95" i="7"/>
  <c r="V96" i="7"/>
  <c r="X918" i="7"/>
  <c r="V919" i="7"/>
  <c r="X1017" i="7"/>
  <c r="V1018" i="7"/>
  <c r="X819" i="7"/>
  <c r="V820" i="7"/>
  <c r="X621" i="7"/>
  <c r="V622" i="7"/>
  <c r="X720" i="7"/>
  <c r="V721" i="7"/>
  <c r="X522" i="7"/>
  <c r="U98" i="7"/>
  <c r="T127" i="7" l="1"/>
  <c r="W126" i="7"/>
  <c r="W96" i="7"/>
  <c r="V97" i="7"/>
  <c r="X96" i="7"/>
  <c r="X1018" i="7"/>
  <c r="V1019" i="7"/>
  <c r="X622" i="7"/>
  <c r="X721" i="7"/>
  <c r="V722" i="7"/>
  <c r="X820" i="7"/>
  <c r="V821" i="7"/>
  <c r="X919" i="7"/>
  <c r="V920" i="7"/>
  <c r="U99" i="7"/>
  <c r="X97" i="7" l="1"/>
  <c r="W97" i="7"/>
  <c r="V98" i="7"/>
  <c r="T128" i="7"/>
  <c r="W127" i="7"/>
  <c r="X821" i="7"/>
  <c r="V822" i="7"/>
  <c r="X1019" i="7"/>
  <c r="V1020" i="7"/>
  <c r="X920" i="7"/>
  <c r="V921" i="7"/>
  <c r="X722" i="7"/>
  <c r="U100" i="7"/>
  <c r="X98" i="7" l="1"/>
  <c r="V99" i="7"/>
  <c r="W98" i="7"/>
  <c r="T129" i="7"/>
  <c r="W128" i="7"/>
  <c r="X822" i="7"/>
  <c r="X921" i="7"/>
  <c r="V922" i="7"/>
  <c r="X1020" i="7"/>
  <c r="V1021" i="7"/>
  <c r="U101" i="7"/>
  <c r="AU78" i="7" l="1"/>
  <c r="AU81" i="7"/>
  <c r="AU131" i="7"/>
  <c r="T130" i="7"/>
  <c r="W129" i="7"/>
  <c r="X99" i="7"/>
  <c r="W99" i="7"/>
  <c r="V100" i="7"/>
  <c r="X1021" i="7"/>
  <c r="X922" i="7"/>
  <c r="U102" i="7"/>
  <c r="W100" i="7" l="1"/>
  <c r="X100" i="7"/>
  <c r="V101" i="7"/>
  <c r="T131" i="7"/>
  <c r="W130" i="7"/>
  <c r="U103" i="7"/>
  <c r="W101" i="7" l="1"/>
  <c r="X101" i="7"/>
  <c r="V102" i="7"/>
  <c r="T132" i="7"/>
  <c r="W131" i="7"/>
  <c r="U104" i="7"/>
  <c r="T133" i="7" l="1"/>
  <c r="W132" i="7"/>
  <c r="W102" i="7"/>
  <c r="X102" i="7"/>
  <c r="V103" i="7"/>
  <c r="U105" i="7"/>
  <c r="X103" i="7" l="1"/>
  <c r="V104" i="7"/>
  <c r="W103" i="7"/>
  <c r="T134" i="7"/>
  <c r="W133" i="7"/>
  <c r="U106" i="7"/>
  <c r="T135" i="7" l="1"/>
  <c r="W134" i="7"/>
  <c r="X104" i="7"/>
  <c r="W104" i="7"/>
  <c r="V105" i="7"/>
  <c r="U107" i="7"/>
  <c r="X105" i="7" l="1"/>
  <c r="W105" i="7"/>
  <c r="V106" i="7"/>
  <c r="T136" i="7"/>
  <c r="W135" i="7"/>
  <c r="U108" i="7"/>
  <c r="T137" i="7" l="1"/>
  <c r="W136" i="7"/>
  <c r="X106" i="7"/>
  <c r="V107" i="7"/>
  <c r="W106" i="7"/>
  <c r="U109" i="7"/>
  <c r="X107" i="7" l="1"/>
  <c r="W107" i="7"/>
  <c r="V108" i="7"/>
  <c r="T138" i="7"/>
  <c r="W137" i="7"/>
  <c r="U110" i="7"/>
  <c r="T139" i="7" l="1"/>
  <c r="W138" i="7"/>
  <c r="X108" i="7"/>
  <c r="V109" i="7"/>
  <c r="W108" i="7"/>
  <c r="U111" i="7"/>
  <c r="X109" i="7" l="1"/>
  <c r="V110" i="7"/>
  <c r="W109" i="7"/>
  <c r="T140" i="7"/>
  <c r="W139" i="7"/>
  <c r="U112" i="7"/>
  <c r="W110" i="7" l="1"/>
  <c r="V111" i="7"/>
  <c r="X110" i="7"/>
  <c r="T141" i="7"/>
  <c r="W140" i="7"/>
  <c r="U113" i="7"/>
  <c r="T142" i="7" l="1"/>
  <c r="W141" i="7"/>
  <c r="X111" i="7"/>
  <c r="V112" i="7"/>
  <c r="W111" i="7"/>
  <c r="U114" i="7"/>
  <c r="X112" i="7" l="1"/>
  <c r="V113" i="7"/>
  <c r="W112" i="7"/>
  <c r="T143" i="7"/>
  <c r="W142" i="7"/>
  <c r="U115" i="7"/>
  <c r="T144" i="7" l="1"/>
  <c r="W143" i="7"/>
  <c r="X113" i="7"/>
  <c r="V114" i="7"/>
  <c r="W113" i="7"/>
  <c r="U116" i="7"/>
  <c r="X114" i="7" l="1"/>
  <c r="W114" i="7"/>
  <c r="V115" i="7"/>
  <c r="T145" i="7"/>
  <c r="W144" i="7"/>
  <c r="U117" i="7"/>
  <c r="X115" i="7" l="1"/>
  <c r="W115" i="7"/>
  <c r="V116" i="7"/>
  <c r="T146" i="7"/>
  <c r="W145" i="7"/>
  <c r="U118" i="7"/>
  <c r="T147" i="7" l="1"/>
  <c r="W146" i="7"/>
  <c r="X116" i="7"/>
  <c r="V117" i="7"/>
  <c r="W116" i="7"/>
  <c r="U119" i="7"/>
  <c r="X117" i="7" l="1"/>
  <c r="W117" i="7"/>
  <c r="V118" i="7"/>
  <c r="T148" i="7"/>
  <c r="W147" i="7"/>
  <c r="U120" i="7"/>
  <c r="V119" i="7" l="1"/>
  <c r="X118" i="7"/>
  <c r="W118" i="7"/>
  <c r="T149" i="7"/>
  <c r="W148" i="7"/>
  <c r="U121" i="7"/>
  <c r="T150" i="7" l="1"/>
  <c r="W149" i="7"/>
  <c r="X119" i="7"/>
  <c r="W119" i="7"/>
  <c r="V120" i="7"/>
  <c r="U122" i="7"/>
  <c r="X120" i="7" l="1"/>
  <c r="W120" i="7"/>
  <c r="V121" i="7"/>
  <c r="T151" i="7"/>
  <c r="W150" i="7"/>
  <c r="T152" i="7" l="1"/>
  <c r="W151" i="7"/>
  <c r="X121" i="7"/>
  <c r="V122" i="7"/>
  <c r="W121" i="7"/>
  <c r="W122" i="7" l="1"/>
  <c r="X122" i="7"/>
  <c r="T153" i="7"/>
  <c r="W152" i="7"/>
  <c r="T154" i="7" l="1"/>
  <c r="W153" i="7"/>
  <c r="T155" i="7" l="1"/>
  <c r="W154" i="7"/>
  <c r="T156" i="7" l="1"/>
  <c r="W155" i="7"/>
  <c r="T157" i="7" l="1"/>
  <c r="W156" i="7"/>
  <c r="T158" i="7" l="1"/>
  <c r="W157" i="7"/>
  <c r="T159" i="7" l="1"/>
  <c r="W158" i="7"/>
  <c r="T160" i="7" l="1"/>
  <c r="W159" i="7"/>
  <c r="T161" i="7" l="1"/>
  <c r="W160" i="7"/>
  <c r="T162" i="7" l="1"/>
  <c r="W161" i="7"/>
  <c r="T163" i="7" l="1"/>
  <c r="W162" i="7"/>
  <c r="T164" i="7" l="1"/>
  <c r="W163" i="7"/>
  <c r="T165" i="7" l="1"/>
  <c r="W164" i="7"/>
  <c r="T166" i="7" l="1"/>
  <c r="W165" i="7"/>
  <c r="T167" i="7" l="1"/>
  <c r="W166" i="7"/>
  <c r="T168" i="7" l="1"/>
  <c r="W167" i="7"/>
  <c r="T169" i="7" l="1"/>
  <c r="W168" i="7"/>
  <c r="T170" i="7" l="1"/>
  <c r="W169" i="7"/>
  <c r="T171" i="7" l="1"/>
  <c r="W170" i="7"/>
  <c r="T172" i="7" l="1"/>
  <c r="W171" i="7"/>
  <c r="T173" i="7" l="1"/>
  <c r="W172" i="7"/>
  <c r="T174" i="7" l="1"/>
  <c r="W173" i="7"/>
  <c r="T175" i="7" l="1"/>
  <c r="W174" i="7"/>
  <c r="T176" i="7" l="1"/>
  <c r="W175" i="7"/>
  <c r="T177" i="7" l="1"/>
  <c r="W176" i="7"/>
  <c r="T178" i="7" l="1"/>
  <c r="W177" i="7"/>
  <c r="T179" i="7" l="1"/>
  <c r="W178" i="7"/>
  <c r="T180" i="7" l="1"/>
  <c r="W179" i="7"/>
  <c r="T181" i="7" l="1"/>
  <c r="W180" i="7"/>
  <c r="T182" i="7" l="1"/>
  <c r="W181" i="7"/>
  <c r="T183" i="7" l="1"/>
  <c r="W182" i="7"/>
  <c r="T184" i="7" l="1"/>
  <c r="W183" i="7"/>
  <c r="T185" i="7" l="1"/>
  <c r="W184" i="7"/>
  <c r="T186" i="7" l="1"/>
  <c r="W185" i="7"/>
  <c r="T187" i="7" l="1"/>
  <c r="W186" i="7"/>
  <c r="T188" i="7" l="1"/>
  <c r="W187" i="7"/>
  <c r="T189" i="7" l="1"/>
  <c r="W188" i="7"/>
  <c r="T190" i="7" l="1"/>
  <c r="W189" i="7"/>
  <c r="T191" i="7" l="1"/>
  <c r="W190" i="7"/>
  <c r="T192" i="7" l="1"/>
  <c r="W191" i="7"/>
  <c r="T193" i="7" l="1"/>
  <c r="W192" i="7"/>
  <c r="T194" i="7" l="1"/>
  <c r="W193" i="7"/>
  <c r="T195" i="7" l="1"/>
  <c r="W194" i="7"/>
  <c r="T196" i="7" l="1"/>
  <c r="W195" i="7"/>
  <c r="T197" i="7" l="1"/>
  <c r="W196" i="7"/>
  <c r="T198" i="7" l="1"/>
  <c r="W197" i="7"/>
  <c r="T199" i="7" l="1"/>
  <c r="W198" i="7"/>
  <c r="T200" i="7" l="1"/>
  <c r="W199" i="7"/>
  <c r="T201" i="7" l="1"/>
  <c r="W200" i="7"/>
  <c r="T202" i="7" l="1"/>
  <c r="W201" i="7"/>
  <c r="T203" i="7" l="1"/>
  <c r="W202" i="7"/>
  <c r="T204" i="7" l="1"/>
  <c r="W203" i="7"/>
  <c r="T205" i="7" l="1"/>
  <c r="W204" i="7"/>
  <c r="T206" i="7" l="1"/>
  <c r="W205" i="7"/>
  <c r="T207" i="7" l="1"/>
  <c r="W206" i="7"/>
  <c r="T208" i="7" l="1"/>
  <c r="W207" i="7"/>
  <c r="T209" i="7" l="1"/>
  <c r="W208" i="7"/>
  <c r="T210" i="7" l="1"/>
  <c r="W209" i="7"/>
  <c r="T211" i="7" l="1"/>
  <c r="W210" i="7"/>
  <c r="T212" i="7" l="1"/>
  <c r="W211" i="7"/>
  <c r="T213" i="7" l="1"/>
  <c r="W212" i="7"/>
  <c r="T214" i="7" l="1"/>
  <c r="W213" i="7"/>
  <c r="T215" i="7" l="1"/>
  <c r="W214" i="7"/>
  <c r="T216" i="7" l="1"/>
  <c r="W215" i="7"/>
  <c r="T217" i="7" l="1"/>
  <c r="W216" i="7"/>
  <c r="T218" i="7" l="1"/>
  <c r="W217" i="7"/>
  <c r="T219" i="7" l="1"/>
  <c r="W218" i="7"/>
  <c r="T220" i="7" l="1"/>
  <c r="W219" i="7"/>
  <c r="T221" i="7" l="1"/>
  <c r="W220" i="7"/>
  <c r="T222" i="7" l="1"/>
  <c r="W221" i="7"/>
  <c r="T223" i="7" l="1"/>
  <c r="W222" i="7"/>
  <c r="T224" i="7" l="1"/>
  <c r="W223" i="7"/>
  <c r="T225" i="7" l="1"/>
  <c r="W224" i="7"/>
  <c r="T226" i="7" l="1"/>
  <c r="W225" i="7"/>
  <c r="T227" i="7" l="1"/>
  <c r="W226" i="7"/>
  <c r="T228" i="7" l="1"/>
  <c r="W227" i="7"/>
  <c r="T229" i="7" l="1"/>
  <c r="W228" i="7"/>
  <c r="T230" i="7" l="1"/>
  <c r="W229" i="7"/>
  <c r="T231" i="7" l="1"/>
  <c r="W230" i="7"/>
  <c r="T232" i="7" l="1"/>
  <c r="W231" i="7"/>
  <c r="T233" i="7" l="1"/>
  <c r="W232" i="7"/>
  <c r="T234" i="7" l="1"/>
  <c r="W233" i="7"/>
  <c r="T235" i="7" l="1"/>
  <c r="W234" i="7"/>
  <c r="T236" i="7" l="1"/>
  <c r="W235" i="7"/>
  <c r="T237" i="7" l="1"/>
  <c r="W236" i="7"/>
  <c r="T238" i="7" l="1"/>
  <c r="W237" i="7"/>
  <c r="T239" i="7" l="1"/>
  <c r="W238" i="7"/>
  <c r="T240" i="7" l="1"/>
  <c r="W239" i="7"/>
  <c r="T241" i="7" l="1"/>
  <c r="W240" i="7"/>
  <c r="T242" i="7" l="1"/>
  <c r="W241" i="7"/>
  <c r="T243" i="7" l="1"/>
  <c r="W242" i="7"/>
  <c r="T244" i="7" l="1"/>
  <c r="W243" i="7"/>
  <c r="T245" i="7" l="1"/>
  <c r="W244" i="7"/>
  <c r="T246" i="7" l="1"/>
  <c r="W245" i="7"/>
  <c r="T247" i="7" l="1"/>
  <c r="W246" i="7"/>
  <c r="T248" i="7" l="1"/>
  <c r="W247" i="7"/>
  <c r="T249" i="7" l="1"/>
  <c r="W248" i="7"/>
  <c r="T250" i="7" l="1"/>
  <c r="W249" i="7"/>
  <c r="T251" i="7" l="1"/>
  <c r="W250" i="7"/>
  <c r="T252" i="7" l="1"/>
  <c r="W251" i="7"/>
  <c r="T253" i="7" l="1"/>
  <c r="W252" i="7"/>
  <c r="T254" i="7" l="1"/>
  <c r="W253" i="7"/>
  <c r="T255" i="7" l="1"/>
  <c r="W254" i="7"/>
  <c r="T256" i="7" l="1"/>
  <c r="W255" i="7"/>
  <c r="T257" i="7" l="1"/>
  <c r="W256" i="7"/>
  <c r="T258" i="7" l="1"/>
  <c r="W257" i="7"/>
  <c r="T259" i="7" l="1"/>
  <c r="W258" i="7"/>
  <c r="T260" i="7" l="1"/>
  <c r="W259" i="7"/>
  <c r="T261" i="7" l="1"/>
  <c r="W260" i="7"/>
  <c r="T262" i="7" l="1"/>
  <c r="W261" i="7"/>
  <c r="T263" i="7" l="1"/>
  <c r="W262" i="7"/>
  <c r="T264" i="7" l="1"/>
  <c r="W263" i="7"/>
  <c r="T265" i="7" l="1"/>
  <c r="W264" i="7"/>
  <c r="T266" i="7" l="1"/>
  <c r="W265" i="7"/>
  <c r="T267" i="7" l="1"/>
  <c r="W266" i="7"/>
  <c r="T268" i="7" l="1"/>
  <c r="W267" i="7"/>
  <c r="T269" i="7" l="1"/>
  <c r="W268" i="7"/>
  <c r="T270" i="7" l="1"/>
  <c r="W269" i="7"/>
  <c r="T271" i="7" l="1"/>
  <c r="W270" i="7"/>
  <c r="T272" i="7" l="1"/>
  <c r="W271" i="7"/>
  <c r="T273" i="7" l="1"/>
  <c r="W272" i="7"/>
  <c r="T274" i="7" l="1"/>
  <c r="W273" i="7"/>
  <c r="T275" i="7" l="1"/>
  <c r="W274" i="7"/>
  <c r="T276" i="7" l="1"/>
  <c r="W275" i="7"/>
  <c r="T277" i="7" l="1"/>
  <c r="W276" i="7"/>
  <c r="T278" i="7" l="1"/>
  <c r="W277" i="7"/>
  <c r="T279" i="7" l="1"/>
  <c r="W278" i="7"/>
  <c r="T280" i="7" l="1"/>
  <c r="W279" i="7"/>
  <c r="T281" i="7" l="1"/>
  <c r="W280" i="7"/>
  <c r="T282" i="7" l="1"/>
  <c r="W281" i="7"/>
  <c r="T283" i="7" l="1"/>
  <c r="W282" i="7"/>
  <c r="T284" i="7" l="1"/>
  <c r="W283" i="7"/>
  <c r="T285" i="7" l="1"/>
  <c r="W284" i="7"/>
  <c r="T286" i="7" l="1"/>
  <c r="W285" i="7"/>
  <c r="T287" i="7" l="1"/>
  <c r="W286" i="7"/>
  <c r="T288" i="7" l="1"/>
  <c r="W287" i="7"/>
  <c r="T289" i="7" l="1"/>
  <c r="W288" i="7"/>
  <c r="T290" i="7" l="1"/>
  <c r="W289" i="7"/>
  <c r="T291" i="7" l="1"/>
  <c r="W290" i="7"/>
  <c r="T292" i="7" l="1"/>
  <c r="W291" i="7"/>
  <c r="T293" i="7" l="1"/>
  <c r="W292" i="7"/>
  <c r="T294" i="7" l="1"/>
  <c r="W293" i="7"/>
  <c r="T295" i="7" l="1"/>
  <c r="W294" i="7"/>
  <c r="T296" i="7" l="1"/>
  <c r="W295" i="7"/>
  <c r="T297" i="7" l="1"/>
  <c r="W296" i="7"/>
  <c r="T298" i="7" l="1"/>
  <c r="W297" i="7"/>
  <c r="T299" i="7" l="1"/>
  <c r="W298" i="7"/>
  <c r="T300" i="7" l="1"/>
  <c r="W299" i="7"/>
  <c r="T301" i="7" l="1"/>
  <c r="W300" i="7"/>
  <c r="T302" i="7" l="1"/>
  <c r="W301" i="7"/>
  <c r="T303" i="7" l="1"/>
  <c r="W302" i="7"/>
  <c r="T304" i="7" l="1"/>
  <c r="W303" i="7"/>
  <c r="T305" i="7" l="1"/>
  <c r="W304" i="7"/>
  <c r="T306" i="7" l="1"/>
  <c r="W305" i="7"/>
  <c r="T307" i="7" l="1"/>
  <c r="W306" i="7"/>
  <c r="T308" i="7" l="1"/>
  <c r="W307" i="7"/>
  <c r="T309" i="7" l="1"/>
  <c r="W308" i="7"/>
  <c r="T310" i="7" l="1"/>
  <c r="W309" i="7"/>
  <c r="T311" i="7" l="1"/>
  <c r="W310" i="7"/>
  <c r="T312" i="7" l="1"/>
  <c r="W311" i="7"/>
  <c r="T313" i="7" l="1"/>
  <c r="W312" i="7"/>
  <c r="T314" i="7" l="1"/>
  <c r="W313" i="7"/>
  <c r="T315" i="7" l="1"/>
  <c r="W314" i="7"/>
  <c r="T316" i="7" l="1"/>
  <c r="W315" i="7"/>
  <c r="T317" i="7" l="1"/>
  <c r="W316" i="7"/>
  <c r="T318" i="7" l="1"/>
  <c r="W317" i="7"/>
  <c r="T319" i="7" l="1"/>
  <c r="W318" i="7"/>
  <c r="T320" i="7" l="1"/>
  <c r="W319" i="7"/>
  <c r="T321" i="7" l="1"/>
  <c r="W320" i="7"/>
  <c r="T322" i="7" l="1"/>
  <c r="W321" i="7"/>
  <c r="T323" i="7" l="1"/>
  <c r="W322" i="7"/>
  <c r="T324" i="7" l="1"/>
  <c r="W323" i="7"/>
  <c r="T325" i="7" l="1"/>
  <c r="W324" i="7"/>
  <c r="T326" i="7" l="1"/>
  <c r="W325" i="7"/>
  <c r="T327" i="7" l="1"/>
  <c r="W326" i="7"/>
  <c r="T328" i="7" l="1"/>
  <c r="W327" i="7"/>
  <c r="T329" i="7" l="1"/>
  <c r="W328" i="7"/>
  <c r="T330" i="7" l="1"/>
  <c r="W329" i="7"/>
  <c r="T331" i="7" l="1"/>
  <c r="W330" i="7"/>
  <c r="T332" i="7" l="1"/>
  <c r="W331" i="7"/>
  <c r="T333" i="7" l="1"/>
  <c r="W332" i="7"/>
  <c r="T334" i="7" l="1"/>
  <c r="W333" i="7"/>
  <c r="T335" i="7" l="1"/>
  <c r="W334" i="7"/>
  <c r="T336" i="7" l="1"/>
  <c r="W335" i="7"/>
  <c r="T337" i="7" l="1"/>
  <c r="W336" i="7"/>
  <c r="T338" i="7" l="1"/>
  <c r="W337" i="7"/>
  <c r="T339" i="7" l="1"/>
  <c r="W338" i="7"/>
  <c r="T340" i="7" l="1"/>
  <c r="W339" i="7"/>
  <c r="T341" i="7" l="1"/>
  <c r="W340" i="7"/>
  <c r="T342" i="7" l="1"/>
  <c r="W341" i="7"/>
  <c r="T343" i="7" l="1"/>
  <c r="W342" i="7"/>
  <c r="T344" i="7" l="1"/>
  <c r="W343" i="7"/>
  <c r="T345" i="7" l="1"/>
  <c r="W344" i="7"/>
  <c r="T346" i="7" l="1"/>
  <c r="W345" i="7"/>
  <c r="T347" i="7" l="1"/>
  <c r="W346" i="7"/>
  <c r="T348" i="7" l="1"/>
  <c r="W347" i="7"/>
  <c r="T349" i="7" l="1"/>
  <c r="W348" i="7"/>
  <c r="T350" i="7" l="1"/>
  <c r="W349" i="7"/>
  <c r="T351" i="7" l="1"/>
  <c r="W350" i="7"/>
  <c r="T352" i="7" l="1"/>
  <c r="W351" i="7"/>
  <c r="T353" i="7" l="1"/>
  <c r="W352" i="7"/>
  <c r="T354" i="7" l="1"/>
  <c r="W353" i="7"/>
  <c r="T355" i="7" l="1"/>
  <c r="W354" i="7"/>
  <c r="T356" i="7" l="1"/>
  <c r="W355" i="7"/>
  <c r="T357" i="7" l="1"/>
  <c r="W356" i="7"/>
  <c r="T358" i="7" l="1"/>
  <c r="W357" i="7"/>
  <c r="T359" i="7" l="1"/>
  <c r="W358" i="7"/>
  <c r="T360" i="7" l="1"/>
  <c r="W359" i="7"/>
  <c r="T361" i="7" l="1"/>
  <c r="W360" i="7"/>
  <c r="T362" i="7" l="1"/>
  <c r="W361" i="7"/>
  <c r="T363" i="7" l="1"/>
  <c r="W362" i="7"/>
  <c r="T364" i="7" l="1"/>
  <c r="W363" i="7"/>
  <c r="T365" i="7" l="1"/>
  <c r="W364" i="7"/>
  <c r="T366" i="7" l="1"/>
  <c r="W365" i="7"/>
  <c r="T367" i="7" l="1"/>
  <c r="W366" i="7"/>
  <c r="T368" i="7" l="1"/>
  <c r="W367" i="7"/>
  <c r="T369" i="7" l="1"/>
  <c r="W368" i="7"/>
  <c r="T370" i="7" l="1"/>
  <c r="W369" i="7"/>
  <c r="T371" i="7" l="1"/>
  <c r="W370" i="7"/>
  <c r="T372" i="7" l="1"/>
  <c r="W371" i="7"/>
  <c r="T373" i="7" l="1"/>
  <c r="W372" i="7"/>
  <c r="T374" i="7" l="1"/>
  <c r="W373" i="7"/>
  <c r="T375" i="7" l="1"/>
  <c r="W374" i="7"/>
  <c r="T376" i="7" l="1"/>
  <c r="W375" i="7"/>
  <c r="T377" i="7" l="1"/>
  <c r="W376" i="7"/>
  <c r="T378" i="7" l="1"/>
  <c r="W377" i="7"/>
  <c r="T379" i="7" l="1"/>
  <c r="W378" i="7"/>
  <c r="T380" i="7" l="1"/>
  <c r="W379" i="7"/>
  <c r="T381" i="7" l="1"/>
  <c r="W380" i="7"/>
  <c r="T382" i="7" l="1"/>
  <c r="W381" i="7"/>
  <c r="T383" i="7" l="1"/>
  <c r="W382" i="7"/>
  <c r="T384" i="7" l="1"/>
  <c r="W383" i="7"/>
  <c r="T385" i="7" l="1"/>
  <c r="W384" i="7"/>
  <c r="T386" i="7" l="1"/>
  <c r="W385" i="7"/>
  <c r="T387" i="7" l="1"/>
  <c r="W386" i="7"/>
  <c r="T388" i="7" l="1"/>
  <c r="W387" i="7"/>
  <c r="T389" i="7" l="1"/>
  <c r="W388" i="7"/>
  <c r="T390" i="7" l="1"/>
  <c r="W389" i="7"/>
  <c r="T391" i="7" l="1"/>
  <c r="W390" i="7"/>
  <c r="T392" i="7" l="1"/>
  <c r="W391" i="7"/>
  <c r="T393" i="7" l="1"/>
  <c r="W392" i="7"/>
  <c r="T394" i="7" l="1"/>
  <c r="W393" i="7"/>
  <c r="T395" i="7" l="1"/>
  <c r="W394" i="7"/>
  <c r="T396" i="7" l="1"/>
  <c r="W395" i="7"/>
  <c r="T397" i="7" l="1"/>
  <c r="W396" i="7"/>
  <c r="T398" i="7" l="1"/>
  <c r="W397" i="7"/>
  <c r="T399" i="7" l="1"/>
  <c r="W398" i="7"/>
  <c r="T400" i="7" l="1"/>
  <c r="W399" i="7"/>
  <c r="T401" i="7" l="1"/>
  <c r="W400" i="7"/>
  <c r="T402" i="7" l="1"/>
  <c r="W401" i="7"/>
  <c r="T403" i="7" l="1"/>
  <c r="W402" i="7"/>
  <c r="T404" i="7" l="1"/>
  <c r="W403" i="7"/>
  <c r="T405" i="7" l="1"/>
  <c r="W404" i="7"/>
  <c r="T406" i="7" l="1"/>
  <c r="W405" i="7"/>
  <c r="T407" i="7" l="1"/>
  <c r="W406" i="7"/>
  <c r="T408" i="7" l="1"/>
  <c r="W407" i="7"/>
  <c r="T409" i="7" l="1"/>
  <c r="W408" i="7"/>
  <c r="T410" i="7" l="1"/>
  <c r="W409" i="7"/>
  <c r="T411" i="7" l="1"/>
  <c r="W410" i="7"/>
  <c r="T412" i="7" l="1"/>
  <c r="W411" i="7"/>
  <c r="T413" i="7" l="1"/>
  <c r="W412" i="7"/>
  <c r="T414" i="7" l="1"/>
  <c r="W413" i="7"/>
  <c r="T415" i="7" l="1"/>
  <c r="W414" i="7"/>
  <c r="T416" i="7" l="1"/>
  <c r="W415" i="7"/>
  <c r="T417" i="7" l="1"/>
  <c r="W416" i="7"/>
  <c r="T418" i="7" l="1"/>
  <c r="W417" i="7"/>
  <c r="T419" i="7" l="1"/>
  <c r="W418" i="7"/>
  <c r="T420" i="7" l="1"/>
  <c r="W419" i="7"/>
  <c r="T421" i="7" l="1"/>
  <c r="W420" i="7"/>
  <c r="T422" i="7" l="1"/>
  <c r="W421" i="7"/>
  <c r="T423" i="7" l="1"/>
  <c r="W422" i="7"/>
  <c r="T424" i="7" l="1"/>
  <c r="W423" i="7"/>
  <c r="T425" i="7" l="1"/>
  <c r="W424" i="7"/>
  <c r="T426" i="7" l="1"/>
  <c r="W425" i="7"/>
  <c r="T427" i="7" l="1"/>
  <c r="W426" i="7"/>
  <c r="T428" i="7" l="1"/>
  <c r="W427" i="7"/>
  <c r="T429" i="7" l="1"/>
  <c r="W428" i="7"/>
  <c r="T430" i="7" l="1"/>
  <c r="W429" i="7"/>
  <c r="T431" i="7" l="1"/>
  <c r="W430" i="7"/>
  <c r="T432" i="7" l="1"/>
  <c r="W431" i="7"/>
  <c r="T433" i="7" l="1"/>
  <c r="W432" i="7"/>
  <c r="T434" i="7" l="1"/>
  <c r="W433" i="7"/>
  <c r="T435" i="7" l="1"/>
  <c r="W434" i="7"/>
  <c r="T436" i="7" l="1"/>
  <c r="W435" i="7"/>
  <c r="T437" i="7" l="1"/>
  <c r="W436" i="7"/>
  <c r="T438" i="7" l="1"/>
  <c r="W437" i="7"/>
  <c r="T439" i="7" l="1"/>
  <c r="W438" i="7"/>
  <c r="T440" i="7" l="1"/>
  <c r="W439" i="7"/>
  <c r="T441" i="7" l="1"/>
  <c r="W440" i="7"/>
  <c r="T442" i="7" l="1"/>
  <c r="W441" i="7"/>
  <c r="T443" i="7" l="1"/>
  <c r="W442" i="7"/>
  <c r="T444" i="7" l="1"/>
  <c r="W443" i="7"/>
  <c r="T445" i="7" l="1"/>
  <c r="W444" i="7"/>
  <c r="T446" i="7" l="1"/>
  <c r="W445" i="7"/>
  <c r="T447" i="7" l="1"/>
  <c r="W446" i="7"/>
  <c r="T448" i="7" l="1"/>
  <c r="W447" i="7"/>
  <c r="T449" i="7" l="1"/>
  <c r="W448" i="7"/>
  <c r="T450" i="7" l="1"/>
  <c r="W449" i="7"/>
  <c r="T451" i="7" l="1"/>
  <c r="W450" i="7"/>
  <c r="T452" i="7" l="1"/>
  <c r="W451" i="7"/>
  <c r="T453" i="7" l="1"/>
  <c r="W452" i="7"/>
  <c r="T454" i="7" l="1"/>
  <c r="W453" i="7"/>
  <c r="T455" i="7" l="1"/>
  <c r="W454" i="7"/>
  <c r="T456" i="7" l="1"/>
  <c r="W455" i="7"/>
  <c r="T457" i="7" l="1"/>
  <c r="W456" i="7"/>
  <c r="T458" i="7" l="1"/>
  <c r="W457" i="7"/>
  <c r="T459" i="7" l="1"/>
  <c r="W458" i="7"/>
  <c r="T460" i="7" l="1"/>
  <c r="W459" i="7"/>
  <c r="T461" i="7" l="1"/>
  <c r="W460" i="7"/>
  <c r="T462" i="7" l="1"/>
  <c r="W461" i="7"/>
  <c r="T463" i="7" l="1"/>
  <c r="W462" i="7"/>
  <c r="T464" i="7" l="1"/>
  <c r="W463" i="7"/>
  <c r="T465" i="7" l="1"/>
  <c r="W464" i="7"/>
  <c r="T466" i="7" l="1"/>
  <c r="W465" i="7"/>
  <c r="T467" i="7" l="1"/>
  <c r="W466" i="7"/>
  <c r="T468" i="7" l="1"/>
  <c r="W467" i="7"/>
  <c r="T469" i="7" l="1"/>
  <c r="W468" i="7"/>
  <c r="T470" i="7" l="1"/>
  <c r="W469" i="7"/>
  <c r="T471" i="7" l="1"/>
  <c r="W470" i="7"/>
  <c r="T472" i="7" l="1"/>
  <c r="W471" i="7"/>
  <c r="T473" i="7" l="1"/>
  <c r="W472" i="7"/>
  <c r="T474" i="7" l="1"/>
  <c r="W473" i="7"/>
  <c r="T475" i="7" l="1"/>
  <c r="W474" i="7"/>
  <c r="T476" i="7" l="1"/>
  <c r="W475" i="7"/>
  <c r="T477" i="7" l="1"/>
  <c r="W476" i="7"/>
  <c r="T478" i="7" l="1"/>
  <c r="W477" i="7"/>
  <c r="T479" i="7" l="1"/>
  <c r="W478" i="7"/>
  <c r="T480" i="7" l="1"/>
  <c r="W479" i="7"/>
  <c r="T481" i="7" l="1"/>
  <c r="W480" i="7"/>
  <c r="T482" i="7" l="1"/>
  <c r="W481" i="7"/>
  <c r="T483" i="7" l="1"/>
  <c r="W482" i="7"/>
  <c r="T484" i="7" l="1"/>
  <c r="W483" i="7"/>
  <c r="T485" i="7" l="1"/>
  <c r="W484" i="7"/>
  <c r="T486" i="7" l="1"/>
  <c r="W485" i="7"/>
  <c r="T487" i="7" l="1"/>
  <c r="W486" i="7"/>
  <c r="T488" i="7" l="1"/>
  <c r="W487" i="7"/>
  <c r="T489" i="7" l="1"/>
  <c r="W488" i="7"/>
  <c r="T490" i="7" l="1"/>
  <c r="W489" i="7"/>
  <c r="T491" i="7" l="1"/>
  <c r="W490" i="7"/>
  <c r="T492" i="7" l="1"/>
  <c r="W491" i="7"/>
  <c r="T493" i="7" l="1"/>
  <c r="W492" i="7"/>
  <c r="T494" i="7" l="1"/>
  <c r="W493" i="7"/>
  <c r="T495" i="7" l="1"/>
  <c r="W494" i="7"/>
  <c r="T496" i="7" l="1"/>
  <c r="W495" i="7"/>
  <c r="T497" i="7" l="1"/>
  <c r="W496" i="7"/>
  <c r="T498" i="7" l="1"/>
  <c r="W497" i="7"/>
  <c r="T499" i="7" l="1"/>
  <c r="W498" i="7"/>
  <c r="T500" i="7" l="1"/>
  <c r="W499" i="7"/>
  <c r="T501" i="7" l="1"/>
  <c r="W500" i="7"/>
  <c r="T502" i="7" l="1"/>
  <c r="W501" i="7"/>
  <c r="T503" i="7" l="1"/>
  <c r="W502" i="7"/>
  <c r="T504" i="7" l="1"/>
  <c r="W503" i="7"/>
  <c r="T505" i="7" l="1"/>
  <c r="W504" i="7"/>
  <c r="T506" i="7" l="1"/>
  <c r="W505" i="7"/>
  <c r="T507" i="7" l="1"/>
  <c r="W506" i="7"/>
  <c r="T508" i="7" l="1"/>
  <c r="W507" i="7"/>
  <c r="T509" i="7" l="1"/>
  <c r="W508" i="7"/>
  <c r="T510" i="7" l="1"/>
  <c r="W509" i="7"/>
  <c r="T511" i="7" l="1"/>
  <c r="W510" i="7"/>
  <c r="T512" i="7" l="1"/>
  <c r="W511" i="7"/>
  <c r="T513" i="7" l="1"/>
  <c r="W512" i="7"/>
  <c r="T514" i="7" l="1"/>
  <c r="W513" i="7"/>
  <c r="T515" i="7" l="1"/>
  <c r="W514" i="7"/>
  <c r="T516" i="7" l="1"/>
  <c r="W515" i="7"/>
  <c r="T517" i="7" l="1"/>
  <c r="W516" i="7"/>
  <c r="T518" i="7" l="1"/>
  <c r="W517" i="7"/>
  <c r="T519" i="7" l="1"/>
  <c r="W518" i="7"/>
  <c r="T520" i="7" l="1"/>
  <c r="W519" i="7"/>
  <c r="T521" i="7" l="1"/>
  <c r="W520" i="7"/>
  <c r="T522" i="7" l="1"/>
  <c r="W521" i="7"/>
  <c r="T523" i="7" l="1"/>
  <c r="W522" i="7"/>
  <c r="T524" i="7" l="1"/>
  <c r="W523" i="7"/>
  <c r="T525" i="7" l="1"/>
  <c r="W524" i="7"/>
  <c r="T526" i="7" l="1"/>
  <c r="W525" i="7"/>
  <c r="T527" i="7" l="1"/>
  <c r="W526" i="7"/>
  <c r="T528" i="7" l="1"/>
  <c r="W527" i="7"/>
  <c r="T529" i="7" l="1"/>
  <c r="W528" i="7"/>
  <c r="T530" i="7" l="1"/>
  <c r="W529" i="7"/>
  <c r="T531" i="7" l="1"/>
  <c r="W530" i="7"/>
  <c r="T532" i="7" l="1"/>
  <c r="W531" i="7"/>
  <c r="T533" i="7" l="1"/>
  <c r="W532" i="7"/>
  <c r="T534" i="7" l="1"/>
  <c r="W533" i="7"/>
  <c r="T535" i="7" l="1"/>
  <c r="W534" i="7"/>
  <c r="T536" i="7" l="1"/>
  <c r="W535" i="7"/>
  <c r="T537" i="7" l="1"/>
  <c r="W536" i="7"/>
  <c r="T538" i="7" l="1"/>
  <c r="W537" i="7"/>
  <c r="T539" i="7" l="1"/>
  <c r="W538" i="7"/>
  <c r="T540" i="7" l="1"/>
  <c r="W539" i="7"/>
  <c r="T541" i="7" l="1"/>
  <c r="W540" i="7"/>
  <c r="T542" i="7" l="1"/>
  <c r="W541" i="7"/>
  <c r="T543" i="7" l="1"/>
  <c r="W542" i="7"/>
  <c r="T544" i="7" l="1"/>
  <c r="W543" i="7"/>
  <c r="T545" i="7" l="1"/>
  <c r="W544" i="7"/>
  <c r="T546" i="7" l="1"/>
  <c r="W545" i="7"/>
  <c r="T547" i="7" l="1"/>
  <c r="W546" i="7"/>
  <c r="T548" i="7" l="1"/>
  <c r="W547" i="7"/>
  <c r="T549" i="7" l="1"/>
  <c r="W548" i="7"/>
  <c r="T550" i="7" l="1"/>
  <c r="W549" i="7"/>
  <c r="T551" i="7" l="1"/>
  <c r="W550" i="7"/>
  <c r="T552" i="7" l="1"/>
  <c r="W551" i="7"/>
  <c r="T553" i="7" l="1"/>
  <c r="W552" i="7"/>
  <c r="T554" i="7" l="1"/>
  <c r="W553" i="7"/>
  <c r="T555" i="7" l="1"/>
  <c r="W554" i="7"/>
  <c r="T556" i="7" l="1"/>
  <c r="W555" i="7"/>
  <c r="T557" i="7" l="1"/>
  <c r="W556" i="7"/>
  <c r="T558" i="7" l="1"/>
  <c r="W557" i="7"/>
  <c r="T559" i="7" l="1"/>
  <c r="W558" i="7"/>
  <c r="T560" i="7" l="1"/>
  <c r="W559" i="7"/>
  <c r="T561" i="7" l="1"/>
  <c r="W560" i="7"/>
  <c r="T562" i="7" l="1"/>
  <c r="W561" i="7"/>
  <c r="T563" i="7" l="1"/>
  <c r="W562" i="7"/>
  <c r="T564" i="7" l="1"/>
  <c r="W563" i="7"/>
  <c r="T565" i="7" l="1"/>
  <c r="W564" i="7"/>
  <c r="T566" i="7" l="1"/>
  <c r="W565" i="7"/>
  <c r="T567" i="7" l="1"/>
  <c r="W566" i="7"/>
  <c r="T568" i="7" l="1"/>
  <c r="W567" i="7"/>
  <c r="T569" i="7" l="1"/>
  <c r="W568" i="7"/>
  <c r="T570" i="7" l="1"/>
  <c r="W569" i="7"/>
  <c r="T571" i="7" l="1"/>
  <c r="W570" i="7"/>
  <c r="T572" i="7" l="1"/>
  <c r="W571" i="7"/>
  <c r="T573" i="7" l="1"/>
  <c r="W572" i="7"/>
  <c r="T574" i="7" l="1"/>
  <c r="W573" i="7"/>
  <c r="T575" i="7" l="1"/>
  <c r="W574" i="7"/>
  <c r="T576" i="7" l="1"/>
  <c r="W575" i="7"/>
  <c r="T577" i="7" l="1"/>
  <c r="W576" i="7"/>
  <c r="T578" i="7" l="1"/>
  <c r="W577" i="7"/>
  <c r="T579" i="7" l="1"/>
  <c r="W578" i="7"/>
  <c r="T580" i="7" l="1"/>
  <c r="W579" i="7"/>
  <c r="T581" i="7" l="1"/>
  <c r="W580" i="7"/>
  <c r="T582" i="7" l="1"/>
  <c r="W581" i="7"/>
  <c r="T583" i="7" l="1"/>
  <c r="W582" i="7"/>
  <c r="T584" i="7" l="1"/>
  <c r="W583" i="7"/>
  <c r="T585" i="7" l="1"/>
  <c r="W584" i="7"/>
  <c r="T586" i="7" l="1"/>
  <c r="W585" i="7"/>
  <c r="T587" i="7" l="1"/>
  <c r="W586" i="7"/>
  <c r="T588" i="7" l="1"/>
  <c r="W587" i="7"/>
  <c r="T589" i="7" l="1"/>
  <c r="W588" i="7"/>
  <c r="T590" i="7" l="1"/>
  <c r="W589" i="7"/>
  <c r="T591" i="7" l="1"/>
  <c r="W590" i="7"/>
  <c r="T592" i="7" l="1"/>
  <c r="W591" i="7"/>
  <c r="T593" i="7" l="1"/>
  <c r="W592" i="7"/>
  <c r="T594" i="7" l="1"/>
  <c r="W593" i="7"/>
  <c r="T595" i="7" l="1"/>
  <c r="W594" i="7"/>
  <c r="T596" i="7" l="1"/>
  <c r="W595" i="7"/>
  <c r="T597" i="7" l="1"/>
  <c r="W596" i="7"/>
  <c r="T598" i="7" l="1"/>
  <c r="W597" i="7"/>
  <c r="T599" i="7" l="1"/>
  <c r="W598" i="7"/>
  <c r="T600" i="7" l="1"/>
  <c r="W599" i="7"/>
  <c r="T601" i="7" l="1"/>
  <c r="W600" i="7"/>
  <c r="T602" i="7" l="1"/>
  <c r="W601" i="7"/>
  <c r="T603" i="7" l="1"/>
  <c r="W602" i="7"/>
  <c r="T604" i="7" l="1"/>
  <c r="W603" i="7"/>
  <c r="T605" i="7" l="1"/>
  <c r="W604" i="7"/>
  <c r="T606" i="7" l="1"/>
  <c r="W605" i="7"/>
  <c r="T607" i="7" l="1"/>
  <c r="W606" i="7"/>
  <c r="T608" i="7" l="1"/>
  <c r="W607" i="7"/>
  <c r="T609" i="7" l="1"/>
  <c r="W608" i="7"/>
  <c r="T610" i="7" l="1"/>
  <c r="W609" i="7"/>
  <c r="T611" i="7" l="1"/>
  <c r="W610" i="7"/>
  <c r="T612" i="7" l="1"/>
  <c r="W611" i="7"/>
  <c r="T613" i="7" l="1"/>
  <c r="W612" i="7"/>
  <c r="T614" i="7" l="1"/>
  <c r="W613" i="7"/>
  <c r="T615" i="7" l="1"/>
  <c r="W614" i="7"/>
  <c r="T616" i="7" l="1"/>
  <c r="W615" i="7"/>
  <c r="T617" i="7" l="1"/>
  <c r="W616" i="7"/>
  <c r="T618" i="7" l="1"/>
  <c r="W617" i="7"/>
  <c r="T619" i="7" l="1"/>
  <c r="W618" i="7"/>
  <c r="T620" i="7" l="1"/>
  <c r="W619" i="7"/>
  <c r="T621" i="7" l="1"/>
  <c r="W620" i="7"/>
  <c r="T622" i="7" l="1"/>
  <c r="W621" i="7"/>
  <c r="T623" i="7" l="1"/>
  <c r="W622" i="7"/>
  <c r="T624" i="7" l="1"/>
  <c r="W623" i="7"/>
  <c r="T625" i="7" l="1"/>
  <c r="W624" i="7"/>
  <c r="T626" i="7" l="1"/>
  <c r="W625" i="7"/>
  <c r="T627" i="7" l="1"/>
  <c r="W626" i="7"/>
  <c r="T628" i="7" l="1"/>
  <c r="W627" i="7"/>
  <c r="T629" i="7" l="1"/>
  <c r="W628" i="7"/>
  <c r="T630" i="7" l="1"/>
  <c r="W629" i="7"/>
  <c r="T631" i="7" l="1"/>
  <c r="W630" i="7"/>
  <c r="T632" i="7" l="1"/>
  <c r="W631" i="7"/>
  <c r="T633" i="7" l="1"/>
  <c r="W632" i="7"/>
  <c r="T634" i="7" l="1"/>
  <c r="W633" i="7"/>
  <c r="T635" i="7" l="1"/>
  <c r="W634" i="7"/>
  <c r="T636" i="7" l="1"/>
  <c r="W635" i="7"/>
  <c r="T637" i="7" l="1"/>
  <c r="W636" i="7"/>
  <c r="T638" i="7" l="1"/>
  <c r="W637" i="7"/>
  <c r="T639" i="7" l="1"/>
  <c r="W638" i="7"/>
  <c r="T640" i="7" l="1"/>
  <c r="W639" i="7"/>
  <c r="T641" i="7" l="1"/>
  <c r="W640" i="7"/>
  <c r="T642" i="7" l="1"/>
  <c r="W641" i="7"/>
  <c r="T643" i="7" l="1"/>
  <c r="W642" i="7"/>
  <c r="T644" i="7" l="1"/>
  <c r="W643" i="7"/>
  <c r="T645" i="7" l="1"/>
  <c r="W644" i="7"/>
  <c r="T646" i="7" l="1"/>
  <c r="W645" i="7"/>
  <c r="T647" i="7" l="1"/>
  <c r="W646" i="7"/>
  <c r="T648" i="7" l="1"/>
  <c r="W647" i="7"/>
  <c r="T649" i="7" l="1"/>
  <c r="W648" i="7"/>
  <c r="T650" i="7" l="1"/>
  <c r="W649" i="7"/>
  <c r="T651" i="7" l="1"/>
  <c r="W650" i="7"/>
  <c r="T652" i="7" l="1"/>
  <c r="W651" i="7"/>
  <c r="T653" i="7" l="1"/>
  <c r="W652" i="7"/>
  <c r="T654" i="7" l="1"/>
  <c r="W653" i="7"/>
  <c r="T655" i="7" l="1"/>
  <c r="W654" i="7"/>
  <c r="T656" i="7" l="1"/>
  <c r="W655" i="7"/>
  <c r="T657" i="7" l="1"/>
  <c r="W656" i="7"/>
  <c r="T658" i="7" l="1"/>
  <c r="W657" i="7"/>
  <c r="T659" i="7" l="1"/>
  <c r="W658" i="7"/>
  <c r="T660" i="7" l="1"/>
  <c r="W659" i="7"/>
  <c r="T661" i="7" l="1"/>
  <c r="W660" i="7"/>
  <c r="T662" i="7" l="1"/>
  <c r="W661" i="7"/>
  <c r="T663" i="7" l="1"/>
  <c r="W662" i="7"/>
  <c r="T664" i="7" l="1"/>
  <c r="W663" i="7"/>
  <c r="T665" i="7" l="1"/>
  <c r="W664" i="7"/>
  <c r="T666" i="7" l="1"/>
  <c r="W665" i="7"/>
  <c r="T667" i="7" l="1"/>
  <c r="W666" i="7"/>
  <c r="T668" i="7" l="1"/>
  <c r="W667" i="7"/>
  <c r="T669" i="7" l="1"/>
  <c r="W668" i="7"/>
  <c r="T670" i="7" l="1"/>
  <c r="W669" i="7"/>
  <c r="T671" i="7" l="1"/>
  <c r="W670" i="7"/>
  <c r="T672" i="7" l="1"/>
  <c r="W671" i="7"/>
  <c r="T673" i="7" l="1"/>
  <c r="W672" i="7"/>
  <c r="T674" i="7" l="1"/>
  <c r="W673" i="7"/>
  <c r="T675" i="7" l="1"/>
  <c r="W674" i="7"/>
  <c r="T676" i="7" l="1"/>
  <c r="W675" i="7"/>
  <c r="T677" i="7" l="1"/>
  <c r="W676" i="7"/>
  <c r="T678" i="7" l="1"/>
  <c r="W677" i="7"/>
  <c r="T679" i="7" l="1"/>
  <c r="W678" i="7"/>
  <c r="T680" i="7" l="1"/>
  <c r="W679" i="7"/>
  <c r="T681" i="7" l="1"/>
  <c r="W680" i="7"/>
  <c r="T682" i="7" l="1"/>
  <c r="W681" i="7"/>
  <c r="T683" i="7" l="1"/>
  <c r="W682" i="7"/>
  <c r="T684" i="7" l="1"/>
  <c r="W683" i="7"/>
  <c r="T685" i="7" l="1"/>
  <c r="W684" i="7"/>
  <c r="T686" i="7" l="1"/>
  <c r="W685" i="7"/>
  <c r="T687" i="7" l="1"/>
  <c r="W686" i="7"/>
  <c r="T688" i="7" l="1"/>
  <c r="W687" i="7"/>
  <c r="T689" i="7" l="1"/>
  <c r="W688" i="7"/>
  <c r="T690" i="7" l="1"/>
  <c r="W689" i="7"/>
  <c r="T691" i="7" l="1"/>
  <c r="W690" i="7"/>
  <c r="T692" i="7" l="1"/>
  <c r="W691" i="7"/>
  <c r="T693" i="7" l="1"/>
  <c r="W692" i="7"/>
  <c r="T694" i="7" l="1"/>
  <c r="W693" i="7"/>
  <c r="T695" i="7" l="1"/>
  <c r="W694" i="7"/>
  <c r="T696" i="7" l="1"/>
  <c r="W695" i="7"/>
  <c r="T697" i="7" l="1"/>
  <c r="W696" i="7"/>
  <c r="T698" i="7" l="1"/>
  <c r="W697" i="7"/>
  <c r="T699" i="7" l="1"/>
  <c r="W698" i="7"/>
  <c r="T700" i="7" l="1"/>
  <c r="W699" i="7"/>
  <c r="T701" i="7" l="1"/>
  <c r="W700" i="7"/>
  <c r="T702" i="7" l="1"/>
  <c r="W701" i="7"/>
  <c r="T703" i="7" l="1"/>
  <c r="W702" i="7"/>
  <c r="T704" i="7" l="1"/>
  <c r="W703" i="7"/>
  <c r="T705" i="7" l="1"/>
  <c r="W704" i="7"/>
  <c r="T706" i="7" l="1"/>
  <c r="W705" i="7"/>
  <c r="T707" i="7" l="1"/>
  <c r="W706" i="7"/>
  <c r="T708" i="7" l="1"/>
  <c r="W707" i="7"/>
  <c r="T709" i="7" l="1"/>
  <c r="W708" i="7"/>
  <c r="T710" i="7" l="1"/>
  <c r="W709" i="7"/>
  <c r="T711" i="7" l="1"/>
  <c r="W710" i="7"/>
  <c r="T712" i="7" l="1"/>
  <c r="W711" i="7"/>
  <c r="T713" i="7" l="1"/>
  <c r="W712" i="7"/>
  <c r="T714" i="7" l="1"/>
  <c r="W713" i="7"/>
  <c r="T715" i="7" l="1"/>
  <c r="W714" i="7"/>
  <c r="T716" i="7" l="1"/>
  <c r="W715" i="7"/>
  <c r="T717" i="7" l="1"/>
  <c r="W716" i="7"/>
  <c r="T718" i="7" l="1"/>
  <c r="W717" i="7"/>
  <c r="T719" i="7" l="1"/>
  <c r="W718" i="7"/>
  <c r="T720" i="7" l="1"/>
  <c r="W719" i="7"/>
  <c r="T721" i="7" l="1"/>
  <c r="W720" i="7"/>
  <c r="T722" i="7" l="1"/>
  <c r="W721" i="7"/>
  <c r="T723" i="7" l="1"/>
  <c r="W722" i="7"/>
  <c r="T724" i="7" l="1"/>
  <c r="W723" i="7"/>
  <c r="T725" i="7" l="1"/>
  <c r="W724" i="7"/>
  <c r="T726" i="7" l="1"/>
  <c r="W725" i="7"/>
  <c r="T727" i="7" l="1"/>
  <c r="W726" i="7"/>
  <c r="T728" i="7" l="1"/>
  <c r="W727" i="7"/>
  <c r="T729" i="7" l="1"/>
  <c r="W728" i="7"/>
  <c r="T730" i="7" l="1"/>
  <c r="W729" i="7"/>
  <c r="T731" i="7" l="1"/>
  <c r="W730" i="7"/>
  <c r="T732" i="7" l="1"/>
  <c r="W731" i="7"/>
  <c r="T733" i="7" l="1"/>
  <c r="W732" i="7"/>
  <c r="T734" i="7" l="1"/>
  <c r="W733" i="7"/>
  <c r="T735" i="7" l="1"/>
  <c r="W734" i="7"/>
  <c r="T736" i="7" l="1"/>
  <c r="W735" i="7"/>
  <c r="T737" i="7" l="1"/>
  <c r="W736" i="7"/>
  <c r="T738" i="7" l="1"/>
  <c r="W737" i="7"/>
  <c r="T739" i="7" l="1"/>
  <c r="W738" i="7"/>
  <c r="T740" i="7" l="1"/>
  <c r="W739" i="7"/>
  <c r="T741" i="7" l="1"/>
  <c r="W740" i="7"/>
  <c r="T742" i="7" l="1"/>
  <c r="W741" i="7"/>
  <c r="T743" i="7" l="1"/>
  <c r="W742" i="7"/>
  <c r="T744" i="7" l="1"/>
  <c r="W743" i="7"/>
  <c r="T745" i="7" l="1"/>
  <c r="W744" i="7"/>
  <c r="T746" i="7" l="1"/>
  <c r="W745" i="7"/>
  <c r="T747" i="7" l="1"/>
  <c r="W746" i="7"/>
  <c r="T748" i="7" l="1"/>
  <c r="W747" i="7"/>
  <c r="T749" i="7" l="1"/>
  <c r="W748" i="7"/>
  <c r="T750" i="7" l="1"/>
  <c r="W749" i="7"/>
  <c r="T751" i="7" l="1"/>
  <c r="W750" i="7"/>
  <c r="T752" i="7" l="1"/>
  <c r="W751" i="7"/>
  <c r="T753" i="7" l="1"/>
  <c r="W752" i="7"/>
  <c r="T754" i="7" l="1"/>
  <c r="W753" i="7"/>
  <c r="T755" i="7" l="1"/>
  <c r="W754" i="7"/>
  <c r="T756" i="7" l="1"/>
  <c r="W755" i="7"/>
  <c r="T757" i="7" l="1"/>
  <c r="W756" i="7"/>
  <c r="T758" i="7" l="1"/>
  <c r="W757" i="7"/>
  <c r="T759" i="7" l="1"/>
  <c r="W758" i="7"/>
  <c r="T760" i="7" l="1"/>
  <c r="W759" i="7"/>
  <c r="T761" i="7" l="1"/>
  <c r="W760" i="7"/>
  <c r="T762" i="7" l="1"/>
  <c r="W761" i="7"/>
  <c r="T763" i="7" l="1"/>
  <c r="W762" i="7"/>
  <c r="T764" i="7" l="1"/>
  <c r="W763" i="7"/>
  <c r="T765" i="7" l="1"/>
  <c r="W764" i="7"/>
  <c r="T766" i="7" l="1"/>
  <c r="W765" i="7"/>
  <c r="T767" i="7" l="1"/>
  <c r="W766" i="7"/>
  <c r="T768" i="7" l="1"/>
  <c r="W767" i="7"/>
  <c r="T769" i="7" l="1"/>
  <c r="W768" i="7"/>
  <c r="T770" i="7" l="1"/>
  <c r="W769" i="7"/>
  <c r="T771" i="7" l="1"/>
  <c r="W770" i="7"/>
  <c r="T772" i="7" l="1"/>
  <c r="W771" i="7"/>
  <c r="T773" i="7" l="1"/>
  <c r="W772" i="7"/>
  <c r="T774" i="7" l="1"/>
  <c r="W773" i="7"/>
  <c r="T775" i="7" l="1"/>
  <c r="W774" i="7"/>
  <c r="T776" i="7" l="1"/>
  <c r="W775" i="7"/>
  <c r="T777" i="7" l="1"/>
  <c r="W776" i="7"/>
  <c r="T778" i="7" l="1"/>
  <c r="W777" i="7"/>
  <c r="T779" i="7" l="1"/>
  <c r="W778" i="7"/>
  <c r="T780" i="7" l="1"/>
  <c r="W779" i="7"/>
  <c r="T781" i="7" l="1"/>
  <c r="W780" i="7"/>
  <c r="T782" i="7" l="1"/>
  <c r="W781" i="7"/>
  <c r="T783" i="7" l="1"/>
  <c r="W782" i="7"/>
  <c r="T784" i="7" l="1"/>
  <c r="W783" i="7"/>
  <c r="T785" i="7" l="1"/>
  <c r="W784" i="7"/>
  <c r="T786" i="7" l="1"/>
  <c r="W785" i="7"/>
  <c r="T787" i="7" l="1"/>
  <c r="W786" i="7"/>
  <c r="T788" i="7" l="1"/>
  <c r="W787" i="7"/>
  <c r="T789" i="7" l="1"/>
  <c r="W788" i="7"/>
  <c r="T790" i="7" l="1"/>
  <c r="W789" i="7"/>
  <c r="T791" i="7" l="1"/>
  <c r="W790" i="7"/>
  <c r="T792" i="7" l="1"/>
  <c r="W791" i="7"/>
  <c r="T793" i="7" l="1"/>
  <c r="W792" i="7"/>
  <c r="T794" i="7" l="1"/>
  <c r="W793" i="7"/>
  <c r="T795" i="7" l="1"/>
  <c r="W794" i="7"/>
  <c r="T796" i="7" l="1"/>
  <c r="W795" i="7"/>
  <c r="T797" i="7" l="1"/>
  <c r="W796" i="7"/>
  <c r="T798" i="7" l="1"/>
  <c r="W797" i="7"/>
  <c r="T799" i="7" l="1"/>
  <c r="W798" i="7"/>
  <c r="T800" i="7" l="1"/>
  <c r="W799" i="7"/>
  <c r="T801" i="7" l="1"/>
  <c r="W800" i="7"/>
  <c r="T802" i="7" l="1"/>
  <c r="W801" i="7"/>
  <c r="T803" i="7" l="1"/>
  <c r="W802" i="7"/>
  <c r="T804" i="7" l="1"/>
  <c r="W803" i="7"/>
  <c r="T805" i="7" l="1"/>
  <c r="W804" i="7"/>
  <c r="T806" i="7" l="1"/>
  <c r="W805" i="7"/>
  <c r="T807" i="7" l="1"/>
  <c r="W806" i="7"/>
  <c r="T808" i="7" l="1"/>
  <c r="W807" i="7"/>
  <c r="T809" i="7" l="1"/>
  <c r="W808" i="7"/>
  <c r="T810" i="7" l="1"/>
  <c r="W809" i="7"/>
  <c r="T811" i="7" l="1"/>
  <c r="W810" i="7"/>
  <c r="T812" i="7" l="1"/>
  <c r="W811" i="7"/>
  <c r="T813" i="7" l="1"/>
  <c r="W812" i="7"/>
  <c r="T814" i="7" l="1"/>
  <c r="W813" i="7"/>
  <c r="T815" i="7" l="1"/>
  <c r="W814" i="7"/>
  <c r="T816" i="7" l="1"/>
  <c r="W815" i="7"/>
  <c r="T817" i="7" l="1"/>
  <c r="W816" i="7"/>
  <c r="T818" i="7" l="1"/>
  <c r="W817" i="7"/>
  <c r="T819" i="7" l="1"/>
  <c r="W818" i="7"/>
  <c r="T820" i="7" l="1"/>
  <c r="W819" i="7"/>
  <c r="T821" i="7" l="1"/>
  <c r="W820" i="7"/>
  <c r="T822" i="7" l="1"/>
  <c r="W821" i="7"/>
  <c r="T823" i="7" l="1"/>
  <c r="W822" i="7"/>
  <c r="T824" i="7" l="1"/>
  <c r="W823" i="7"/>
  <c r="T825" i="7" l="1"/>
  <c r="W824" i="7"/>
  <c r="T826" i="7" l="1"/>
  <c r="W825" i="7"/>
  <c r="T827" i="7" l="1"/>
  <c r="W826" i="7"/>
  <c r="T828" i="7" l="1"/>
  <c r="W827" i="7"/>
  <c r="T829" i="7" l="1"/>
  <c r="W828" i="7"/>
  <c r="T830" i="7" l="1"/>
  <c r="W829" i="7"/>
  <c r="T831" i="7" l="1"/>
  <c r="W830" i="7"/>
  <c r="T832" i="7" l="1"/>
  <c r="W831" i="7"/>
  <c r="T833" i="7" l="1"/>
  <c r="W832" i="7"/>
  <c r="T834" i="7" l="1"/>
  <c r="W833" i="7"/>
  <c r="T835" i="7" l="1"/>
  <c r="W834" i="7"/>
  <c r="T836" i="7" l="1"/>
  <c r="W835" i="7"/>
  <c r="T837" i="7" l="1"/>
  <c r="W836" i="7"/>
  <c r="T838" i="7" l="1"/>
  <c r="W837" i="7"/>
  <c r="T839" i="7" l="1"/>
  <c r="W838" i="7"/>
  <c r="T840" i="7" l="1"/>
  <c r="W839" i="7"/>
  <c r="T841" i="7" l="1"/>
  <c r="W840" i="7"/>
  <c r="T842" i="7" l="1"/>
  <c r="W841" i="7"/>
  <c r="T843" i="7" l="1"/>
  <c r="W842" i="7"/>
  <c r="T844" i="7" l="1"/>
  <c r="W843" i="7"/>
  <c r="T845" i="7" l="1"/>
  <c r="W844" i="7"/>
  <c r="T846" i="7" l="1"/>
  <c r="W845" i="7"/>
  <c r="T847" i="7" l="1"/>
  <c r="W846" i="7"/>
  <c r="T848" i="7" l="1"/>
  <c r="W847" i="7"/>
  <c r="T849" i="7" l="1"/>
  <c r="W848" i="7"/>
  <c r="T850" i="7" l="1"/>
  <c r="W849" i="7"/>
  <c r="T851" i="7" l="1"/>
  <c r="W850" i="7"/>
  <c r="T852" i="7" l="1"/>
  <c r="W851" i="7"/>
  <c r="T853" i="7" l="1"/>
  <c r="W852" i="7"/>
  <c r="T854" i="7" l="1"/>
  <c r="W853" i="7"/>
  <c r="T855" i="7" l="1"/>
  <c r="W854" i="7"/>
  <c r="T856" i="7" l="1"/>
  <c r="W855" i="7"/>
  <c r="T857" i="7" l="1"/>
  <c r="W856" i="7"/>
  <c r="T858" i="7" l="1"/>
  <c r="W857" i="7"/>
  <c r="T859" i="7" l="1"/>
  <c r="W858" i="7"/>
  <c r="T860" i="7" l="1"/>
  <c r="W859" i="7"/>
  <c r="T861" i="7" l="1"/>
  <c r="W860" i="7"/>
  <c r="T862" i="7" l="1"/>
  <c r="W861" i="7"/>
  <c r="T863" i="7" l="1"/>
  <c r="W862" i="7"/>
  <c r="T864" i="7" l="1"/>
  <c r="W863" i="7"/>
  <c r="T865" i="7" l="1"/>
  <c r="W864" i="7"/>
  <c r="T866" i="7" l="1"/>
  <c r="W865" i="7"/>
  <c r="T867" i="7" l="1"/>
  <c r="W866" i="7"/>
  <c r="T868" i="7" l="1"/>
  <c r="W867" i="7"/>
  <c r="T869" i="7" l="1"/>
  <c r="W868" i="7"/>
  <c r="T870" i="7" l="1"/>
  <c r="W869" i="7"/>
  <c r="T871" i="7" l="1"/>
  <c r="W870" i="7"/>
  <c r="T872" i="7" l="1"/>
  <c r="W871" i="7"/>
  <c r="T873" i="7" l="1"/>
  <c r="W872" i="7"/>
  <c r="T874" i="7" l="1"/>
  <c r="W873" i="7"/>
  <c r="T875" i="7" l="1"/>
  <c r="W874" i="7"/>
  <c r="T876" i="7" l="1"/>
  <c r="W875" i="7"/>
  <c r="T877" i="7" l="1"/>
  <c r="W876" i="7"/>
  <c r="T878" i="7" l="1"/>
  <c r="W877" i="7"/>
  <c r="T879" i="7" l="1"/>
  <c r="W878" i="7"/>
  <c r="T880" i="7" l="1"/>
  <c r="W879" i="7"/>
  <c r="T881" i="7" l="1"/>
  <c r="W880" i="7"/>
  <c r="T882" i="7" l="1"/>
  <c r="W881" i="7"/>
  <c r="T883" i="7" l="1"/>
  <c r="W882" i="7"/>
  <c r="T884" i="7" l="1"/>
  <c r="W883" i="7"/>
  <c r="T885" i="7" l="1"/>
  <c r="W884" i="7"/>
  <c r="T886" i="7" l="1"/>
  <c r="W885" i="7"/>
  <c r="T887" i="7" l="1"/>
  <c r="W886" i="7"/>
  <c r="T888" i="7" l="1"/>
  <c r="W887" i="7"/>
  <c r="T889" i="7" l="1"/>
  <c r="W888" i="7"/>
  <c r="T890" i="7" l="1"/>
  <c r="W889" i="7"/>
  <c r="T891" i="7" l="1"/>
  <c r="W890" i="7"/>
  <c r="T892" i="7" l="1"/>
  <c r="W891" i="7"/>
  <c r="T893" i="7" l="1"/>
  <c r="W892" i="7"/>
  <c r="T894" i="7" l="1"/>
  <c r="W893" i="7"/>
  <c r="T895" i="7" l="1"/>
  <c r="W894" i="7"/>
  <c r="T896" i="7" l="1"/>
  <c r="W895" i="7"/>
  <c r="T897" i="7" l="1"/>
  <c r="W896" i="7"/>
  <c r="T898" i="7" l="1"/>
  <c r="W897" i="7"/>
  <c r="T899" i="7" l="1"/>
  <c r="W898" i="7"/>
  <c r="T900" i="7" l="1"/>
  <c r="W899" i="7"/>
  <c r="T901" i="7" l="1"/>
  <c r="W900" i="7"/>
  <c r="T902" i="7" l="1"/>
  <c r="W901" i="7"/>
  <c r="T903" i="7" l="1"/>
  <c r="W902" i="7"/>
  <c r="T904" i="7" l="1"/>
  <c r="W903" i="7"/>
  <c r="T905" i="7" l="1"/>
  <c r="W904" i="7"/>
  <c r="T906" i="7" l="1"/>
  <c r="W905" i="7"/>
  <c r="T907" i="7" l="1"/>
  <c r="W906" i="7"/>
  <c r="T908" i="7" l="1"/>
  <c r="W907" i="7"/>
  <c r="T909" i="7" l="1"/>
  <c r="W908" i="7"/>
  <c r="T910" i="7" l="1"/>
  <c r="W909" i="7"/>
  <c r="T911" i="7" l="1"/>
  <c r="W910" i="7"/>
  <c r="T912" i="7" l="1"/>
  <c r="W911" i="7"/>
  <c r="T913" i="7" l="1"/>
  <c r="W912" i="7"/>
  <c r="T914" i="7" l="1"/>
  <c r="W913" i="7"/>
  <c r="T915" i="7" l="1"/>
  <c r="W914" i="7"/>
  <c r="T916" i="7" l="1"/>
  <c r="W915" i="7"/>
  <c r="T917" i="7" l="1"/>
  <c r="W916" i="7"/>
  <c r="T918" i="7" l="1"/>
  <c r="W917" i="7"/>
  <c r="T919" i="7" l="1"/>
  <c r="W918" i="7"/>
  <c r="T920" i="7" l="1"/>
  <c r="W919" i="7"/>
  <c r="T921" i="7" l="1"/>
  <c r="W920" i="7"/>
  <c r="T922" i="7" l="1"/>
  <c r="W921" i="7"/>
  <c r="T923" i="7" l="1"/>
  <c r="W922" i="7"/>
  <c r="T924" i="7" l="1"/>
  <c r="W923" i="7"/>
  <c r="T925" i="7" l="1"/>
  <c r="W924" i="7"/>
  <c r="T926" i="7" l="1"/>
  <c r="W925" i="7"/>
  <c r="T927" i="7" l="1"/>
  <c r="W926" i="7"/>
  <c r="T928" i="7" l="1"/>
  <c r="W927" i="7"/>
  <c r="T929" i="7" l="1"/>
  <c r="W928" i="7"/>
  <c r="T930" i="7" l="1"/>
  <c r="W929" i="7"/>
  <c r="T931" i="7" l="1"/>
  <c r="W930" i="7"/>
  <c r="T932" i="7" l="1"/>
  <c r="W931" i="7"/>
  <c r="T933" i="7" l="1"/>
  <c r="W932" i="7"/>
  <c r="T934" i="7" l="1"/>
  <c r="W933" i="7"/>
  <c r="T935" i="7" l="1"/>
  <c r="W934" i="7"/>
  <c r="T936" i="7" l="1"/>
  <c r="W935" i="7"/>
  <c r="T937" i="7" l="1"/>
  <c r="W936" i="7"/>
  <c r="T938" i="7" l="1"/>
  <c r="W937" i="7"/>
  <c r="T939" i="7" l="1"/>
  <c r="W938" i="7"/>
  <c r="T940" i="7" l="1"/>
  <c r="W939" i="7"/>
  <c r="T941" i="7" l="1"/>
  <c r="W940" i="7"/>
  <c r="T942" i="7" l="1"/>
  <c r="W941" i="7"/>
  <c r="T943" i="7" l="1"/>
  <c r="W942" i="7"/>
  <c r="T944" i="7" l="1"/>
  <c r="W943" i="7"/>
  <c r="T945" i="7" l="1"/>
  <c r="W944" i="7"/>
  <c r="T946" i="7" l="1"/>
  <c r="W945" i="7"/>
  <c r="T947" i="7" l="1"/>
  <c r="W946" i="7"/>
  <c r="T948" i="7" l="1"/>
  <c r="W947" i="7"/>
  <c r="T949" i="7" l="1"/>
  <c r="W948" i="7"/>
  <c r="T950" i="7" l="1"/>
  <c r="W949" i="7"/>
  <c r="T951" i="7" l="1"/>
  <c r="W950" i="7"/>
  <c r="T952" i="7" l="1"/>
  <c r="W951" i="7"/>
  <c r="T953" i="7" l="1"/>
  <c r="W952" i="7"/>
  <c r="T954" i="7" l="1"/>
  <c r="W953" i="7"/>
  <c r="T955" i="7" l="1"/>
  <c r="W954" i="7"/>
  <c r="T956" i="7" l="1"/>
  <c r="W955" i="7"/>
  <c r="T957" i="7" l="1"/>
  <c r="W956" i="7"/>
  <c r="T958" i="7" l="1"/>
  <c r="W957" i="7"/>
  <c r="T959" i="7" l="1"/>
  <c r="W958" i="7"/>
  <c r="T960" i="7" l="1"/>
  <c r="W959" i="7"/>
  <c r="T961" i="7" l="1"/>
  <c r="W960" i="7"/>
  <c r="T962" i="7" l="1"/>
  <c r="W961" i="7"/>
  <c r="T963" i="7" l="1"/>
  <c r="W962" i="7"/>
  <c r="T964" i="7" l="1"/>
  <c r="W963" i="7"/>
  <c r="T965" i="7" l="1"/>
  <c r="W964" i="7"/>
  <c r="T966" i="7" l="1"/>
  <c r="W965" i="7"/>
  <c r="T967" i="7" l="1"/>
  <c r="W966" i="7"/>
  <c r="T968" i="7" l="1"/>
  <c r="W967" i="7"/>
  <c r="T969" i="7" l="1"/>
  <c r="W968" i="7"/>
  <c r="T970" i="7" l="1"/>
  <c r="W969" i="7"/>
  <c r="T971" i="7" l="1"/>
  <c r="W970" i="7"/>
  <c r="T972" i="7" l="1"/>
  <c r="W971" i="7"/>
  <c r="T973" i="7" l="1"/>
  <c r="W972" i="7"/>
  <c r="T974" i="7" l="1"/>
  <c r="W973" i="7"/>
  <c r="T975" i="7" l="1"/>
  <c r="W974" i="7"/>
  <c r="T976" i="7" l="1"/>
  <c r="W975" i="7"/>
  <c r="T977" i="7" l="1"/>
  <c r="W976" i="7"/>
  <c r="T978" i="7" l="1"/>
  <c r="W977" i="7"/>
  <c r="T979" i="7" l="1"/>
  <c r="W978" i="7"/>
  <c r="T980" i="7" l="1"/>
  <c r="W979" i="7"/>
  <c r="T981" i="7" l="1"/>
  <c r="W980" i="7"/>
  <c r="T982" i="7" l="1"/>
  <c r="W981" i="7"/>
  <c r="T983" i="7" l="1"/>
  <c r="W982" i="7"/>
  <c r="T984" i="7" l="1"/>
  <c r="W983" i="7"/>
  <c r="T985" i="7" l="1"/>
  <c r="W984" i="7"/>
  <c r="T986" i="7" l="1"/>
  <c r="W985" i="7"/>
  <c r="T987" i="7" l="1"/>
  <c r="W986" i="7"/>
  <c r="T988" i="7" l="1"/>
  <c r="W987" i="7"/>
  <c r="T989" i="7" l="1"/>
  <c r="W988" i="7"/>
  <c r="T990" i="7" l="1"/>
  <c r="W989" i="7"/>
  <c r="T991" i="7" l="1"/>
  <c r="W990" i="7"/>
  <c r="T992" i="7" l="1"/>
  <c r="W991" i="7"/>
  <c r="T993" i="7" l="1"/>
  <c r="W992" i="7"/>
  <c r="T994" i="7" l="1"/>
  <c r="W993" i="7"/>
  <c r="T995" i="7" l="1"/>
  <c r="W994" i="7"/>
  <c r="T996" i="7" l="1"/>
  <c r="W995" i="7"/>
  <c r="T997" i="7" l="1"/>
  <c r="W996" i="7"/>
  <c r="T998" i="7" l="1"/>
  <c r="W997" i="7"/>
  <c r="T999" i="7" l="1"/>
  <c r="W998" i="7"/>
  <c r="T1000" i="7" l="1"/>
  <c r="W999" i="7"/>
  <c r="T1001" i="7" l="1"/>
  <c r="W1000" i="7"/>
  <c r="T1002" i="7" l="1"/>
  <c r="W1001" i="7"/>
  <c r="T1003" i="7" l="1"/>
  <c r="W1002" i="7"/>
  <c r="T1004" i="7" l="1"/>
  <c r="W1003" i="7"/>
  <c r="T1005" i="7" l="1"/>
  <c r="W1004" i="7"/>
  <c r="T1006" i="7" l="1"/>
  <c r="W1005" i="7"/>
  <c r="T1007" i="7" l="1"/>
  <c r="W1006" i="7"/>
  <c r="T1008" i="7" l="1"/>
  <c r="W1007" i="7"/>
  <c r="T1009" i="7" l="1"/>
  <c r="W1008" i="7"/>
  <c r="T1010" i="7" l="1"/>
  <c r="W1009" i="7"/>
  <c r="T1011" i="7" l="1"/>
  <c r="W1010" i="7"/>
  <c r="T1012" i="7" l="1"/>
  <c r="W1011" i="7"/>
  <c r="T1013" i="7" l="1"/>
  <c r="W1012" i="7"/>
  <c r="T1014" i="7" l="1"/>
  <c r="W1013" i="7"/>
  <c r="T1015" i="7" l="1"/>
  <c r="W1014" i="7"/>
  <c r="T1016" i="7" l="1"/>
  <c r="W1015" i="7"/>
  <c r="T1017" i="7" l="1"/>
  <c r="W1016" i="7"/>
  <c r="T1018" i="7" l="1"/>
  <c r="W1017" i="7"/>
  <c r="T1019" i="7" l="1"/>
  <c r="W1018" i="7"/>
  <c r="T1020" i="7" l="1"/>
  <c r="W1019" i="7"/>
  <c r="T1021" i="7" l="1"/>
  <c r="W1020" i="7"/>
  <c r="AL51" i="7" l="1"/>
  <c r="AU320" i="7"/>
  <c r="AK51" i="7"/>
  <c r="AL320" i="7"/>
  <c r="AS321" i="7"/>
  <c r="AU51" i="7"/>
  <c r="AK320" i="7"/>
  <c r="AK50" i="7"/>
  <c r="AK59" i="7"/>
  <c r="AU68" i="7"/>
  <c r="AK68" i="7"/>
  <c r="AL60" i="7"/>
  <c r="AU60" i="7"/>
  <c r="AK60" i="7"/>
  <c r="AL59" i="7"/>
  <c r="AK52" i="7"/>
  <c r="AL61" i="7"/>
  <c r="AU50" i="7"/>
  <c r="AL68" i="7"/>
  <c r="AK61" i="7"/>
  <c r="AS69" i="7"/>
  <c r="AU59" i="7"/>
  <c r="AS60" i="7"/>
  <c r="AK69" i="7"/>
  <c r="AU52" i="7"/>
  <c r="AU69" i="7"/>
  <c r="AL69" i="7"/>
  <c r="AL50" i="7"/>
  <c r="AS51" i="7"/>
  <c r="AU61" i="7"/>
  <c r="AL52" i="7"/>
  <c r="AK321" i="7"/>
  <c r="AU321" i="7"/>
  <c r="AK70" i="7"/>
  <c r="AL70" i="7"/>
  <c r="AU70" i="7"/>
  <c r="AL321" i="7"/>
  <c r="AL297" i="7"/>
  <c r="AK268" i="7"/>
  <c r="AK297" i="7"/>
  <c r="AK304" i="7"/>
  <c r="AL312" i="7"/>
  <c r="AL242" i="7"/>
  <c r="AK286" i="7"/>
  <c r="AK239" i="7"/>
  <c r="AL318" i="7"/>
  <c r="AK313" i="7"/>
  <c r="AL284" i="7"/>
  <c r="AK279" i="7"/>
  <c r="AL276" i="7"/>
  <c r="AK277" i="7"/>
  <c r="AL243" i="7"/>
  <c r="AL275" i="7"/>
  <c r="AL285" i="7"/>
  <c r="AK306" i="7"/>
  <c r="AK270" i="7"/>
  <c r="AL288" i="7"/>
  <c r="AL266" i="7"/>
  <c r="AL241" i="7"/>
  <c r="AK314" i="7"/>
  <c r="AL287" i="7"/>
  <c r="AK266" i="7"/>
  <c r="AL293" i="7"/>
  <c r="AK167" i="7"/>
  <c r="AL279" i="7"/>
  <c r="AL314" i="7"/>
  <c r="AL294" i="7"/>
  <c r="AL170" i="7"/>
  <c r="AK302" i="7"/>
  <c r="AK269" i="7"/>
  <c r="AL317" i="7"/>
  <c r="AK317" i="7"/>
  <c r="AL304" i="7"/>
  <c r="AL167" i="7"/>
  <c r="AL169" i="7"/>
  <c r="AK311" i="7"/>
  <c r="AK278" i="7"/>
  <c r="AK240" i="7"/>
  <c r="AL176" i="7"/>
  <c r="AK267" i="7"/>
  <c r="AL316" i="7"/>
  <c r="AK315" i="7"/>
  <c r="AL269" i="7"/>
  <c r="AL277" i="7"/>
  <c r="AL296" i="7"/>
  <c r="AK243" i="7"/>
  <c r="AK296" i="7"/>
  <c r="AL306" i="7"/>
  <c r="AL302" i="7"/>
  <c r="AK305" i="7"/>
  <c r="AL267" i="7"/>
  <c r="AK316" i="7"/>
  <c r="AK318" i="7"/>
  <c r="AK293" i="7"/>
  <c r="AK179" i="7"/>
  <c r="AL303" i="7"/>
  <c r="AL286" i="7"/>
  <c r="AL270" i="7"/>
  <c r="AK171" i="7"/>
  <c r="AL311" i="7"/>
  <c r="AK180" i="7"/>
  <c r="AL268" i="7"/>
  <c r="AK169" i="7"/>
  <c r="AL179" i="7"/>
  <c r="AK284" i="7"/>
  <c r="AK241" i="7"/>
  <c r="AL315" i="7"/>
  <c r="AK295" i="7"/>
  <c r="AK285" i="7"/>
  <c r="AL313" i="7"/>
  <c r="AL305" i="7"/>
  <c r="AL295" i="7"/>
  <c r="AK276" i="7"/>
  <c r="AK287" i="7"/>
  <c r="AL180" i="7"/>
  <c r="AK170" i="7"/>
  <c r="AL178" i="7"/>
  <c r="AL177" i="7"/>
  <c r="AK312" i="7"/>
  <c r="AL168" i="7"/>
  <c r="AL240" i="7"/>
  <c r="AK177" i="7"/>
  <c r="AL239" i="7"/>
  <c r="AK178" i="7"/>
  <c r="AK303" i="7"/>
  <c r="AK176" i="7"/>
  <c r="AK275" i="7"/>
  <c r="AL278" i="7"/>
  <c r="AL171" i="7"/>
  <c r="AK294" i="7"/>
  <c r="AK288" i="7"/>
  <c r="AK242" i="7"/>
  <c r="AK168" i="7"/>
  <c r="AU167" i="7"/>
  <c r="AU158" i="7"/>
  <c r="AK78" i="7"/>
  <c r="AK80" i="7"/>
  <c r="AK81" i="7"/>
  <c r="AL81" i="7"/>
  <c r="AL78" i="7"/>
  <c r="AL80" i="7"/>
  <c r="AU149" i="7"/>
  <c r="AU53" i="7"/>
  <c r="AU62" i="7"/>
  <c r="AU71" i="7"/>
  <c r="AU82" i="7"/>
  <c r="AU55" i="7"/>
  <c r="AU64" i="7"/>
  <c r="AU73" i="7"/>
  <c r="AU72" i="7"/>
  <c r="AU54" i="7"/>
  <c r="AU63" i="7"/>
  <c r="AU75" i="7"/>
  <c r="AU56" i="7"/>
  <c r="AU65" i="7"/>
  <c r="AU66" i="7"/>
  <c r="AU74" i="7"/>
  <c r="AU57" i="7"/>
  <c r="AU129" i="7"/>
  <c r="AU204" i="7"/>
  <c r="AU188" i="7"/>
  <c r="AU257" i="7"/>
  <c r="AU211" i="7"/>
  <c r="AU305" i="7"/>
  <c r="AU90" i="7"/>
  <c r="AU205" i="7"/>
  <c r="AU268" i="7"/>
  <c r="AU302" i="7"/>
  <c r="AU300" i="7"/>
  <c r="AU165" i="7"/>
  <c r="AU274" i="7"/>
  <c r="AU106" i="7"/>
  <c r="AU221" i="7"/>
  <c r="AU136" i="7"/>
  <c r="AU171" i="7"/>
  <c r="AU324" i="7"/>
  <c r="AU127" i="7"/>
  <c r="AU233" i="7"/>
  <c r="AU92" i="7"/>
  <c r="AU145" i="7"/>
  <c r="AU297" i="7"/>
  <c r="AU192" i="7"/>
  <c r="AU112" i="7"/>
  <c r="AU227" i="7"/>
  <c r="AU277" i="7"/>
  <c r="AU208" i="7"/>
  <c r="AU310" i="7"/>
  <c r="AU91" i="7"/>
  <c r="AU120" i="7"/>
  <c r="AU229" i="7"/>
  <c r="AU250" i="7"/>
  <c r="AU191" i="7"/>
  <c r="AU218" i="7"/>
  <c r="AU153" i="7"/>
  <c r="AL322" i="7"/>
  <c r="AU125" i="7"/>
  <c r="AU141" i="7"/>
  <c r="AU104" i="7"/>
  <c r="AU327" i="7"/>
  <c r="AU314" i="7"/>
  <c r="AU187" i="7"/>
  <c r="AU159" i="7"/>
  <c r="AU231" i="7"/>
  <c r="AU170" i="7"/>
  <c r="AU196" i="7"/>
  <c r="AU101" i="7"/>
  <c r="AU248" i="7"/>
  <c r="AU195" i="7"/>
  <c r="AU85" i="7"/>
  <c r="AU245" i="7"/>
  <c r="AU243" i="7"/>
  <c r="AU276" i="7"/>
  <c r="AU306" i="7"/>
  <c r="AU295" i="7"/>
  <c r="AU244" i="7"/>
  <c r="AU309" i="7"/>
  <c r="AU322" i="7"/>
  <c r="AU155" i="7"/>
  <c r="AU220" i="7"/>
  <c r="AU326" i="7"/>
  <c r="AU179" i="7"/>
  <c r="AU256" i="7"/>
  <c r="AU186" i="7"/>
  <c r="AU137" i="7"/>
  <c r="AU260" i="7"/>
  <c r="AU157" i="7"/>
  <c r="AU118" i="7"/>
  <c r="AU288" i="7"/>
  <c r="AU313" i="7"/>
  <c r="AU116" i="7"/>
  <c r="AU242" i="7"/>
  <c r="AU317" i="7"/>
  <c r="AU180" i="7"/>
  <c r="AU162" i="7"/>
  <c r="AU169" i="7"/>
  <c r="AU234" i="7"/>
  <c r="AU237" i="7"/>
  <c r="AU213" i="7"/>
  <c r="AU225" i="7"/>
  <c r="AU113" i="7"/>
  <c r="AU148" i="7"/>
  <c r="AU119" i="7"/>
  <c r="AU89" i="7"/>
  <c r="AU182" i="7"/>
  <c r="AU114" i="7"/>
  <c r="AU138" i="7"/>
  <c r="AU109" i="7"/>
  <c r="AU262" i="7"/>
  <c r="AU134" i="7"/>
  <c r="AU294" i="7"/>
  <c r="AU224" i="7"/>
  <c r="AU102" i="7"/>
  <c r="AU135" i="7"/>
  <c r="AU94" i="7"/>
  <c r="AU132" i="7"/>
  <c r="AU100" i="7"/>
  <c r="AU152" i="7"/>
  <c r="AU111" i="7"/>
  <c r="AU156" i="7"/>
  <c r="AU261" i="7"/>
  <c r="AU130" i="7"/>
  <c r="AU212" i="7"/>
  <c r="AU103" i="7"/>
  <c r="AU178" i="7"/>
  <c r="AU140" i="7"/>
  <c r="AU282" i="7"/>
  <c r="AU126" i="7"/>
  <c r="AU264" i="7"/>
  <c r="AU184" i="7"/>
  <c r="AU164" i="7"/>
  <c r="AU84" i="7"/>
  <c r="AU203" i="7"/>
  <c r="AU117" i="7"/>
  <c r="AU239" i="7"/>
  <c r="AU110" i="7"/>
  <c r="AU96" i="7"/>
  <c r="AU128" i="7"/>
  <c r="AU251" i="7"/>
  <c r="AU163" i="7"/>
  <c r="AU88" i="7"/>
  <c r="AK322" i="7"/>
  <c r="AU226" i="7"/>
  <c r="AU150" i="7"/>
  <c r="AU289" i="7"/>
  <c r="AU255" i="7"/>
  <c r="AU267" i="7"/>
  <c r="AU181" i="7"/>
  <c r="AU206" i="7"/>
  <c r="AU236" i="7"/>
  <c r="AU301" i="7"/>
  <c r="AU292" i="7"/>
  <c r="AU240" i="7"/>
  <c r="AU285" i="7"/>
  <c r="AU161" i="7"/>
  <c r="AU270" i="7"/>
  <c r="AU174" i="7"/>
  <c r="AU201" i="7"/>
  <c r="AU280" i="7"/>
  <c r="AU98" i="7"/>
  <c r="AU266" i="7"/>
  <c r="AU189" i="7"/>
  <c r="AU259" i="7"/>
  <c r="AU291" i="7"/>
  <c r="AU83" i="7"/>
  <c r="AU299" i="7"/>
  <c r="AU99" i="7"/>
  <c r="AU124" i="7"/>
  <c r="AU254" i="7"/>
  <c r="AU154" i="7"/>
  <c r="AU166" i="7"/>
  <c r="AU193" i="7"/>
  <c r="AU173" i="7"/>
  <c r="AU253" i="7"/>
  <c r="AU246" i="7"/>
  <c r="AU315" i="7"/>
  <c r="AU308" i="7"/>
  <c r="AU258" i="7"/>
  <c r="AU219" i="7"/>
  <c r="AU269" i="7"/>
  <c r="AU283" i="7"/>
  <c r="AU287" i="7"/>
  <c r="AU241" i="7"/>
  <c r="AU190" i="7"/>
  <c r="AU197" i="7"/>
  <c r="AU279" i="7"/>
  <c r="AU107" i="7"/>
  <c r="AU230" i="7"/>
  <c r="AU209" i="7"/>
  <c r="AU281" i="7"/>
  <c r="AU160" i="7"/>
  <c r="AU296" i="7"/>
  <c r="AU222" i="7"/>
  <c r="AU105" i="7"/>
  <c r="AU199" i="7"/>
  <c r="AU144" i="7"/>
  <c r="AU272" i="7"/>
  <c r="AU143" i="7"/>
  <c r="AU183" i="7"/>
  <c r="AU303" i="7"/>
  <c r="AU198" i="7"/>
  <c r="AU207" i="7"/>
  <c r="AU146" i="7"/>
  <c r="AU139" i="7"/>
  <c r="AU273" i="7"/>
  <c r="AU122" i="7"/>
  <c r="AU214" i="7"/>
  <c r="AU202" i="7"/>
  <c r="AU249" i="7"/>
  <c r="AU147" i="7"/>
  <c r="AU307" i="7"/>
  <c r="AU123" i="7"/>
  <c r="AU223" i="7"/>
  <c r="AU172" i="7"/>
  <c r="AU217" i="7"/>
  <c r="AU284" i="7"/>
  <c r="AU325" i="7"/>
  <c r="AU200" i="7"/>
  <c r="AU151" i="7"/>
  <c r="AU175" i="7"/>
  <c r="AU278" i="7"/>
  <c r="AU232" i="7"/>
  <c r="AU290" i="7"/>
  <c r="AU168" i="7"/>
  <c r="AU185" i="7"/>
  <c r="AU216" i="7"/>
  <c r="AU228" i="7"/>
  <c r="AU177" i="7"/>
  <c r="AU115" i="7"/>
  <c r="AU298" i="7"/>
  <c r="AU265" i="7"/>
  <c r="AU319" i="7"/>
  <c r="AU142" i="7"/>
  <c r="AU215" i="7"/>
  <c r="AU108" i="7"/>
  <c r="AU323" i="7"/>
  <c r="AU238" i="7"/>
  <c r="AU304" i="7"/>
  <c r="AU210" i="7"/>
  <c r="AU271" i="7"/>
  <c r="AU247" i="7"/>
  <c r="AU97" i="7"/>
  <c r="AU316" i="7"/>
  <c r="AU121" i="7"/>
  <c r="AU318" i="7"/>
  <c r="AU133" i="7"/>
  <c r="AU93" i="7"/>
  <c r="AU275" i="7"/>
  <c r="AU194" i="7"/>
  <c r="AU312" i="7"/>
  <c r="AU263" i="7"/>
  <c r="AU252" i="7"/>
  <c r="AU235" i="7"/>
  <c r="AU286" i="7"/>
  <c r="AU293" i="7"/>
  <c r="AL186" i="7"/>
  <c r="AK234" i="7"/>
  <c r="AK249" i="7"/>
  <c r="AK196" i="7"/>
  <c r="AK258" i="7"/>
  <c r="AK187" i="7"/>
  <c r="AK226" i="7"/>
  <c r="AK216" i="7"/>
  <c r="AV167" i="7"/>
  <c r="AK224" i="7"/>
  <c r="AK231" i="7"/>
  <c r="AL234" i="7"/>
  <c r="AK207" i="7"/>
  <c r="AK197" i="7"/>
  <c r="AL222" i="7"/>
  <c r="AL250" i="7"/>
  <c r="AL224" i="7"/>
  <c r="AL225" i="7"/>
  <c r="AK214" i="7"/>
  <c r="AL189" i="7"/>
  <c r="AL188" i="7"/>
  <c r="AK233" i="7"/>
  <c r="AK251" i="7"/>
  <c r="AL260" i="7"/>
  <c r="AK232" i="7"/>
  <c r="AL215" i="7"/>
  <c r="AL194" i="7"/>
  <c r="AL221" i="7"/>
  <c r="AL251" i="7"/>
  <c r="AL206" i="7"/>
  <c r="AL233" i="7"/>
  <c r="AK260" i="7"/>
  <c r="AL248" i="7"/>
  <c r="AL232" i="7"/>
  <c r="AL231" i="7"/>
  <c r="AK205" i="7"/>
  <c r="AL252" i="7"/>
  <c r="AL230" i="7"/>
  <c r="AL216" i="7"/>
  <c r="AK185" i="7"/>
  <c r="AK212" i="7"/>
  <c r="AL258" i="7"/>
  <c r="AK225" i="7"/>
  <c r="AL257" i="7"/>
  <c r="AL204" i="7"/>
  <c r="AK252" i="7"/>
  <c r="AK194" i="7"/>
  <c r="AL207" i="7"/>
  <c r="AL196" i="7"/>
  <c r="AK213" i="7"/>
  <c r="AK195" i="7"/>
  <c r="AK261" i="7"/>
  <c r="AL226" i="7"/>
  <c r="AL259" i="7"/>
  <c r="AK186" i="7"/>
  <c r="AK206" i="7"/>
  <c r="AK230" i="7"/>
  <c r="AL205" i="7"/>
  <c r="AL203" i="7"/>
  <c r="AL227" i="7"/>
  <c r="AL185" i="7"/>
  <c r="AK198" i="7"/>
  <c r="AL213" i="7"/>
  <c r="AL195" i="7"/>
  <c r="AL223" i="7"/>
  <c r="AL249" i="7"/>
  <c r="AL212" i="7"/>
  <c r="AL198" i="7"/>
  <c r="AL187" i="7"/>
  <c r="AK227" i="7"/>
  <c r="AK204" i="7"/>
  <c r="AK189" i="7"/>
  <c r="AK222" i="7"/>
  <c r="AK221" i="7"/>
  <c r="AK203" i="7"/>
  <c r="AK188" i="7"/>
  <c r="AL197" i="7"/>
  <c r="AL261" i="7"/>
  <c r="AL214" i="7"/>
  <c r="AK215" i="7"/>
  <c r="AK223" i="7"/>
  <c r="AK259" i="7"/>
  <c r="AK248" i="7"/>
  <c r="AK250" i="7"/>
  <c r="AK257" i="7"/>
  <c r="AL144" i="7"/>
  <c r="AK132" i="7"/>
  <c r="AK86" i="7"/>
  <c r="AL162" i="7"/>
  <c r="AL99" i="7"/>
  <c r="AK99" i="7"/>
  <c r="AK126" i="7"/>
  <c r="AL122" i="7"/>
  <c r="AL132" i="7"/>
  <c r="AL107" i="7"/>
  <c r="AL134" i="7"/>
  <c r="AL152" i="7"/>
  <c r="AL91" i="7"/>
  <c r="AL158" i="7"/>
  <c r="AL105" i="7"/>
  <c r="AK123" i="7"/>
  <c r="AK91" i="7"/>
  <c r="AK161" i="7"/>
  <c r="AK158" i="7"/>
  <c r="AK106" i="7"/>
  <c r="AL88" i="7"/>
  <c r="AL115" i="7"/>
  <c r="AL159" i="7"/>
  <c r="AK116" i="7"/>
  <c r="AL137" i="7"/>
  <c r="AK159" i="7"/>
  <c r="AL150" i="7"/>
  <c r="AL113" i="7"/>
  <c r="AL153" i="7"/>
  <c r="AL141" i="7"/>
  <c r="AL124" i="7"/>
  <c r="AK97" i="7"/>
  <c r="AL126" i="7"/>
  <c r="AK151" i="7"/>
  <c r="AK114" i="7"/>
  <c r="AL136" i="7"/>
  <c r="AK108" i="7"/>
  <c r="AL125" i="7"/>
  <c r="AL123" i="7"/>
  <c r="AK141" i="7"/>
  <c r="AL142" i="7"/>
  <c r="AK87" i="7"/>
  <c r="AK135" i="7"/>
  <c r="AK142" i="7"/>
  <c r="AK107" i="7"/>
  <c r="AK124" i="7"/>
  <c r="AK133" i="7"/>
  <c r="AL97" i="7"/>
  <c r="AL161" i="7"/>
  <c r="AK136" i="7"/>
  <c r="AL98" i="7"/>
  <c r="AL86" i="7"/>
  <c r="AK140" i="7"/>
  <c r="AL96" i="7"/>
  <c r="AL116" i="7"/>
  <c r="AK150" i="7"/>
  <c r="AK105" i="7"/>
  <c r="AK152" i="7"/>
  <c r="AK137" i="7"/>
  <c r="AK153" i="7"/>
  <c r="AK117" i="7"/>
  <c r="AL87" i="7"/>
  <c r="AK104" i="7"/>
  <c r="AL160" i="7"/>
  <c r="AK113" i="7"/>
  <c r="AL95" i="7"/>
  <c r="AK143" i="7"/>
  <c r="AL135" i="7"/>
  <c r="AK131" i="7"/>
  <c r="AL106" i="7"/>
  <c r="AK88" i="7"/>
  <c r="AK134" i="7"/>
  <c r="AL90" i="7"/>
  <c r="AK144" i="7"/>
  <c r="AL149" i="7"/>
  <c r="AL151" i="7"/>
  <c r="AK89" i="7"/>
  <c r="AL143" i="7"/>
  <c r="AK90" i="7"/>
  <c r="AL104" i="7"/>
  <c r="AL89" i="7"/>
  <c r="AK96" i="7"/>
  <c r="AL108" i="7"/>
  <c r="AL140" i="7"/>
  <c r="AK122" i="7"/>
  <c r="AL133" i="7"/>
  <c r="AK149" i="7"/>
  <c r="AK160" i="7"/>
  <c r="AK162" i="7"/>
  <c r="AK125" i="7"/>
  <c r="AL117" i="7"/>
  <c r="AL131" i="7"/>
  <c r="AL114" i="7"/>
  <c r="AK95" i="7"/>
  <c r="AK115" i="7"/>
  <c r="AK98" i="7"/>
  <c r="AS222" i="7"/>
  <c r="AS195" i="7"/>
  <c r="AS123" i="7"/>
  <c r="AW32" i="7"/>
  <c r="AS240" i="7"/>
  <c r="AS105" i="7"/>
  <c r="AS285" i="7"/>
  <c r="AW46" i="7"/>
  <c r="AS267" i="7"/>
  <c r="AS231" i="7"/>
  <c r="AW23" i="7"/>
  <c r="AS276" i="7"/>
  <c r="AS150" i="7"/>
  <c r="AS213" i="7"/>
  <c r="AS168" i="7"/>
  <c r="AW48" i="7"/>
  <c r="AS258" i="7"/>
  <c r="AS114" i="7"/>
  <c r="AS186" i="7"/>
  <c r="AW38" i="7"/>
  <c r="AS312" i="7"/>
  <c r="AW25" i="7"/>
  <c r="AS177" i="7"/>
  <c r="AS141" i="7"/>
  <c r="AS132" i="7"/>
  <c r="AS294" i="7"/>
  <c r="AW27" i="7"/>
  <c r="AW35" i="7"/>
  <c r="AS159" i="7"/>
  <c r="AS249" i="7"/>
  <c r="AW44" i="7"/>
  <c r="AS303" i="7"/>
  <c r="AW41" i="7"/>
  <c r="AS204" i="7"/>
  <c r="AU27" i="7"/>
  <c r="AU26" i="7"/>
  <c r="AU28" i="7"/>
  <c r="AU23" i="7"/>
  <c r="AU24" i="7"/>
  <c r="AU30" i="7"/>
  <c r="AU29" i="7"/>
  <c r="AU25" i="7"/>
  <c r="AS42" i="7"/>
  <c r="AV23" i="7"/>
  <c r="AS33" i="7"/>
  <c r="AV32" i="7"/>
  <c r="AV41" i="7"/>
  <c r="AS24" i="7"/>
  <c r="AS78" i="7"/>
  <c r="AS96" i="7"/>
  <c r="AS87" i="7"/>
  <c r="W1021" i="7"/>
  <c r="AS52" i="7" l="1"/>
  <c r="AT51" i="7"/>
  <c r="AT60" i="7"/>
  <c r="AS61" i="7"/>
  <c r="AV59" i="7"/>
  <c r="AT69" i="7"/>
  <c r="AS70" i="7"/>
  <c r="AV50" i="7"/>
  <c r="AV68" i="7"/>
  <c r="AT321" i="7"/>
  <c r="AS322" i="7"/>
  <c r="AV320" i="7"/>
  <c r="AV158" i="7"/>
  <c r="AT141" i="7"/>
  <c r="AV84" i="7"/>
  <c r="AV75" i="7"/>
  <c r="AT132" i="7"/>
  <c r="AT204" i="7"/>
  <c r="AT231" i="7"/>
  <c r="AT276" i="7"/>
  <c r="AT177" i="7"/>
  <c r="AW33" i="7"/>
  <c r="AT312" i="7"/>
  <c r="AT267" i="7"/>
  <c r="AV149" i="7"/>
  <c r="AT222" i="7"/>
  <c r="AW42" i="7"/>
  <c r="AT186" i="7"/>
  <c r="AT285" i="7"/>
  <c r="AV93" i="7"/>
  <c r="AT78" i="7"/>
  <c r="AT303" i="7"/>
  <c r="AT249" i="7"/>
  <c r="AT114" i="7"/>
  <c r="AT105" i="7"/>
  <c r="AT159" i="7"/>
  <c r="AT258" i="7"/>
  <c r="AT240" i="7"/>
  <c r="AV102" i="7"/>
  <c r="AV57" i="7"/>
  <c r="AT87" i="7"/>
  <c r="AT168" i="7"/>
  <c r="AT123" i="7"/>
  <c r="AV66" i="7"/>
  <c r="AT150" i="7"/>
  <c r="AT96" i="7"/>
  <c r="AT294" i="7"/>
  <c r="AT213" i="7"/>
  <c r="AT195" i="7"/>
  <c r="AV311" i="7"/>
  <c r="AV302" i="7"/>
  <c r="AV293" i="7"/>
  <c r="AV284" i="7"/>
  <c r="AV275" i="7"/>
  <c r="AV266" i="7"/>
  <c r="AV257" i="7"/>
  <c r="AV248" i="7"/>
  <c r="AV239" i="7"/>
  <c r="AV221" i="7"/>
  <c r="AV212" i="7"/>
  <c r="AV194" i="7"/>
  <c r="AV185" i="7"/>
  <c r="AV176" i="7"/>
  <c r="AV140" i="7"/>
  <c r="AV131" i="7"/>
  <c r="AV122" i="7"/>
  <c r="AV104" i="7"/>
  <c r="AV86" i="7"/>
  <c r="AV77" i="7"/>
  <c r="AV95" i="7"/>
  <c r="AV203" i="7"/>
  <c r="AV230" i="7"/>
  <c r="AV113" i="7"/>
  <c r="AS160" i="7"/>
  <c r="AS214" i="7"/>
  <c r="AS277" i="7"/>
  <c r="AS304" i="7"/>
  <c r="AS124" i="7"/>
  <c r="AV123" i="7"/>
  <c r="AS295" i="7"/>
  <c r="AS187" i="7"/>
  <c r="AS169" i="7"/>
  <c r="AS232" i="7"/>
  <c r="AS286" i="7"/>
  <c r="AS196" i="7"/>
  <c r="AS142" i="7"/>
  <c r="AS313" i="7"/>
  <c r="AS241" i="7"/>
  <c r="AS205" i="7"/>
  <c r="AS250" i="7"/>
  <c r="AS115" i="7"/>
  <c r="AV114" i="7"/>
  <c r="AS223" i="7"/>
  <c r="AS178" i="7"/>
  <c r="AS259" i="7"/>
  <c r="AS151" i="7"/>
  <c r="AS106" i="7"/>
  <c r="AS133" i="7"/>
  <c r="AS268" i="7"/>
  <c r="AT24" i="7"/>
  <c r="AW24" i="7"/>
  <c r="AV24" i="7"/>
  <c r="AS26" i="7"/>
  <c r="AS34" i="7"/>
  <c r="AV33" i="7"/>
  <c r="AS43" i="7"/>
  <c r="AV42" i="7"/>
  <c r="AS88" i="7"/>
  <c r="AS79" i="7"/>
  <c r="AS97" i="7"/>
  <c r="AV96" i="7" l="1"/>
  <c r="AV195" i="7"/>
  <c r="AV213" i="7"/>
  <c r="AV294" i="7"/>
  <c r="AV150" i="7"/>
  <c r="AV168" i="7"/>
  <c r="AV87" i="7"/>
  <c r="AV240" i="7"/>
  <c r="AV258" i="7"/>
  <c r="AV159" i="7"/>
  <c r="AV105" i="7"/>
  <c r="AV249" i="7"/>
  <c r="AV303" i="7"/>
  <c r="AV78" i="7"/>
  <c r="AV285" i="7"/>
  <c r="AV186" i="7"/>
  <c r="AV222" i="7"/>
  <c r="AV267" i="7"/>
  <c r="AV312" i="7"/>
  <c r="AV177" i="7"/>
  <c r="AV276" i="7"/>
  <c r="AV231" i="7"/>
  <c r="AV204" i="7"/>
  <c r="AV132" i="7"/>
  <c r="AV141" i="7"/>
  <c r="AW320" i="7"/>
  <c r="AS323" i="7"/>
  <c r="AS324" i="7" s="1"/>
  <c r="AT322" i="7"/>
  <c r="AV321" i="7"/>
  <c r="AW68" i="7"/>
  <c r="AW50" i="7"/>
  <c r="AT70" i="7"/>
  <c r="AS71" i="7"/>
  <c r="AS72" i="7" s="1"/>
  <c r="AV69" i="7"/>
  <c r="AW59" i="7"/>
  <c r="AT61" i="7"/>
  <c r="AS62" i="7"/>
  <c r="AS63" i="7" s="1"/>
  <c r="AV60" i="7"/>
  <c r="AV51" i="7"/>
  <c r="AT52" i="7"/>
  <c r="AS53" i="7"/>
  <c r="AS54" i="7" s="1"/>
  <c r="AT97" i="7"/>
  <c r="AW43" i="7"/>
  <c r="AW34" i="7"/>
  <c r="AT268" i="7"/>
  <c r="AT133" i="7"/>
  <c r="AT106" i="7"/>
  <c r="AT151" i="7"/>
  <c r="AT259" i="7"/>
  <c r="AT178" i="7"/>
  <c r="AT223" i="7"/>
  <c r="AT115" i="7"/>
  <c r="AT250" i="7"/>
  <c r="AT205" i="7"/>
  <c r="AT241" i="7"/>
  <c r="AT313" i="7"/>
  <c r="AT142" i="7"/>
  <c r="AT196" i="7"/>
  <c r="AT286" i="7"/>
  <c r="AT232" i="7"/>
  <c r="AT169" i="7"/>
  <c r="AT187" i="7"/>
  <c r="AT295" i="7"/>
  <c r="AT124" i="7"/>
  <c r="AT304" i="7"/>
  <c r="AT277" i="7"/>
  <c r="AT214" i="7"/>
  <c r="AT160" i="7"/>
  <c r="AW66" i="7"/>
  <c r="AW57" i="7"/>
  <c r="AW102" i="7"/>
  <c r="AW75" i="7"/>
  <c r="AW84" i="7"/>
  <c r="AT79" i="7"/>
  <c r="AT88" i="7"/>
  <c r="AW312" i="7"/>
  <c r="AW311" i="7"/>
  <c r="AW303" i="7"/>
  <c r="AW302" i="7"/>
  <c r="AW294" i="7"/>
  <c r="AW293" i="7"/>
  <c r="AW285" i="7"/>
  <c r="AW284" i="7"/>
  <c r="AW276" i="7"/>
  <c r="AW275" i="7"/>
  <c r="AW267" i="7"/>
  <c r="AW266" i="7"/>
  <c r="AW258" i="7"/>
  <c r="AW257" i="7"/>
  <c r="AW249" i="7"/>
  <c r="AW248" i="7"/>
  <c r="AW240" i="7"/>
  <c r="AW239" i="7"/>
  <c r="AW230" i="7"/>
  <c r="AW231" i="7"/>
  <c r="AW222" i="7"/>
  <c r="AW221" i="7"/>
  <c r="AW213" i="7"/>
  <c r="AW212" i="7"/>
  <c r="AW203" i="7"/>
  <c r="AW204" i="7"/>
  <c r="AW195" i="7"/>
  <c r="AW194" i="7"/>
  <c r="AW186" i="7"/>
  <c r="AW185" i="7"/>
  <c r="AW177" i="7"/>
  <c r="AW176" i="7"/>
  <c r="AW167" i="7"/>
  <c r="AW168" i="7"/>
  <c r="AW159" i="7"/>
  <c r="AW158" i="7"/>
  <c r="AW150" i="7"/>
  <c r="AW149" i="7"/>
  <c r="AW141" i="7"/>
  <c r="AW140" i="7"/>
  <c r="AW132" i="7"/>
  <c r="AW131" i="7"/>
  <c r="AW123" i="7"/>
  <c r="AW122" i="7"/>
  <c r="AW114" i="7"/>
  <c r="AW113" i="7"/>
  <c r="AW105" i="7"/>
  <c r="AW104" i="7"/>
  <c r="AW87" i="7"/>
  <c r="AW86" i="7"/>
  <c r="AW78" i="7"/>
  <c r="AW77" i="7"/>
  <c r="AW96" i="7"/>
  <c r="AW95" i="7"/>
  <c r="AS143" i="7"/>
  <c r="AV142" i="7"/>
  <c r="AS296" i="7"/>
  <c r="AS269" i="7"/>
  <c r="AS152" i="7"/>
  <c r="AS197" i="7"/>
  <c r="AS125" i="7"/>
  <c r="AS251" i="7"/>
  <c r="AS260" i="7"/>
  <c r="AS233" i="7"/>
  <c r="AS134" i="7"/>
  <c r="AV133" i="7"/>
  <c r="AS206" i="7"/>
  <c r="AS215" i="7"/>
  <c r="AS287" i="7"/>
  <c r="AS224" i="7"/>
  <c r="AS242" i="7"/>
  <c r="AS170" i="7"/>
  <c r="AV277" i="7"/>
  <c r="AS278" i="7"/>
  <c r="AS179" i="7"/>
  <c r="AS314" i="7"/>
  <c r="AS107" i="7"/>
  <c r="AS116" i="7"/>
  <c r="AS188" i="7"/>
  <c r="AS305" i="7"/>
  <c r="AS161" i="7"/>
  <c r="AT26" i="7"/>
  <c r="AW26" i="7"/>
  <c r="AV43" i="7"/>
  <c r="AS45" i="7"/>
  <c r="AV34" i="7"/>
  <c r="AS36" i="7"/>
  <c r="AV26" i="7"/>
  <c r="AS28" i="7"/>
  <c r="AS98" i="7"/>
  <c r="AS80" i="7"/>
  <c r="AS89" i="7"/>
  <c r="AS64" i="7" l="1"/>
  <c r="AT63" i="7"/>
  <c r="AV322" i="7"/>
  <c r="AS55" i="7"/>
  <c r="AT54" i="7"/>
  <c r="AT324" i="7"/>
  <c r="AS325" i="7"/>
  <c r="AS73" i="7"/>
  <c r="AT72" i="7"/>
  <c r="AV160" i="7"/>
  <c r="AV214" i="7"/>
  <c r="AV304" i="7"/>
  <c r="AV124" i="7"/>
  <c r="AV295" i="7"/>
  <c r="AV187" i="7"/>
  <c r="AV169" i="7"/>
  <c r="AV232" i="7"/>
  <c r="AV286" i="7"/>
  <c r="AV196" i="7"/>
  <c r="AV205" i="7"/>
  <c r="AV250" i="7"/>
  <c r="AV115" i="7"/>
  <c r="AV223" i="7"/>
  <c r="AV178" i="7"/>
  <c r="AV259" i="7"/>
  <c r="AV151" i="7"/>
  <c r="AV106" i="7"/>
  <c r="AV268" i="7"/>
  <c r="AT53" i="7"/>
  <c r="AV52" i="7"/>
  <c r="AW51" i="7"/>
  <c r="AW60" i="7"/>
  <c r="AT62" i="7"/>
  <c r="AV61" i="7"/>
  <c r="AW69" i="7"/>
  <c r="AT71" i="7"/>
  <c r="AV70" i="7"/>
  <c r="AW321" i="7"/>
  <c r="AT323" i="7"/>
  <c r="AV241" i="7"/>
  <c r="AV313" i="7"/>
  <c r="AT98" i="7"/>
  <c r="AW36" i="7"/>
  <c r="AW45" i="7"/>
  <c r="AT161" i="7"/>
  <c r="AT305" i="7"/>
  <c r="AT188" i="7"/>
  <c r="AT116" i="7"/>
  <c r="AT107" i="7"/>
  <c r="AT314" i="7"/>
  <c r="AT179" i="7"/>
  <c r="AT278" i="7"/>
  <c r="AT170" i="7"/>
  <c r="AT242" i="7"/>
  <c r="AT224" i="7"/>
  <c r="AT287" i="7"/>
  <c r="AT215" i="7"/>
  <c r="AT206" i="7"/>
  <c r="AT134" i="7"/>
  <c r="AT233" i="7"/>
  <c r="AT260" i="7"/>
  <c r="AT251" i="7"/>
  <c r="AT125" i="7"/>
  <c r="AT197" i="7"/>
  <c r="AT152" i="7"/>
  <c r="AT269" i="7"/>
  <c r="AT296" i="7"/>
  <c r="AT143" i="7"/>
  <c r="AV88" i="7"/>
  <c r="AV79" i="7"/>
  <c r="AV97" i="7"/>
  <c r="AT89" i="7"/>
  <c r="AT80" i="7"/>
  <c r="AW304" i="7"/>
  <c r="AW295" i="7"/>
  <c r="AW286" i="7"/>
  <c r="AW277" i="7"/>
  <c r="AW268" i="7"/>
  <c r="AW259" i="7"/>
  <c r="AW250" i="7"/>
  <c r="AW223" i="7"/>
  <c r="AW214" i="7"/>
  <c r="AW205" i="7"/>
  <c r="AW196" i="7"/>
  <c r="AW187" i="7"/>
  <c r="AW178" i="7"/>
  <c r="AW169" i="7"/>
  <c r="AW160" i="7"/>
  <c r="AW142" i="7"/>
  <c r="AW133" i="7"/>
  <c r="AW124" i="7"/>
  <c r="AW115" i="7"/>
  <c r="AW106" i="7"/>
  <c r="AW232" i="7"/>
  <c r="AV98" i="7"/>
  <c r="AS261" i="7"/>
  <c r="AS306" i="7"/>
  <c r="AS270" i="7"/>
  <c r="AS189" i="7"/>
  <c r="AS252" i="7"/>
  <c r="AS297" i="7"/>
  <c r="AS135" i="7"/>
  <c r="AS162" i="7"/>
  <c r="AS171" i="7"/>
  <c r="AS234" i="7"/>
  <c r="AS153" i="7"/>
  <c r="AS315" i="7"/>
  <c r="AS126" i="7"/>
  <c r="AS144" i="7"/>
  <c r="AS117" i="7"/>
  <c r="AS288" i="7"/>
  <c r="AS180" i="7"/>
  <c r="AS207" i="7"/>
  <c r="AS279" i="7"/>
  <c r="AS243" i="7"/>
  <c r="AS198" i="7"/>
  <c r="AS108" i="7"/>
  <c r="AS225" i="7"/>
  <c r="AS216" i="7"/>
  <c r="AT28" i="7"/>
  <c r="AW28" i="7"/>
  <c r="AS29" i="7"/>
  <c r="AV28" i="7"/>
  <c r="AS37" i="7"/>
  <c r="AV36" i="7"/>
  <c r="AS47" i="7"/>
  <c r="AV45" i="7"/>
  <c r="AS90" i="7"/>
  <c r="AS81" i="7"/>
  <c r="AS99" i="7"/>
  <c r="AT325" i="7" l="1"/>
  <c r="AS326" i="7"/>
  <c r="AV324" i="7"/>
  <c r="AV71" i="7"/>
  <c r="AV54" i="7"/>
  <c r="AS56" i="7"/>
  <c r="AT55" i="7"/>
  <c r="AV53" i="7"/>
  <c r="AW322" i="7"/>
  <c r="AW151" i="7"/>
  <c r="AV63" i="7"/>
  <c r="AV323" i="7"/>
  <c r="AV62" i="7"/>
  <c r="AV72" i="7"/>
  <c r="AT64" i="7"/>
  <c r="AS65" i="7"/>
  <c r="AS74" i="7"/>
  <c r="AT73" i="7"/>
  <c r="AV269" i="7"/>
  <c r="AV152" i="7"/>
  <c r="AV197" i="7"/>
  <c r="AV251" i="7"/>
  <c r="AV134" i="7"/>
  <c r="AV206" i="7"/>
  <c r="AV287" i="7"/>
  <c r="AV224" i="7"/>
  <c r="AV242" i="7"/>
  <c r="AV170" i="7"/>
  <c r="AV278" i="7"/>
  <c r="AV179" i="7"/>
  <c r="AV107" i="7"/>
  <c r="AV116" i="7"/>
  <c r="AV188" i="7"/>
  <c r="AW313" i="7"/>
  <c r="AW241" i="7"/>
  <c r="AW70" i="7"/>
  <c r="AW61" i="7"/>
  <c r="AW52" i="7"/>
  <c r="AW97" i="7"/>
  <c r="AV161" i="7"/>
  <c r="AV143" i="7"/>
  <c r="AV305" i="7"/>
  <c r="AV125" i="7"/>
  <c r="AV260" i="7"/>
  <c r="AV215" i="7"/>
  <c r="AV314" i="7"/>
  <c r="AV296" i="7"/>
  <c r="AT99" i="7"/>
  <c r="AW37" i="7"/>
  <c r="AT216" i="7"/>
  <c r="AT225" i="7"/>
  <c r="AT108" i="7"/>
  <c r="AT198" i="7"/>
  <c r="AT243" i="7"/>
  <c r="AT279" i="7"/>
  <c r="AT207" i="7"/>
  <c r="AT180" i="7"/>
  <c r="AT288" i="7"/>
  <c r="AT117" i="7"/>
  <c r="AT144" i="7"/>
  <c r="AT126" i="7"/>
  <c r="AT315" i="7"/>
  <c r="AT153" i="7"/>
  <c r="AT234" i="7"/>
  <c r="AT171" i="7"/>
  <c r="AT162" i="7"/>
  <c r="AT135" i="7"/>
  <c r="AT297" i="7"/>
  <c r="AT252" i="7"/>
  <c r="AT189" i="7"/>
  <c r="AT270" i="7"/>
  <c r="AT306" i="7"/>
  <c r="AT261" i="7"/>
  <c r="AV80" i="7"/>
  <c r="AV89" i="7"/>
  <c r="AW79" i="7"/>
  <c r="AW88" i="7"/>
  <c r="AT81" i="7"/>
  <c r="AT90" i="7"/>
  <c r="AW287" i="7"/>
  <c r="AW278" i="7"/>
  <c r="AW269" i="7"/>
  <c r="AW251" i="7"/>
  <c r="AW242" i="7"/>
  <c r="AW224" i="7"/>
  <c r="AW206" i="7"/>
  <c r="AW197" i="7"/>
  <c r="AW188" i="7"/>
  <c r="AW179" i="7"/>
  <c r="AW170" i="7"/>
  <c r="AW152" i="7"/>
  <c r="AW134" i="7"/>
  <c r="AW125" i="7"/>
  <c r="AW116" i="7"/>
  <c r="AW107" i="7"/>
  <c r="AW98" i="7"/>
  <c r="AV233" i="7"/>
  <c r="AS298" i="7"/>
  <c r="AS145" i="7"/>
  <c r="AS163" i="7"/>
  <c r="AS253" i="7"/>
  <c r="AS127" i="7"/>
  <c r="AS217" i="7"/>
  <c r="AS154" i="7"/>
  <c r="AS226" i="7"/>
  <c r="AS190" i="7"/>
  <c r="AS262" i="7"/>
  <c r="AS280" i="7"/>
  <c r="AS199" i="7"/>
  <c r="AS235" i="7"/>
  <c r="AS307" i="7"/>
  <c r="AS136" i="7"/>
  <c r="AS289" i="7"/>
  <c r="AS208" i="7"/>
  <c r="AS172" i="7"/>
  <c r="AS118" i="7"/>
  <c r="AS271" i="7"/>
  <c r="AS109" i="7"/>
  <c r="AS244" i="7"/>
  <c r="AS181" i="7"/>
  <c r="AS316" i="7"/>
  <c r="AV47" i="7"/>
  <c r="AW47" i="7"/>
  <c r="AT29" i="7"/>
  <c r="AW29" i="7"/>
  <c r="AV37" i="7"/>
  <c r="AS39" i="7"/>
  <c r="AV29" i="7"/>
  <c r="AS30" i="7"/>
  <c r="AS100" i="7"/>
  <c r="AS82" i="7"/>
  <c r="AS91" i="7"/>
  <c r="AV55" i="7" l="1"/>
  <c r="AW62" i="7"/>
  <c r="AT56" i="7"/>
  <c r="AW323" i="7"/>
  <c r="AW54" i="7"/>
  <c r="AV73" i="7"/>
  <c r="AW63" i="7"/>
  <c r="AW71" i="7"/>
  <c r="AT74" i="7"/>
  <c r="AW324" i="7"/>
  <c r="AT65" i="7"/>
  <c r="AV64" i="7"/>
  <c r="AT326" i="7"/>
  <c r="AS327" i="7"/>
  <c r="AV153" i="7"/>
  <c r="AW53" i="7"/>
  <c r="AV325" i="7"/>
  <c r="AW72" i="7"/>
  <c r="AV270" i="7"/>
  <c r="AV189" i="7"/>
  <c r="AV252" i="7"/>
  <c r="AV297" i="7"/>
  <c r="AV171" i="7"/>
  <c r="AV315" i="7"/>
  <c r="AV117" i="7"/>
  <c r="AV288" i="7"/>
  <c r="AV180" i="7"/>
  <c r="AV207" i="7"/>
  <c r="AV198" i="7"/>
  <c r="AV108" i="7"/>
  <c r="AV225" i="7"/>
  <c r="AV216" i="7"/>
  <c r="AW296" i="7"/>
  <c r="AW314" i="7"/>
  <c r="AW215" i="7"/>
  <c r="AW260" i="7"/>
  <c r="AW305" i="7"/>
  <c r="AW143" i="7"/>
  <c r="AV306" i="7"/>
  <c r="AW161" i="7"/>
  <c r="AV144" i="7"/>
  <c r="AV99" i="7"/>
  <c r="AV279" i="7"/>
  <c r="AV126" i="7"/>
  <c r="AV243" i="7"/>
  <c r="AV261" i="7"/>
  <c r="AV162" i="7"/>
  <c r="AV135" i="7"/>
  <c r="AT100" i="7"/>
  <c r="AW30" i="7"/>
  <c r="AT316" i="7"/>
  <c r="AT181" i="7"/>
  <c r="AT244" i="7"/>
  <c r="AT109" i="7"/>
  <c r="AT271" i="7"/>
  <c r="AT118" i="7"/>
  <c r="AT172" i="7"/>
  <c r="AT208" i="7"/>
  <c r="AT289" i="7"/>
  <c r="AT307" i="7"/>
  <c r="AT235" i="7"/>
  <c r="AT199" i="7"/>
  <c r="AT280" i="7"/>
  <c r="AT262" i="7"/>
  <c r="AT190" i="7"/>
  <c r="AT226" i="7"/>
  <c r="AT154" i="7"/>
  <c r="AT217" i="7"/>
  <c r="AT127" i="7"/>
  <c r="AT253" i="7"/>
  <c r="AT163" i="7"/>
  <c r="AT145" i="7"/>
  <c r="AT298" i="7"/>
  <c r="AW233" i="7"/>
  <c r="AV90" i="7"/>
  <c r="AV81" i="7"/>
  <c r="AW89" i="7"/>
  <c r="AW80" i="7"/>
  <c r="AT136" i="7"/>
  <c r="AT91" i="7"/>
  <c r="AT82" i="7"/>
  <c r="AW315" i="7"/>
  <c r="AW297" i="7"/>
  <c r="AW288" i="7"/>
  <c r="AW270" i="7"/>
  <c r="AW252" i="7"/>
  <c r="AW225" i="7"/>
  <c r="AW216" i="7"/>
  <c r="AW207" i="7"/>
  <c r="AW198" i="7"/>
  <c r="AW180" i="7"/>
  <c r="AW171" i="7"/>
  <c r="AW153" i="7"/>
  <c r="AW117" i="7"/>
  <c r="AW108" i="7"/>
  <c r="AV234" i="7"/>
  <c r="AW189" i="7"/>
  <c r="AS245" i="7"/>
  <c r="AS308" i="7"/>
  <c r="AS218" i="7"/>
  <c r="AS110" i="7"/>
  <c r="AS290" i="7"/>
  <c r="AS173" i="7"/>
  <c r="AS263" i="7"/>
  <c r="AS281" i="7"/>
  <c r="AS191" i="7"/>
  <c r="AS164" i="7"/>
  <c r="AS272" i="7"/>
  <c r="AS227" i="7"/>
  <c r="AS146" i="7"/>
  <c r="AS317" i="7"/>
  <c r="AS236" i="7"/>
  <c r="AS182" i="7"/>
  <c r="AS209" i="7"/>
  <c r="AS200" i="7"/>
  <c r="AS155" i="7"/>
  <c r="AS137" i="7"/>
  <c r="AS128" i="7"/>
  <c r="AS299" i="7"/>
  <c r="AS119" i="7"/>
  <c r="AS254" i="7"/>
  <c r="AV39" i="7"/>
  <c r="AW39" i="7"/>
  <c r="AV30" i="7"/>
  <c r="AT30" i="7"/>
  <c r="AS92" i="7"/>
  <c r="AS101" i="7"/>
  <c r="AS83" i="7"/>
  <c r="AW64" i="7" l="1"/>
  <c r="AW73" i="7"/>
  <c r="AV65" i="7"/>
  <c r="AW325" i="7"/>
  <c r="AV74" i="7"/>
  <c r="AV56" i="7"/>
  <c r="AT327" i="7"/>
  <c r="AV326" i="7"/>
  <c r="AW55" i="7"/>
  <c r="AV136" i="7"/>
  <c r="AV298" i="7"/>
  <c r="AV145" i="7"/>
  <c r="AV163" i="7"/>
  <c r="AV253" i="7"/>
  <c r="AV127" i="7"/>
  <c r="AV217" i="7"/>
  <c r="AV154" i="7"/>
  <c r="AV226" i="7"/>
  <c r="AV262" i="7"/>
  <c r="AV280" i="7"/>
  <c r="AV199" i="7"/>
  <c r="AV307" i="7"/>
  <c r="AV289" i="7"/>
  <c r="AV208" i="7"/>
  <c r="AV172" i="7"/>
  <c r="AV118" i="7"/>
  <c r="AV271" i="7"/>
  <c r="AV109" i="7"/>
  <c r="AV244" i="7"/>
  <c r="AV181" i="7"/>
  <c r="AV316" i="7"/>
  <c r="AW162" i="7"/>
  <c r="AW261" i="7"/>
  <c r="AW243" i="7"/>
  <c r="AW126" i="7"/>
  <c r="AW279" i="7"/>
  <c r="AW144" i="7"/>
  <c r="AW306" i="7"/>
  <c r="AW99" i="7"/>
  <c r="AW135" i="7"/>
  <c r="AT101" i="7"/>
  <c r="AT92" i="7"/>
  <c r="AT254" i="7"/>
  <c r="AT119" i="7"/>
  <c r="AT299" i="7"/>
  <c r="AT128" i="7"/>
  <c r="AT155" i="7"/>
  <c r="AT200" i="7"/>
  <c r="AT209" i="7"/>
  <c r="AT182" i="7"/>
  <c r="AT236" i="7"/>
  <c r="AT317" i="7"/>
  <c r="AT146" i="7"/>
  <c r="AT227" i="7"/>
  <c r="AT272" i="7"/>
  <c r="AT164" i="7"/>
  <c r="AT191" i="7"/>
  <c r="AT281" i="7"/>
  <c r="AT263" i="7"/>
  <c r="AT173" i="7"/>
  <c r="AT290" i="7"/>
  <c r="AT110" i="7"/>
  <c r="AT218" i="7"/>
  <c r="AT308" i="7"/>
  <c r="AT245" i="7"/>
  <c r="AV82" i="7"/>
  <c r="AV91" i="7"/>
  <c r="AW81" i="7"/>
  <c r="AW90" i="7"/>
  <c r="AT137" i="7"/>
  <c r="AT83" i="7"/>
  <c r="AV100" i="7"/>
  <c r="AW316" i="7"/>
  <c r="AW307" i="7"/>
  <c r="AW298" i="7"/>
  <c r="AW289" i="7"/>
  <c r="AW280" i="7"/>
  <c r="AW271" i="7"/>
  <c r="AW262" i="7"/>
  <c r="AW253" i="7"/>
  <c r="AW244" i="7"/>
  <c r="AW226" i="7"/>
  <c r="AW217" i="7"/>
  <c r="AW208" i="7"/>
  <c r="AW199" i="7"/>
  <c r="AW181" i="7"/>
  <c r="AW172" i="7"/>
  <c r="AW163" i="7"/>
  <c r="AW154" i="7"/>
  <c r="AW145" i="7"/>
  <c r="AW136" i="7"/>
  <c r="AW127" i="7"/>
  <c r="AW118" i="7"/>
  <c r="AW109" i="7"/>
  <c r="AV235" i="7"/>
  <c r="AW234" i="7"/>
  <c r="AV190" i="7"/>
  <c r="AS300" i="7"/>
  <c r="AS111" i="7"/>
  <c r="AS183" i="7"/>
  <c r="AS147" i="7"/>
  <c r="AS129" i="7"/>
  <c r="AS228" i="7"/>
  <c r="AS165" i="7"/>
  <c r="AS264" i="7"/>
  <c r="AS255" i="7"/>
  <c r="AS237" i="7"/>
  <c r="AS174" i="7"/>
  <c r="AS156" i="7"/>
  <c r="AS273" i="7"/>
  <c r="AS219" i="7"/>
  <c r="AS201" i="7"/>
  <c r="AS192" i="7"/>
  <c r="AS309" i="7"/>
  <c r="AS138" i="7"/>
  <c r="AS318" i="7"/>
  <c r="AS282" i="7"/>
  <c r="AS120" i="7"/>
  <c r="AV119" i="7"/>
  <c r="AS246" i="7"/>
  <c r="AS210" i="7"/>
  <c r="AS291" i="7"/>
  <c r="AW56" i="7" l="1"/>
  <c r="AW74" i="7"/>
  <c r="AW65" i="7"/>
  <c r="AW326" i="7"/>
  <c r="AV327" i="7"/>
  <c r="AV308" i="7"/>
  <c r="AV110" i="7"/>
  <c r="AV164" i="7"/>
  <c r="AV227" i="7"/>
  <c r="AV317" i="7"/>
  <c r="AV182" i="7"/>
  <c r="AV209" i="7"/>
  <c r="AV200" i="7"/>
  <c r="AV254" i="7"/>
  <c r="AV245" i="7"/>
  <c r="AV218" i="7"/>
  <c r="AV263" i="7"/>
  <c r="AV146" i="7"/>
  <c r="AV299" i="7"/>
  <c r="AV281" i="7"/>
  <c r="AV272" i="7"/>
  <c r="AV155" i="7"/>
  <c r="AV290" i="7"/>
  <c r="AV137" i="7"/>
  <c r="AV128" i="7"/>
  <c r="AV173" i="7"/>
  <c r="AT192" i="7"/>
  <c r="AT237" i="7"/>
  <c r="AW100" i="7"/>
  <c r="AV83" i="7"/>
  <c r="AW91" i="7"/>
  <c r="AW82" i="7"/>
  <c r="AT120" i="7"/>
  <c r="AT246" i="7"/>
  <c r="AT255" i="7"/>
  <c r="AT183" i="7"/>
  <c r="AT201" i="7"/>
  <c r="AT138" i="7"/>
  <c r="AT210" i="7"/>
  <c r="AT264" i="7"/>
  <c r="AT111" i="7"/>
  <c r="AT219" i="7"/>
  <c r="AT282" i="7"/>
  <c r="AT165" i="7"/>
  <c r="AT300" i="7"/>
  <c r="AT273" i="7"/>
  <c r="AT228" i="7"/>
  <c r="AT156" i="7"/>
  <c r="AT129" i="7"/>
  <c r="AT291" i="7"/>
  <c r="AT174" i="7"/>
  <c r="AT147" i="7"/>
  <c r="AT318" i="7"/>
  <c r="AT309" i="7"/>
  <c r="AV101" i="7"/>
  <c r="AW317" i="7"/>
  <c r="AW308" i="7"/>
  <c r="AW299" i="7"/>
  <c r="AW254" i="7"/>
  <c r="AW227" i="7"/>
  <c r="AW200" i="7"/>
  <c r="AW182" i="7"/>
  <c r="AW164" i="7"/>
  <c r="AW119" i="7"/>
  <c r="AW110" i="7"/>
  <c r="AV92" i="7"/>
  <c r="AV236" i="7"/>
  <c r="AW235" i="7"/>
  <c r="AV191" i="7"/>
  <c r="AW190" i="7"/>
  <c r="AW327" i="7" l="1"/>
  <c r="AW209" i="7"/>
  <c r="AW281" i="7"/>
  <c r="AW128" i="7"/>
  <c r="AW137" i="7"/>
  <c r="AW155" i="7"/>
  <c r="AW272" i="7"/>
  <c r="AW263" i="7"/>
  <c r="AW218" i="7"/>
  <c r="AW245" i="7"/>
  <c r="AW146" i="7"/>
  <c r="AW290" i="7"/>
  <c r="AW173" i="7"/>
  <c r="AW101" i="7"/>
  <c r="AV309" i="7"/>
  <c r="AV318" i="7"/>
  <c r="AV147" i="7"/>
  <c r="AV174" i="7"/>
  <c r="AV291" i="7"/>
  <c r="AV129" i="7"/>
  <c r="AV156" i="7"/>
  <c r="AV228" i="7"/>
  <c r="AV273" i="7"/>
  <c r="AV300" i="7"/>
  <c r="AV165" i="7"/>
  <c r="AV282" i="7"/>
  <c r="AV219" i="7"/>
  <c r="AV111" i="7"/>
  <c r="AV264" i="7"/>
  <c r="AV210" i="7"/>
  <c r="AV201" i="7"/>
  <c r="AV183" i="7"/>
  <c r="AV255" i="7"/>
  <c r="AV246" i="7"/>
  <c r="AV120" i="7"/>
  <c r="AW83" i="7"/>
  <c r="AV138" i="7"/>
  <c r="AW92" i="7"/>
  <c r="AW236" i="7"/>
  <c r="AV237" i="7"/>
  <c r="AW191" i="7"/>
  <c r="AV192" i="7"/>
  <c r="AW120" i="7" l="1"/>
  <c r="AW246" i="7"/>
  <c r="AW255" i="7"/>
  <c r="AW183" i="7"/>
  <c r="AW201" i="7"/>
  <c r="AW210" i="7"/>
  <c r="AW264" i="7"/>
  <c r="AW111" i="7"/>
  <c r="AW219" i="7"/>
  <c r="AW282" i="7"/>
  <c r="AW165" i="7"/>
  <c r="AW300" i="7"/>
  <c r="AW273" i="7"/>
  <c r="AW228" i="7"/>
  <c r="AW156" i="7"/>
  <c r="AW129" i="7"/>
  <c r="AW291" i="7"/>
  <c r="AW174" i="7"/>
  <c r="AW147" i="7"/>
  <c r="AW318" i="7"/>
  <c r="AW309" i="7"/>
  <c r="AW138" i="7"/>
  <c r="AW237" i="7"/>
  <c r="AW19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G22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累计价格</t>
        </r>
      </text>
    </comment>
    <comment ref="I22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累计攻击力</t>
        </r>
      </text>
    </comment>
    <comment ref="J22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累计攻速</t>
        </r>
      </text>
    </comment>
    <comment ref="K22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累计暴击，爆伤150%</t>
        </r>
      </text>
    </comment>
    <comment ref="L22" authorId="0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初始100，可以不考虑射程带来的输出提升，每个武将成长固定。</t>
        </r>
      </text>
    </comment>
    <comment ref="M22" authorId="0" shapeId="0" xr:uid="{00000000-0006-0000-0200-000006000000}">
      <text>
        <r>
          <rPr>
            <b/>
            <sz val="9"/>
            <color indexed="81"/>
            <rFont val="宋体"/>
            <family val="3"/>
            <charset val="134"/>
          </rPr>
          <t>基本保持dps/打造成本=1，升级可以稍微提升一点。
算9次普攻放一次技能，普攻次数/技能=9</t>
        </r>
      </text>
    </comment>
    <comment ref="W22" authorId="0" shapeId="0" xr:uid="{00000000-0006-0000-0200-000007000000}">
      <text>
        <r>
          <rPr>
            <b/>
            <sz val="9"/>
            <color indexed="81"/>
            <rFont val="宋体"/>
            <family val="3"/>
            <charset val="134"/>
          </rPr>
          <t>hp*移速就是生存能力，赏金=怪物生存/每波平均怪物数（不能太多，武将攻速不够消灭不了），暂定10个怪物。</t>
        </r>
      </text>
    </comment>
    <comment ref="X22" authorId="0" shapeId="0" xr:uid="{00000000-0006-0000-0200-000008000000}">
      <text>
        <r>
          <rPr>
            <b/>
            <sz val="9"/>
            <color indexed="81"/>
            <rFont val="宋体"/>
            <family val="3"/>
            <charset val="134"/>
          </rPr>
          <t>也叫理论赏金，和输出、生存是固定比例关系，用来估算关卡难度。但实际赏金不能这么设计，应该用左边的。</t>
        </r>
      </text>
    </comment>
    <comment ref="AP22" authorId="0" shapeId="0" xr:uid="{00000000-0006-0000-0200-000009000000}">
      <text>
        <r>
          <rPr>
            <b/>
            <sz val="9"/>
            <color indexed="81"/>
            <rFont val="宋体"/>
            <family val="3"/>
            <charset val="134"/>
          </rPr>
          <t>1:1*1
4:2*2
9:3*3
16:4*4
25:5*5</t>
        </r>
      </text>
    </comment>
    <comment ref="AV22" authorId="0" shapeId="0" xr:uid="{00000000-0006-0000-0200-00000A000000}">
      <text>
        <r>
          <rPr>
            <b/>
            <sz val="9"/>
            <color indexed="81"/>
            <rFont val="宋体"/>
            <family val="3"/>
            <charset val="134"/>
          </rPr>
          <t>就是我这一波的瞬时输出/单位怪物血量，等于1刚好打平，值越大越容易。</t>
        </r>
      </text>
    </comment>
    <comment ref="AW22" authorId="0" shapeId="0" xr:uid="{A26F9F51-E4F5-4382-AED2-85A92EBBBB02}">
      <text>
        <r>
          <rPr>
            <b/>
            <sz val="9"/>
            <color indexed="81"/>
            <rFont val="宋体"/>
            <family val="3"/>
            <charset val="134"/>
          </rPr>
          <t>就是我这一波的瞬时输出/单位怪物血量，等于1刚好打平，值越大越容易。</t>
        </r>
      </text>
    </comment>
    <comment ref="E23" authorId="0" shapeId="0" xr:uid="{00000000-0006-0000-0200-00000B000000}">
      <text>
        <r>
          <rPr>
            <b/>
            <sz val="9"/>
            <color indexed="81"/>
            <rFont val="宋体"/>
            <family val="3"/>
            <charset val="134"/>
          </rPr>
          <t>没有技能，纯平A</t>
        </r>
      </text>
    </comment>
    <comment ref="E29" authorId="0" shapeId="0" xr:uid="{00000000-0006-0000-0200-00000C000000}">
      <text>
        <r>
          <rPr>
            <b/>
            <sz val="9"/>
            <color indexed="81"/>
            <rFont val="宋体"/>
            <family val="3"/>
            <charset val="134"/>
          </rPr>
          <t>越女的技能是被动，不是大招，所以直接算普攻强化。</t>
        </r>
      </text>
    </comment>
    <comment ref="E35" authorId="0" shapeId="0" xr:uid="{00000000-0006-0000-0200-00000D000000}">
      <text>
        <r>
          <rPr>
            <b/>
            <sz val="9"/>
            <color indexed="81"/>
            <rFont val="宋体"/>
            <family val="3"/>
            <charset val="134"/>
          </rPr>
          <t>大概aoe/单体=7/3
给个60%aoe削减，不然单体刮痧</t>
        </r>
      </text>
    </comment>
    <comment ref="E41" authorId="0" shapeId="0" xr:uid="{00000000-0006-0000-0200-00000E000000}">
      <text>
        <r>
          <rPr>
            <b/>
            <sz val="9"/>
            <color indexed="81"/>
            <rFont val="宋体"/>
            <family val="3"/>
            <charset val="134"/>
          </rPr>
          <t>没有技能，纯平A，可以攻击飞行单位，需要考虑150%的加成</t>
        </r>
      </text>
    </comment>
    <comment ref="E47" authorId="0" shapeId="0" xr:uid="{00000000-0006-0000-0200-00000F000000}">
      <text>
        <r>
          <rPr>
            <b/>
            <sz val="9"/>
            <color indexed="81"/>
            <rFont val="宋体"/>
            <family val="3"/>
            <charset val="134"/>
          </rPr>
          <t>没有技能，纯平A，可以攻击飞行单位，需要考虑150%的加成</t>
        </r>
      </text>
    </comment>
    <comment ref="E53" authorId="0" shapeId="0" xr:uid="{00000000-0006-0000-0200-000010000000}">
      <text>
        <r>
          <rPr>
            <b/>
            <sz val="9"/>
            <color indexed="81"/>
            <rFont val="宋体"/>
            <family val="3"/>
            <charset val="134"/>
          </rPr>
          <t>没有技能，纯平A，不可以攻击飞行单位</t>
        </r>
      </text>
    </comment>
    <comment ref="E59" authorId="0" shapeId="0" xr:uid="{00000000-0006-0000-0200-000011000000}">
      <text>
        <r>
          <rPr>
            <b/>
            <sz val="9"/>
            <color indexed="81"/>
            <rFont val="宋体"/>
            <family val="3"/>
            <charset val="134"/>
          </rPr>
          <t>没有技能，纯平A，不可以攻击飞行单位</t>
        </r>
      </text>
    </comment>
    <comment ref="E65" authorId="0" shapeId="0" xr:uid="{00000000-0006-0000-0200-000012000000}">
      <text>
        <r>
          <rPr>
            <b/>
            <sz val="9"/>
            <color indexed="81"/>
            <rFont val="宋体"/>
            <family val="3"/>
            <charset val="134"/>
          </rPr>
          <t>这里的技能效用就是和普攻系数的比。</t>
        </r>
      </text>
    </comment>
    <comment ref="E71" authorId="0" shapeId="0" xr:uid="{00000000-0006-0000-0200-000013000000}">
      <text>
        <r>
          <rPr>
            <b/>
            <sz val="9"/>
            <color indexed="81"/>
            <rFont val="宋体"/>
            <family val="3"/>
            <charset val="134"/>
          </rPr>
          <t>这里的技能效用就是和普攻系数的比。</t>
        </r>
      </text>
    </comment>
    <comment ref="E77" authorId="0" shapeId="0" xr:uid="{00000000-0006-0000-0200-000014000000}">
      <text>
        <r>
          <rPr>
            <b/>
            <sz val="9"/>
            <color indexed="81"/>
            <rFont val="宋体"/>
            <family val="3"/>
            <charset val="134"/>
          </rPr>
          <t>屈原的洪水可以击飞，有点控制效用，给120%修正</t>
        </r>
      </text>
    </comment>
    <comment ref="E83" authorId="0" shapeId="0" xr:uid="{00000000-0006-0000-0200-000015000000}">
      <text>
        <r>
          <rPr>
            <b/>
            <sz val="9"/>
            <color indexed="81"/>
            <rFont val="宋体"/>
            <family val="3"/>
            <charset val="134"/>
          </rPr>
          <t>灼烧系数很低，算了一点点效用，大招强度基本和勾践差不多。</t>
        </r>
      </text>
    </comment>
  </commentList>
</comments>
</file>

<file path=xl/sharedStrings.xml><?xml version="1.0" encoding="utf-8"?>
<sst xmlns="http://schemas.openxmlformats.org/spreadsheetml/2006/main" count="367" uniqueCount="146">
  <si>
    <t>关卡</t>
    <phoneticPr fontId="1" type="noConversion"/>
  </si>
  <si>
    <t>刷怪点</t>
    <phoneticPr fontId="1" type="noConversion"/>
  </si>
  <si>
    <t>怪物波次</t>
    <phoneticPr fontId="1" type="noConversion"/>
  </si>
  <si>
    <t>怪物名称</t>
    <phoneticPr fontId="1" type="noConversion"/>
  </si>
  <si>
    <t>终点伤害</t>
    <phoneticPr fontId="1" type="noConversion"/>
  </si>
  <si>
    <t>攻击力</t>
    <phoneticPr fontId="1" type="noConversion"/>
  </si>
  <si>
    <t>攻击速度</t>
    <phoneticPr fontId="1" type="noConversion"/>
  </si>
  <si>
    <t>暴击率</t>
    <phoneticPr fontId="1" type="noConversion"/>
  </si>
  <si>
    <t>射程</t>
    <phoneticPr fontId="1" type="noConversion"/>
  </si>
  <si>
    <t>等级</t>
    <phoneticPr fontId="1" type="noConversion"/>
  </si>
  <si>
    <t>墨子</t>
    <phoneticPr fontId="1" type="noConversion"/>
  </si>
  <si>
    <t>HP</t>
    <phoneticPr fontId="1" type="noConversion"/>
  </si>
  <si>
    <t>移速</t>
    <phoneticPr fontId="1" type="noConversion"/>
  </si>
  <si>
    <t>关卡1</t>
    <phoneticPr fontId="1" type="noConversion"/>
  </si>
  <si>
    <t>初始金币</t>
    <phoneticPr fontId="1" type="noConversion"/>
  </si>
  <si>
    <t>关卡2</t>
    <phoneticPr fontId="1" type="noConversion"/>
  </si>
  <si>
    <t>关卡3</t>
    <phoneticPr fontId="1" type="noConversion"/>
  </si>
  <si>
    <t>建造价格</t>
    <phoneticPr fontId="1" type="noConversion"/>
  </si>
  <si>
    <t>关卡4</t>
    <phoneticPr fontId="1" type="noConversion"/>
  </si>
  <si>
    <t>关卡5</t>
    <phoneticPr fontId="1" type="noConversion"/>
  </si>
  <si>
    <t>道具1</t>
    <phoneticPr fontId="1" type="noConversion"/>
  </si>
  <si>
    <t>数量</t>
    <phoneticPr fontId="1" type="noConversion"/>
  </si>
  <si>
    <t>一格为40*40</t>
    <phoneticPr fontId="1" type="noConversion"/>
  </si>
  <si>
    <t>战斗场景是540*320</t>
    <phoneticPr fontId="1" type="noConversion"/>
  </si>
  <si>
    <t>城门</t>
    <phoneticPr fontId="1" type="noConversion"/>
  </si>
  <si>
    <t>代表可放置武将点位</t>
    <phoneticPr fontId="1" type="noConversion"/>
  </si>
  <si>
    <t>代表怪物移动路径</t>
    <phoneticPr fontId="1" type="noConversion"/>
  </si>
  <si>
    <t>武将</t>
    <phoneticPr fontId="1" type="noConversion"/>
  </si>
  <si>
    <t>技能效用</t>
    <phoneticPr fontId="1" type="noConversion"/>
  </si>
  <si>
    <t>越女</t>
    <phoneticPr fontId="1" type="noConversion"/>
  </si>
  <si>
    <t>武将数值</t>
    <phoneticPr fontId="1" type="noConversion"/>
  </si>
  <si>
    <t>怪物数值</t>
    <phoneticPr fontId="1" type="noConversion"/>
  </si>
  <si>
    <t>赏金</t>
    <phoneticPr fontId="1" type="noConversion"/>
  </si>
  <si>
    <t>波次ID</t>
  </si>
  <si>
    <t>等待时间</t>
  </si>
  <si>
    <t>刷怪间隔</t>
  </si>
  <si>
    <t>刷怪数量</t>
  </si>
  <si>
    <t>金币</t>
    <phoneticPr fontId="1" type="noConversion"/>
  </si>
  <si>
    <t>难度</t>
    <phoneticPr fontId="1" type="noConversion"/>
  </si>
  <si>
    <t>道具2</t>
  </si>
  <si>
    <t>道具3</t>
  </si>
  <si>
    <t>每级价格</t>
    <phoneticPr fontId="1" type="noConversion"/>
  </si>
  <si>
    <t>关卡</t>
    <phoneticPr fontId="1" type="noConversion"/>
  </si>
  <si>
    <t>销毁返还</t>
    <phoneticPr fontId="1" type="noConversion"/>
  </si>
  <si>
    <t>建造成本梯度</t>
    <phoneticPr fontId="1" type="noConversion"/>
  </si>
  <si>
    <t>梯度差</t>
    <phoneticPr fontId="1" type="noConversion"/>
  </si>
  <si>
    <t>怪物组</t>
    <phoneticPr fontId="1" type="noConversion"/>
  </si>
  <si>
    <t>aoe削减</t>
    <phoneticPr fontId="1" type="noConversion"/>
  </si>
  <si>
    <t>组数</t>
    <phoneticPr fontId="1" type="noConversion"/>
  </si>
  <si>
    <t>移速转换</t>
    <phoneticPr fontId="1" type="noConversion"/>
  </si>
  <si>
    <t>怪物ID</t>
    <phoneticPr fontId="1" type="noConversion"/>
  </si>
  <si>
    <t>单体，残影追杀</t>
    <phoneticPr fontId="1" type="noConversion"/>
  </si>
  <si>
    <t>大招范围持续aoe</t>
    <phoneticPr fontId="1" type="noConversion"/>
  </si>
  <si>
    <t>武将实际攻击=攻击力*50/4</t>
    <phoneticPr fontId="1" type="noConversion"/>
  </si>
  <si>
    <t>15是标准移速，100是标准攻速。</t>
    <phoneticPr fontId="1" type="noConversion"/>
  </si>
  <si>
    <t>不用削减暂时</t>
    <phoneticPr fontId="1" type="noConversion"/>
  </si>
  <si>
    <t>普攻系数是0.25</t>
    <phoneticPr fontId="1" type="noConversion"/>
  </si>
  <si>
    <t>难度赏金</t>
    <phoneticPr fontId="1" type="noConversion"/>
  </si>
  <si>
    <t>线性aoe</t>
    <phoneticPr fontId="1" type="noConversion"/>
  </si>
  <si>
    <t>勾践</t>
    <phoneticPr fontId="1" type="noConversion"/>
  </si>
  <si>
    <t>勾践和墨子有大招，平均7次普攻放一次大。</t>
    <phoneticPr fontId="1" type="noConversion"/>
  </si>
  <si>
    <t>性价比</t>
    <phoneticPr fontId="1" type="noConversion"/>
  </si>
  <si>
    <t>怪物血量梯度</t>
    <phoneticPr fontId="1" type="noConversion"/>
  </si>
  <si>
    <t>钟无艳</t>
    <phoneticPr fontId="1" type="noConversion"/>
  </si>
  <si>
    <t>春申君</t>
    <phoneticPr fontId="1" type="noConversion"/>
  </si>
  <si>
    <t>单体，远程</t>
    <phoneticPr fontId="1" type="noConversion"/>
  </si>
  <si>
    <t>单体，近战</t>
    <phoneticPr fontId="1" type="noConversion"/>
  </si>
  <si>
    <t>廉颇</t>
    <phoneticPr fontId="1" type="noConversion"/>
  </si>
  <si>
    <t>单体，远程</t>
    <phoneticPr fontId="1" type="noConversion"/>
  </si>
  <si>
    <t>暴鸢</t>
    <phoneticPr fontId="1" type="noConversion"/>
  </si>
  <si>
    <t>天开启</t>
  </si>
  <si>
    <t>轮</t>
  </si>
  <si>
    <t>钻</t>
  </si>
  <si>
    <t>3.每轮累积奖励钻石</t>
    <phoneticPr fontId="1" type="noConversion"/>
  </si>
  <si>
    <t>1.活动距离服务器</t>
    <phoneticPr fontId="1" type="noConversion"/>
  </si>
  <si>
    <t>钻石价格</t>
    <phoneticPr fontId="1" type="noConversion"/>
  </si>
  <si>
    <t>道具4</t>
    <phoneticPr fontId="1" type="noConversion"/>
  </si>
  <si>
    <t>累计钻石价值</t>
    <phoneticPr fontId="1" type="noConversion"/>
  </si>
  <si>
    <t>定义等级</t>
  </si>
  <si>
    <t>累积停留天数(标准）</t>
    <phoneticPr fontId="1" type="noConversion"/>
  </si>
  <si>
    <t>大殿等级</t>
  </si>
  <si>
    <t>调整系数</t>
    <phoneticPr fontId="1" type="noConversion"/>
  </si>
  <si>
    <t>,</t>
    <phoneticPr fontId="1" type="noConversion"/>
  </si>
  <si>
    <t>定义等级累积停留天数（天）</t>
  </si>
  <si>
    <t>定义等级阶段停留天数（天）</t>
  </si>
  <si>
    <t>天数对应定义等级</t>
  </si>
  <si>
    <t>大殿等级累积停留时间(天）</t>
  </si>
  <si>
    <t>大殿等级阶段停留时间（天）</t>
  </si>
  <si>
    <t>天数对应大殿等级</t>
    <phoneticPr fontId="1" type="noConversion"/>
  </si>
  <si>
    <t>预估养成队伍数量</t>
    <phoneticPr fontId="1" type="noConversion"/>
  </si>
  <si>
    <t>非r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</si>
  <si>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</si>
  <si>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</si>
  <si>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</si>
  <si>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</si>
  <si>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</si>
  <si>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</si>
  <si>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</si>
  <si>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</si>
  <si>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天数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</si>
  <si>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</si>
  <si>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</si>
  <si>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</si>
  <si>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</si>
  <si>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</si>
  <si>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超r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</si>
  <si>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</si>
  <si>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</si>
  <si>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</si>
  <si>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非r累积时长定义等级标准</t>
  </si>
  <si>
    <t>累积天数</t>
    <phoneticPr fontId="1" type="noConversion"/>
  </si>
  <si>
    <t>调整值</t>
    <phoneticPr fontId="1" type="noConversion"/>
  </si>
  <si>
    <t>非r累积时长大殿等级标准</t>
  </si>
  <si>
    <t>累积天数</t>
    <phoneticPr fontId="1" type="noConversion"/>
  </si>
  <si>
    <t>调整值</t>
    <phoneticPr fontId="1" type="noConversion"/>
  </si>
  <si>
    <t>天数对应累积钻石产出</t>
    <phoneticPr fontId="1" type="noConversion"/>
  </si>
  <si>
    <t>等级对应累积钻石产出</t>
    <phoneticPr fontId="1" type="noConversion"/>
  </si>
  <si>
    <t>吕不韦</t>
    <phoneticPr fontId="1" type="noConversion"/>
  </si>
  <si>
    <t>嬴政</t>
    <phoneticPr fontId="1" type="noConversion"/>
  </si>
  <si>
    <t>圆形aoe</t>
    <phoneticPr fontId="1" type="noConversion"/>
  </si>
  <si>
    <t>屈原</t>
    <phoneticPr fontId="1" type="noConversion"/>
  </si>
  <si>
    <t>横条aoe</t>
    <phoneticPr fontId="1" type="noConversion"/>
  </si>
  <si>
    <t>指向性aoe</t>
    <phoneticPr fontId="1" type="noConversion"/>
  </si>
  <si>
    <t>田单</t>
    <phoneticPr fontId="1" type="noConversion"/>
  </si>
  <si>
    <t>兵家信物</t>
    <phoneticPr fontId="1" type="noConversion"/>
  </si>
  <si>
    <t>一吊刀币</t>
    <phoneticPr fontId="1" type="noConversion"/>
  </si>
  <si>
    <t>普通资源自选宝箱</t>
    <phoneticPr fontId="1" type="noConversion"/>
  </si>
  <si>
    <t>预估大殿等级</t>
    <phoneticPr fontId="1" type="noConversion"/>
  </si>
  <si>
    <t>大殿等级</t>
    <phoneticPr fontId="1" type="noConversion"/>
  </si>
  <si>
    <t>攻击提升</t>
    <phoneticPr fontId="1" type="noConversion"/>
  </si>
  <si>
    <t>对应攻击提升</t>
    <phoneticPr fontId="1" type="noConversion"/>
  </si>
  <si>
    <t>计算主城后难度</t>
    <phoneticPr fontId="1" type="noConversion"/>
  </si>
  <si>
    <t>每波预估瞬间输出</t>
    <phoneticPr fontId="1" type="noConversion"/>
  </si>
  <si>
    <t>单位怪物血量</t>
    <phoneticPr fontId="1" type="noConversion"/>
  </si>
  <si>
    <t>提升值</t>
    <phoneticPr fontId="1" type="noConversion"/>
  </si>
  <si>
    <t>移速参考</t>
    <phoneticPr fontId="1" type="noConversion"/>
  </si>
  <si>
    <t>血量参考</t>
    <phoneticPr fontId="1" type="noConversion"/>
  </si>
  <si>
    <t>累积到达天数</t>
    <phoneticPr fontId="1" type="noConversion"/>
  </si>
  <si>
    <t>2.活动为一次性活动预估玩家一个月完成，奖励定为每月</t>
    <phoneticPr fontId="1" type="noConversion"/>
  </si>
  <si>
    <t>一担粮食</t>
    <phoneticPr fontId="1" type="noConversion"/>
  </si>
  <si>
    <t>一担木材</t>
    <phoneticPr fontId="1" type="noConversion"/>
  </si>
  <si>
    <t>一担石料</t>
    <phoneticPr fontId="1" type="noConversion"/>
  </si>
  <si>
    <t>一担铜矿</t>
    <phoneticPr fontId="1" type="noConversion"/>
  </si>
  <si>
    <t>高级点将牌</t>
    <phoneticPr fontId="1" type="noConversion"/>
  </si>
  <si>
    <t>新手引导关卡初始</t>
    <phoneticPr fontId="1" type="noConversion"/>
  </si>
  <si>
    <t>祖龙今年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</si>
</sst>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%"/>
  </numFmts>
  <fonts count="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rgb="FFFF0000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>
      <alignment vertical="center"/>
    </xf>
  </cellStyleXfs>
  <cellXfs count="91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0" fillId="2" borderId="0" xfId="0" applyFill="1"/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0" xfId="0" applyBorder="1"/>
    <xf numFmtId="0" fontId="0" fillId="0" borderId="12" xfId="0" applyBorder="1"/>
    <xf numFmtId="0" fontId="0" fillId="0" borderId="11" xfId="0" applyBorder="1" applyAlignment="1">
      <alignment horizontal="center" vertical="center"/>
    </xf>
    <xf numFmtId="0" fontId="0" fillId="4" borderId="0" xfId="0" applyFill="1" applyBorder="1"/>
    <xf numFmtId="0" fontId="0" fillId="0" borderId="0" xfId="0" applyFill="1"/>
    <xf numFmtId="0" fontId="0" fillId="0" borderId="1" xfId="0" applyFill="1" applyBorder="1"/>
    <xf numFmtId="0" fontId="0" fillId="4" borderId="0" xfId="0" applyFill="1"/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 shrinkToFit="1"/>
    </xf>
    <xf numFmtId="0" fontId="0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2" fontId="0" fillId="5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1" xfId="0" applyFill="1" applyBorder="1" applyAlignment="1">
      <alignment horizontal="center" vertical="center" shrinkToFit="1"/>
    </xf>
    <xf numFmtId="0" fontId="0" fillId="6" borderId="0" xfId="0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left" vertical="center"/>
    </xf>
    <xf numFmtId="0" fontId="7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 shrinkToFit="1"/>
    </xf>
    <xf numFmtId="2" fontId="0" fillId="3" borderId="1" xfId="0" applyNumberFormat="1" applyFill="1" applyBorder="1" applyAlignment="1">
      <alignment horizontal="center" vertical="center"/>
    </xf>
    <xf numFmtId="177" fontId="0" fillId="0" borderId="1" xfId="1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</row>
        <row r="53">
          <cell r="F53">
            <v>51</v>
          </cell>
          <cell r="G53">
            <v>33.296750801161366</v>
          </cell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</row>
        <row r="54">
          <cell r="F54">
            <v>52</v>
          </cell>
          <cell r="G54">
            <v>35.758347359905123</v>
          </cell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</row>
        <row r="55">
          <cell r="F55">
            <v>53</v>
          </cell>
          <cell r="G55">
            <v>38.396621227037308</v>
          </cell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</row>
        <row r="56">
          <cell r="F56">
            <v>54</v>
          </cell>
          <cell r="G56">
            <v>41.224253144732614</v>
          </cell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</row>
        <row r="57">
          <cell r="F57">
            <v>55</v>
          </cell>
          <cell r="G57">
            <v>44.254833995939045</v>
          </cell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</row>
        <row r="58">
          <cell r="F58">
            <v>56</v>
          </cell>
          <cell r="G58">
            <v>47.502930128332721</v>
          </cell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</row>
        <row r="59">
          <cell r="F59">
            <v>57</v>
          </cell>
          <cell r="G59">
            <v>50.984153366799077</v>
          </cell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</row>
        <row r="60">
          <cell r="F60">
            <v>58</v>
          </cell>
          <cell r="G60">
            <v>54.715236050951923</v>
          </cell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</row>
        <row r="61">
          <cell r="F61">
            <v>59</v>
          </cell>
          <cell r="G61">
            <v>58.714111458355703</v>
          </cell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</row>
        <row r="62">
          <cell r="F62">
            <v>60</v>
          </cell>
          <cell r="G62">
            <v>63</v>
          </cell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</row>
        <row r="63">
          <cell r="F63">
            <v>61</v>
          </cell>
          <cell r="G63">
            <v>67.593501602322732</v>
          </cell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</row>
        <row r="64">
          <cell r="F64">
            <v>62</v>
          </cell>
          <cell r="G64">
            <v>72.516694719810218</v>
          </cell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</row>
        <row r="65">
          <cell r="F65">
            <v>63</v>
          </cell>
          <cell r="G65">
            <v>77.793242454074615</v>
          </cell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</row>
        <row r="66">
          <cell r="F66">
            <v>64</v>
          </cell>
          <cell r="G66">
            <v>83.4485062894652</v>
          </cell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</row>
        <row r="67">
          <cell r="F67">
            <v>65</v>
          </cell>
          <cell r="G67">
            <v>89.509667991878061</v>
          </cell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</row>
        <row r="68">
          <cell r="F68">
            <v>66</v>
          </cell>
          <cell r="G68">
            <v>96.005860256665443</v>
          </cell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</row>
        <row r="69">
          <cell r="F69">
            <v>67</v>
          </cell>
          <cell r="G69">
            <v>102.96830673359811</v>
          </cell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</row>
        <row r="70">
          <cell r="F70">
            <v>68</v>
          </cell>
          <cell r="G70">
            <v>110.43047210190386</v>
          </cell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</row>
        <row r="71">
          <cell r="F71">
            <v>69</v>
          </cell>
          <cell r="G71">
            <v>118.42822291671132</v>
          </cell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</row>
        <row r="72">
          <cell r="F72">
            <v>70</v>
          </cell>
          <cell r="G72">
            <v>127</v>
          </cell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</row>
        <row r="73">
          <cell r="F73">
            <v>71</v>
          </cell>
          <cell r="G73">
            <v>136.18700320464549</v>
          </cell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</row>
        <row r="74">
          <cell r="F74">
            <v>72</v>
          </cell>
          <cell r="G74">
            <v>146.03338943962044</v>
          </cell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</row>
        <row r="75">
          <cell r="F75">
            <v>73</v>
          </cell>
          <cell r="G75">
            <v>156.58648490814926</v>
          </cell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</row>
        <row r="76">
          <cell r="F76">
            <v>74</v>
          </cell>
          <cell r="G76">
            <v>167.89701257893043</v>
          </cell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</row>
        <row r="77">
          <cell r="F77">
            <v>75</v>
          </cell>
          <cell r="G77">
            <v>180.01933598375612</v>
          </cell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</row>
        <row r="78">
          <cell r="F78">
            <v>76</v>
          </cell>
          <cell r="G78">
            <v>193.01172051333091</v>
          </cell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</row>
        <row r="79">
          <cell r="F79">
            <v>77</v>
          </cell>
          <cell r="G79">
            <v>206.93661346719625</v>
          </cell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</row>
        <row r="80">
          <cell r="F80">
            <v>78</v>
          </cell>
          <cell r="G80">
            <v>221.86094420380775</v>
          </cell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</row>
        <row r="81">
          <cell r="F81">
            <v>79</v>
          </cell>
          <cell r="G81">
            <v>237.85644583342264</v>
          </cell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</row>
        <row r="82">
          <cell r="F82">
            <v>80</v>
          </cell>
          <cell r="G82">
            <v>255</v>
          </cell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C6">
            <v>4138.8491835815348</v>
          </cell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</row>
      </sheetData>
      <sheetData sheetId="12"/>
      <sheetData sheetId="13">
        <row r="6">
          <cell r="T6">
            <v>0</v>
          </cell>
        </row>
      </sheetData>
      <sheetData sheetId="14">
        <row r="6">
          <cell r="C6">
            <v>562785.51873358048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8101.9050195413729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1.9884843757322645E-6</v>
          </cell>
        </row>
      </sheetData>
      <sheetData sheetId="24">
        <row r="4">
          <cell r="K4">
            <v>1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1">
          <cell r="C1" t="str">
            <v>道具价值</v>
          </cell>
          <cell r="P1" t="str">
            <v>buff价值</v>
          </cell>
        </row>
        <row r="2">
          <cell r="F2" t="str">
            <v>（1-10天）</v>
          </cell>
          <cell r="G2" t="str">
            <v>(11-180天）</v>
          </cell>
          <cell r="H2" t="str">
            <v>（181~360天）</v>
          </cell>
          <cell r="I2" t="str">
            <v>（1-10天）</v>
          </cell>
          <cell r="J2" t="str">
            <v>(11-180天）</v>
          </cell>
          <cell r="K2" t="str">
            <v>（181~360天）</v>
          </cell>
        </row>
        <row r="3">
          <cell r="C3" t="str">
            <v>sid</v>
          </cell>
          <cell r="D3" t="str">
            <v>名称</v>
          </cell>
          <cell r="E3" t="str">
            <v>价格</v>
          </cell>
          <cell r="F3" t="str">
            <v>调整参数</v>
          </cell>
          <cell r="G3" t="str">
            <v>调整参数</v>
          </cell>
          <cell r="H3" t="str">
            <v>调整参数</v>
          </cell>
          <cell r="I3" t="str">
            <v>实际价格</v>
          </cell>
          <cell r="J3" t="str">
            <v>实际价格</v>
          </cell>
          <cell r="K3" t="str">
            <v>实际价格</v>
          </cell>
          <cell r="L3" t="str">
            <v>描述</v>
          </cell>
          <cell r="P3" t="str">
            <v>buff效果</v>
          </cell>
          <cell r="Q3" t="str">
            <v>单位价值（100%加成/天）</v>
          </cell>
        </row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6580.9143041563138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1304.381932837668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526.56698383615992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3919.2796718797345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5493.5213862222308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159.10603085818101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159.10603085818101</v>
          </cell>
        </row>
        <row r="13">
          <cell r="D13" t="str">
            <v>粮食</v>
          </cell>
          <cell r="E13">
            <v>1.5532286312592918E-4</v>
          </cell>
          <cell r="F13">
            <v>1</v>
          </cell>
          <cell r="G13">
            <v>1</v>
          </cell>
          <cell r="H13">
            <v>0.5</v>
          </cell>
          <cell r="I13">
            <v>1.5532286312592918E-4</v>
          </cell>
          <cell r="J13">
            <v>1.5532286312592918E-4</v>
          </cell>
          <cell r="K13">
            <v>7.7661431562964592E-5</v>
          </cell>
          <cell r="P13" t="str">
            <v>铜矿产出加速/天</v>
          </cell>
          <cell r="Q13">
            <v>159.10603085818101</v>
          </cell>
        </row>
        <row r="14">
          <cell r="D14" t="str">
            <v>木材</v>
          </cell>
          <cell r="E14">
            <v>1.5532286312592918E-4</v>
          </cell>
          <cell r="F14">
            <v>1</v>
          </cell>
          <cell r="G14">
            <v>1</v>
          </cell>
          <cell r="H14">
            <v>0.5</v>
          </cell>
          <cell r="I14">
            <v>1.5532286312592918E-4</v>
          </cell>
          <cell r="J14">
            <v>1.5532286312592918E-4</v>
          </cell>
          <cell r="K14">
            <v>7.7661431562964592E-5</v>
          </cell>
          <cell r="P14" t="str">
            <v>粮食产出加速/天</v>
          </cell>
          <cell r="Q14">
            <v>159.10603085818101</v>
          </cell>
        </row>
        <row r="15">
          <cell r="D15" t="str">
            <v>石料</v>
          </cell>
          <cell r="E15">
            <v>1.5532286312592918E-4</v>
          </cell>
          <cell r="F15">
            <v>1</v>
          </cell>
          <cell r="G15">
            <v>1</v>
          </cell>
          <cell r="H15">
            <v>0.5</v>
          </cell>
          <cell r="I15">
            <v>1.5532286312592918E-4</v>
          </cell>
          <cell r="J15">
            <v>1.5532286312592918E-4</v>
          </cell>
          <cell r="K15">
            <v>7.7661431562964592E-5</v>
          </cell>
          <cell r="P15" t="str">
            <v>铁矿产出加速/天</v>
          </cell>
          <cell r="Q15">
            <v>238.65904628727151</v>
          </cell>
        </row>
        <row r="16">
          <cell r="D16" t="str">
            <v>铜矿</v>
          </cell>
          <cell r="E16">
            <v>1.5532286312592918E-4</v>
          </cell>
          <cell r="F16">
            <v>1</v>
          </cell>
          <cell r="G16">
            <v>1</v>
          </cell>
          <cell r="H16">
            <v>0.5</v>
          </cell>
          <cell r="I16">
            <v>1.5532286312592918E-4</v>
          </cell>
          <cell r="J16">
            <v>1.5532286312592918E-4</v>
          </cell>
          <cell r="K16">
            <v>7.7661431562964592E-5</v>
          </cell>
          <cell r="P16" t="str">
            <v>刀币产出加速/天</v>
          </cell>
          <cell r="Q16">
            <v>364.00823995945541</v>
          </cell>
        </row>
        <row r="17">
          <cell r="D17" t="str">
            <v>铁矿</v>
          </cell>
          <cell r="E17">
            <v>3.5830021050108204E-4</v>
          </cell>
          <cell r="F17">
            <v>1</v>
          </cell>
          <cell r="G17">
            <v>1</v>
          </cell>
          <cell r="H17">
            <v>0.5</v>
          </cell>
          <cell r="I17">
            <v>3.5830021050108204E-4</v>
          </cell>
          <cell r="J17">
            <v>3.5830021050108204E-4</v>
          </cell>
          <cell r="K17">
            <v>1.7915010525054102E-4</v>
          </cell>
          <cell r="P17" t="str">
            <v>木材采集加速/天</v>
          </cell>
          <cell r="Q17">
            <v>180.80790910307581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180.80790910307581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180.80790910307581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180.80790910307581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271.21186365461375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20000</v>
          </cell>
          <cell r="F28">
            <v>1</v>
          </cell>
          <cell r="G28">
            <v>1</v>
          </cell>
          <cell r="H28">
            <v>1</v>
          </cell>
          <cell r="I28">
            <v>20000</v>
          </cell>
          <cell r="J28">
            <v>20000</v>
          </cell>
          <cell r="K28">
            <v>20000</v>
          </cell>
        </row>
        <row r="29">
          <cell r="D29" t="str">
            <v>神将点将令</v>
          </cell>
          <cell r="E29">
            <v>400</v>
          </cell>
          <cell r="F29">
            <v>1</v>
          </cell>
          <cell r="G29">
            <v>1</v>
          </cell>
          <cell r="H29">
            <v>1</v>
          </cell>
          <cell r="I29">
            <v>400</v>
          </cell>
          <cell r="J29">
            <v>400</v>
          </cell>
          <cell r="K29">
            <v>400</v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D65" t="str">
            <v>7天限时橙色皮肤</v>
          </cell>
          <cell r="E65">
            <v>16000</v>
          </cell>
          <cell r="F65">
            <v>0.2</v>
          </cell>
          <cell r="G65">
            <v>0.2</v>
          </cell>
          <cell r="H65">
            <v>0.2</v>
          </cell>
          <cell r="I65">
            <v>3200</v>
          </cell>
          <cell r="J65">
            <v>3200</v>
          </cell>
          <cell r="K65">
            <v>3200</v>
          </cell>
          <cell r="L65" t="str">
            <v>7天</v>
          </cell>
        </row>
        <row r="66">
          <cell r="D66" t="str">
            <v>30天限时橙色皮肤</v>
          </cell>
          <cell r="E66">
            <v>16000</v>
          </cell>
          <cell r="F66">
            <v>0.5</v>
          </cell>
          <cell r="G66">
            <v>0.5</v>
          </cell>
          <cell r="H66">
            <v>0.5</v>
          </cell>
          <cell r="I66">
            <v>8000</v>
          </cell>
          <cell r="J66">
            <v>8000</v>
          </cell>
          <cell r="K66">
            <v>8000</v>
          </cell>
          <cell r="L66" t="str">
            <v>30天</v>
          </cell>
        </row>
        <row r="67">
          <cell r="D67" t="str">
            <v>紫色外显</v>
          </cell>
          <cell r="E67">
            <v>6000</v>
          </cell>
          <cell r="F67">
            <v>0.75</v>
          </cell>
          <cell r="G67">
            <v>0.75</v>
          </cell>
          <cell r="H67">
            <v>0.75</v>
          </cell>
          <cell r="I67">
            <v>4500</v>
          </cell>
          <cell r="J67">
            <v>4500</v>
          </cell>
          <cell r="K67">
            <v>4500</v>
          </cell>
        </row>
        <row r="68">
          <cell r="D68" t="str">
            <v>橙色外显</v>
          </cell>
          <cell r="E68">
            <v>16000</v>
          </cell>
          <cell r="F68">
            <v>0.75</v>
          </cell>
          <cell r="G68">
            <v>0.75</v>
          </cell>
          <cell r="H68">
            <v>0.75</v>
          </cell>
          <cell r="I68">
            <v>12000</v>
          </cell>
          <cell r="J68">
            <v>12000</v>
          </cell>
          <cell r="K68">
            <v>12000</v>
          </cell>
        </row>
        <row r="69">
          <cell r="D69" t="str">
            <v>红色外显</v>
          </cell>
          <cell r="E69">
            <v>150000</v>
          </cell>
          <cell r="F69">
            <v>1.5</v>
          </cell>
          <cell r="G69">
            <v>1.5</v>
          </cell>
          <cell r="H69">
            <v>1.5</v>
          </cell>
          <cell r="I69">
            <v>225000</v>
          </cell>
          <cell r="J69">
            <v>225000</v>
          </cell>
          <cell r="K69">
            <v>225000</v>
          </cell>
        </row>
        <row r="70">
          <cell r="D70" t="str">
            <v>7天限时橙色外显</v>
          </cell>
          <cell r="E70">
            <v>16000</v>
          </cell>
          <cell r="F70">
            <v>0.15000000000000002</v>
          </cell>
          <cell r="G70">
            <v>0.15000000000000002</v>
          </cell>
          <cell r="H70">
            <v>0.15000000000000002</v>
          </cell>
          <cell r="I70">
            <v>2400.0000000000005</v>
          </cell>
          <cell r="J70">
            <v>2400.0000000000005</v>
          </cell>
          <cell r="K70">
            <v>2400.0000000000005</v>
          </cell>
          <cell r="L70" t="str">
            <v>7天</v>
          </cell>
        </row>
        <row r="71">
          <cell r="D71" t="str">
            <v>30天限时橙色外显</v>
          </cell>
          <cell r="E71">
            <v>16000</v>
          </cell>
          <cell r="F71">
            <v>0.375</v>
          </cell>
          <cell r="G71">
            <v>0.375</v>
          </cell>
          <cell r="H71">
            <v>0.375</v>
          </cell>
          <cell r="I71">
            <v>6000</v>
          </cell>
          <cell r="J71">
            <v>6000</v>
          </cell>
          <cell r="K71">
            <v>6000</v>
          </cell>
          <cell r="L71" t="str">
            <v>30天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I73" t="str">
            <v/>
          </cell>
          <cell r="J73" t="str">
            <v/>
          </cell>
          <cell r="K73" t="str">
            <v/>
          </cell>
        </row>
        <row r="74">
          <cell r="I74" t="str">
            <v/>
          </cell>
          <cell r="J74" t="str">
            <v/>
          </cell>
          <cell r="K74" t="str">
            <v/>
          </cell>
        </row>
        <row r="75">
          <cell r="D75" t="str">
            <v>将军印</v>
          </cell>
          <cell r="E75">
            <v>1000</v>
          </cell>
          <cell r="F75">
            <v>1</v>
          </cell>
          <cell r="G75">
            <v>1</v>
          </cell>
          <cell r="H75">
            <v>1</v>
          </cell>
          <cell r="I75">
            <v>1000</v>
          </cell>
          <cell r="J75">
            <v>1000</v>
          </cell>
          <cell r="K75">
            <v>1000</v>
          </cell>
        </row>
        <row r="76">
          <cell r="D76" t="str">
            <v>上将印</v>
          </cell>
          <cell r="E76">
            <v>2000</v>
          </cell>
          <cell r="F76">
            <v>1</v>
          </cell>
          <cell r="G76">
            <v>1</v>
          </cell>
          <cell r="H76">
            <v>1</v>
          </cell>
          <cell r="I76">
            <v>2000</v>
          </cell>
          <cell r="J76">
            <v>2000</v>
          </cell>
          <cell r="K76">
            <v>2000</v>
          </cell>
        </row>
        <row r="77">
          <cell r="D77" t="str">
            <v>统帅印</v>
          </cell>
          <cell r="E77">
            <v>8000</v>
          </cell>
          <cell r="F77">
            <v>1</v>
          </cell>
          <cell r="G77">
            <v>1</v>
          </cell>
          <cell r="H77">
            <v>1</v>
          </cell>
          <cell r="I77">
            <v>8000</v>
          </cell>
          <cell r="J77">
            <v>8000</v>
          </cell>
          <cell r="K77">
            <v>8000</v>
          </cell>
        </row>
        <row r="78">
          <cell r="D78" t="str">
            <v>将军印碎片</v>
          </cell>
          <cell r="E78">
            <v>33.333333333333336</v>
          </cell>
          <cell r="F78">
            <v>1</v>
          </cell>
          <cell r="G78">
            <v>1</v>
          </cell>
          <cell r="H78">
            <v>1</v>
          </cell>
          <cell r="I78">
            <v>33.333333333333336</v>
          </cell>
          <cell r="J78">
            <v>33.333333333333336</v>
          </cell>
          <cell r="K78">
            <v>33.333333333333336</v>
          </cell>
          <cell r="L78" t="str">
            <v>凑齐30个碎片可以合成1个将军印，可用于解锁武将的第四个特性</v>
          </cell>
        </row>
        <row r="79">
          <cell r="D79" t="str">
            <v>上将印碎片</v>
          </cell>
          <cell r="E79">
            <v>66.666666666666671</v>
          </cell>
          <cell r="F79">
            <v>1</v>
          </cell>
          <cell r="G79">
            <v>1</v>
          </cell>
          <cell r="H79">
            <v>1</v>
          </cell>
          <cell r="I79">
            <v>66.666666666666671</v>
          </cell>
          <cell r="J79">
            <v>66.666666666666671</v>
          </cell>
          <cell r="K79">
            <v>66.666666666666671</v>
          </cell>
          <cell r="L79" t="str">
            <v>凑齐30个碎片可以合成1个上将印，可用于升级武将的第四个特性</v>
          </cell>
        </row>
        <row r="80">
          <cell r="D80" t="str">
            <v>统帅印碎片</v>
          </cell>
          <cell r="E80">
            <v>266.66666666666669</v>
          </cell>
          <cell r="F80">
            <v>1</v>
          </cell>
          <cell r="G80">
            <v>1</v>
          </cell>
          <cell r="H80">
            <v>1</v>
          </cell>
          <cell r="I80">
            <v>266.66666666666669</v>
          </cell>
          <cell r="J80">
            <v>266.66666666666669</v>
          </cell>
          <cell r="K80">
            <v>266.66666666666669</v>
          </cell>
          <cell r="L80" t="str">
            <v>凑齐30个碎片可以合成1个统帅印，可用于升级武将的第四个特性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高级免战牌</v>
          </cell>
          <cell r="E82">
            <v>400</v>
          </cell>
          <cell r="F82">
            <v>1</v>
          </cell>
          <cell r="G82">
            <v>1</v>
          </cell>
          <cell r="H82">
            <v>1</v>
          </cell>
          <cell r="I82">
            <v>400</v>
          </cell>
          <cell r="J82">
            <v>400</v>
          </cell>
          <cell r="K82">
            <v>400</v>
          </cell>
        </row>
        <row r="83">
          <cell r="D83" t="str">
            <v>特级免战牌</v>
          </cell>
          <cell r="E83">
            <v>1500</v>
          </cell>
          <cell r="F83">
            <v>1</v>
          </cell>
          <cell r="G83">
            <v>1</v>
          </cell>
          <cell r="H83">
            <v>1</v>
          </cell>
          <cell r="I83">
            <v>1500</v>
          </cell>
          <cell r="J83">
            <v>1500</v>
          </cell>
          <cell r="K83">
            <v>1500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指定or任选紫色兵法碎片</v>
          </cell>
          <cell r="E85">
            <v>75</v>
          </cell>
          <cell r="F85">
            <v>1</v>
          </cell>
          <cell r="G85">
            <v>1</v>
          </cell>
          <cell r="H85">
            <v>1</v>
          </cell>
          <cell r="I85">
            <v>75</v>
          </cell>
          <cell r="J85">
            <v>75</v>
          </cell>
          <cell r="K85">
            <v>75</v>
          </cell>
        </row>
        <row r="86">
          <cell r="D86" t="str">
            <v>指定or任选橙色兵法碎片</v>
          </cell>
          <cell r="E86">
            <v>111.66666666666667</v>
          </cell>
          <cell r="F86">
            <v>1</v>
          </cell>
          <cell r="G86">
            <v>1</v>
          </cell>
          <cell r="H86">
            <v>1</v>
          </cell>
          <cell r="I86">
            <v>111.66666666666667</v>
          </cell>
          <cell r="J86">
            <v>111.66666666666667</v>
          </cell>
          <cell r="K86">
            <v>111.66666666666667</v>
          </cell>
        </row>
        <row r="87">
          <cell r="D87" t="str">
            <v>指定or任选红色兵法碎片</v>
          </cell>
          <cell r="E87">
            <v>305.5</v>
          </cell>
          <cell r="F87">
            <v>1</v>
          </cell>
          <cell r="G87">
            <v>1</v>
          </cell>
          <cell r="H87">
            <v>1</v>
          </cell>
          <cell r="I87">
            <v>305.5</v>
          </cell>
          <cell r="J87">
            <v>305.5</v>
          </cell>
          <cell r="K87">
            <v>305.5</v>
          </cell>
        </row>
        <row r="88">
          <cell r="D88" t="str">
            <v>随机紫色兵法碎片</v>
          </cell>
          <cell r="E88">
            <v>50</v>
          </cell>
          <cell r="F88">
            <v>1</v>
          </cell>
          <cell r="G88">
            <v>1</v>
          </cell>
          <cell r="H88">
            <v>1</v>
          </cell>
          <cell r="I88">
            <v>50</v>
          </cell>
          <cell r="J88">
            <v>50</v>
          </cell>
          <cell r="K88">
            <v>50</v>
          </cell>
        </row>
        <row r="89">
          <cell r="D89" t="str">
            <v>随机橙色兵法碎片</v>
          </cell>
          <cell r="E89">
            <v>56</v>
          </cell>
          <cell r="F89">
            <v>1</v>
          </cell>
          <cell r="G89">
            <v>1</v>
          </cell>
          <cell r="H89">
            <v>1</v>
          </cell>
          <cell r="I89">
            <v>56</v>
          </cell>
          <cell r="J89">
            <v>56</v>
          </cell>
          <cell r="K89">
            <v>56</v>
          </cell>
        </row>
        <row r="90">
          <cell r="I90" t="str">
            <v/>
          </cell>
          <cell r="J90" t="str">
            <v/>
          </cell>
          <cell r="K90" t="str">
            <v/>
          </cell>
        </row>
        <row r="91">
          <cell r="D91" t="str">
            <v>红色装备自选碎片</v>
          </cell>
          <cell r="E91">
            <v>144</v>
          </cell>
          <cell r="F91">
            <v>1</v>
          </cell>
          <cell r="G91">
            <v>1</v>
          </cell>
          <cell r="H91">
            <v>1</v>
          </cell>
          <cell r="I91">
            <v>144</v>
          </cell>
          <cell r="J91">
            <v>144</v>
          </cell>
          <cell r="K91">
            <v>144</v>
          </cell>
        </row>
        <row r="92">
          <cell r="D92" t="str">
            <v>红+装备自选碎片</v>
          </cell>
          <cell r="E92">
            <v>288</v>
          </cell>
          <cell r="F92">
            <v>1.56</v>
          </cell>
          <cell r="G92">
            <v>1.56</v>
          </cell>
          <cell r="H92">
            <v>1.56</v>
          </cell>
          <cell r="I92">
            <v>449.28000000000003</v>
          </cell>
          <cell r="J92">
            <v>449.28000000000003</v>
          </cell>
          <cell r="K92">
            <v>449.28000000000003</v>
          </cell>
        </row>
        <row r="93"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随机蓝色阵法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随机紫色阵法</v>
          </cell>
          <cell r="E95">
            <v>1000</v>
          </cell>
          <cell r="F95">
            <v>1</v>
          </cell>
          <cell r="G95">
            <v>0.75</v>
          </cell>
          <cell r="H95">
            <v>0.5</v>
          </cell>
          <cell r="I95">
            <v>1000</v>
          </cell>
          <cell r="J95">
            <v>750</v>
          </cell>
          <cell r="K95">
            <v>500</v>
          </cell>
        </row>
        <row r="96">
          <cell r="D96" t="str">
            <v>随机橙色阵法</v>
          </cell>
          <cell r="E96">
            <v>5000</v>
          </cell>
          <cell r="F96">
            <v>1</v>
          </cell>
          <cell r="G96">
            <v>0.8</v>
          </cell>
          <cell r="H96">
            <v>0.5</v>
          </cell>
          <cell r="I96">
            <v>5000</v>
          </cell>
          <cell r="J96">
            <v>4000</v>
          </cell>
          <cell r="K96">
            <v>2500</v>
          </cell>
        </row>
        <row r="97">
          <cell r="D97" t="str">
            <v>随机红色阵法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随机紫色阵法碎片</v>
          </cell>
          <cell r="E99">
            <v>100</v>
          </cell>
          <cell r="F99">
            <v>1</v>
          </cell>
          <cell r="G99">
            <v>0.75</v>
          </cell>
          <cell r="H99">
            <v>0.5</v>
          </cell>
          <cell r="I99">
            <v>100</v>
          </cell>
          <cell r="J99">
            <v>75</v>
          </cell>
          <cell r="K99">
            <v>50</v>
          </cell>
        </row>
        <row r="100">
          <cell r="D100" t="str">
            <v>随机橙色阵法碎片</v>
          </cell>
          <cell r="E100">
            <v>166.66666666666666</v>
          </cell>
          <cell r="F100">
            <v>1</v>
          </cell>
          <cell r="G100">
            <v>0.8</v>
          </cell>
          <cell r="H100">
            <v>0.5</v>
          </cell>
          <cell r="I100">
            <v>166.66666666666666</v>
          </cell>
          <cell r="J100">
            <v>133.33333333333334</v>
          </cell>
          <cell r="K100">
            <v>83.333333333333329</v>
          </cell>
        </row>
        <row r="101">
          <cell r="D101" t="str">
            <v>随机红色阵法碎片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指定蓝色阵法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指定紫色阵法</v>
          </cell>
          <cell r="E104">
            <v>1000</v>
          </cell>
          <cell r="F104">
            <v>1.5</v>
          </cell>
          <cell r="G104">
            <v>1</v>
          </cell>
          <cell r="H104">
            <v>1</v>
          </cell>
          <cell r="I104">
            <v>1500</v>
          </cell>
          <cell r="J104">
            <v>1000</v>
          </cell>
          <cell r="K104">
            <v>1000</v>
          </cell>
        </row>
        <row r="105">
          <cell r="D105" t="str">
            <v>指定橙色阵法</v>
          </cell>
          <cell r="E105">
            <v>5000</v>
          </cell>
          <cell r="F105">
            <v>2</v>
          </cell>
          <cell r="G105">
            <v>1.5</v>
          </cell>
          <cell r="H105">
            <v>1</v>
          </cell>
          <cell r="I105">
            <v>10000</v>
          </cell>
          <cell r="J105">
            <v>7500</v>
          </cell>
          <cell r="K105">
            <v>5000</v>
          </cell>
        </row>
        <row r="106">
          <cell r="D106" t="str">
            <v>指定红色阵法</v>
          </cell>
          <cell r="E106">
            <v>25000</v>
          </cell>
          <cell r="F106">
            <v>2</v>
          </cell>
          <cell r="G106">
            <v>1.5</v>
          </cell>
          <cell r="H106">
            <v>1</v>
          </cell>
          <cell r="I106">
            <v>50000</v>
          </cell>
          <cell r="J106">
            <v>37500</v>
          </cell>
          <cell r="K106">
            <v>25000</v>
          </cell>
        </row>
        <row r="107">
          <cell r="F107">
            <v>1</v>
          </cell>
          <cell r="G107">
            <v>1</v>
          </cell>
          <cell r="H107">
            <v>1</v>
          </cell>
          <cell r="I107" t="str">
            <v/>
          </cell>
          <cell r="J107" t="str">
            <v/>
          </cell>
          <cell r="K107" t="str">
            <v/>
          </cell>
        </row>
        <row r="108">
          <cell r="D108" t="str">
            <v>指定紫色阵法碎片</v>
          </cell>
          <cell r="E108">
            <v>100</v>
          </cell>
          <cell r="F108">
            <v>1.5</v>
          </cell>
          <cell r="G108">
            <v>1</v>
          </cell>
          <cell r="H108">
            <v>1</v>
          </cell>
          <cell r="I108">
            <v>150</v>
          </cell>
          <cell r="J108">
            <v>100</v>
          </cell>
          <cell r="K108">
            <v>100</v>
          </cell>
        </row>
        <row r="109">
          <cell r="D109" t="str">
            <v>指定橙色阵法碎片</v>
          </cell>
          <cell r="E109">
            <v>166.66666666666666</v>
          </cell>
          <cell r="F109">
            <v>2</v>
          </cell>
          <cell r="G109">
            <v>1.5</v>
          </cell>
          <cell r="H109">
            <v>1</v>
          </cell>
          <cell r="I109">
            <v>333.33333333333331</v>
          </cell>
          <cell r="J109">
            <v>250</v>
          </cell>
          <cell r="K109">
            <v>166.66666666666666</v>
          </cell>
        </row>
        <row r="110">
          <cell r="D110" t="str">
            <v>指定红色阵法碎片</v>
          </cell>
          <cell r="E110">
            <v>500</v>
          </cell>
          <cell r="F110">
            <v>2</v>
          </cell>
          <cell r="G110">
            <v>1.5</v>
          </cell>
          <cell r="H110">
            <v>1</v>
          </cell>
          <cell r="I110">
            <v>1000</v>
          </cell>
          <cell r="J110">
            <v>750</v>
          </cell>
          <cell r="K110">
            <v>500</v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D112" t="str">
            <v>阵意</v>
          </cell>
          <cell r="E112">
            <v>100</v>
          </cell>
          <cell r="F112">
            <v>1</v>
          </cell>
          <cell r="G112">
            <v>1</v>
          </cell>
          <cell r="H112">
            <v>1</v>
          </cell>
          <cell r="I112">
            <v>100</v>
          </cell>
          <cell r="J112">
            <v>100</v>
          </cell>
          <cell r="K112">
            <v>100</v>
          </cell>
        </row>
        <row r="113">
          <cell r="D113" t="str">
            <v>阵法心得</v>
          </cell>
          <cell r="E113">
            <v>100</v>
          </cell>
          <cell r="F113">
            <v>1</v>
          </cell>
          <cell r="G113">
            <v>1</v>
          </cell>
          <cell r="H113">
            <v>1</v>
          </cell>
          <cell r="I113">
            <v>100</v>
          </cell>
          <cell r="J113">
            <v>100</v>
          </cell>
          <cell r="K113">
            <v>100</v>
          </cell>
        </row>
        <row r="114">
          <cell r="D114" t="str">
            <v>1级阵旗</v>
          </cell>
          <cell r="E114">
            <v>11</v>
          </cell>
          <cell r="F114">
            <v>1</v>
          </cell>
          <cell r="G114">
            <v>1</v>
          </cell>
          <cell r="H114">
            <v>1</v>
          </cell>
          <cell r="I114">
            <v>11</v>
          </cell>
          <cell r="J114">
            <v>11</v>
          </cell>
          <cell r="K114">
            <v>11</v>
          </cell>
        </row>
        <row r="115">
          <cell r="D115" t="str">
            <v>2级阵旗</v>
          </cell>
          <cell r="E115">
            <v>143</v>
          </cell>
          <cell r="F115">
            <v>1</v>
          </cell>
          <cell r="G115">
            <v>1</v>
          </cell>
          <cell r="H115">
            <v>1</v>
          </cell>
          <cell r="I115">
            <v>143</v>
          </cell>
          <cell r="J115">
            <v>143</v>
          </cell>
          <cell r="K115">
            <v>143</v>
          </cell>
        </row>
        <row r="116">
          <cell r="D116" t="str">
            <v>3级阵旗</v>
          </cell>
          <cell r="E116">
            <v>935</v>
          </cell>
          <cell r="F116">
            <v>1</v>
          </cell>
          <cell r="G116">
            <v>1</v>
          </cell>
          <cell r="H116">
            <v>1</v>
          </cell>
          <cell r="I116">
            <v>935</v>
          </cell>
          <cell r="J116">
            <v>935</v>
          </cell>
          <cell r="K116">
            <v>935</v>
          </cell>
        </row>
        <row r="117">
          <cell r="D117" t="str">
            <v>4级阵旗</v>
          </cell>
          <cell r="E117">
            <v>4895</v>
          </cell>
          <cell r="F117">
            <v>1</v>
          </cell>
          <cell r="G117">
            <v>1</v>
          </cell>
          <cell r="H117">
            <v>1</v>
          </cell>
          <cell r="I117">
            <v>4895</v>
          </cell>
          <cell r="J117">
            <v>4895</v>
          </cell>
          <cell r="K117">
            <v>4895</v>
          </cell>
        </row>
        <row r="118">
          <cell r="D118" t="str">
            <v>5级阵旗</v>
          </cell>
          <cell r="E118">
            <v>22495</v>
          </cell>
          <cell r="F118">
            <v>1</v>
          </cell>
          <cell r="G118">
            <v>1</v>
          </cell>
          <cell r="H118">
            <v>1</v>
          </cell>
          <cell r="I118">
            <v>22495</v>
          </cell>
          <cell r="J118">
            <v>22495</v>
          </cell>
          <cell r="K118">
            <v>22495</v>
          </cell>
        </row>
        <row r="119">
          <cell r="D119" t="str">
            <v>6级阵旗</v>
          </cell>
          <cell r="E119">
            <v>57695</v>
          </cell>
          <cell r="F119">
            <v>1</v>
          </cell>
          <cell r="G119">
            <v>1</v>
          </cell>
          <cell r="H119">
            <v>1</v>
          </cell>
          <cell r="I119">
            <v>57695</v>
          </cell>
          <cell r="J119">
            <v>57695</v>
          </cell>
          <cell r="K119">
            <v>57695</v>
          </cell>
        </row>
        <row r="120">
          <cell r="D120" t="str">
            <v>7级阵旗</v>
          </cell>
          <cell r="E120">
            <v>114895</v>
          </cell>
          <cell r="F120">
            <v>1</v>
          </cell>
          <cell r="G120">
            <v>1</v>
          </cell>
          <cell r="H120">
            <v>1</v>
          </cell>
          <cell r="I120">
            <v>114895</v>
          </cell>
          <cell r="J120">
            <v>114895</v>
          </cell>
          <cell r="K120">
            <v>114895</v>
          </cell>
        </row>
        <row r="121">
          <cell r="D121" t="str">
            <v>8级阵旗</v>
          </cell>
          <cell r="E121">
            <v>200695</v>
          </cell>
          <cell r="F121">
            <v>1</v>
          </cell>
          <cell r="G121">
            <v>1</v>
          </cell>
          <cell r="H121">
            <v>1</v>
          </cell>
          <cell r="I121">
            <v>200695</v>
          </cell>
          <cell r="J121">
            <v>200695</v>
          </cell>
          <cell r="K121">
            <v>200695</v>
          </cell>
        </row>
        <row r="122">
          <cell r="D122" t="str">
            <v>9级阵旗</v>
          </cell>
          <cell r="E122">
            <v>321695</v>
          </cell>
          <cell r="F122">
            <v>1</v>
          </cell>
          <cell r="G122">
            <v>1</v>
          </cell>
          <cell r="H122">
            <v>1</v>
          </cell>
          <cell r="I122">
            <v>321695</v>
          </cell>
          <cell r="J122">
            <v>321695</v>
          </cell>
          <cell r="K122">
            <v>321695</v>
          </cell>
        </row>
        <row r="123">
          <cell r="I123" t="str">
            <v/>
          </cell>
          <cell r="J123" t="str">
            <v/>
          </cell>
          <cell r="K123" t="str">
            <v/>
          </cell>
        </row>
        <row r="124">
          <cell r="I124" t="str">
            <v/>
          </cell>
          <cell r="J124" t="str">
            <v/>
          </cell>
          <cell r="K124" t="str">
            <v/>
          </cell>
        </row>
        <row r="125">
          <cell r="D125" t="str">
            <v>普通随机图纸</v>
          </cell>
          <cell r="E125">
            <v>50</v>
          </cell>
          <cell r="F125">
            <v>1</v>
          </cell>
          <cell r="G125">
            <v>0.2</v>
          </cell>
          <cell r="H125">
            <v>0.2</v>
          </cell>
          <cell r="I125">
            <v>50</v>
          </cell>
          <cell r="J125">
            <v>10</v>
          </cell>
          <cell r="K125">
            <v>10</v>
          </cell>
        </row>
        <row r="126">
          <cell r="D126" t="str">
            <v>精良随机图纸</v>
          </cell>
          <cell r="E126">
            <v>190</v>
          </cell>
          <cell r="F126">
            <v>1</v>
          </cell>
          <cell r="G126">
            <v>0.2</v>
          </cell>
          <cell r="H126">
            <v>0.2</v>
          </cell>
          <cell r="I126">
            <v>190</v>
          </cell>
          <cell r="J126">
            <v>38</v>
          </cell>
          <cell r="K126">
            <v>38</v>
          </cell>
        </row>
        <row r="127">
          <cell r="D127" t="str">
            <v>优质随机图纸</v>
          </cell>
          <cell r="E127">
            <v>675</v>
          </cell>
          <cell r="F127">
            <v>1</v>
          </cell>
          <cell r="G127">
            <v>1</v>
          </cell>
          <cell r="H127">
            <v>0.18518518518518517</v>
          </cell>
          <cell r="I127">
            <v>675</v>
          </cell>
          <cell r="J127">
            <v>675</v>
          </cell>
          <cell r="K127">
            <v>125</v>
          </cell>
        </row>
        <row r="128">
          <cell r="D128" t="str">
            <v>珍稀随机图纸</v>
          </cell>
          <cell r="E128">
            <v>975</v>
          </cell>
          <cell r="F128">
            <v>1</v>
          </cell>
          <cell r="G128">
            <v>1</v>
          </cell>
          <cell r="H128">
            <v>1</v>
          </cell>
          <cell r="I128">
            <v>975</v>
          </cell>
          <cell r="J128">
            <v>975</v>
          </cell>
          <cell r="K128">
            <v>975</v>
          </cell>
        </row>
        <row r="129">
          <cell r="D129" t="str">
            <v>传世随机图纸</v>
          </cell>
          <cell r="E129">
            <v>2800</v>
          </cell>
          <cell r="F129">
            <v>1</v>
          </cell>
          <cell r="G129">
            <v>1</v>
          </cell>
          <cell r="H129">
            <v>1</v>
          </cell>
          <cell r="I129">
            <v>2800</v>
          </cell>
          <cell r="J129">
            <v>2800</v>
          </cell>
          <cell r="K129">
            <v>2800</v>
          </cell>
        </row>
        <row r="130">
          <cell r="D130" t="str">
            <v>传奇随机图纸</v>
          </cell>
          <cell r="E130">
            <v>4000</v>
          </cell>
          <cell r="F130">
            <v>1</v>
          </cell>
          <cell r="G130">
            <v>1</v>
          </cell>
          <cell r="H130">
            <v>1</v>
          </cell>
          <cell r="I130">
            <v>4000</v>
          </cell>
          <cell r="J130">
            <v>4000</v>
          </cell>
          <cell r="K130">
            <v>4000</v>
          </cell>
        </row>
        <row r="131">
          <cell r="D131" t="str">
            <v>普通装备图纸</v>
          </cell>
          <cell r="E131">
            <v>50</v>
          </cell>
          <cell r="F131">
            <v>1</v>
          </cell>
          <cell r="G131">
            <v>0.2</v>
          </cell>
          <cell r="H131">
            <v>0.2</v>
          </cell>
          <cell r="I131">
            <v>50</v>
          </cell>
          <cell r="J131">
            <v>10</v>
          </cell>
          <cell r="K131">
            <v>10</v>
          </cell>
        </row>
        <row r="132">
          <cell r="D132" t="str">
            <v>精良装备图纸</v>
          </cell>
          <cell r="E132">
            <v>310</v>
          </cell>
          <cell r="F132">
            <v>1</v>
          </cell>
          <cell r="G132">
            <v>0.2</v>
          </cell>
          <cell r="H132">
            <v>0.2</v>
          </cell>
          <cell r="I132">
            <v>310</v>
          </cell>
          <cell r="J132">
            <v>62</v>
          </cell>
          <cell r="K132">
            <v>62</v>
          </cell>
        </row>
        <row r="133">
          <cell r="D133" t="str">
            <v>优质装备图纸</v>
          </cell>
          <cell r="E133">
            <v>1525</v>
          </cell>
          <cell r="F133">
            <v>1</v>
          </cell>
          <cell r="G133">
            <v>1</v>
          </cell>
          <cell r="H133">
            <v>0.18032786885245902</v>
          </cell>
          <cell r="I133">
            <v>1525</v>
          </cell>
          <cell r="J133">
            <v>1525</v>
          </cell>
          <cell r="K133">
            <v>275</v>
          </cell>
        </row>
        <row r="134">
          <cell r="D134" t="str">
            <v>珍稀装备图纸</v>
          </cell>
          <cell r="E134">
            <v>2325</v>
          </cell>
          <cell r="F134">
            <v>1</v>
          </cell>
          <cell r="G134">
            <v>1</v>
          </cell>
          <cell r="H134">
            <v>1</v>
          </cell>
          <cell r="I134">
            <v>2325</v>
          </cell>
          <cell r="J134">
            <v>2325</v>
          </cell>
          <cell r="K134">
            <v>2325</v>
          </cell>
        </row>
        <row r="135">
          <cell r="D135" t="str">
            <v>传世装备图纸</v>
          </cell>
          <cell r="E135">
            <v>5600</v>
          </cell>
          <cell r="F135">
            <v>1</v>
          </cell>
          <cell r="G135">
            <v>1</v>
          </cell>
          <cell r="H135">
            <v>1</v>
          </cell>
          <cell r="I135">
            <v>5600</v>
          </cell>
          <cell r="J135">
            <v>5600</v>
          </cell>
          <cell r="K135">
            <v>5600</v>
          </cell>
        </row>
        <row r="136">
          <cell r="D136" t="str">
            <v>传奇装备图纸</v>
          </cell>
          <cell r="E136">
            <v>10400</v>
          </cell>
          <cell r="F136">
            <v>1</v>
          </cell>
          <cell r="G136">
            <v>1</v>
          </cell>
          <cell r="H136">
            <v>1</v>
          </cell>
          <cell r="I136">
            <v>10400</v>
          </cell>
          <cell r="J136">
            <v>10400</v>
          </cell>
          <cell r="K136">
            <v>10400</v>
          </cell>
        </row>
        <row r="137">
          <cell r="I137" t="str">
            <v/>
          </cell>
          <cell r="J137" t="str">
            <v/>
          </cell>
          <cell r="K137" t="str">
            <v/>
          </cell>
        </row>
        <row r="138">
          <cell r="D138" t="str">
            <v>残破磨石</v>
          </cell>
          <cell r="E138">
            <v>10</v>
          </cell>
          <cell r="F138">
            <v>1</v>
          </cell>
          <cell r="G138">
            <v>1</v>
          </cell>
          <cell r="H138">
            <v>1</v>
          </cell>
          <cell r="I138">
            <v>10</v>
          </cell>
          <cell r="J138">
            <v>10</v>
          </cell>
          <cell r="K138">
            <v>10</v>
          </cell>
        </row>
        <row r="139">
          <cell r="D139" t="str">
            <v>普通磨石</v>
          </cell>
          <cell r="E139">
            <v>50</v>
          </cell>
          <cell r="F139">
            <v>1</v>
          </cell>
          <cell r="G139">
            <v>1</v>
          </cell>
          <cell r="H139">
            <v>1</v>
          </cell>
          <cell r="I139">
            <v>50</v>
          </cell>
          <cell r="J139">
            <v>50</v>
          </cell>
          <cell r="K139">
            <v>50</v>
          </cell>
        </row>
        <row r="140">
          <cell r="D140" t="str">
            <v>精良磨石</v>
          </cell>
          <cell r="E140">
            <v>100</v>
          </cell>
          <cell r="F140">
            <v>1</v>
          </cell>
          <cell r="G140">
            <v>1</v>
          </cell>
          <cell r="H140">
            <v>1</v>
          </cell>
          <cell r="I140">
            <v>100</v>
          </cell>
          <cell r="J140">
            <v>100</v>
          </cell>
          <cell r="K140">
            <v>100</v>
          </cell>
        </row>
        <row r="141">
          <cell r="D141" t="str">
            <v>优质磨石</v>
          </cell>
          <cell r="E141">
            <v>200</v>
          </cell>
          <cell r="F141">
            <v>1</v>
          </cell>
          <cell r="G141">
            <v>1</v>
          </cell>
          <cell r="H141">
            <v>1</v>
          </cell>
          <cell r="I141">
            <v>200</v>
          </cell>
          <cell r="J141">
            <v>200</v>
          </cell>
          <cell r="K141">
            <v>200</v>
          </cell>
        </row>
        <row r="142">
          <cell r="D142" t="str">
            <v>传世磨石</v>
          </cell>
          <cell r="E142">
            <v>400</v>
          </cell>
          <cell r="F142">
            <v>1</v>
          </cell>
          <cell r="G142">
            <v>1</v>
          </cell>
          <cell r="H142">
            <v>1</v>
          </cell>
          <cell r="I142">
            <v>400</v>
          </cell>
          <cell r="J142">
            <v>400</v>
          </cell>
          <cell r="K142">
            <v>400</v>
          </cell>
        </row>
        <row r="143">
          <cell r="I143" t="str">
            <v/>
          </cell>
          <cell r="J143" t="str">
            <v/>
          </cell>
          <cell r="K143" t="str">
            <v/>
          </cell>
        </row>
        <row r="144">
          <cell r="D144" t="str">
            <v>普通兵装材料</v>
          </cell>
          <cell r="E144">
            <v>10</v>
          </cell>
          <cell r="F144">
            <v>1</v>
          </cell>
          <cell r="G144">
            <v>0.2</v>
          </cell>
          <cell r="H144">
            <v>0.2</v>
          </cell>
          <cell r="I144">
            <v>10</v>
          </cell>
          <cell r="J144">
            <v>2</v>
          </cell>
          <cell r="K144">
            <v>2</v>
          </cell>
        </row>
        <row r="145">
          <cell r="D145" t="str">
            <v>精良兵装材料</v>
          </cell>
          <cell r="E145">
            <v>19</v>
          </cell>
          <cell r="F145">
            <v>1</v>
          </cell>
          <cell r="G145">
            <v>0.19999999999999998</v>
          </cell>
          <cell r="H145">
            <v>0.19999999999999998</v>
          </cell>
          <cell r="I145">
            <v>19</v>
          </cell>
          <cell r="J145">
            <v>3.8</v>
          </cell>
          <cell r="K145">
            <v>3.8</v>
          </cell>
        </row>
        <row r="146">
          <cell r="D146" t="str">
            <v>优质兵装材料</v>
          </cell>
          <cell r="E146">
            <v>22.5</v>
          </cell>
          <cell r="F146">
            <v>1</v>
          </cell>
          <cell r="G146">
            <v>1</v>
          </cell>
          <cell r="H146">
            <v>0.18533333333333332</v>
          </cell>
          <cell r="I146">
            <v>22.5</v>
          </cell>
          <cell r="J146">
            <v>22.5</v>
          </cell>
          <cell r="K146">
            <v>4.17</v>
          </cell>
        </row>
        <row r="147">
          <cell r="D147" t="str">
            <v>传世兵装材料</v>
          </cell>
          <cell r="E147">
            <v>56</v>
          </cell>
          <cell r="F147">
            <v>1</v>
          </cell>
          <cell r="G147">
            <v>1</v>
          </cell>
          <cell r="H147">
            <v>1</v>
          </cell>
          <cell r="I147">
            <v>56</v>
          </cell>
          <cell r="J147">
            <v>56</v>
          </cell>
          <cell r="K147">
            <v>56</v>
          </cell>
        </row>
        <row r="148">
          <cell r="I148" t="str">
            <v/>
          </cell>
          <cell r="J148" t="str">
            <v/>
          </cell>
          <cell r="K148" t="str">
            <v/>
          </cell>
        </row>
        <row r="149">
          <cell r="D149" t="str">
            <v>普通兵装</v>
          </cell>
          <cell r="E149">
            <v>100</v>
          </cell>
          <cell r="F149">
            <v>1</v>
          </cell>
          <cell r="G149">
            <v>0.2</v>
          </cell>
          <cell r="H149">
            <v>0.2</v>
          </cell>
          <cell r="I149">
            <v>100</v>
          </cell>
          <cell r="J149">
            <v>20</v>
          </cell>
          <cell r="K149">
            <v>20</v>
          </cell>
        </row>
        <row r="150">
          <cell r="D150" t="str">
            <v>精良兵装</v>
          </cell>
          <cell r="E150">
            <v>500</v>
          </cell>
          <cell r="F150">
            <v>1</v>
          </cell>
          <cell r="G150">
            <v>0.2</v>
          </cell>
          <cell r="H150">
            <v>0.2</v>
          </cell>
          <cell r="I150">
            <v>500</v>
          </cell>
          <cell r="J150">
            <v>100</v>
          </cell>
          <cell r="K150">
            <v>100</v>
          </cell>
        </row>
        <row r="151">
          <cell r="D151" t="str">
            <v>优质兵装</v>
          </cell>
          <cell r="E151">
            <v>2000</v>
          </cell>
          <cell r="F151">
            <v>1</v>
          </cell>
          <cell r="G151">
            <v>1</v>
          </cell>
          <cell r="H151">
            <v>0.2</v>
          </cell>
          <cell r="I151">
            <v>2000</v>
          </cell>
          <cell r="J151">
            <v>2000</v>
          </cell>
          <cell r="K151">
            <v>400</v>
          </cell>
        </row>
        <row r="152">
          <cell r="D152" t="str">
            <v>传奇优质兵装</v>
          </cell>
          <cell r="E152">
            <v>4000</v>
          </cell>
          <cell r="F152">
            <v>1</v>
          </cell>
          <cell r="G152">
            <v>1</v>
          </cell>
          <cell r="H152">
            <v>1</v>
          </cell>
          <cell r="I152">
            <v>4000</v>
          </cell>
          <cell r="J152">
            <v>4000</v>
          </cell>
          <cell r="K152">
            <v>4000</v>
          </cell>
        </row>
        <row r="153">
          <cell r="D153" t="str">
            <v>传世兵装</v>
          </cell>
          <cell r="E153">
            <v>6000</v>
          </cell>
          <cell r="F153">
            <v>1</v>
          </cell>
          <cell r="G153">
            <v>1</v>
          </cell>
          <cell r="H153">
            <v>1</v>
          </cell>
          <cell r="I153">
            <v>6000</v>
          </cell>
          <cell r="J153">
            <v>6000</v>
          </cell>
          <cell r="K153">
            <v>6000</v>
          </cell>
        </row>
        <row r="154">
          <cell r="D154" t="str">
            <v>传奇传世兵装</v>
          </cell>
          <cell r="E154">
            <v>30000</v>
          </cell>
          <cell r="F154">
            <v>1</v>
          </cell>
          <cell r="G154">
            <v>1</v>
          </cell>
          <cell r="H154">
            <v>1</v>
          </cell>
          <cell r="I154">
            <v>30000</v>
          </cell>
          <cell r="J154">
            <v>30000</v>
          </cell>
          <cell r="K154">
            <v>30000</v>
          </cell>
        </row>
        <row r="155">
          <cell r="I155" t="str">
            <v/>
          </cell>
          <cell r="J155" t="str">
            <v/>
          </cell>
          <cell r="K155" t="str">
            <v/>
          </cell>
        </row>
        <row r="156">
          <cell r="I156" t="str">
            <v/>
          </cell>
          <cell r="J156" t="str">
            <v/>
          </cell>
          <cell r="K156" t="str">
            <v/>
          </cell>
        </row>
        <row r="157">
          <cell r="I157" t="str">
            <v/>
          </cell>
          <cell r="J157" t="str">
            <v/>
          </cell>
          <cell r="K157" t="str">
            <v/>
          </cell>
        </row>
        <row r="158">
          <cell r="I158" t="str">
            <v/>
          </cell>
          <cell r="J158" t="str">
            <v/>
          </cell>
          <cell r="K158" t="str">
            <v/>
          </cell>
        </row>
        <row r="159">
          <cell r="C159">
            <v>21001</v>
          </cell>
          <cell r="D159" t="str">
            <v>一担粮食</v>
          </cell>
          <cell r="E159">
            <v>6</v>
          </cell>
          <cell r="F159">
            <v>1</v>
          </cell>
          <cell r="G159">
            <v>1</v>
          </cell>
          <cell r="H159">
            <v>0.3</v>
          </cell>
          <cell r="I159">
            <v>6</v>
          </cell>
          <cell r="J159">
            <v>6</v>
          </cell>
          <cell r="K159">
            <v>1.7999999999999998</v>
          </cell>
          <cell r="L159" t="str">
            <v>使用后获得10000安全粮食</v>
          </cell>
        </row>
        <row r="160">
          <cell r="C160">
            <v>21002</v>
          </cell>
          <cell r="D160" t="str">
            <v>一堆粮食</v>
          </cell>
          <cell r="E160">
            <v>20</v>
          </cell>
          <cell r="F160">
            <v>1</v>
          </cell>
          <cell r="G160">
            <v>1</v>
          </cell>
          <cell r="H160">
            <v>0.3</v>
          </cell>
          <cell r="I160">
            <v>20</v>
          </cell>
          <cell r="J160">
            <v>20</v>
          </cell>
          <cell r="K160">
            <v>6</v>
          </cell>
          <cell r="L160" t="str">
            <v>使用后获得50000安全粮食</v>
          </cell>
        </row>
        <row r="161">
          <cell r="C161">
            <v>21003</v>
          </cell>
          <cell r="D161" t="str">
            <v>一箱粮食</v>
          </cell>
          <cell r="E161">
            <v>45</v>
          </cell>
          <cell r="F161">
            <v>1.333</v>
          </cell>
          <cell r="G161">
            <v>1</v>
          </cell>
          <cell r="H161">
            <v>0.3</v>
          </cell>
          <cell r="I161">
            <v>59.984999999999999</v>
          </cell>
          <cell r="J161">
            <v>45</v>
          </cell>
          <cell r="K161">
            <v>13.5</v>
          </cell>
          <cell r="L161" t="str">
            <v>使用后获得150000安全粮食</v>
          </cell>
        </row>
        <row r="162">
          <cell r="C162">
            <v>21004</v>
          </cell>
          <cell r="D162" t="str">
            <v>一车粮食</v>
          </cell>
          <cell r="E162">
            <v>100</v>
          </cell>
          <cell r="F162">
            <v>2</v>
          </cell>
          <cell r="G162">
            <v>1</v>
          </cell>
          <cell r="H162">
            <v>0.3</v>
          </cell>
          <cell r="I162">
            <v>200</v>
          </cell>
          <cell r="J162">
            <v>100</v>
          </cell>
          <cell r="K162">
            <v>30</v>
          </cell>
          <cell r="L162" t="str">
            <v>使用后获得500000安全粮食</v>
          </cell>
        </row>
        <row r="163">
          <cell r="C163">
            <v>21005</v>
          </cell>
          <cell r="D163" t="str">
            <v>一担木材</v>
          </cell>
          <cell r="E163">
            <v>6</v>
          </cell>
          <cell r="F163">
            <v>1</v>
          </cell>
          <cell r="G163">
            <v>1</v>
          </cell>
          <cell r="H163">
            <v>0.3</v>
          </cell>
          <cell r="I163">
            <v>6</v>
          </cell>
          <cell r="J163">
            <v>6</v>
          </cell>
          <cell r="K163">
            <v>1.7999999999999998</v>
          </cell>
          <cell r="L163" t="str">
            <v>使用后获得10000安全木材</v>
          </cell>
        </row>
        <row r="164">
          <cell r="C164">
            <v>21006</v>
          </cell>
          <cell r="D164" t="str">
            <v>一堆木材</v>
          </cell>
          <cell r="E164">
            <v>20</v>
          </cell>
          <cell r="F164">
            <v>1</v>
          </cell>
          <cell r="G164">
            <v>1</v>
          </cell>
          <cell r="H164">
            <v>0.3</v>
          </cell>
          <cell r="I164">
            <v>20</v>
          </cell>
          <cell r="J164">
            <v>20</v>
          </cell>
          <cell r="K164">
            <v>6</v>
          </cell>
          <cell r="L164" t="str">
            <v>使用后获得50000安全木材</v>
          </cell>
        </row>
        <row r="165">
          <cell r="C165">
            <v>21007</v>
          </cell>
          <cell r="D165" t="str">
            <v>一箱木材</v>
          </cell>
          <cell r="E165">
            <v>45</v>
          </cell>
          <cell r="F165">
            <v>1.333</v>
          </cell>
          <cell r="G165">
            <v>1</v>
          </cell>
          <cell r="H165">
            <v>0.3</v>
          </cell>
          <cell r="I165">
            <v>59.984999999999999</v>
          </cell>
          <cell r="J165">
            <v>45</v>
          </cell>
          <cell r="K165">
            <v>13.5</v>
          </cell>
          <cell r="L165" t="str">
            <v>使用后获得150000安全木材</v>
          </cell>
        </row>
        <row r="166">
          <cell r="C166">
            <v>21008</v>
          </cell>
          <cell r="D166" t="str">
            <v>一车木材</v>
          </cell>
          <cell r="E166">
            <v>100</v>
          </cell>
          <cell r="F166">
            <v>2</v>
          </cell>
          <cell r="G166">
            <v>1</v>
          </cell>
          <cell r="H166">
            <v>0.3</v>
          </cell>
          <cell r="I166">
            <v>200</v>
          </cell>
          <cell r="J166">
            <v>100</v>
          </cell>
          <cell r="K166">
            <v>30</v>
          </cell>
          <cell r="L166" t="str">
            <v>使用后获得500000安全木材</v>
          </cell>
        </row>
        <row r="167">
          <cell r="C167">
            <v>21009</v>
          </cell>
          <cell r="D167" t="str">
            <v>一担石料</v>
          </cell>
          <cell r="E167">
            <v>6</v>
          </cell>
          <cell r="F167">
            <v>1</v>
          </cell>
          <cell r="G167">
            <v>1</v>
          </cell>
          <cell r="H167">
            <v>0.3</v>
          </cell>
          <cell r="I167">
            <v>6</v>
          </cell>
          <cell r="J167">
            <v>6</v>
          </cell>
          <cell r="K167">
            <v>1.7999999999999998</v>
          </cell>
          <cell r="L167" t="str">
            <v>使用后获得10000安全石料</v>
          </cell>
        </row>
        <row r="168">
          <cell r="C168">
            <v>21010</v>
          </cell>
          <cell r="D168" t="str">
            <v>一堆石料</v>
          </cell>
          <cell r="E168">
            <v>20</v>
          </cell>
          <cell r="F168">
            <v>1</v>
          </cell>
          <cell r="G168">
            <v>1</v>
          </cell>
          <cell r="H168">
            <v>0.3</v>
          </cell>
          <cell r="I168">
            <v>20</v>
          </cell>
          <cell r="J168">
            <v>20</v>
          </cell>
          <cell r="K168">
            <v>6</v>
          </cell>
          <cell r="L168" t="str">
            <v>使用后获得50000安全石料</v>
          </cell>
        </row>
        <row r="169">
          <cell r="C169">
            <v>21011</v>
          </cell>
          <cell r="D169" t="str">
            <v>一箱石料</v>
          </cell>
          <cell r="E169">
            <v>45</v>
          </cell>
          <cell r="F169">
            <v>1.333</v>
          </cell>
          <cell r="G169">
            <v>1</v>
          </cell>
          <cell r="H169">
            <v>0.3</v>
          </cell>
          <cell r="I169">
            <v>59.984999999999999</v>
          </cell>
          <cell r="J169">
            <v>45</v>
          </cell>
          <cell r="K169">
            <v>13.5</v>
          </cell>
          <cell r="L169" t="str">
            <v>使用后获得150000安全石料</v>
          </cell>
        </row>
        <row r="170">
          <cell r="C170">
            <v>21012</v>
          </cell>
          <cell r="D170" t="str">
            <v>一车石料</v>
          </cell>
          <cell r="E170">
            <v>100</v>
          </cell>
          <cell r="F170">
            <v>2</v>
          </cell>
          <cell r="G170">
            <v>1</v>
          </cell>
          <cell r="H170">
            <v>0.3</v>
          </cell>
          <cell r="I170">
            <v>200</v>
          </cell>
          <cell r="J170">
            <v>100</v>
          </cell>
          <cell r="K170">
            <v>30</v>
          </cell>
          <cell r="L170" t="str">
            <v>使用后获得500000安全石料</v>
          </cell>
        </row>
        <row r="171">
          <cell r="C171">
            <v>21013</v>
          </cell>
          <cell r="D171" t="str">
            <v>一担铁矿</v>
          </cell>
          <cell r="E171">
            <v>12</v>
          </cell>
          <cell r="F171">
            <v>1</v>
          </cell>
          <cell r="G171">
            <v>1</v>
          </cell>
          <cell r="H171">
            <v>0.3</v>
          </cell>
          <cell r="I171">
            <v>12</v>
          </cell>
          <cell r="J171">
            <v>12</v>
          </cell>
          <cell r="K171">
            <v>3.5999999999999996</v>
          </cell>
          <cell r="L171" t="str">
            <v>使用后获得10000安全铁矿</v>
          </cell>
        </row>
        <row r="172">
          <cell r="C172">
            <v>21014</v>
          </cell>
          <cell r="D172" t="str">
            <v>一堆铁矿</v>
          </cell>
          <cell r="E172">
            <v>40</v>
          </cell>
          <cell r="F172">
            <v>1</v>
          </cell>
          <cell r="G172">
            <v>1</v>
          </cell>
          <cell r="H172">
            <v>0.3</v>
          </cell>
          <cell r="I172">
            <v>40</v>
          </cell>
          <cell r="J172">
            <v>40</v>
          </cell>
          <cell r="K172">
            <v>12</v>
          </cell>
          <cell r="L172" t="str">
            <v>使用后获得50000安全铁矿</v>
          </cell>
        </row>
        <row r="173">
          <cell r="C173">
            <v>21015</v>
          </cell>
          <cell r="D173" t="str">
            <v>一箱铁矿</v>
          </cell>
          <cell r="E173">
            <v>90</v>
          </cell>
          <cell r="F173">
            <v>1.333</v>
          </cell>
          <cell r="G173">
            <v>1</v>
          </cell>
          <cell r="H173">
            <v>0.3</v>
          </cell>
          <cell r="I173">
            <v>119.97</v>
          </cell>
          <cell r="J173">
            <v>90</v>
          </cell>
          <cell r="K173">
            <v>27</v>
          </cell>
          <cell r="L173" t="str">
            <v>使用后获得150000安全铁矿</v>
          </cell>
        </row>
        <row r="174">
          <cell r="C174">
            <v>21016</v>
          </cell>
          <cell r="D174" t="str">
            <v>一车铁矿</v>
          </cell>
          <cell r="E174">
            <v>200</v>
          </cell>
          <cell r="F174">
            <v>2</v>
          </cell>
          <cell r="G174">
            <v>1</v>
          </cell>
          <cell r="H174">
            <v>0.3</v>
          </cell>
          <cell r="I174">
            <v>400</v>
          </cell>
          <cell r="J174">
            <v>200</v>
          </cell>
          <cell r="K174">
            <v>60</v>
          </cell>
          <cell r="L174" t="str">
            <v>使用后获得500000安全铁矿</v>
          </cell>
        </row>
        <row r="175">
          <cell r="C175">
            <v>21017</v>
          </cell>
          <cell r="D175" t="str">
            <v>一担铜矿</v>
          </cell>
          <cell r="E175">
            <v>6</v>
          </cell>
          <cell r="F175">
            <v>1</v>
          </cell>
          <cell r="G175">
            <v>1</v>
          </cell>
          <cell r="H175">
            <v>0.3</v>
          </cell>
          <cell r="I175">
            <v>6</v>
          </cell>
          <cell r="J175">
            <v>6</v>
          </cell>
          <cell r="K175">
            <v>1.7999999999999998</v>
          </cell>
          <cell r="L175" t="str">
            <v>使用后获得10000安全铜矿</v>
          </cell>
        </row>
        <row r="176">
          <cell r="C176">
            <v>21018</v>
          </cell>
          <cell r="D176" t="str">
            <v>一堆铜矿</v>
          </cell>
          <cell r="E176">
            <v>20</v>
          </cell>
          <cell r="F176">
            <v>1</v>
          </cell>
          <cell r="G176">
            <v>1</v>
          </cell>
          <cell r="H176">
            <v>0.3</v>
          </cell>
          <cell r="I176">
            <v>20</v>
          </cell>
          <cell r="J176">
            <v>20</v>
          </cell>
          <cell r="K176">
            <v>6</v>
          </cell>
          <cell r="L176" t="str">
            <v>使用后获得50000安全铜矿</v>
          </cell>
        </row>
        <row r="177">
          <cell r="C177">
            <v>21019</v>
          </cell>
          <cell r="D177" t="str">
            <v>一箱铜矿</v>
          </cell>
          <cell r="E177">
            <v>45</v>
          </cell>
          <cell r="F177">
            <v>1.333</v>
          </cell>
          <cell r="G177">
            <v>1</v>
          </cell>
          <cell r="H177">
            <v>0.3</v>
          </cell>
          <cell r="I177">
            <v>59.984999999999999</v>
          </cell>
          <cell r="J177">
            <v>45</v>
          </cell>
          <cell r="K177">
            <v>13.5</v>
          </cell>
          <cell r="L177" t="str">
            <v>使用后获得150000安全铜矿</v>
          </cell>
        </row>
        <row r="178">
          <cell r="C178">
            <v>21020</v>
          </cell>
          <cell r="D178" t="str">
            <v>一车铜矿</v>
          </cell>
          <cell r="E178">
            <v>100</v>
          </cell>
          <cell r="F178">
            <v>2</v>
          </cell>
          <cell r="G178">
            <v>1</v>
          </cell>
          <cell r="H178">
            <v>0.3</v>
          </cell>
          <cell r="I178">
            <v>200</v>
          </cell>
          <cell r="J178">
            <v>100</v>
          </cell>
          <cell r="K178">
            <v>30</v>
          </cell>
          <cell r="L178" t="str">
            <v>使用后获得500000安全铜矿</v>
          </cell>
        </row>
        <row r="179">
          <cell r="C179">
            <v>21021</v>
          </cell>
          <cell r="D179" t="str">
            <v>一吊刀币</v>
          </cell>
          <cell r="E179">
            <v>50</v>
          </cell>
          <cell r="F179">
            <v>1</v>
          </cell>
          <cell r="G179">
            <v>1</v>
          </cell>
          <cell r="H179">
            <v>0.5</v>
          </cell>
          <cell r="I179">
            <v>50</v>
          </cell>
          <cell r="J179">
            <v>50</v>
          </cell>
          <cell r="K179">
            <v>25</v>
          </cell>
          <cell r="L179" t="str">
            <v>使用后获得10000刀币</v>
          </cell>
        </row>
        <row r="180">
          <cell r="C180">
            <v>21022</v>
          </cell>
          <cell r="D180" t="str">
            <v>一贯刀币</v>
          </cell>
          <cell r="E180">
            <v>150</v>
          </cell>
          <cell r="F180">
            <v>1</v>
          </cell>
          <cell r="G180">
            <v>1</v>
          </cell>
          <cell r="H180">
            <v>0.5</v>
          </cell>
          <cell r="I180">
            <v>150</v>
          </cell>
          <cell r="J180">
            <v>150</v>
          </cell>
          <cell r="K180">
            <v>75</v>
          </cell>
          <cell r="L180" t="str">
            <v>使用后获得50000刀币</v>
          </cell>
        </row>
        <row r="181">
          <cell r="C181">
            <v>21023</v>
          </cell>
          <cell r="D181" t="str">
            <v>一袋刀币</v>
          </cell>
          <cell r="E181">
            <v>300</v>
          </cell>
          <cell r="F181">
            <v>1.5</v>
          </cell>
          <cell r="G181">
            <v>1</v>
          </cell>
          <cell r="H181">
            <v>0.5</v>
          </cell>
          <cell r="I181">
            <v>450</v>
          </cell>
          <cell r="J181">
            <v>300</v>
          </cell>
          <cell r="K181">
            <v>150</v>
          </cell>
          <cell r="L181" t="str">
            <v>使用后获得150000刀币</v>
          </cell>
        </row>
        <row r="182">
          <cell r="C182" t="str">
            <v/>
          </cell>
          <cell r="D182" t="str">
            <v/>
          </cell>
          <cell r="E182">
            <v>800</v>
          </cell>
          <cell r="F182">
            <v>1.875</v>
          </cell>
          <cell r="G182">
            <v>1</v>
          </cell>
          <cell r="H182">
            <v>1</v>
          </cell>
          <cell r="I182">
            <v>1500</v>
          </cell>
          <cell r="J182">
            <v>800</v>
          </cell>
          <cell r="K182">
            <v>800</v>
          </cell>
          <cell r="L182" t="str">
            <v>使用后获得500000刀币</v>
          </cell>
        </row>
        <row r="183">
          <cell r="C183">
            <v>21024</v>
          </cell>
          <cell r="D183" t="str">
            <v>普通资源自选宝箱</v>
          </cell>
          <cell r="E183">
            <v>6</v>
          </cell>
          <cell r="F183">
            <v>1</v>
          </cell>
          <cell r="G183">
            <v>1</v>
          </cell>
          <cell r="H183">
            <v>0.3</v>
          </cell>
          <cell r="I183">
            <v>6</v>
          </cell>
          <cell r="J183">
            <v>6</v>
          </cell>
          <cell r="K183">
            <v>1.7999999999999998</v>
          </cell>
          <cell r="L183" t="str">
            <v>使用后可选择获得10000资源(可选择资源类型：粮食、木材、石料和铜矿)</v>
          </cell>
        </row>
        <row r="184">
          <cell r="C184">
            <v>21025</v>
          </cell>
          <cell r="D184" t="str">
            <v>初级资源自选宝箱</v>
          </cell>
          <cell r="E184">
            <v>20</v>
          </cell>
          <cell r="F184">
            <v>1</v>
          </cell>
          <cell r="G184">
            <v>1</v>
          </cell>
          <cell r="H184">
            <v>0.3</v>
          </cell>
          <cell r="I184">
            <v>20</v>
          </cell>
          <cell r="J184">
            <v>20</v>
          </cell>
          <cell r="K184">
            <v>6</v>
          </cell>
          <cell r="L184" t="str">
            <v>使用后可选择获得50000资源(可选择资源类型：粮食、木材、石料和铜矿)</v>
          </cell>
        </row>
        <row r="185">
          <cell r="C185">
            <v>21026</v>
          </cell>
          <cell r="D185" t="str">
            <v>中级资源自选宝箱</v>
          </cell>
          <cell r="E185">
            <v>45</v>
          </cell>
          <cell r="F185">
            <v>1.333</v>
          </cell>
          <cell r="G185">
            <v>1</v>
          </cell>
          <cell r="H185">
            <v>0.3</v>
          </cell>
          <cell r="I185">
            <v>59.984999999999999</v>
          </cell>
          <cell r="J185">
            <v>45</v>
          </cell>
          <cell r="K185">
            <v>13.5</v>
          </cell>
          <cell r="L185" t="str">
            <v>使用后可选择获得150000资源(可选择资源类型：粮食、木材、石料和铜矿)</v>
          </cell>
        </row>
        <row r="186">
          <cell r="C186">
            <v>21027</v>
          </cell>
          <cell r="D186" t="str">
            <v>高级资源自选宝箱</v>
          </cell>
          <cell r="E186">
            <v>100</v>
          </cell>
          <cell r="F186">
            <v>2</v>
          </cell>
          <cell r="G186">
            <v>1</v>
          </cell>
          <cell r="H186">
            <v>0.3</v>
          </cell>
          <cell r="I186">
            <v>200</v>
          </cell>
          <cell r="J186">
            <v>100</v>
          </cell>
          <cell r="K186">
            <v>30</v>
          </cell>
          <cell r="L186" t="str">
            <v>使用后可选择获得500000资源(可选择资源类型：粮食、木材、石料和铜矿)</v>
          </cell>
        </row>
        <row r="187">
          <cell r="C187">
            <v>21031</v>
          </cell>
          <cell r="D187" t="str">
            <v>普通资源宝箱</v>
          </cell>
          <cell r="E187">
            <v>30</v>
          </cell>
          <cell r="F187">
            <v>1</v>
          </cell>
          <cell r="G187">
            <v>1</v>
          </cell>
          <cell r="H187">
            <v>0.3</v>
          </cell>
          <cell r="I187">
            <v>30</v>
          </cell>
          <cell r="J187">
            <v>30</v>
          </cell>
          <cell r="K187">
            <v>9</v>
          </cell>
          <cell r="L187" t="str">
            <v>使用后直接获得10000粮食、木材、石料和铜矿</v>
          </cell>
        </row>
        <row r="188">
          <cell r="C188">
            <v>21032</v>
          </cell>
          <cell r="D188" t="str">
            <v>初级资源宝箱</v>
          </cell>
          <cell r="E188">
            <v>80</v>
          </cell>
          <cell r="F188">
            <v>1</v>
          </cell>
          <cell r="G188">
            <v>1</v>
          </cell>
          <cell r="H188">
            <v>0.3</v>
          </cell>
          <cell r="I188">
            <v>80</v>
          </cell>
          <cell r="J188">
            <v>80</v>
          </cell>
          <cell r="K188">
            <v>24</v>
          </cell>
          <cell r="L188" t="str">
            <v>使用后直接获得50000粮食、木材、石料和铜矿</v>
          </cell>
        </row>
        <row r="189">
          <cell r="C189">
            <v>21033</v>
          </cell>
          <cell r="D189" t="str">
            <v>中级资源宝箱</v>
          </cell>
          <cell r="E189">
            <v>180</v>
          </cell>
          <cell r="F189">
            <v>1.333</v>
          </cell>
          <cell r="G189">
            <v>1</v>
          </cell>
          <cell r="H189">
            <v>0.3</v>
          </cell>
          <cell r="I189">
            <v>239.94</v>
          </cell>
          <cell r="J189">
            <v>180</v>
          </cell>
          <cell r="K189">
            <v>54</v>
          </cell>
          <cell r="L189" t="str">
            <v>使用后直接获得150000粮食、木材、石料和铜矿</v>
          </cell>
        </row>
        <row r="190">
          <cell r="C190">
            <v>21034</v>
          </cell>
          <cell r="D190" t="str">
            <v>高级资源宝箱</v>
          </cell>
          <cell r="E190">
            <v>400</v>
          </cell>
          <cell r="F190">
            <v>2</v>
          </cell>
          <cell r="G190">
            <v>1</v>
          </cell>
          <cell r="H190">
            <v>0.3</v>
          </cell>
          <cell r="I190">
            <v>800</v>
          </cell>
          <cell r="J190">
            <v>400</v>
          </cell>
          <cell r="K190">
            <v>120</v>
          </cell>
          <cell r="L190" t="str">
            <v>使用后直接获得500000粮食、木材、石料和铜矿</v>
          </cell>
        </row>
        <row r="191">
          <cell r="C191" t="str">
            <v/>
          </cell>
          <cell r="D191" t="str">
            <v/>
          </cell>
          <cell r="E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</row>
        <row r="192">
          <cell r="C192">
            <v>21061</v>
          </cell>
          <cell r="D192" t="str">
            <v>初级经验书</v>
          </cell>
          <cell r="E192">
            <v>2</v>
          </cell>
          <cell r="F192">
            <v>1</v>
          </cell>
          <cell r="G192">
            <v>1</v>
          </cell>
          <cell r="H192">
            <v>1</v>
          </cell>
          <cell r="I192">
            <v>2</v>
          </cell>
          <cell r="J192">
            <v>2</v>
          </cell>
          <cell r="K192">
            <v>2</v>
          </cell>
          <cell r="L192" t="str">
            <v>武将使用后获得200经验</v>
          </cell>
        </row>
        <row r="193">
          <cell r="C193">
            <v>21062</v>
          </cell>
          <cell r="D193" t="str">
            <v>中级经验书</v>
          </cell>
          <cell r="E193">
            <v>5</v>
          </cell>
          <cell r="F193">
            <v>1</v>
          </cell>
          <cell r="G193">
            <v>1</v>
          </cell>
          <cell r="H193">
            <v>1</v>
          </cell>
          <cell r="I193">
            <v>5</v>
          </cell>
          <cell r="J193">
            <v>5</v>
          </cell>
          <cell r="K193">
            <v>5</v>
          </cell>
          <cell r="L193" t="str">
            <v>武将使用后获得1000经验</v>
          </cell>
        </row>
        <row r="194">
          <cell r="C194">
            <v>21063</v>
          </cell>
          <cell r="D194" t="str">
            <v>高级经验书</v>
          </cell>
          <cell r="E194">
            <v>10</v>
          </cell>
          <cell r="F194">
            <v>1</v>
          </cell>
          <cell r="G194">
            <v>1</v>
          </cell>
          <cell r="H194">
            <v>1</v>
          </cell>
          <cell r="I194">
            <v>10</v>
          </cell>
          <cell r="J194">
            <v>10</v>
          </cell>
          <cell r="K194">
            <v>10</v>
          </cell>
          <cell r="L194" t="str">
            <v>武将使用后获得5000经验</v>
          </cell>
        </row>
        <row r="195">
          <cell r="C195">
            <v>21064</v>
          </cell>
          <cell r="D195" t="str">
            <v>特级经验书</v>
          </cell>
          <cell r="E195">
            <v>20</v>
          </cell>
          <cell r="F195">
            <v>2</v>
          </cell>
          <cell r="G195">
            <v>1</v>
          </cell>
          <cell r="H195">
            <v>1</v>
          </cell>
          <cell r="I195">
            <v>40</v>
          </cell>
          <cell r="J195">
            <v>20</v>
          </cell>
          <cell r="K195">
            <v>20</v>
          </cell>
          <cell r="L195" t="str">
            <v>武将使用后获得20000经验</v>
          </cell>
        </row>
        <row r="196">
          <cell r="C196">
            <v>21065</v>
          </cell>
          <cell r="D196" t="str">
            <v>超级经验书</v>
          </cell>
          <cell r="E196">
            <v>40</v>
          </cell>
          <cell r="F196">
            <v>5</v>
          </cell>
          <cell r="G196">
            <v>1</v>
          </cell>
          <cell r="H196">
            <v>1</v>
          </cell>
          <cell r="I196">
            <v>200</v>
          </cell>
          <cell r="J196">
            <v>40</v>
          </cell>
          <cell r="K196">
            <v>40</v>
          </cell>
          <cell r="L196" t="str">
            <v>武将使用后获得100000经验</v>
          </cell>
        </row>
        <row r="197">
          <cell r="C197" t="str">
            <v/>
          </cell>
          <cell r="D197" t="str">
            <v/>
          </cell>
          <cell r="E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</row>
        <row r="198">
          <cell r="C198">
            <v>21073</v>
          </cell>
          <cell r="D198" t="str">
            <v>1个行军令</v>
          </cell>
          <cell r="E198">
            <v>75</v>
          </cell>
          <cell r="F198">
            <v>1</v>
          </cell>
          <cell r="G198">
            <v>1</v>
          </cell>
          <cell r="H198">
            <v>1</v>
          </cell>
          <cell r="I198">
            <v>75</v>
          </cell>
          <cell r="J198">
            <v>75</v>
          </cell>
          <cell r="K198">
            <v>75</v>
          </cell>
          <cell r="L198" t="str">
            <v>使用后获得1个行军令</v>
          </cell>
        </row>
        <row r="199">
          <cell r="C199">
            <v>21074</v>
          </cell>
          <cell r="D199" t="str">
            <v>大捆行军令</v>
          </cell>
          <cell r="E199">
            <v>225</v>
          </cell>
          <cell r="F199">
            <v>1</v>
          </cell>
          <cell r="G199">
            <v>1</v>
          </cell>
          <cell r="H199">
            <v>1</v>
          </cell>
          <cell r="I199">
            <v>225</v>
          </cell>
          <cell r="J199">
            <v>225</v>
          </cell>
          <cell r="K199">
            <v>225</v>
          </cell>
          <cell r="L199" t="str">
            <v>使用后获得3个行军令</v>
          </cell>
        </row>
        <row r="200">
          <cell r="C200" t="str">
            <v/>
          </cell>
          <cell r="D200" t="str">
            <v/>
          </cell>
          <cell r="E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</row>
        <row r="201">
          <cell r="C201">
            <v>21081</v>
          </cell>
          <cell r="D201" t="str">
            <v>木材增产令</v>
          </cell>
          <cell r="E201">
            <v>35</v>
          </cell>
          <cell r="F201">
            <v>1</v>
          </cell>
          <cell r="G201">
            <v>1</v>
          </cell>
          <cell r="H201">
            <v>1</v>
          </cell>
          <cell r="I201">
            <v>35</v>
          </cell>
          <cell r="J201">
            <v>35</v>
          </cell>
          <cell r="K201">
            <v>35</v>
          </cell>
          <cell r="L201" t="str">
            <v>使用后伐木场产量提高50%，持续12小时</v>
          </cell>
        </row>
        <row r="202">
          <cell r="C202">
            <v>21082</v>
          </cell>
          <cell r="D202" t="str">
            <v>铁矿增产令</v>
          </cell>
          <cell r="E202">
            <v>50</v>
          </cell>
          <cell r="F202">
            <v>1</v>
          </cell>
          <cell r="G202">
            <v>1</v>
          </cell>
          <cell r="H202">
            <v>1</v>
          </cell>
          <cell r="I202">
            <v>50</v>
          </cell>
          <cell r="J202">
            <v>50</v>
          </cell>
          <cell r="K202">
            <v>50</v>
          </cell>
          <cell r="L202" t="str">
            <v>使用后冶炼厂产量提高50%，持续12小时</v>
          </cell>
        </row>
        <row r="203">
          <cell r="C203">
            <v>21083</v>
          </cell>
          <cell r="D203" t="str">
            <v>石料增产令</v>
          </cell>
          <cell r="E203">
            <v>35</v>
          </cell>
          <cell r="F203">
            <v>1</v>
          </cell>
          <cell r="G203">
            <v>1</v>
          </cell>
          <cell r="H203">
            <v>1</v>
          </cell>
          <cell r="I203">
            <v>35</v>
          </cell>
          <cell r="J203">
            <v>35</v>
          </cell>
          <cell r="K203">
            <v>35</v>
          </cell>
          <cell r="L203" t="str">
            <v>使用后采石场产量提高50%，持续12小时</v>
          </cell>
        </row>
        <row r="204">
          <cell r="C204">
            <v>21084</v>
          </cell>
          <cell r="D204" t="str">
            <v>粮食增产令</v>
          </cell>
          <cell r="E204">
            <v>35</v>
          </cell>
          <cell r="F204">
            <v>1</v>
          </cell>
          <cell r="G204">
            <v>1</v>
          </cell>
          <cell r="H204">
            <v>1</v>
          </cell>
          <cell r="I204">
            <v>35</v>
          </cell>
          <cell r="J204">
            <v>35</v>
          </cell>
          <cell r="K204">
            <v>35</v>
          </cell>
          <cell r="L204" t="str">
            <v>使用后农田产量提高50%，持续12小时</v>
          </cell>
        </row>
        <row r="205">
          <cell r="C205">
            <v>21085</v>
          </cell>
          <cell r="D205" t="str">
            <v>赋税增收令</v>
          </cell>
          <cell r="E205">
            <v>85</v>
          </cell>
          <cell r="F205">
            <v>1</v>
          </cell>
          <cell r="G205">
            <v>1</v>
          </cell>
          <cell r="H205">
            <v>1</v>
          </cell>
          <cell r="I205">
            <v>85</v>
          </cell>
          <cell r="J205">
            <v>85</v>
          </cell>
          <cell r="K205">
            <v>85</v>
          </cell>
          <cell r="L205" t="str">
            <v>使用后民居税收提高25%，持续12小时</v>
          </cell>
        </row>
        <row r="206">
          <cell r="C206">
            <v>21086</v>
          </cell>
          <cell r="D206" t="str">
            <v>铜矿增产令</v>
          </cell>
          <cell r="E206">
            <v>35</v>
          </cell>
          <cell r="F206">
            <v>1</v>
          </cell>
          <cell r="G206">
            <v>1</v>
          </cell>
          <cell r="H206">
            <v>1</v>
          </cell>
          <cell r="I206">
            <v>35</v>
          </cell>
          <cell r="J206">
            <v>35</v>
          </cell>
          <cell r="K206">
            <v>35</v>
          </cell>
          <cell r="L206" t="str">
            <v>使用后铜矿产量提高50%，持续12小时</v>
          </cell>
        </row>
        <row r="207">
          <cell r="C207" t="str">
            <v/>
          </cell>
          <cell r="D207" t="str">
            <v/>
          </cell>
          <cell r="E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</row>
        <row r="208">
          <cell r="C208">
            <v>21100</v>
          </cell>
          <cell r="D208" t="str">
            <v>免战牌</v>
          </cell>
          <cell r="E208">
            <v>100</v>
          </cell>
          <cell r="F208">
            <v>1</v>
          </cell>
          <cell r="G208">
            <v>1</v>
          </cell>
          <cell r="H208">
            <v>1</v>
          </cell>
          <cell r="I208">
            <v>100</v>
          </cell>
          <cell r="J208">
            <v>100</v>
          </cell>
          <cell r="K208">
            <v>100</v>
          </cell>
          <cell r="L208" t="str">
            <v>使用后城池不会遭受来自玩家的攻击，主动进攻玩家后失效，持续8小时</v>
          </cell>
        </row>
        <row r="209">
          <cell r="C209">
            <v>21101</v>
          </cell>
          <cell r="D209" t="str">
            <v>普通点将牌</v>
          </cell>
          <cell r="E209">
            <v>65</v>
          </cell>
          <cell r="F209">
            <v>1</v>
          </cell>
          <cell r="G209">
            <v>1</v>
          </cell>
          <cell r="H209">
            <v>1</v>
          </cell>
          <cell r="I209">
            <v>65</v>
          </cell>
          <cell r="J209">
            <v>65</v>
          </cell>
          <cell r="K209">
            <v>65</v>
          </cell>
          <cell r="L209" t="str">
            <v>点将台普通招募时消耗的令牌</v>
          </cell>
        </row>
        <row r="210">
          <cell r="C210">
            <v>21102</v>
          </cell>
          <cell r="D210" t="str">
            <v>高级点将牌</v>
          </cell>
          <cell r="E210">
            <v>240</v>
          </cell>
          <cell r="F210">
            <v>1</v>
          </cell>
          <cell r="G210">
            <v>1</v>
          </cell>
          <cell r="H210">
            <v>1</v>
          </cell>
          <cell r="I210">
            <v>240</v>
          </cell>
          <cell r="J210">
            <v>240</v>
          </cell>
          <cell r="K210">
            <v>240</v>
          </cell>
          <cell r="L210" t="str">
            <v>点将台高级招募时消耗的令牌</v>
          </cell>
        </row>
        <row r="211">
          <cell r="C211" t="str">
            <v/>
          </cell>
          <cell r="D211" t="str">
            <v>行军丸（旧版)</v>
          </cell>
          <cell r="E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>使用后每次可增加部队100%的行军速度</v>
          </cell>
        </row>
        <row r="212">
          <cell r="C212">
            <v>21104</v>
          </cell>
          <cell r="D212" t="str">
            <v>撤军令</v>
          </cell>
          <cell r="E212">
            <v>60</v>
          </cell>
          <cell r="F212">
            <v>1</v>
          </cell>
          <cell r="G212">
            <v>1</v>
          </cell>
          <cell r="H212">
            <v>1</v>
          </cell>
          <cell r="I212">
            <v>60</v>
          </cell>
          <cell r="J212">
            <v>60</v>
          </cell>
          <cell r="K212">
            <v>60</v>
          </cell>
          <cell r="L212" t="str">
            <v>使用后使一支出征队伍立即撤军回城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</row>
        <row r="214">
          <cell r="C214">
            <v>21110</v>
          </cell>
          <cell r="D214" t="str">
            <v>城建1分钟加速令</v>
          </cell>
          <cell r="E214">
            <v>2</v>
          </cell>
          <cell r="F214">
            <v>1</v>
          </cell>
          <cell r="G214">
            <v>1</v>
          </cell>
          <cell r="H214">
            <v>0.3</v>
          </cell>
          <cell r="I214">
            <v>2</v>
          </cell>
          <cell r="J214">
            <v>2</v>
          </cell>
          <cell r="K214">
            <v>0.6</v>
          </cell>
          <cell r="L214" t="str">
            <v>使用后城池建设加速1分钟</v>
          </cell>
        </row>
        <row r="215">
          <cell r="C215">
            <v>21111</v>
          </cell>
          <cell r="D215" t="str">
            <v>城建5分钟加速令</v>
          </cell>
          <cell r="E215">
            <v>8</v>
          </cell>
          <cell r="F215">
            <v>1</v>
          </cell>
          <cell r="G215">
            <v>1</v>
          </cell>
          <cell r="H215">
            <v>0.4</v>
          </cell>
          <cell r="I215">
            <v>8</v>
          </cell>
          <cell r="J215">
            <v>8</v>
          </cell>
          <cell r="K215">
            <v>3.2</v>
          </cell>
          <cell r="L215" t="str">
            <v>使用后城池建设加速5分钟</v>
          </cell>
        </row>
        <row r="216">
          <cell r="C216">
            <v>21112</v>
          </cell>
          <cell r="D216" t="str">
            <v>城建20分钟加速令</v>
          </cell>
          <cell r="E216">
            <v>20</v>
          </cell>
          <cell r="F216">
            <v>1</v>
          </cell>
          <cell r="G216">
            <v>1</v>
          </cell>
          <cell r="H216">
            <v>0.5</v>
          </cell>
          <cell r="I216">
            <v>20</v>
          </cell>
          <cell r="J216">
            <v>20</v>
          </cell>
          <cell r="K216">
            <v>10</v>
          </cell>
          <cell r="L216" t="str">
            <v>使用后城池建设加速20分钟</v>
          </cell>
        </row>
        <row r="217">
          <cell r="C217">
            <v>21113</v>
          </cell>
          <cell r="D217" t="str">
            <v>城建1小时加速令</v>
          </cell>
          <cell r="E217">
            <v>50</v>
          </cell>
          <cell r="F217">
            <v>1.2</v>
          </cell>
          <cell r="G217">
            <v>1</v>
          </cell>
          <cell r="H217">
            <v>0.6</v>
          </cell>
          <cell r="I217">
            <v>60</v>
          </cell>
          <cell r="J217">
            <v>50</v>
          </cell>
          <cell r="K217">
            <v>30</v>
          </cell>
          <cell r="L217" t="str">
            <v>使用后城池建设加速1小时</v>
          </cell>
        </row>
        <row r="218">
          <cell r="C218">
            <v>21114</v>
          </cell>
          <cell r="D218" t="str">
            <v>城建3小时加速令</v>
          </cell>
          <cell r="E218">
            <v>100</v>
          </cell>
          <cell r="F218">
            <v>1.8</v>
          </cell>
          <cell r="G218">
            <v>1</v>
          </cell>
          <cell r="H218">
            <v>0.8</v>
          </cell>
          <cell r="I218">
            <v>180</v>
          </cell>
          <cell r="J218">
            <v>100</v>
          </cell>
          <cell r="K218">
            <v>80</v>
          </cell>
          <cell r="L218" t="str">
            <v>使用后城池建设加速3小时</v>
          </cell>
        </row>
        <row r="219">
          <cell r="C219">
            <v>21135</v>
          </cell>
          <cell r="D219" t="str">
            <v>城建8小时加速令</v>
          </cell>
          <cell r="E219">
            <v>160</v>
          </cell>
          <cell r="F219">
            <v>3</v>
          </cell>
          <cell r="G219">
            <v>1</v>
          </cell>
          <cell r="H219">
            <v>1</v>
          </cell>
          <cell r="I219">
            <v>480</v>
          </cell>
          <cell r="J219">
            <v>160</v>
          </cell>
          <cell r="K219">
            <v>160</v>
          </cell>
          <cell r="L219" t="str">
            <v>使用后城池建设加速8小时</v>
          </cell>
        </row>
        <row r="220">
          <cell r="C220" t="str">
            <v/>
          </cell>
          <cell r="D220" t="str">
            <v/>
          </cell>
          <cell r="E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</row>
        <row r="221">
          <cell r="C221">
            <v>21115</v>
          </cell>
          <cell r="D221" t="str">
            <v>招募1分钟加速令</v>
          </cell>
          <cell r="E221">
            <v>2</v>
          </cell>
          <cell r="F221">
            <v>1</v>
          </cell>
          <cell r="G221">
            <v>1</v>
          </cell>
          <cell r="H221">
            <v>0.3</v>
          </cell>
          <cell r="I221">
            <v>2</v>
          </cell>
          <cell r="J221">
            <v>2</v>
          </cell>
          <cell r="K221">
            <v>0.6</v>
          </cell>
          <cell r="L221" t="str">
            <v>使用后士兵招募加速1分钟</v>
          </cell>
        </row>
        <row r="222">
          <cell r="C222">
            <v>21116</v>
          </cell>
          <cell r="D222" t="str">
            <v>招募5分钟加速令</v>
          </cell>
          <cell r="E222">
            <v>8</v>
          </cell>
          <cell r="F222">
            <v>1</v>
          </cell>
          <cell r="G222">
            <v>1</v>
          </cell>
          <cell r="H222">
            <v>0.4</v>
          </cell>
          <cell r="I222">
            <v>8</v>
          </cell>
          <cell r="J222">
            <v>8</v>
          </cell>
          <cell r="K222">
            <v>3.2</v>
          </cell>
          <cell r="L222" t="str">
            <v>使用后士兵招募加速5分钟</v>
          </cell>
        </row>
        <row r="223">
          <cell r="C223">
            <v>21117</v>
          </cell>
          <cell r="D223" t="str">
            <v>招募20分钟加速令</v>
          </cell>
          <cell r="E223">
            <v>20</v>
          </cell>
          <cell r="F223">
            <v>1</v>
          </cell>
          <cell r="G223">
            <v>1</v>
          </cell>
          <cell r="H223">
            <v>0.5</v>
          </cell>
          <cell r="I223">
            <v>20</v>
          </cell>
          <cell r="J223">
            <v>20</v>
          </cell>
          <cell r="K223">
            <v>10</v>
          </cell>
          <cell r="L223" t="str">
            <v>使用后士兵招募加速20分钟</v>
          </cell>
        </row>
        <row r="224">
          <cell r="C224">
            <v>21118</v>
          </cell>
          <cell r="D224" t="str">
            <v>招募1小时加速令</v>
          </cell>
          <cell r="E224">
            <v>50</v>
          </cell>
          <cell r="F224">
            <v>1.2</v>
          </cell>
          <cell r="G224">
            <v>1</v>
          </cell>
          <cell r="H224">
            <v>0.6</v>
          </cell>
          <cell r="I224">
            <v>60</v>
          </cell>
          <cell r="J224">
            <v>50</v>
          </cell>
          <cell r="K224">
            <v>30</v>
          </cell>
          <cell r="L224" t="str">
            <v>使用后士兵招募加速1小时</v>
          </cell>
        </row>
        <row r="225">
          <cell r="C225">
            <v>21119</v>
          </cell>
          <cell r="D225" t="str">
            <v>招募3小时加速令</v>
          </cell>
          <cell r="E225">
            <v>100</v>
          </cell>
          <cell r="F225">
            <v>1.8</v>
          </cell>
          <cell r="G225">
            <v>1</v>
          </cell>
          <cell r="H225">
            <v>0.8</v>
          </cell>
          <cell r="I225">
            <v>180</v>
          </cell>
          <cell r="J225">
            <v>100</v>
          </cell>
          <cell r="K225">
            <v>80</v>
          </cell>
          <cell r="L225" t="str">
            <v>使用后士兵招募加速3小时</v>
          </cell>
        </row>
        <row r="226">
          <cell r="C226">
            <v>21136</v>
          </cell>
          <cell r="D226" t="str">
            <v>招募8小时加速令</v>
          </cell>
          <cell r="E226">
            <v>160</v>
          </cell>
          <cell r="F226">
            <v>3</v>
          </cell>
          <cell r="G226">
            <v>1</v>
          </cell>
          <cell r="H226">
            <v>1</v>
          </cell>
          <cell r="I226">
            <v>480</v>
          </cell>
          <cell r="J226">
            <v>160</v>
          </cell>
          <cell r="K226">
            <v>160</v>
          </cell>
          <cell r="L226" t="str">
            <v>使用后士兵招募加速8小时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</row>
        <row r="228">
          <cell r="C228">
            <v>21120</v>
          </cell>
          <cell r="D228" t="str">
            <v>治疗1分钟加速令</v>
          </cell>
          <cell r="E228">
            <v>2</v>
          </cell>
          <cell r="F228">
            <v>1</v>
          </cell>
          <cell r="G228">
            <v>1</v>
          </cell>
          <cell r="H228">
            <v>0.3</v>
          </cell>
          <cell r="I228">
            <v>2</v>
          </cell>
          <cell r="J228">
            <v>2</v>
          </cell>
          <cell r="K228">
            <v>0.6</v>
          </cell>
          <cell r="L228" t="str">
            <v>使用后士兵治疗加速1分钟</v>
          </cell>
        </row>
        <row r="229">
          <cell r="C229">
            <v>21121</v>
          </cell>
          <cell r="D229" t="str">
            <v>治疗5分钟加速令</v>
          </cell>
          <cell r="E229">
            <v>8</v>
          </cell>
          <cell r="F229">
            <v>1</v>
          </cell>
          <cell r="G229">
            <v>1</v>
          </cell>
          <cell r="H229">
            <v>0.4</v>
          </cell>
          <cell r="I229">
            <v>8</v>
          </cell>
          <cell r="J229">
            <v>8</v>
          </cell>
          <cell r="K229">
            <v>3.2</v>
          </cell>
          <cell r="L229" t="str">
            <v>使用后士兵治疗加速5分钟</v>
          </cell>
        </row>
        <row r="230">
          <cell r="C230">
            <v>21122</v>
          </cell>
          <cell r="D230" t="str">
            <v>治疗20分钟加速令</v>
          </cell>
          <cell r="E230">
            <v>20</v>
          </cell>
          <cell r="F230">
            <v>1</v>
          </cell>
          <cell r="G230">
            <v>1</v>
          </cell>
          <cell r="H230">
            <v>0.5</v>
          </cell>
          <cell r="I230">
            <v>20</v>
          </cell>
          <cell r="J230">
            <v>20</v>
          </cell>
          <cell r="K230">
            <v>10</v>
          </cell>
          <cell r="L230" t="str">
            <v>使用后士兵治疗加速20分钟</v>
          </cell>
        </row>
        <row r="231">
          <cell r="C231">
            <v>21123</v>
          </cell>
          <cell r="D231" t="str">
            <v>治疗1小时加速令</v>
          </cell>
          <cell r="E231">
            <v>50</v>
          </cell>
          <cell r="F231">
            <v>1.2</v>
          </cell>
          <cell r="G231">
            <v>1</v>
          </cell>
          <cell r="H231">
            <v>0.6</v>
          </cell>
          <cell r="I231">
            <v>60</v>
          </cell>
          <cell r="J231">
            <v>50</v>
          </cell>
          <cell r="K231">
            <v>30</v>
          </cell>
          <cell r="L231" t="str">
            <v>使用后士兵治疗加速1小时</v>
          </cell>
        </row>
        <row r="232">
          <cell r="C232">
            <v>21124</v>
          </cell>
          <cell r="D232" t="str">
            <v>治疗3小时加速令</v>
          </cell>
          <cell r="E232">
            <v>100</v>
          </cell>
          <cell r="F232">
            <v>1.8</v>
          </cell>
          <cell r="G232">
            <v>1</v>
          </cell>
          <cell r="H232">
            <v>0.8</v>
          </cell>
          <cell r="I232">
            <v>180</v>
          </cell>
          <cell r="J232">
            <v>100</v>
          </cell>
          <cell r="K232">
            <v>80</v>
          </cell>
          <cell r="L232" t="str">
            <v>使用后士兵治疗加速3小时</v>
          </cell>
        </row>
        <row r="233">
          <cell r="C233">
            <v>21137</v>
          </cell>
          <cell r="D233" t="str">
            <v>治疗8小时加速令</v>
          </cell>
          <cell r="E233">
            <v>160</v>
          </cell>
          <cell r="F233">
            <v>3</v>
          </cell>
          <cell r="G233">
            <v>1</v>
          </cell>
          <cell r="H233">
            <v>1</v>
          </cell>
          <cell r="I233">
            <v>480</v>
          </cell>
          <cell r="J233">
            <v>160</v>
          </cell>
          <cell r="K233">
            <v>160</v>
          </cell>
          <cell r="L233" t="str">
            <v>使用后士兵治疗加速8小时</v>
          </cell>
        </row>
        <row r="234">
          <cell r="C234" t="str">
            <v/>
          </cell>
          <cell r="D234" t="str">
            <v/>
          </cell>
          <cell r="E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</row>
        <row r="235">
          <cell r="C235">
            <v>21130</v>
          </cell>
          <cell r="D235" t="str">
            <v>训练1分钟加速令</v>
          </cell>
          <cell r="E235">
            <v>2</v>
          </cell>
          <cell r="F235">
            <v>1</v>
          </cell>
          <cell r="G235">
            <v>1</v>
          </cell>
          <cell r="H235">
            <v>0.3</v>
          </cell>
          <cell r="I235">
            <v>2</v>
          </cell>
          <cell r="J235">
            <v>2</v>
          </cell>
          <cell r="K235">
            <v>0.6</v>
          </cell>
          <cell r="L235" t="str">
            <v>使用后士兵训练加速1分钟</v>
          </cell>
        </row>
        <row r="236">
          <cell r="C236">
            <v>21131</v>
          </cell>
          <cell r="D236" t="str">
            <v>训练5分钟加速令</v>
          </cell>
          <cell r="E236">
            <v>8</v>
          </cell>
          <cell r="F236">
            <v>1</v>
          </cell>
          <cell r="G236">
            <v>1</v>
          </cell>
          <cell r="H236">
            <v>0.4</v>
          </cell>
          <cell r="I236">
            <v>8</v>
          </cell>
          <cell r="J236">
            <v>8</v>
          </cell>
          <cell r="K236">
            <v>3.2</v>
          </cell>
          <cell r="L236" t="str">
            <v>使用后士兵训练加速5分钟</v>
          </cell>
        </row>
        <row r="237">
          <cell r="C237">
            <v>21132</v>
          </cell>
          <cell r="D237" t="str">
            <v>训练20分钟加速令</v>
          </cell>
          <cell r="E237">
            <v>20</v>
          </cell>
          <cell r="F237">
            <v>1</v>
          </cell>
          <cell r="G237">
            <v>1</v>
          </cell>
          <cell r="H237">
            <v>0.5</v>
          </cell>
          <cell r="I237">
            <v>20</v>
          </cell>
          <cell r="J237">
            <v>20</v>
          </cell>
          <cell r="K237">
            <v>10</v>
          </cell>
          <cell r="L237" t="str">
            <v>使用后士兵训练加速20分钟</v>
          </cell>
        </row>
        <row r="238">
          <cell r="C238">
            <v>21133</v>
          </cell>
          <cell r="D238" t="str">
            <v>训练1小时加速令</v>
          </cell>
          <cell r="E238">
            <v>50</v>
          </cell>
          <cell r="F238">
            <v>1.2</v>
          </cell>
          <cell r="G238">
            <v>1</v>
          </cell>
          <cell r="H238">
            <v>0.6</v>
          </cell>
          <cell r="I238">
            <v>60</v>
          </cell>
          <cell r="J238">
            <v>50</v>
          </cell>
          <cell r="K238">
            <v>30</v>
          </cell>
          <cell r="L238" t="str">
            <v>使用后士兵训练加速1小时</v>
          </cell>
        </row>
        <row r="239">
          <cell r="C239">
            <v>21134</v>
          </cell>
          <cell r="D239" t="str">
            <v>训练3小时加速令</v>
          </cell>
          <cell r="E239">
            <v>100</v>
          </cell>
          <cell r="F239">
            <v>1.8</v>
          </cell>
          <cell r="G239">
            <v>1</v>
          </cell>
          <cell r="H239">
            <v>0.8</v>
          </cell>
          <cell r="I239">
            <v>180</v>
          </cell>
          <cell r="J239">
            <v>100</v>
          </cell>
          <cell r="K239">
            <v>80</v>
          </cell>
          <cell r="L239" t="str">
            <v>使用后士兵训练加速3小时</v>
          </cell>
        </row>
        <row r="240">
          <cell r="C240">
            <v>21139</v>
          </cell>
          <cell r="D240" t="str">
            <v>训练8小时加速令</v>
          </cell>
          <cell r="E240">
            <v>160</v>
          </cell>
          <cell r="F240">
            <v>3</v>
          </cell>
          <cell r="G240">
            <v>1</v>
          </cell>
          <cell r="H240">
            <v>1</v>
          </cell>
          <cell r="I240">
            <v>480</v>
          </cell>
          <cell r="J240">
            <v>160</v>
          </cell>
          <cell r="K240">
            <v>160</v>
          </cell>
          <cell r="L240" t="str">
            <v>使用后士兵训练加速8小时</v>
          </cell>
        </row>
        <row r="241">
          <cell r="C241" t="str">
            <v/>
          </cell>
          <cell r="D241" t="str">
            <v/>
          </cell>
          <cell r="E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</row>
        <row r="242">
          <cell r="C242">
            <v>21140</v>
          </cell>
          <cell r="D242" t="str">
            <v>圣人1分钟加速令</v>
          </cell>
          <cell r="E242">
            <v>2</v>
          </cell>
          <cell r="F242">
            <v>1</v>
          </cell>
          <cell r="G242">
            <v>1</v>
          </cell>
          <cell r="H242">
            <v>0.3</v>
          </cell>
          <cell r="I242">
            <v>2</v>
          </cell>
          <cell r="J242">
            <v>2</v>
          </cell>
          <cell r="K242">
            <v>0.6</v>
          </cell>
          <cell r="L242" t="str">
            <v>使用后士兵训练加速1分钟</v>
          </cell>
        </row>
        <row r="243">
          <cell r="C243">
            <v>21141</v>
          </cell>
          <cell r="D243" t="str">
            <v>圣人5分钟加速令</v>
          </cell>
          <cell r="E243">
            <v>8</v>
          </cell>
          <cell r="F243">
            <v>1</v>
          </cell>
          <cell r="G243">
            <v>1</v>
          </cell>
          <cell r="H243">
            <v>0.4</v>
          </cell>
          <cell r="I243">
            <v>8</v>
          </cell>
          <cell r="J243">
            <v>8</v>
          </cell>
          <cell r="K243">
            <v>3.2</v>
          </cell>
          <cell r="L243" t="str">
            <v>使用后士兵训练加速5分钟</v>
          </cell>
        </row>
        <row r="244">
          <cell r="C244">
            <v>21142</v>
          </cell>
          <cell r="D244" t="str">
            <v>圣人20分钟加速令</v>
          </cell>
          <cell r="E244">
            <v>20</v>
          </cell>
          <cell r="F244">
            <v>1</v>
          </cell>
          <cell r="G244">
            <v>1</v>
          </cell>
          <cell r="H244">
            <v>0.5</v>
          </cell>
          <cell r="I244">
            <v>20</v>
          </cell>
          <cell r="J244">
            <v>20</v>
          </cell>
          <cell r="K244">
            <v>10</v>
          </cell>
          <cell r="L244" t="str">
            <v>使用后士兵训练加速20分钟</v>
          </cell>
        </row>
        <row r="245">
          <cell r="C245">
            <v>21143</v>
          </cell>
          <cell r="D245" t="str">
            <v>圣人1小时加速令</v>
          </cell>
          <cell r="E245">
            <v>50</v>
          </cell>
          <cell r="F245">
            <v>1.2</v>
          </cell>
          <cell r="G245">
            <v>1</v>
          </cell>
          <cell r="H245">
            <v>0.6</v>
          </cell>
          <cell r="I245">
            <v>60</v>
          </cell>
          <cell r="J245">
            <v>50</v>
          </cell>
          <cell r="K245">
            <v>30</v>
          </cell>
          <cell r="L245" t="str">
            <v>使用后士兵训练加速1小时</v>
          </cell>
        </row>
        <row r="246">
          <cell r="C246">
            <v>21144</v>
          </cell>
          <cell r="D246" t="str">
            <v>圣人3小时加速令</v>
          </cell>
          <cell r="E246">
            <v>100</v>
          </cell>
          <cell r="F246">
            <v>1.8</v>
          </cell>
          <cell r="G246">
            <v>1</v>
          </cell>
          <cell r="H246">
            <v>0.8</v>
          </cell>
          <cell r="I246">
            <v>180</v>
          </cell>
          <cell r="J246">
            <v>100</v>
          </cell>
          <cell r="K246">
            <v>80</v>
          </cell>
          <cell r="L246" t="str">
            <v>使用后士兵训练加速3小时</v>
          </cell>
        </row>
        <row r="247">
          <cell r="C247">
            <v>21145</v>
          </cell>
          <cell r="D247" t="str">
            <v>圣人8小时加速令</v>
          </cell>
          <cell r="E247">
            <v>160</v>
          </cell>
          <cell r="F247">
            <v>3</v>
          </cell>
          <cell r="G247">
            <v>1</v>
          </cell>
          <cell r="H247">
            <v>1</v>
          </cell>
          <cell r="I247">
            <v>480</v>
          </cell>
          <cell r="J247">
            <v>160</v>
          </cell>
          <cell r="K247">
            <v>160</v>
          </cell>
          <cell r="L247" t="str">
            <v>使用后士兵训练加速8小时</v>
          </cell>
        </row>
        <row r="248">
          <cell r="C248" t="str">
            <v/>
          </cell>
          <cell r="D248" t="str">
            <v/>
          </cell>
          <cell r="E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</row>
        <row r="249">
          <cell r="C249">
            <v>21125</v>
          </cell>
          <cell r="D249" t="str">
            <v>通用1分钟加速令</v>
          </cell>
          <cell r="E249">
            <v>2</v>
          </cell>
          <cell r="F249">
            <v>1</v>
          </cell>
          <cell r="G249">
            <v>1</v>
          </cell>
          <cell r="H249">
            <v>0.3</v>
          </cell>
          <cell r="I249">
            <v>2</v>
          </cell>
          <cell r="J249">
            <v>2</v>
          </cell>
          <cell r="K249">
            <v>0.6</v>
          </cell>
          <cell r="L249" t="str">
            <v>使用后任意队列加速1分钟</v>
          </cell>
        </row>
        <row r="250">
          <cell r="C250">
            <v>21126</v>
          </cell>
          <cell r="D250" t="str">
            <v>通用5分钟加速令</v>
          </cell>
          <cell r="E250">
            <v>8</v>
          </cell>
          <cell r="F250">
            <v>1</v>
          </cell>
          <cell r="G250">
            <v>1</v>
          </cell>
          <cell r="H250">
            <v>0.4</v>
          </cell>
          <cell r="I250">
            <v>8</v>
          </cell>
          <cell r="J250">
            <v>8</v>
          </cell>
          <cell r="K250">
            <v>3.2</v>
          </cell>
          <cell r="L250" t="str">
            <v>使用后任意队列加速5分钟</v>
          </cell>
        </row>
        <row r="251">
          <cell r="C251">
            <v>21127</v>
          </cell>
          <cell r="D251" t="str">
            <v>通用20分钟加速令</v>
          </cell>
          <cell r="E251">
            <v>20</v>
          </cell>
          <cell r="F251">
            <v>1</v>
          </cell>
          <cell r="G251">
            <v>1</v>
          </cell>
          <cell r="H251">
            <v>0.5</v>
          </cell>
          <cell r="I251">
            <v>20</v>
          </cell>
          <cell r="J251">
            <v>20</v>
          </cell>
          <cell r="K251">
            <v>10</v>
          </cell>
          <cell r="L251" t="str">
            <v>使用后任意队列加速20分钟</v>
          </cell>
        </row>
        <row r="252">
          <cell r="C252">
            <v>21128</v>
          </cell>
          <cell r="D252" t="str">
            <v>通用1小时加速令</v>
          </cell>
          <cell r="E252">
            <v>50</v>
          </cell>
          <cell r="F252">
            <v>1.2</v>
          </cell>
          <cell r="G252">
            <v>1</v>
          </cell>
          <cell r="H252">
            <v>0.6</v>
          </cell>
          <cell r="I252">
            <v>60</v>
          </cell>
          <cell r="J252">
            <v>50</v>
          </cell>
          <cell r="K252">
            <v>30</v>
          </cell>
          <cell r="L252" t="str">
            <v>使用后任意队列加速1小时</v>
          </cell>
        </row>
        <row r="253">
          <cell r="C253">
            <v>21129</v>
          </cell>
          <cell r="D253" t="str">
            <v>通用3小时加速令</v>
          </cell>
          <cell r="E253">
            <v>100</v>
          </cell>
          <cell r="F253">
            <v>1.8</v>
          </cell>
          <cell r="G253">
            <v>1</v>
          </cell>
          <cell r="H253">
            <v>0.8</v>
          </cell>
          <cell r="I253">
            <v>180</v>
          </cell>
          <cell r="J253">
            <v>100</v>
          </cell>
          <cell r="K253">
            <v>80</v>
          </cell>
          <cell r="L253" t="str">
            <v>使用后任意队列加速3小时</v>
          </cell>
        </row>
        <row r="254">
          <cell r="C254">
            <v>21138</v>
          </cell>
          <cell r="D254" t="str">
            <v>通用8小时加速令</v>
          </cell>
          <cell r="E254">
            <v>160</v>
          </cell>
          <cell r="F254">
            <v>3</v>
          </cell>
          <cell r="G254">
            <v>1</v>
          </cell>
          <cell r="H254">
            <v>1</v>
          </cell>
          <cell r="I254">
            <v>480</v>
          </cell>
          <cell r="J254">
            <v>160</v>
          </cell>
          <cell r="K254">
            <v>160</v>
          </cell>
          <cell r="L254" t="str">
            <v>使用后任意队列加速8小时</v>
          </cell>
        </row>
        <row r="255">
          <cell r="C255" t="str">
            <v/>
          </cell>
          <cell r="D255" t="str">
            <v/>
          </cell>
          <cell r="E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</row>
        <row r="256">
          <cell r="C256" t="str">
            <v/>
          </cell>
          <cell r="D256" t="str">
            <v/>
          </cell>
          <cell r="E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</row>
        <row r="257">
          <cell r="C257">
            <v>21150</v>
          </cell>
          <cell r="D257" t="str">
            <v>初级装备淬炼</v>
          </cell>
          <cell r="E257">
            <v>10</v>
          </cell>
          <cell r="F257">
            <v>1</v>
          </cell>
          <cell r="G257">
            <v>1</v>
          </cell>
          <cell r="H257">
            <v>0.3</v>
          </cell>
          <cell r="I257">
            <v>10</v>
          </cell>
          <cell r="J257">
            <v>10</v>
          </cell>
          <cell r="K257">
            <v>3</v>
          </cell>
          <cell r="L257" t="str">
            <v>装备使用后获得10经验</v>
          </cell>
        </row>
        <row r="258">
          <cell r="C258">
            <v>21151</v>
          </cell>
          <cell r="D258" t="str">
            <v>中级装备淬炼</v>
          </cell>
          <cell r="E258">
            <v>20</v>
          </cell>
          <cell r="F258">
            <v>1</v>
          </cell>
          <cell r="G258">
            <v>1</v>
          </cell>
          <cell r="H258">
            <v>0.3</v>
          </cell>
          <cell r="I258">
            <v>20</v>
          </cell>
          <cell r="J258">
            <v>20</v>
          </cell>
          <cell r="K258">
            <v>6</v>
          </cell>
          <cell r="L258" t="str">
            <v>装备使用后获得20经验</v>
          </cell>
        </row>
        <row r="259">
          <cell r="C259">
            <v>21152</v>
          </cell>
          <cell r="D259" t="str">
            <v>高级装备淬炼</v>
          </cell>
          <cell r="E259">
            <v>40</v>
          </cell>
          <cell r="F259">
            <v>1</v>
          </cell>
          <cell r="G259">
            <v>1</v>
          </cell>
          <cell r="H259">
            <v>0.3</v>
          </cell>
          <cell r="I259">
            <v>40</v>
          </cell>
          <cell r="J259">
            <v>40</v>
          </cell>
          <cell r="K259">
            <v>12</v>
          </cell>
          <cell r="L259" t="str">
            <v>装备使用后获得40经验</v>
          </cell>
        </row>
        <row r="260">
          <cell r="C260">
            <v>21153</v>
          </cell>
          <cell r="D260" t="str">
            <v>特级装备淬炼</v>
          </cell>
          <cell r="E260">
            <v>75</v>
          </cell>
          <cell r="F260">
            <v>1.25</v>
          </cell>
          <cell r="G260">
            <v>1</v>
          </cell>
          <cell r="H260">
            <v>0.3</v>
          </cell>
          <cell r="I260">
            <v>93.75</v>
          </cell>
          <cell r="J260">
            <v>75</v>
          </cell>
          <cell r="K260">
            <v>22.5</v>
          </cell>
          <cell r="L260" t="str">
            <v>装备使用后获得75经验</v>
          </cell>
        </row>
        <row r="261">
          <cell r="C261">
            <v>21154</v>
          </cell>
          <cell r="D261" t="str">
            <v>超级装备淬炼</v>
          </cell>
          <cell r="E261">
            <v>150</v>
          </cell>
          <cell r="F261">
            <v>1.5</v>
          </cell>
          <cell r="G261">
            <v>1</v>
          </cell>
          <cell r="H261">
            <v>0.3</v>
          </cell>
          <cell r="I261">
            <v>225</v>
          </cell>
          <cell r="J261">
            <v>150</v>
          </cell>
          <cell r="K261">
            <v>45</v>
          </cell>
          <cell r="L261" t="str">
            <v>装备使用后获得150经验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</row>
        <row r="263">
          <cell r="C263">
            <v>21500</v>
          </cell>
          <cell r="D263" t="str">
            <v>随机迁城令</v>
          </cell>
          <cell r="E263">
            <v>100</v>
          </cell>
          <cell r="F263">
            <v>1</v>
          </cell>
          <cell r="G263">
            <v>1</v>
          </cell>
          <cell r="H263">
            <v>1</v>
          </cell>
          <cell r="I263">
            <v>100</v>
          </cell>
          <cell r="J263">
            <v>100</v>
          </cell>
          <cell r="K263">
            <v>100</v>
          </cell>
          <cell r="L263" t="str">
            <v>使用后城池迁移到随机位置</v>
          </cell>
        </row>
        <row r="264">
          <cell r="C264">
            <v>21501</v>
          </cell>
          <cell r="D264" t="str">
            <v>九州迁城令</v>
          </cell>
          <cell r="E264">
            <v>300</v>
          </cell>
          <cell r="F264">
            <v>1</v>
          </cell>
          <cell r="G264">
            <v>1</v>
          </cell>
          <cell r="H264">
            <v>1</v>
          </cell>
          <cell r="I264">
            <v>300</v>
          </cell>
          <cell r="J264">
            <v>300</v>
          </cell>
          <cell r="K264">
            <v>300</v>
          </cell>
          <cell r="L264" t="str">
            <v>使用后城池迁移到指定位置</v>
          </cell>
        </row>
        <row r="265">
          <cell r="C265">
            <v>21504</v>
          </cell>
          <cell r="D265" t="str">
            <v>国内迁城令</v>
          </cell>
          <cell r="E265">
            <v>100</v>
          </cell>
          <cell r="F265">
            <v>1</v>
          </cell>
          <cell r="G265">
            <v>1</v>
          </cell>
          <cell r="H265">
            <v>1</v>
          </cell>
          <cell r="I265">
            <v>100</v>
          </cell>
          <cell r="J265">
            <v>100</v>
          </cell>
          <cell r="K265">
            <v>100</v>
          </cell>
          <cell r="L265" t="str">
            <v>使用后城池迁移到国内指定位置</v>
          </cell>
        </row>
        <row r="266">
          <cell r="C266">
            <v>21502</v>
          </cell>
          <cell r="D266" t="str">
            <v>校武牌</v>
          </cell>
          <cell r="E266">
            <v>20</v>
          </cell>
          <cell r="F266">
            <v>1</v>
          </cell>
          <cell r="G266">
            <v>1</v>
          </cell>
          <cell r="H266">
            <v>1</v>
          </cell>
          <cell r="I266">
            <v>20</v>
          </cell>
          <cell r="J266">
            <v>20</v>
          </cell>
          <cell r="K266">
            <v>20</v>
          </cell>
          <cell r="L266" t="str">
            <v>使用后增加1次校场挑战机会</v>
          </cell>
        </row>
        <row r="267">
          <cell r="C267">
            <v>21503</v>
          </cell>
          <cell r="D267" t="str">
            <v>复仇令</v>
          </cell>
          <cell r="E267">
            <v>50</v>
          </cell>
          <cell r="F267">
            <v>1</v>
          </cell>
          <cell r="G267">
            <v>1</v>
          </cell>
          <cell r="H267">
            <v>1</v>
          </cell>
          <cell r="I267">
            <v>50</v>
          </cell>
          <cell r="J267">
            <v>50</v>
          </cell>
          <cell r="K267">
            <v>50</v>
          </cell>
          <cell r="L267" t="str">
            <v>被其他玩家攻击后，可以通过复仇令追查到该玩家城池所在坐标</v>
          </cell>
        </row>
        <row r="268">
          <cell r="C268" t="str">
            <v/>
          </cell>
          <cell r="D268" t="str">
            <v/>
          </cell>
          <cell r="E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</row>
        <row r="269">
          <cell r="C269">
            <v>26400</v>
          </cell>
          <cell r="D269" t="str">
            <v>步兵虎符</v>
          </cell>
          <cell r="E269">
            <v>200</v>
          </cell>
          <cell r="F269">
            <v>1</v>
          </cell>
          <cell r="G269">
            <v>1</v>
          </cell>
          <cell r="H269">
            <v>1</v>
          </cell>
          <cell r="I269">
            <v>200</v>
          </cell>
          <cell r="J269">
            <v>200</v>
          </cell>
          <cell r="K269">
            <v>200</v>
          </cell>
          <cell r="L269" t="str">
            <v>使用后立即获得10000步兵新兵</v>
          </cell>
        </row>
        <row r="270">
          <cell r="C270">
            <v>26401</v>
          </cell>
          <cell r="D270" t="str">
            <v>骑兵虎符</v>
          </cell>
          <cell r="E270">
            <v>200</v>
          </cell>
          <cell r="F270">
            <v>1</v>
          </cell>
          <cell r="G270">
            <v>1</v>
          </cell>
          <cell r="H270">
            <v>1</v>
          </cell>
          <cell r="I270">
            <v>200</v>
          </cell>
          <cell r="J270">
            <v>200</v>
          </cell>
          <cell r="K270">
            <v>200</v>
          </cell>
          <cell r="L270" t="str">
            <v>使用后立即获得10000骑兵新兵</v>
          </cell>
        </row>
        <row r="271">
          <cell r="C271">
            <v>26402</v>
          </cell>
          <cell r="D271" t="str">
            <v>弓箭虎符</v>
          </cell>
          <cell r="E271">
            <v>200</v>
          </cell>
          <cell r="F271">
            <v>1</v>
          </cell>
          <cell r="G271">
            <v>1</v>
          </cell>
          <cell r="H271">
            <v>1</v>
          </cell>
          <cell r="I271">
            <v>200</v>
          </cell>
          <cell r="J271">
            <v>200</v>
          </cell>
          <cell r="K271">
            <v>200</v>
          </cell>
          <cell r="L271" t="str">
            <v>使用后立即获得10000弓箭新兵</v>
          </cell>
        </row>
        <row r="272">
          <cell r="C272">
            <v>26403</v>
          </cell>
          <cell r="D272" t="str">
            <v>器械虎符</v>
          </cell>
          <cell r="E272">
            <v>200</v>
          </cell>
          <cell r="F272">
            <v>1</v>
          </cell>
          <cell r="G272">
            <v>1</v>
          </cell>
          <cell r="H272">
            <v>1</v>
          </cell>
          <cell r="I272">
            <v>200</v>
          </cell>
          <cell r="J272">
            <v>200</v>
          </cell>
          <cell r="K272">
            <v>200</v>
          </cell>
          <cell r="L272" t="str">
            <v>使用后立即获得10000器械兵新兵</v>
          </cell>
        </row>
        <row r="273">
          <cell r="C273" t="str">
            <v/>
          </cell>
          <cell r="D273" t="str">
            <v/>
          </cell>
          <cell r="E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</row>
        <row r="274">
          <cell r="C274">
            <v>26500</v>
          </cell>
          <cell r="D274" t="str">
            <v>兵法宝箱</v>
          </cell>
          <cell r="E274">
            <v>250</v>
          </cell>
          <cell r="F274">
            <v>1</v>
          </cell>
          <cell r="G274">
            <v>1</v>
          </cell>
          <cell r="H274">
            <v>1</v>
          </cell>
          <cell r="I274">
            <v>250</v>
          </cell>
          <cell r="J274">
            <v>250</v>
          </cell>
          <cell r="K274">
            <v>250</v>
          </cell>
          <cell r="L274" t="str">
            <v>使用后随机获得1个兵法</v>
          </cell>
        </row>
        <row r="275">
          <cell r="C275">
            <v>26501</v>
          </cell>
          <cell r="D275" t="str">
            <v>蓝色兵法宝箱</v>
          </cell>
          <cell r="E275">
            <v>50</v>
          </cell>
          <cell r="F275">
            <v>1</v>
          </cell>
          <cell r="G275">
            <v>1</v>
          </cell>
          <cell r="H275">
            <v>1</v>
          </cell>
          <cell r="I275">
            <v>50</v>
          </cell>
          <cell r="J275">
            <v>50</v>
          </cell>
          <cell r="K275">
            <v>50</v>
          </cell>
          <cell r="L275" t="str">
            <v>使用后随机获得1个蓝色品质兵法</v>
          </cell>
        </row>
        <row r="276">
          <cell r="C276">
            <v>26502</v>
          </cell>
          <cell r="D276" t="str">
            <v>紫色兵法宝箱</v>
          </cell>
          <cell r="E276">
            <v>500</v>
          </cell>
          <cell r="F276">
            <v>1</v>
          </cell>
          <cell r="G276">
            <v>1</v>
          </cell>
          <cell r="H276">
            <v>1</v>
          </cell>
          <cell r="I276">
            <v>500</v>
          </cell>
          <cell r="J276">
            <v>500</v>
          </cell>
          <cell r="K276">
            <v>500</v>
          </cell>
          <cell r="L276" t="str">
            <v>使用后随机获得1个紫色品质兵法</v>
          </cell>
        </row>
        <row r="277">
          <cell r="C277">
            <v>26503</v>
          </cell>
          <cell r="D277" t="str">
            <v>橙色兵法宝箱</v>
          </cell>
          <cell r="E277">
            <v>1680</v>
          </cell>
          <cell r="F277">
            <v>1</v>
          </cell>
          <cell r="G277">
            <v>1</v>
          </cell>
          <cell r="H277">
            <v>1</v>
          </cell>
          <cell r="I277">
            <v>1680</v>
          </cell>
          <cell r="J277">
            <v>1680</v>
          </cell>
          <cell r="K277">
            <v>1680</v>
          </cell>
          <cell r="L277" t="str">
            <v>使用后随机获得1个橙色品质兵法</v>
          </cell>
        </row>
        <row r="278">
          <cell r="C278">
            <v>26504</v>
          </cell>
          <cell r="D278" t="str">
            <v>红色兵法宝箱</v>
          </cell>
          <cell r="E278">
            <v>14100</v>
          </cell>
          <cell r="F278">
            <v>1</v>
          </cell>
          <cell r="G278">
            <v>1</v>
          </cell>
          <cell r="H278">
            <v>1</v>
          </cell>
          <cell r="I278">
            <v>14100</v>
          </cell>
          <cell r="J278">
            <v>14100</v>
          </cell>
          <cell r="K278">
            <v>14100</v>
          </cell>
          <cell r="L278" t="str">
            <v>使用后随机获得1个红色品质兵法</v>
          </cell>
        </row>
        <row r="279">
          <cell r="C279" t="str">
            <v/>
          </cell>
          <cell r="D279" t="str">
            <v>指定or任选蓝色兵法</v>
          </cell>
          <cell r="E279">
            <v>35</v>
          </cell>
          <cell r="F279">
            <v>1</v>
          </cell>
          <cell r="G279">
            <v>1</v>
          </cell>
          <cell r="H279">
            <v>1</v>
          </cell>
          <cell r="I279">
            <v>35</v>
          </cell>
          <cell r="J279">
            <v>35</v>
          </cell>
          <cell r="K279">
            <v>35</v>
          </cell>
          <cell r="L279" t="str">
            <v/>
          </cell>
        </row>
        <row r="280">
          <cell r="C280" t="str">
            <v/>
          </cell>
          <cell r="D280" t="str">
            <v>指定or任选紫色兵法</v>
          </cell>
          <cell r="E280">
            <v>750</v>
          </cell>
          <cell r="F280">
            <v>1</v>
          </cell>
          <cell r="G280">
            <v>1</v>
          </cell>
          <cell r="H280">
            <v>1</v>
          </cell>
          <cell r="I280">
            <v>750</v>
          </cell>
          <cell r="J280">
            <v>750</v>
          </cell>
          <cell r="K280">
            <v>750</v>
          </cell>
          <cell r="L280" t="str">
            <v/>
          </cell>
        </row>
        <row r="281">
          <cell r="C281" t="str">
            <v/>
          </cell>
          <cell r="D281" t="str">
            <v>指定or任选橙色兵法</v>
          </cell>
          <cell r="E281">
            <v>3350</v>
          </cell>
          <cell r="F281">
            <v>1</v>
          </cell>
          <cell r="G281">
            <v>1</v>
          </cell>
          <cell r="H281">
            <v>1</v>
          </cell>
          <cell r="I281">
            <v>3350</v>
          </cell>
          <cell r="J281">
            <v>3350</v>
          </cell>
          <cell r="K281">
            <v>3350</v>
          </cell>
          <cell r="L281" t="str">
            <v/>
          </cell>
        </row>
        <row r="282">
          <cell r="C282" t="str">
            <v/>
          </cell>
          <cell r="D282" t="str">
            <v>指定or任选红色兵法</v>
          </cell>
          <cell r="E282">
            <v>9165</v>
          </cell>
          <cell r="F282">
            <v>1</v>
          </cell>
          <cell r="G282">
            <v>1</v>
          </cell>
          <cell r="H282">
            <v>1</v>
          </cell>
          <cell r="I282">
            <v>9165</v>
          </cell>
          <cell r="J282">
            <v>9165</v>
          </cell>
          <cell r="K282">
            <v>9165</v>
          </cell>
          <cell r="L282" t="str">
            <v/>
          </cell>
        </row>
        <row r="283">
          <cell r="C283">
            <v>26505</v>
          </cell>
          <cell r="D283" t="str">
            <v>兵家信物</v>
          </cell>
          <cell r="E283">
            <v>300</v>
          </cell>
          <cell r="F283">
            <v>1</v>
          </cell>
          <cell r="G283">
            <v>1</v>
          </cell>
          <cell r="H283">
            <v>1</v>
          </cell>
          <cell r="I283">
            <v>300</v>
          </cell>
          <cell r="J283">
            <v>300</v>
          </cell>
          <cell r="K283">
            <v>300</v>
          </cell>
          <cell r="L283" t="str">
            <v>抽取兵法时消耗的道具（赠送10个5分钟通用加速）</v>
          </cell>
        </row>
        <row r="284">
          <cell r="C284" t="str">
            <v/>
          </cell>
          <cell r="D284" t="str">
            <v/>
          </cell>
          <cell r="E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</row>
        <row r="285">
          <cell r="C285" t="str">
            <v/>
          </cell>
          <cell r="D285" t="str">
            <v/>
          </cell>
          <cell r="E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</row>
        <row r="286">
          <cell r="C286">
            <v>26520</v>
          </cell>
          <cell r="D286" t="str">
            <v>紫色兵法自选宝箱</v>
          </cell>
          <cell r="E286">
            <v>750</v>
          </cell>
          <cell r="F286">
            <v>1</v>
          </cell>
          <cell r="G286">
            <v>1</v>
          </cell>
          <cell r="H286">
            <v>1</v>
          </cell>
          <cell r="I286">
            <v>750</v>
          </cell>
          <cell r="J286">
            <v>750</v>
          </cell>
          <cell r="K286">
            <v>750</v>
          </cell>
          <cell r="L286" t="str">
            <v>使用后可选择一个紫色兵法。紫色兵法：攻其不备、出奇制胜、破军夺志</v>
          </cell>
        </row>
        <row r="287">
          <cell r="C287">
            <v>26521</v>
          </cell>
          <cell r="D287" t="str">
            <v>橙色兵法自选宝箱</v>
          </cell>
          <cell r="E287">
            <v>3350</v>
          </cell>
          <cell r="F287">
            <v>1</v>
          </cell>
          <cell r="G287">
            <v>1</v>
          </cell>
          <cell r="H287">
            <v>1</v>
          </cell>
          <cell r="I287">
            <v>3350</v>
          </cell>
          <cell r="J287">
            <v>3350</v>
          </cell>
          <cell r="K287">
            <v>3350</v>
          </cell>
          <cell r="L287" t="str">
            <v>使用后可选择一个橙色兵法。橙色兵法：援军秘策、养精蓄锐、退敌千里、奇佐鬼谋</v>
          </cell>
        </row>
        <row r="288">
          <cell r="C288" t="str">
            <v/>
          </cell>
          <cell r="D288" t="str">
            <v/>
          </cell>
          <cell r="E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</row>
        <row r="289">
          <cell r="C289">
            <v>26551</v>
          </cell>
          <cell r="D289" t="str">
            <v>虎符宝箱</v>
          </cell>
          <cell r="E289">
            <v>160</v>
          </cell>
          <cell r="F289">
            <v>1</v>
          </cell>
          <cell r="G289">
            <v>1</v>
          </cell>
          <cell r="H289">
            <v>1</v>
          </cell>
          <cell r="I289">
            <v>160</v>
          </cell>
          <cell r="J289">
            <v>160</v>
          </cell>
          <cell r="K289">
            <v>160</v>
          </cell>
          <cell r="L289" t="str">
            <v>使用后随机获得1个虎符</v>
          </cell>
        </row>
        <row r="290">
          <cell r="C290">
            <v>26552</v>
          </cell>
          <cell r="D290" t="str">
            <v>1级贡品宝箱</v>
          </cell>
          <cell r="E290">
            <v>40</v>
          </cell>
          <cell r="F290">
            <v>1</v>
          </cell>
          <cell r="G290">
            <v>1</v>
          </cell>
          <cell r="H290">
            <v>1</v>
          </cell>
          <cell r="I290">
            <v>40</v>
          </cell>
          <cell r="J290">
            <v>40</v>
          </cell>
          <cell r="K290">
            <v>40</v>
          </cell>
          <cell r="L290" t="str">
            <v>使用后随机获得铜镜、陶罐中的1个贡品</v>
          </cell>
        </row>
        <row r="291">
          <cell r="C291">
            <v>26553</v>
          </cell>
          <cell r="D291" t="str">
            <v>2级贡品宝箱</v>
          </cell>
          <cell r="E291">
            <v>60</v>
          </cell>
          <cell r="F291">
            <v>1</v>
          </cell>
          <cell r="G291">
            <v>1</v>
          </cell>
          <cell r="H291">
            <v>1</v>
          </cell>
          <cell r="I291">
            <v>60</v>
          </cell>
          <cell r="J291">
            <v>60</v>
          </cell>
          <cell r="K291">
            <v>60</v>
          </cell>
          <cell r="L291" t="str">
            <v>使用后随机获得水晶杯、香鼎、铜壶中的1个贡品</v>
          </cell>
        </row>
        <row r="292">
          <cell r="C292">
            <v>26554</v>
          </cell>
          <cell r="D292" t="str">
            <v>3级贡品宝箱</v>
          </cell>
          <cell r="E292">
            <v>80</v>
          </cell>
          <cell r="F292">
            <v>1</v>
          </cell>
          <cell r="G292">
            <v>1</v>
          </cell>
          <cell r="H292">
            <v>1</v>
          </cell>
          <cell r="I292">
            <v>80</v>
          </cell>
          <cell r="J292">
            <v>80</v>
          </cell>
          <cell r="K292">
            <v>80</v>
          </cell>
          <cell r="L292" t="str">
            <v>使用后随机获得长颈壶、方陶皿、兽头觥、象形尊中的1个贡品</v>
          </cell>
        </row>
        <row r="293">
          <cell r="C293">
            <v>26555</v>
          </cell>
          <cell r="D293" t="str">
            <v>4级贡品宝箱</v>
          </cell>
          <cell r="E293">
            <v>100</v>
          </cell>
          <cell r="F293">
            <v>1</v>
          </cell>
          <cell r="G293">
            <v>1</v>
          </cell>
          <cell r="H293">
            <v>1</v>
          </cell>
          <cell r="I293">
            <v>100</v>
          </cell>
          <cell r="J293">
            <v>100</v>
          </cell>
          <cell r="K293">
            <v>100</v>
          </cell>
          <cell r="L293" t="str">
            <v>使用后随机获得冰鉴、螭首盉、三足爵、鎏金缶中的1个贡品</v>
          </cell>
        </row>
        <row r="294">
          <cell r="C294">
            <v>26556</v>
          </cell>
          <cell r="D294" t="str">
            <v>5级贡品宝箱</v>
          </cell>
          <cell r="E294">
            <v>120</v>
          </cell>
          <cell r="F294">
            <v>1</v>
          </cell>
          <cell r="G294">
            <v>1</v>
          </cell>
          <cell r="H294">
            <v>1</v>
          </cell>
          <cell r="I294">
            <v>120</v>
          </cell>
          <cell r="J294">
            <v>120</v>
          </cell>
          <cell r="K294">
            <v>120</v>
          </cell>
          <cell r="L294" t="str">
            <v>使用后随机获得锦瑟、编钟、石磬、瑶琴中的1个贡品</v>
          </cell>
        </row>
        <row r="295">
          <cell r="C295">
            <v>26557</v>
          </cell>
          <cell r="D295" t="str">
            <v>6级贡品宝箱</v>
          </cell>
          <cell r="E295">
            <v>140</v>
          </cell>
          <cell r="F295">
            <v>1</v>
          </cell>
          <cell r="G295">
            <v>1</v>
          </cell>
          <cell r="H295">
            <v>1</v>
          </cell>
          <cell r="I295">
            <v>140</v>
          </cell>
          <cell r="J295">
            <v>140</v>
          </cell>
          <cell r="K295">
            <v>140</v>
          </cell>
          <cell r="L295" t="str">
            <v>使用后随机获得青圭、赤璋、白琥、玄璜中的1个贡品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</row>
        <row r="297">
          <cell r="C297">
            <v>21251</v>
          </cell>
          <cell r="D297" t="str">
            <v>绿色装备宝箱</v>
          </cell>
          <cell r="E297">
            <v>35</v>
          </cell>
          <cell r="F297">
            <v>1</v>
          </cell>
          <cell r="G297">
            <v>1</v>
          </cell>
          <cell r="H297">
            <v>1</v>
          </cell>
          <cell r="I297">
            <v>35</v>
          </cell>
          <cell r="J297">
            <v>35</v>
          </cell>
          <cell r="K297">
            <v>35</v>
          </cell>
          <cell r="L297" t="str">
            <v>使用后随机获得1件品质为绿色的装备</v>
          </cell>
        </row>
        <row r="298">
          <cell r="C298">
            <v>21252</v>
          </cell>
          <cell r="D298" t="str">
            <v>蓝色装备宝箱</v>
          </cell>
          <cell r="E298">
            <v>75</v>
          </cell>
          <cell r="F298">
            <v>1</v>
          </cell>
          <cell r="G298">
            <v>1</v>
          </cell>
          <cell r="H298">
            <v>1</v>
          </cell>
          <cell r="I298">
            <v>75</v>
          </cell>
          <cell r="J298">
            <v>75</v>
          </cell>
          <cell r="K298">
            <v>75</v>
          </cell>
          <cell r="L298" t="str">
            <v>使用后随机获得1件品质为蓝色的装备</v>
          </cell>
        </row>
        <row r="299">
          <cell r="C299">
            <v>21253</v>
          </cell>
          <cell r="D299" t="str">
            <v>紫色装备宝箱</v>
          </cell>
          <cell r="E299">
            <v>150</v>
          </cell>
          <cell r="F299">
            <v>1</v>
          </cell>
          <cell r="G299">
            <v>1</v>
          </cell>
          <cell r="H299">
            <v>1</v>
          </cell>
          <cell r="I299">
            <v>150</v>
          </cell>
          <cell r="J299">
            <v>150</v>
          </cell>
          <cell r="K299">
            <v>150</v>
          </cell>
          <cell r="L299" t="str">
            <v>使用后随机获得1件品质为紫色的装备</v>
          </cell>
        </row>
        <row r="300">
          <cell r="C300">
            <v>21254</v>
          </cell>
          <cell r="D300" t="str">
            <v>橙色装备宝箱</v>
          </cell>
          <cell r="E300">
            <v>320</v>
          </cell>
          <cell r="F300">
            <v>1</v>
          </cell>
          <cell r="G300">
            <v>1</v>
          </cell>
          <cell r="H300">
            <v>1</v>
          </cell>
          <cell r="I300">
            <v>320</v>
          </cell>
          <cell r="J300">
            <v>320</v>
          </cell>
          <cell r="K300">
            <v>320</v>
          </cell>
          <cell r="L300" t="str">
            <v>使用后随机获得1件品质为橙色的装备</v>
          </cell>
        </row>
        <row r="301">
          <cell r="C301">
            <v>21255</v>
          </cell>
          <cell r="D301" t="str">
            <v>红色装备宝箱</v>
          </cell>
          <cell r="E301">
            <v>2400</v>
          </cell>
          <cell r="F301">
            <v>1</v>
          </cell>
          <cell r="G301">
            <v>1</v>
          </cell>
          <cell r="H301">
            <v>1</v>
          </cell>
          <cell r="I301">
            <v>2400</v>
          </cell>
          <cell r="J301">
            <v>2400</v>
          </cell>
          <cell r="K301">
            <v>2400</v>
          </cell>
          <cell r="L301" t="str">
            <v>使用后随机获得1件品质为红色的装备</v>
          </cell>
        </row>
        <row r="302">
          <cell r="C302" t="str">
            <v/>
          </cell>
          <cell r="D302" t="str">
            <v/>
          </cell>
          <cell r="E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</row>
        <row r="303">
          <cell r="C303">
            <v>20052</v>
          </cell>
          <cell r="D303" t="str">
            <v>练军心得·觉</v>
          </cell>
          <cell r="E303">
            <v>40</v>
          </cell>
          <cell r="F303">
            <v>1</v>
          </cell>
          <cell r="G303">
            <v>1</v>
          </cell>
          <cell r="H303">
            <v>1</v>
          </cell>
          <cell r="I303">
            <v>40</v>
          </cell>
          <cell r="J303">
            <v>40</v>
          </cell>
          <cell r="K303">
            <v>40</v>
          </cell>
          <cell r="L303" t="str">
            <v>掌军之策，厉兵秣马，可用于武将觉醒</v>
          </cell>
        </row>
        <row r="304">
          <cell r="C304">
            <v>20053</v>
          </cell>
          <cell r="D304" t="str">
            <v>策论心得·觉</v>
          </cell>
          <cell r="E304">
            <v>40</v>
          </cell>
          <cell r="F304">
            <v>1</v>
          </cell>
          <cell r="G304">
            <v>1</v>
          </cell>
          <cell r="H304">
            <v>1</v>
          </cell>
          <cell r="I304">
            <v>40</v>
          </cell>
          <cell r="J304">
            <v>40</v>
          </cell>
          <cell r="K304">
            <v>40</v>
          </cell>
          <cell r="L304" t="str">
            <v>书山万卷，算无遗策，可用于武将觉醒</v>
          </cell>
        </row>
        <row r="305">
          <cell r="C305">
            <v>20054</v>
          </cell>
          <cell r="D305" t="str">
            <v>兵书心得·觉</v>
          </cell>
          <cell r="E305">
            <v>40</v>
          </cell>
          <cell r="F305">
            <v>1</v>
          </cell>
          <cell r="G305">
            <v>1</v>
          </cell>
          <cell r="H305">
            <v>1</v>
          </cell>
          <cell r="I305">
            <v>40</v>
          </cell>
          <cell r="J305">
            <v>40</v>
          </cell>
          <cell r="K305">
            <v>40</v>
          </cell>
          <cell r="L305" t="str">
            <v>千军万马，文韬武略，可用于武将觉醒</v>
          </cell>
        </row>
        <row r="306">
          <cell r="C306" t="str">
            <v/>
          </cell>
          <cell r="D306" t="str">
            <v/>
          </cell>
          <cell r="E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</row>
        <row r="307">
          <cell r="C307">
            <v>20055</v>
          </cell>
          <cell r="D307" t="str">
            <v>虎咬佩剑·觉</v>
          </cell>
          <cell r="E307">
            <v>60</v>
          </cell>
          <cell r="F307">
            <v>1</v>
          </cell>
          <cell r="G307">
            <v>1</v>
          </cell>
          <cell r="H307">
            <v>1</v>
          </cell>
          <cell r="I307">
            <v>60</v>
          </cell>
          <cell r="J307">
            <v>60</v>
          </cell>
          <cell r="K307">
            <v>60</v>
          </cell>
          <cell r="L307" t="str">
            <v>卧虎藏龙，剑及履及，可用于武将觉醒</v>
          </cell>
        </row>
        <row r="308">
          <cell r="C308">
            <v>20056</v>
          </cell>
          <cell r="D308" t="str">
            <v>灵蛇佩剑·觉</v>
          </cell>
          <cell r="E308">
            <v>60</v>
          </cell>
          <cell r="F308">
            <v>1</v>
          </cell>
          <cell r="G308">
            <v>1</v>
          </cell>
          <cell r="H308">
            <v>1</v>
          </cell>
          <cell r="I308">
            <v>60</v>
          </cell>
          <cell r="J308">
            <v>60</v>
          </cell>
          <cell r="K308">
            <v>60</v>
          </cell>
          <cell r="L308" t="str">
            <v>灵蛇之珠，剑态箫心，可用于武将觉醒</v>
          </cell>
        </row>
        <row r="309">
          <cell r="C309">
            <v>20057</v>
          </cell>
          <cell r="D309" t="str">
            <v>狼头佩剑·觉</v>
          </cell>
          <cell r="E309">
            <v>60</v>
          </cell>
          <cell r="F309">
            <v>1</v>
          </cell>
          <cell r="G309">
            <v>1</v>
          </cell>
          <cell r="H309">
            <v>1</v>
          </cell>
          <cell r="I309">
            <v>60</v>
          </cell>
          <cell r="J309">
            <v>60</v>
          </cell>
          <cell r="K309">
            <v>60</v>
          </cell>
          <cell r="L309" t="str">
            <v>封狼居胥，剑气纵横，可用于武将觉醒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20059</v>
          </cell>
          <cell r="D311" t="str">
            <v>勇之授印·觉</v>
          </cell>
          <cell r="E311">
            <v>80</v>
          </cell>
          <cell r="F311">
            <v>1</v>
          </cell>
          <cell r="G311">
            <v>1</v>
          </cell>
          <cell r="H311">
            <v>1</v>
          </cell>
          <cell r="I311">
            <v>80</v>
          </cell>
          <cell r="J311">
            <v>80</v>
          </cell>
          <cell r="K311">
            <v>80</v>
          </cell>
          <cell r="L311" t="str">
            <v>拔山盖世，气吞山河，可用于武将觉醒</v>
          </cell>
        </row>
        <row r="312">
          <cell r="C312">
            <v>20060</v>
          </cell>
          <cell r="D312" t="str">
            <v>谋之授印·觉</v>
          </cell>
          <cell r="E312">
            <v>80</v>
          </cell>
          <cell r="F312">
            <v>1</v>
          </cell>
          <cell r="G312">
            <v>1</v>
          </cell>
          <cell r="H312">
            <v>1</v>
          </cell>
          <cell r="I312">
            <v>80</v>
          </cell>
          <cell r="J312">
            <v>80</v>
          </cell>
          <cell r="K312">
            <v>80</v>
          </cell>
          <cell r="L312" t="str">
            <v>渊谋远略，运筹帷幄，可用于武将觉醒</v>
          </cell>
        </row>
        <row r="313">
          <cell r="C313">
            <v>20061</v>
          </cell>
          <cell r="D313" t="str">
            <v>御之授印·觉</v>
          </cell>
          <cell r="E313">
            <v>80</v>
          </cell>
          <cell r="F313">
            <v>1</v>
          </cell>
          <cell r="G313">
            <v>1</v>
          </cell>
          <cell r="H313">
            <v>1</v>
          </cell>
          <cell r="I313">
            <v>80</v>
          </cell>
          <cell r="J313">
            <v>80</v>
          </cell>
          <cell r="K313">
            <v>80</v>
          </cell>
          <cell r="L313" t="str">
            <v>御下有方，论功行赏，可用于武将觉醒</v>
          </cell>
        </row>
        <row r="314">
          <cell r="C314" t="str">
            <v/>
          </cell>
          <cell r="D314" t="str">
            <v/>
          </cell>
          <cell r="E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</row>
        <row r="315">
          <cell r="C315">
            <v>20064</v>
          </cell>
          <cell r="D315" t="str">
            <v>战阵精研·极</v>
          </cell>
          <cell r="E315">
            <v>100</v>
          </cell>
          <cell r="F315">
            <v>1</v>
          </cell>
          <cell r="G315">
            <v>1</v>
          </cell>
          <cell r="H315">
            <v>1</v>
          </cell>
          <cell r="I315">
            <v>100</v>
          </cell>
          <cell r="J315">
            <v>100</v>
          </cell>
          <cell r="K315">
            <v>100</v>
          </cell>
          <cell r="L315" t="str">
            <v>行兵布阵，勇往直前，可用于武将觉醒</v>
          </cell>
        </row>
        <row r="316">
          <cell r="C316">
            <v>20065</v>
          </cell>
          <cell r="D316" t="str">
            <v>谋略精研·极</v>
          </cell>
          <cell r="E316">
            <v>100</v>
          </cell>
          <cell r="F316">
            <v>1</v>
          </cell>
          <cell r="G316">
            <v>1</v>
          </cell>
          <cell r="H316">
            <v>1</v>
          </cell>
          <cell r="I316">
            <v>100</v>
          </cell>
          <cell r="J316">
            <v>100</v>
          </cell>
          <cell r="K316">
            <v>100</v>
          </cell>
          <cell r="L316" t="str">
            <v>目达耳通，上兵伐谋，可用于武将觉醒</v>
          </cell>
        </row>
        <row r="317">
          <cell r="C317">
            <v>20066</v>
          </cell>
          <cell r="D317" t="str">
            <v>御军精研·极</v>
          </cell>
          <cell r="E317">
            <v>100</v>
          </cell>
          <cell r="F317">
            <v>1</v>
          </cell>
          <cell r="G317">
            <v>1</v>
          </cell>
          <cell r="H317">
            <v>1</v>
          </cell>
          <cell r="I317">
            <v>100</v>
          </cell>
          <cell r="J317">
            <v>100</v>
          </cell>
          <cell r="K317">
            <v>100</v>
          </cell>
          <cell r="L317" t="str">
            <v>持筹握算，精兵简政，可用于武将觉醒</v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20070</v>
          </cell>
          <cell r="D319" t="str">
            <v>白虎白琥·极</v>
          </cell>
          <cell r="E319">
            <v>120</v>
          </cell>
          <cell r="F319">
            <v>1</v>
          </cell>
          <cell r="G319">
            <v>1</v>
          </cell>
          <cell r="H319">
            <v>1</v>
          </cell>
          <cell r="I319">
            <v>120</v>
          </cell>
          <cell r="J319">
            <v>120</v>
          </cell>
          <cell r="K319">
            <v>120</v>
          </cell>
          <cell r="L319" t="str">
            <v>形神兼备，虎啸龙吟，可用于武将觉醒</v>
          </cell>
        </row>
        <row r="320">
          <cell r="C320">
            <v>20071</v>
          </cell>
          <cell r="D320" t="str">
            <v>朱雀赤璋·极</v>
          </cell>
          <cell r="E320">
            <v>120</v>
          </cell>
          <cell r="F320">
            <v>1</v>
          </cell>
          <cell r="G320">
            <v>1</v>
          </cell>
          <cell r="H320">
            <v>1</v>
          </cell>
          <cell r="I320">
            <v>120</v>
          </cell>
          <cell r="J320">
            <v>120</v>
          </cell>
          <cell r="K320">
            <v>120</v>
          </cell>
          <cell r="L320" t="str">
            <v>烈火真金，朱雀玄武，可用于武将觉醒</v>
          </cell>
        </row>
        <row r="321">
          <cell r="C321">
            <v>20072</v>
          </cell>
          <cell r="D321" t="str">
            <v>青龙青圭·极</v>
          </cell>
          <cell r="E321">
            <v>120</v>
          </cell>
          <cell r="F321">
            <v>1</v>
          </cell>
          <cell r="G321">
            <v>1</v>
          </cell>
          <cell r="H321">
            <v>1</v>
          </cell>
          <cell r="I321">
            <v>120</v>
          </cell>
          <cell r="J321">
            <v>120</v>
          </cell>
          <cell r="K321">
            <v>120</v>
          </cell>
          <cell r="L321" t="str">
            <v>青云直上，龙飞凤舞，可用于武将觉醒</v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</row>
        <row r="323">
          <cell r="C323">
            <v>20077</v>
          </cell>
          <cell r="D323" t="str">
            <v>战将护符·极</v>
          </cell>
          <cell r="E323">
            <v>140</v>
          </cell>
          <cell r="F323">
            <v>1</v>
          </cell>
          <cell r="G323">
            <v>1</v>
          </cell>
          <cell r="H323">
            <v>1</v>
          </cell>
          <cell r="I323">
            <v>140</v>
          </cell>
          <cell r="J323">
            <v>140</v>
          </cell>
          <cell r="K323">
            <v>140</v>
          </cell>
          <cell r="L323" t="str">
            <v>王侯将相，功成名就，可用于武将觉醒</v>
          </cell>
        </row>
        <row r="324">
          <cell r="C324">
            <v>20078</v>
          </cell>
          <cell r="D324" t="str">
            <v>军师护符·极</v>
          </cell>
          <cell r="E324">
            <v>140</v>
          </cell>
          <cell r="F324">
            <v>1</v>
          </cell>
          <cell r="G324">
            <v>1</v>
          </cell>
          <cell r="H324">
            <v>1</v>
          </cell>
          <cell r="I324">
            <v>140</v>
          </cell>
          <cell r="J324">
            <v>140</v>
          </cell>
          <cell r="K324">
            <v>140</v>
          </cell>
          <cell r="L324" t="str">
            <v>神机妙算，才华横溢，可用于武将觉醒</v>
          </cell>
        </row>
        <row r="325">
          <cell r="C325">
            <v>20079</v>
          </cell>
          <cell r="D325" t="str">
            <v>统帅护符·极</v>
          </cell>
          <cell r="E325">
            <v>140</v>
          </cell>
          <cell r="F325">
            <v>1</v>
          </cell>
          <cell r="G325">
            <v>1</v>
          </cell>
          <cell r="H325">
            <v>1</v>
          </cell>
          <cell r="I325">
            <v>140</v>
          </cell>
          <cell r="J325">
            <v>140</v>
          </cell>
          <cell r="K325">
            <v>140</v>
          </cell>
          <cell r="L325" t="str">
            <v>号令如山，统帅三军，可用于武将觉醒</v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</row>
        <row r="328">
          <cell r="C328">
            <v>23001</v>
          </cell>
          <cell r="D328" t="str">
            <v>紫色步将自选宝箱</v>
          </cell>
          <cell r="E328">
            <v>600</v>
          </cell>
          <cell r="F328">
            <v>1</v>
          </cell>
          <cell r="G328">
            <v>1</v>
          </cell>
          <cell r="H328">
            <v>1</v>
          </cell>
          <cell r="I328">
            <v>600</v>
          </cell>
          <cell r="J328">
            <v>600</v>
          </cell>
          <cell r="K328">
            <v>600</v>
          </cell>
          <cell r="L328" t="str">
            <v>使用后选择获得一个紫色步将</v>
          </cell>
        </row>
        <row r="329">
          <cell r="C329">
            <v>23002</v>
          </cell>
          <cell r="D329" t="str">
            <v>橙色步将自选宝箱</v>
          </cell>
          <cell r="E329">
            <v>4800</v>
          </cell>
          <cell r="F329">
            <v>1</v>
          </cell>
          <cell r="G329">
            <v>1</v>
          </cell>
          <cell r="H329">
            <v>1</v>
          </cell>
          <cell r="I329">
            <v>4800</v>
          </cell>
          <cell r="J329">
            <v>4800</v>
          </cell>
          <cell r="K329">
            <v>4800</v>
          </cell>
          <cell r="L329" t="str">
            <v>使用后选择获得一个橙色武将</v>
          </cell>
        </row>
        <row r="330">
          <cell r="C330">
            <v>23003</v>
          </cell>
          <cell r="D330" t="str">
            <v>红色步将自选宝箱</v>
          </cell>
          <cell r="E330">
            <v>14400</v>
          </cell>
          <cell r="F330">
            <v>1</v>
          </cell>
          <cell r="G330">
            <v>1</v>
          </cell>
          <cell r="H330">
            <v>1</v>
          </cell>
          <cell r="I330">
            <v>14400</v>
          </cell>
          <cell r="J330">
            <v>14400</v>
          </cell>
          <cell r="K330">
            <v>14400</v>
          </cell>
          <cell r="L330" t="str">
            <v>使用后选择获得一个红色步将</v>
          </cell>
        </row>
        <row r="331">
          <cell r="C331">
            <v>23004</v>
          </cell>
          <cell r="D331" t="str">
            <v>紫色骑将自选宝箱</v>
          </cell>
          <cell r="E331">
            <v>600</v>
          </cell>
          <cell r="F331">
            <v>1</v>
          </cell>
          <cell r="G331">
            <v>1</v>
          </cell>
          <cell r="H331">
            <v>1</v>
          </cell>
          <cell r="I331">
            <v>600</v>
          </cell>
          <cell r="J331">
            <v>600</v>
          </cell>
          <cell r="K331">
            <v>600</v>
          </cell>
          <cell r="L331" t="str">
            <v>使用后选择获得一个紫色骑将</v>
          </cell>
        </row>
        <row r="332">
          <cell r="C332">
            <v>23005</v>
          </cell>
          <cell r="D332" t="str">
            <v>橙色骑将自选宝箱</v>
          </cell>
          <cell r="E332">
            <v>4800</v>
          </cell>
          <cell r="F332">
            <v>1</v>
          </cell>
          <cell r="G332">
            <v>1</v>
          </cell>
          <cell r="H332">
            <v>1</v>
          </cell>
          <cell r="I332">
            <v>4800</v>
          </cell>
          <cell r="J332">
            <v>4800</v>
          </cell>
          <cell r="K332">
            <v>4800</v>
          </cell>
          <cell r="L332" t="str">
            <v>使用后选择获得一个橙色骑将</v>
          </cell>
        </row>
        <row r="333">
          <cell r="C333">
            <v>23006</v>
          </cell>
          <cell r="D333" t="str">
            <v>红色骑将自选宝箱</v>
          </cell>
          <cell r="E333">
            <v>14400</v>
          </cell>
          <cell r="F333">
            <v>1</v>
          </cell>
          <cell r="G333">
            <v>1</v>
          </cell>
          <cell r="H333">
            <v>1</v>
          </cell>
          <cell r="I333">
            <v>14400</v>
          </cell>
          <cell r="J333">
            <v>14400</v>
          </cell>
          <cell r="K333">
            <v>14400</v>
          </cell>
          <cell r="L333" t="str">
            <v>使用后选择获得一个红色骑将</v>
          </cell>
        </row>
        <row r="334">
          <cell r="C334">
            <v>23007</v>
          </cell>
          <cell r="D334" t="str">
            <v>紫色弓将自选宝箱</v>
          </cell>
          <cell r="E334">
            <v>600</v>
          </cell>
          <cell r="F334">
            <v>1</v>
          </cell>
          <cell r="G334">
            <v>1</v>
          </cell>
          <cell r="H334">
            <v>1</v>
          </cell>
          <cell r="I334">
            <v>600</v>
          </cell>
          <cell r="J334">
            <v>600</v>
          </cell>
          <cell r="K334">
            <v>600</v>
          </cell>
          <cell r="L334" t="str">
            <v>使用后选择获得一个紫色弓将</v>
          </cell>
        </row>
        <row r="335">
          <cell r="C335">
            <v>23008</v>
          </cell>
          <cell r="D335" t="str">
            <v>橙色弓将自选宝箱</v>
          </cell>
          <cell r="E335">
            <v>4800</v>
          </cell>
          <cell r="F335">
            <v>1</v>
          </cell>
          <cell r="G335">
            <v>1</v>
          </cell>
          <cell r="H335">
            <v>1</v>
          </cell>
          <cell r="I335">
            <v>4800</v>
          </cell>
          <cell r="J335">
            <v>4800</v>
          </cell>
          <cell r="K335">
            <v>4800</v>
          </cell>
          <cell r="L335" t="str">
            <v>使用后选择获得一个橙色弓将</v>
          </cell>
        </row>
        <row r="336">
          <cell r="C336">
            <v>23009</v>
          </cell>
          <cell r="D336" t="str">
            <v>红色弓将自选宝箱</v>
          </cell>
          <cell r="E336">
            <v>14400</v>
          </cell>
          <cell r="F336">
            <v>1</v>
          </cell>
          <cell r="G336">
            <v>1</v>
          </cell>
          <cell r="H336">
            <v>1</v>
          </cell>
          <cell r="I336">
            <v>14400</v>
          </cell>
          <cell r="J336">
            <v>14400</v>
          </cell>
          <cell r="K336">
            <v>14400</v>
          </cell>
          <cell r="L336" t="str">
            <v>使用后选择获得一个红色弓将</v>
          </cell>
        </row>
        <row r="337">
          <cell r="C337">
            <v>23010</v>
          </cell>
          <cell r="D337" t="str">
            <v>君主自选宝箱</v>
          </cell>
          <cell r="E337">
            <v>4800</v>
          </cell>
          <cell r="F337">
            <v>1</v>
          </cell>
          <cell r="G337">
            <v>1</v>
          </cell>
          <cell r="H337">
            <v>1</v>
          </cell>
          <cell r="I337">
            <v>4800</v>
          </cell>
          <cell r="J337">
            <v>4800</v>
          </cell>
          <cell r="K337">
            <v>4800</v>
          </cell>
          <cell r="L337" t="str">
            <v>使用后选择获得一个君主武将</v>
          </cell>
        </row>
        <row r="338">
          <cell r="C338">
            <v>23011</v>
          </cell>
          <cell r="D338" t="str">
            <v>紫色武将随机宝箱</v>
          </cell>
          <cell r="E338">
            <v>400</v>
          </cell>
          <cell r="F338">
            <v>1</v>
          </cell>
          <cell r="G338">
            <v>1</v>
          </cell>
          <cell r="H338">
            <v>1</v>
          </cell>
          <cell r="I338">
            <v>400</v>
          </cell>
          <cell r="J338">
            <v>400</v>
          </cell>
          <cell r="K338">
            <v>400</v>
          </cell>
          <cell r="L338" t="str">
            <v>使用后随机获得一个紫色武将</v>
          </cell>
        </row>
        <row r="339">
          <cell r="C339">
            <v>23012</v>
          </cell>
          <cell r="D339" t="str">
            <v>橙色武将随机宝箱</v>
          </cell>
          <cell r="E339">
            <v>1800</v>
          </cell>
          <cell r="F339">
            <v>1</v>
          </cell>
          <cell r="G339">
            <v>1</v>
          </cell>
          <cell r="H339">
            <v>1</v>
          </cell>
          <cell r="I339">
            <v>1800</v>
          </cell>
          <cell r="J339">
            <v>1800</v>
          </cell>
          <cell r="K339">
            <v>1800</v>
          </cell>
          <cell r="L339" t="str">
            <v>使用后随机获得一个橙色武将</v>
          </cell>
        </row>
        <row r="340">
          <cell r="C340">
            <v>23013</v>
          </cell>
          <cell r="D340" t="str">
            <v>红色武将随机宝箱</v>
          </cell>
          <cell r="E340">
            <v>14400</v>
          </cell>
          <cell r="F340">
            <v>1</v>
          </cell>
          <cell r="G340">
            <v>1</v>
          </cell>
          <cell r="H340">
            <v>1</v>
          </cell>
          <cell r="I340">
            <v>14400</v>
          </cell>
          <cell r="J340">
            <v>14400</v>
          </cell>
          <cell r="K340">
            <v>14400</v>
          </cell>
          <cell r="L340" t="str">
            <v>使用后随机获得一个红色武将</v>
          </cell>
        </row>
        <row r="341">
          <cell r="C341" t="str">
            <v/>
          </cell>
          <cell r="D341" t="str">
            <v/>
          </cell>
          <cell r="E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</row>
        <row r="342">
          <cell r="C342">
            <v>23014</v>
          </cell>
          <cell r="D342" t="str">
            <v>橙色武将自选宝箱碎片</v>
          </cell>
          <cell r="E342">
            <v>160</v>
          </cell>
          <cell r="F342">
            <v>1</v>
          </cell>
          <cell r="G342">
            <v>1</v>
          </cell>
          <cell r="H342">
            <v>1</v>
          </cell>
          <cell r="I342">
            <v>160</v>
          </cell>
          <cell r="J342">
            <v>160</v>
          </cell>
          <cell r="K342">
            <v>160</v>
          </cell>
          <cell r="L342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343">
          <cell r="C343">
            <v>23015</v>
          </cell>
          <cell r="D343" t="str">
            <v>橙色武将随机宝箱碎片</v>
          </cell>
          <cell r="E343">
            <v>60</v>
          </cell>
          <cell r="F343">
            <v>1</v>
          </cell>
          <cell r="G343">
            <v>1</v>
          </cell>
          <cell r="H343">
            <v>1</v>
          </cell>
          <cell r="I343">
            <v>60</v>
          </cell>
          <cell r="J343">
            <v>60</v>
          </cell>
          <cell r="K343">
            <v>60</v>
          </cell>
          <cell r="L343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344">
          <cell r="C344">
            <v>23016</v>
          </cell>
          <cell r="D344" t="str">
            <v>紫色武将随机宝箱碎片</v>
          </cell>
          <cell r="E344">
            <v>36</v>
          </cell>
          <cell r="F344">
            <v>1</v>
          </cell>
          <cell r="G344">
            <v>1</v>
          </cell>
          <cell r="H344">
            <v>1</v>
          </cell>
          <cell r="I344">
            <v>36</v>
          </cell>
          <cell r="J344">
            <v>36</v>
          </cell>
          <cell r="K344">
            <v>36</v>
          </cell>
          <cell r="L344" t="str">
            <v>集齐10个碎片可以合成，随机获得下列武将中的一个：\n聂荌、专诸、钟无艳、田忌、春申君、莫邪、孙叔敖、西门豹、暴鸢、秦开</v>
          </cell>
        </row>
        <row r="345">
          <cell r="C345" t="str">
            <v/>
          </cell>
          <cell r="D345" t="str">
            <v/>
          </cell>
          <cell r="E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</row>
        <row r="346">
          <cell r="C346" t="str">
            <v/>
          </cell>
          <cell r="D346" t="str">
            <v>指定绿色装备</v>
          </cell>
          <cell r="E346">
            <v>35</v>
          </cell>
          <cell r="F346">
            <v>1</v>
          </cell>
          <cell r="G346">
            <v>1</v>
          </cell>
          <cell r="H346">
            <v>1</v>
          </cell>
          <cell r="I346">
            <v>35</v>
          </cell>
          <cell r="J346">
            <v>35</v>
          </cell>
          <cell r="K346">
            <v>35</v>
          </cell>
          <cell r="L346">
            <v>1</v>
          </cell>
        </row>
        <row r="347">
          <cell r="C347" t="str">
            <v/>
          </cell>
          <cell r="D347" t="str">
            <v>指定蓝色装备</v>
          </cell>
          <cell r="E347">
            <v>120</v>
          </cell>
          <cell r="F347">
            <v>1</v>
          </cell>
          <cell r="G347">
            <v>1</v>
          </cell>
          <cell r="H347">
            <v>1</v>
          </cell>
          <cell r="I347">
            <v>120</v>
          </cell>
          <cell r="J347">
            <v>120</v>
          </cell>
          <cell r="K347">
            <v>120</v>
          </cell>
          <cell r="L347">
            <v>1.5</v>
          </cell>
        </row>
        <row r="348">
          <cell r="C348" t="str">
            <v/>
          </cell>
          <cell r="D348" t="str">
            <v>指定紫色装备</v>
          </cell>
          <cell r="E348">
            <v>300</v>
          </cell>
          <cell r="F348">
            <v>1</v>
          </cell>
          <cell r="G348">
            <v>1</v>
          </cell>
          <cell r="H348">
            <v>1</v>
          </cell>
          <cell r="I348">
            <v>300</v>
          </cell>
          <cell r="J348">
            <v>300</v>
          </cell>
          <cell r="K348">
            <v>300</v>
          </cell>
          <cell r="L348">
            <v>2</v>
          </cell>
        </row>
        <row r="349">
          <cell r="C349" t="str">
            <v/>
          </cell>
          <cell r="D349" t="str">
            <v>指定橙色装备</v>
          </cell>
          <cell r="E349">
            <v>800</v>
          </cell>
          <cell r="F349">
            <v>1</v>
          </cell>
          <cell r="G349">
            <v>1</v>
          </cell>
          <cell r="H349">
            <v>1</v>
          </cell>
          <cell r="I349">
            <v>800</v>
          </cell>
          <cell r="J349">
            <v>800</v>
          </cell>
          <cell r="K349">
            <v>800</v>
          </cell>
          <cell r="L349">
            <v>2.5</v>
          </cell>
        </row>
        <row r="350">
          <cell r="C350" t="str">
            <v/>
          </cell>
          <cell r="D350" t="str">
            <v>指定红色装备</v>
          </cell>
          <cell r="E350">
            <v>7200</v>
          </cell>
          <cell r="F350">
            <v>1</v>
          </cell>
          <cell r="G350">
            <v>1</v>
          </cell>
          <cell r="H350">
            <v>1</v>
          </cell>
          <cell r="I350">
            <v>7200</v>
          </cell>
          <cell r="J350">
            <v>7200</v>
          </cell>
          <cell r="K350">
            <v>7200</v>
          </cell>
          <cell r="L350">
            <v>3</v>
          </cell>
        </row>
        <row r="351">
          <cell r="C351" t="str">
            <v/>
          </cell>
          <cell r="D351" t="str">
            <v>指定红+装备</v>
          </cell>
          <cell r="E351">
            <v>14400</v>
          </cell>
          <cell r="F351">
            <v>1.56</v>
          </cell>
          <cell r="G351">
            <v>1.56</v>
          </cell>
          <cell r="H351">
            <v>1.56</v>
          </cell>
          <cell r="I351">
            <v>22464</v>
          </cell>
          <cell r="J351">
            <v>22464</v>
          </cell>
          <cell r="K351">
            <v>22464</v>
          </cell>
          <cell r="L351" t="str">
            <v/>
          </cell>
        </row>
        <row r="352">
          <cell r="C352">
            <v>23215</v>
          </cell>
          <cell r="D352" t="str">
            <v>紫色武力装备礼包</v>
          </cell>
          <cell r="E352" t="str">
            <v/>
          </cell>
          <cell r="F352">
            <v>1</v>
          </cell>
          <cell r="G352">
            <v>1</v>
          </cell>
          <cell r="H352">
            <v>1</v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</row>
        <row r="353">
          <cell r="C353">
            <v>23216</v>
          </cell>
          <cell r="D353" t="str">
            <v>紫色智力装备礼包</v>
          </cell>
          <cell r="E353" t="str">
            <v/>
          </cell>
          <cell r="F353">
            <v>1</v>
          </cell>
          <cell r="G353">
            <v>1</v>
          </cell>
          <cell r="H353">
            <v>1</v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</row>
        <row r="354">
          <cell r="C354">
            <v>23217</v>
          </cell>
          <cell r="D354" t="str">
            <v>橙色统率装备礼包</v>
          </cell>
          <cell r="E354" t="str">
            <v/>
          </cell>
          <cell r="F354">
            <v>1</v>
          </cell>
          <cell r="G354">
            <v>1</v>
          </cell>
          <cell r="H354">
            <v>1</v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</row>
        <row r="355">
          <cell r="C355">
            <v>23218</v>
          </cell>
          <cell r="D355" t="str">
            <v>橙色智力装备礼包</v>
          </cell>
          <cell r="E355" t="str">
            <v/>
          </cell>
          <cell r="F355">
            <v>1</v>
          </cell>
          <cell r="G355">
            <v>1</v>
          </cell>
          <cell r="H355">
            <v>1</v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</row>
        <row r="356">
          <cell r="C356">
            <v>23219</v>
          </cell>
          <cell r="D356" t="str">
            <v>橙色武力装备礼包</v>
          </cell>
          <cell r="E356" t="str">
            <v/>
          </cell>
          <cell r="F356">
            <v>1</v>
          </cell>
          <cell r="G356">
            <v>1</v>
          </cell>
          <cell r="H356">
            <v>1</v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</row>
        <row r="357">
          <cell r="C357">
            <v>22118</v>
          </cell>
          <cell r="D357" t="str">
            <v>负荆请罪武魂</v>
          </cell>
          <cell r="E357" t="str">
            <v/>
          </cell>
          <cell r="F357">
            <v>1</v>
          </cell>
          <cell r="G357">
            <v>1</v>
          </cell>
          <cell r="H357">
            <v>1</v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F358">
            <v>1</v>
          </cell>
          <cell r="G358">
            <v>1</v>
          </cell>
          <cell r="H358">
            <v>1</v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</row>
        <row r="359">
          <cell r="C359">
            <v>23348</v>
          </cell>
          <cell r="D359" t="str">
            <v>清剿令</v>
          </cell>
          <cell r="E359" t="str">
            <v/>
          </cell>
          <cell r="F359">
            <v>1</v>
          </cell>
          <cell r="G359">
            <v>1</v>
          </cell>
          <cell r="H359">
            <v>1</v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</row>
        <row r="360">
          <cell r="C360" t="str">
            <v/>
          </cell>
          <cell r="D360" t="str">
            <v/>
          </cell>
          <cell r="E360" t="str">
            <v/>
          </cell>
          <cell r="F360">
            <v>1</v>
          </cell>
          <cell r="G360">
            <v>1</v>
          </cell>
          <cell r="H360">
            <v>1</v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</row>
        <row r="361">
          <cell r="C361" t="str">
            <v/>
          </cell>
          <cell r="D361" t="str">
            <v/>
          </cell>
          <cell r="E361" t="str">
            <v/>
          </cell>
          <cell r="F361">
            <v>1</v>
          </cell>
          <cell r="G361">
            <v>1</v>
          </cell>
          <cell r="H361">
            <v>1</v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</row>
        <row r="362">
          <cell r="C362" t="str">
            <v/>
          </cell>
          <cell r="D362" t="str">
            <v/>
          </cell>
          <cell r="E362" t="str">
            <v/>
          </cell>
          <cell r="F362">
            <v>1</v>
          </cell>
          <cell r="G362">
            <v>1</v>
          </cell>
          <cell r="H362">
            <v>1</v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</row>
        <row r="363">
          <cell r="C363">
            <v>22116</v>
          </cell>
          <cell r="D363" t="str">
            <v>倾国倾城武魂</v>
          </cell>
          <cell r="E363" t="str">
            <v/>
          </cell>
          <cell r="F363">
            <v>1</v>
          </cell>
          <cell r="G363">
            <v>1</v>
          </cell>
          <cell r="H363">
            <v>1</v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</row>
        <row r="364">
          <cell r="C364">
            <v>22117</v>
          </cell>
          <cell r="D364" t="str">
            <v>墨行天下武魂</v>
          </cell>
          <cell r="E364" t="str">
            <v/>
          </cell>
          <cell r="F364">
            <v>1</v>
          </cell>
          <cell r="G364">
            <v>1</v>
          </cell>
          <cell r="H364">
            <v>1</v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>
            <v>23220</v>
          </cell>
          <cell r="D365" t="str">
            <v>红色统智装备礼包</v>
          </cell>
          <cell r="E365" t="str">
            <v/>
          </cell>
          <cell r="F365">
            <v>1</v>
          </cell>
          <cell r="G365">
            <v>1</v>
          </cell>
          <cell r="H365">
            <v>1</v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</row>
        <row r="366">
          <cell r="C366">
            <v>23221</v>
          </cell>
          <cell r="D366" t="str">
            <v>紫色兵法自选宝箱</v>
          </cell>
          <cell r="E366" t="str">
            <v/>
          </cell>
          <cell r="F366">
            <v>1</v>
          </cell>
          <cell r="G366">
            <v>1</v>
          </cell>
          <cell r="H366">
            <v>1</v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</row>
        <row r="367">
          <cell r="C367">
            <v>23222</v>
          </cell>
          <cell r="D367" t="str">
            <v>橙色兵法自选宝箱</v>
          </cell>
          <cell r="E367" t="str">
            <v/>
          </cell>
          <cell r="F367">
            <v>1</v>
          </cell>
          <cell r="G367">
            <v>1</v>
          </cell>
          <cell r="H367">
            <v>1</v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</row>
        <row r="368">
          <cell r="C368">
            <v>23364</v>
          </cell>
          <cell r="D368" t="str">
            <v>自选橙色兵法碎片</v>
          </cell>
          <cell r="E368" t="str">
            <v/>
          </cell>
          <cell r="F368">
            <v>1</v>
          </cell>
          <cell r="G368">
            <v>1</v>
          </cell>
          <cell r="H368">
            <v>1</v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>
            <v>23365</v>
          </cell>
          <cell r="D369" t="str">
            <v>自选紫色兵法碎片</v>
          </cell>
          <cell r="E369" t="str">
            <v/>
          </cell>
          <cell r="F369">
            <v>1</v>
          </cell>
          <cell r="G369">
            <v>1</v>
          </cell>
          <cell r="H369">
            <v>1</v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</row>
        <row r="370">
          <cell r="C370" t="str">
            <v/>
          </cell>
          <cell r="D370" t="str">
            <v/>
          </cell>
          <cell r="E370" t="str">
            <v/>
          </cell>
          <cell r="F370">
            <v>1</v>
          </cell>
          <cell r="G370">
            <v>1</v>
          </cell>
          <cell r="H370">
            <v>1</v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</row>
        <row r="371">
          <cell r="C371">
            <v>21075</v>
          </cell>
          <cell r="D371" t="str">
            <v>中级免战牌</v>
          </cell>
          <cell r="E371">
            <v>200</v>
          </cell>
          <cell r="F371">
            <v>1</v>
          </cell>
          <cell r="G371">
            <v>1</v>
          </cell>
          <cell r="H371">
            <v>1</v>
          </cell>
          <cell r="I371">
            <v>200</v>
          </cell>
          <cell r="J371">
            <v>200</v>
          </cell>
          <cell r="K371">
            <v>200</v>
          </cell>
          <cell r="L371" t="str">
            <v>使用后城池不会遭受来自其他玩家的攻击，主动进攻其他玩家后失效，持续12小时</v>
          </cell>
        </row>
        <row r="372">
          <cell r="C372">
            <v>21071</v>
          </cell>
          <cell r="D372" t="str">
            <v>高级免战牌</v>
          </cell>
          <cell r="E372">
            <v>500</v>
          </cell>
          <cell r="F372">
            <v>1</v>
          </cell>
          <cell r="G372">
            <v>1</v>
          </cell>
          <cell r="H372">
            <v>1</v>
          </cell>
          <cell r="I372">
            <v>500</v>
          </cell>
          <cell r="J372">
            <v>500</v>
          </cell>
          <cell r="K372">
            <v>500</v>
          </cell>
          <cell r="L372" t="str">
            <v>使用后城池不会遭受来自其他玩家的攻击，主动进攻其他玩家后失效，持续24小时</v>
          </cell>
        </row>
        <row r="373">
          <cell r="C373">
            <v>21072</v>
          </cell>
          <cell r="D373" t="str">
            <v>特级免战牌</v>
          </cell>
          <cell r="E373">
            <v>1800</v>
          </cell>
          <cell r="F373">
            <v>1</v>
          </cell>
          <cell r="G373">
            <v>1</v>
          </cell>
          <cell r="H373">
            <v>1</v>
          </cell>
          <cell r="I373">
            <v>1800</v>
          </cell>
          <cell r="J373">
            <v>1800</v>
          </cell>
          <cell r="K373">
            <v>1800</v>
          </cell>
          <cell r="L373" t="str">
            <v>使用后城池不会遭受来自其他玩家的攻击，主动进攻其他玩家后失效，持续72小时</v>
          </cell>
        </row>
        <row r="374">
          <cell r="C374">
            <v>90512</v>
          </cell>
          <cell r="D374" t="str">
            <v>文心</v>
          </cell>
          <cell r="E374" t="str">
            <v/>
          </cell>
          <cell r="F374">
            <v>1</v>
          </cell>
          <cell r="G374">
            <v>1</v>
          </cell>
          <cell r="H374">
            <v>1</v>
          </cell>
          <cell r="I374" t="str">
            <v/>
          </cell>
          <cell r="J374" t="str">
            <v/>
          </cell>
          <cell r="K374" t="str">
            <v/>
          </cell>
          <cell r="L374" t="str">
            <v>消灭野怪获得，用于宝物温养。</v>
          </cell>
        </row>
        <row r="375">
          <cell r="C375">
            <v>23359</v>
          </cell>
          <cell r="D375" t="str">
            <v>宝鉴</v>
          </cell>
          <cell r="E375" t="str">
            <v/>
          </cell>
          <cell r="F375">
            <v>1</v>
          </cell>
          <cell r="G375">
            <v>1</v>
          </cell>
          <cell r="H375">
            <v>1</v>
          </cell>
          <cell r="I375" t="str">
            <v/>
          </cell>
          <cell r="J375" t="str">
            <v/>
          </cell>
          <cell r="K375" t="str">
            <v/>
          </cell>
          <cell r="L375" t="str">
            <v>持有宝鉴名册，可鉴天下珍宝</v>
          </cell>
        </row>
        <row r="376">
          <cell r="C376">
            <v>23526</v>
          </cell>
          <cell r="D376" t="str">
            <v>极品装备宝箱碎片</v>
          </cell>
          <cell r="E376" t="str">
            <v/>
          </cell>
          <cell r="F376">
            <v>1</v>
          </cell>
          <cell r="G376">
            <v>1</v>
          </cell>
          <cell r="H376">
            <v>1</v>
          </cell>
          <cell r="I376" t="str">
            <v/>
          </cell>
          <cell r="J376" t="str">
            <v/>
          </cell>
          <cell r="K376" t="str">
            <v/>
          </cell>
          <cell r="L376" t="str">
            <v>使用后可以获得一个极品红色装备宝箱</v>
          </cell>
        </row>
        <row r="377">
          <cell r="C377">
            <v>23527</v>
          </cell>
          <cell r="D377" t="str">
            <v>极品装备宝箱</v>
          </cell>
          <cell r="E377" t="str">
            <v/>
          </cell>
          <cell r="F377">
            <v>1</v>
          </cell>
          <cell r="G377">
            <v>1</v>
          </cell>
          <cell r="H377">
            <v>1</v>
          </cell>
          <cell r="I377" t="str">
            <v/>
          </cell>
          <cell r="J377" t="str">
            <v/>
          </cell>
          <cell r="K377" t="str">
            <v/>
          </cell>
          <cell r="L377" t="str">
            <v>使用后可以选择获得一件极品红色装备</v>
          </cell>
        </row>
        <row r="378">
          <cell r="C378">
            <v>23528</v>
          </cell>
          <cell r="D378" t="str">
            <v>极品统武装备宝箱</v>
          </cell>
          <cell r="E378" t="str">
            <v/>
          </cell>
          <cell r="F378">
            <v>1</v>
          </cell>
          <cell r="G378">
            <v>1</v>
          </cell>
          <cell r="H378">
            <v>1</v>
          </cell>
          <cell r="I378" t="str">
            <v/>
          </cell>
          <cell r="J378" t="str">
            <v/>
          </cell>
          <cell r="K378" t="str">
            <v/>
          </cell>
          <cell r="L378" t="str">
            <v>使用后获得十方古璃套装3件套装备</v>
          </cell>
        </row>
        <row r="379">
          <cell r="C379">
            <v>23529</v>
          </cell>
          <cell r="D379" t="str">
            <v>极品统智装备宝箱</v>
          </cell>
          <cell r="E379" t="str">
            <v/>
          </cell>
          <cell r="F379">
            <v>1</v>
          </cell>
          <cell r="G379">
            <v>1</v>
          </cell>
          <cell r="H379">
            <v>1</v>
          </cell>
          <cell r="I379" t="str">
            <v/>
          </cell>
          <cell r="J379" t="str">
            <v/>
          </cell>
          <cell r="K379" t="str">
            <v/>
          </cell>
          <cell r="L379" t="str">
            <v>使用后获得墨霜广焱3件套装备</v>
          </cell>
        </row>
        <row r="380">
          <cell r="C380">
            <v>23530</v>
          </cell>
          <cell r="D380" t="str">
            <v>红色装备宝箱碎片</v>
          </cell>
          <cell r="E380" t="str">
            <v/>
          </cell>
          <cell r="F380">
            <v>1</v>
          </cell>
          <cell r="G380">
            <v>1</v>
          </cell>
          <cell r="H380">
            <v>1</v>
          </cell>
          <cell r="I380" t="str">
            <v/>
          </cell>
          <cell r="J380" t="str">
            <v/>
          </cell>
          <cell r="K380" t="str">
            <v/>
          </cell>
          <cell r="L380" t="str">
            <v>使用后可以获得一个红色装备宝箱</v>
          </cell>
        </row>
        <row r="381">
          <cell r="C381">
            <v>23531</v>
          </cell>
          <cell r="D381" t="str">
            <v>红色装备宝箱</v>
          </cell>
          <cell r="E381" t="str">
            <v/>
          </cell>
          <cell r="F381">
            <v>1</v>
          </cell>
          <cell r="G381">
            <v>1</v>
          </cell>
          <cell r="H381">
            <v>1</v>
          </cell>
          <cell r="I381" t="str">
            <v/>
          </cell>
          <cell r="J381" t="str">
            <v/>
          </cell>
          <cell r="K381" t="str">
            <v/>
          </cell>
          <cell r="L381" t="str">
            <v>使用后可以选择获得一件红色装备</v>
          </cell>
        </row>
        <row r="382">
          <cell r="C382">
            <v>23532</v>
          </cell>
          <cell r="D382" t="str">
            <v>抛砖引玉·极-残片</v>
          </cell>
          <cell r="E382" t="str">
            <v/>
          </cell>
          <cell r="F382">
            <v>1</v>
          </cell>
          <cell r="G382">
            <v>1</v>
          </cell>
          <cell r="H382">
            <v>1</v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</row>
        <row r="383">
          <cell r="C383">
            <v>23389</v>
          </cell>
          <cell r="D383" t="str">
            <v>秦阳陵虎符碎片</v>
          </cell>
          <cell r="E383" t="str">
            <v/>
          </cell>
          <cell r="F383">
            <v>1</v>
          </cell>
          <cell r="G383">
            <v>1</v>
          </cell>
          <cell r="H383">
            <v>1</v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</row>
        <row r="384">
          <cell r="C384">
            <v>180024</v>
          </cell>
          <cell r="D384" t="str">
            <v>高级盗贼</v>
          </cell>
          <cell r="E384" t="str">
            <v/>
          </cell>
          <cell r="F384">
            <v>1</v>
          </cell>
          <cell r="G384">
            <v>1</v>
          </cell>
          <cell r="H384">
            <v>1</v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</row>
        <row r="385">
          <cell r="C385">
            <v>180023</v>
          </cell>
          <cell r="D385" t="str">
            <v>高级间谍</v>
          </cell>
          <cell r="E385" t="str">
            <v/>
          </cell>
          <cell r="F385">
            <v>1</v>
          </cell>
          <cell r="G385">
            <v>1</v>
          </cell>
          <cell r="H385">
            <v>1</v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</row>
        <row r="386">
          <cell r="C386">
            <v>180022</v>
          </cell>
          <cell r="D386" t="str">
            <v>高级刺客</v>
          </cell>
          <cell r="E386" t="str">
            <v/>
          </cell>
          <cell r="F386">
            <v>1</v>
          </cell>
          <cell r="G386">
            <v>1</v>
          </cell>
          <cell r="H386">
            <v>1</v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</row>
        <row r="387">
          <cell r="C387">
            <v>23521</v>
          </cell>
          <cell r="D387" t="str">
            <v>将军印碎片</v>
          </cell>
          <cell r="E387" t="str">
            <v/>
          </cell>
          <cell r="F387">
            <v>1</v>
          </cell>
          <cell r="G387">
            <v>1</v>
          </cell>
          <cell r="H387">
            <v>1</v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</row>
        <row r="388">
          <cell r="C388">
            <v>23542</v>
          </cell>
          <cell r="D388" t="str">
            <v>十方装备宝箱碎片</v>
          </cell>
          <cell r="E388" t="str">
            <v/>
          </cell>
          <cell r="F388">
            <v>1</v>
          </cell>
          <cell r="G388">
            <v>1</v>
          </cell>
          <cell r="H388">
            <v>1</v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</row>
        <row r="389">
          <cell r="C389">
            <v>23543</v>
          </cell>
          <cell r="D389" t="str">
            <v>墨霜装备宝箱碎片</v>
          </cell>
          <cell r="E389" t="str">
            <v/>
          </cell>
          <cell r="F389">
            <v>1</v>
          </cell>
          <cell r="G389">
            <v>1</v>
          </cell>
          <cell r="H389">
            <v>1</v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</row>
        <row r="390">
          <cell r="C390" t="str">
            <v/>
          </cell>
          <cell r="D390" t="str">
            <v/>
          </cell>
          <cell r="E390" t="str">
            <v/>
          </cell>
          <cell r="F390">
            <v>1</v>
          </cell>
          <cell r="G390">
            <v>1</v>
          </cell>
          <cell r="H390">
            <v>1</v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</row>
        <row r="391">
          <cell r="C391">
            <v>23356</v>
          </cell>
          <cell r="D391" t="str">
            <v>紫色藏宝图</v>
          </cell>
          <cell r="E391">
            <v>300</v>
          </cell>
          <cell r="F391">
            <v>1</v>
          </cell>
          <cell r="G391">
            <v>1</v>
          </cell>
          <cell r="H391">
            <v>1</v>
          </cell>
          <cell r="I391">
            <v>300</v>
          </cell>
          <cell r="J391">
            <v>300</v>
          </cell>
          <cell r="K391">
            <v>300</v>
          </cell>
          <cell r="L391" t="str">
            <v/>
          </cell>
        </row>
        <row r="392">
          <cell r="C392">
            <v>23541</v>
          </cell>
          <cell r="D392" t="str">
            <v>宝物精华小宝箱</v>
          </cell>
          <cell r="E392">
            <v>100</v>
          </cell>
          <cell r="F392">
            <v>1</v>
          </cell>
          <cell r="G392">
            <v>1</v>
          </cell>
          <cell r="H392">
            <v>1</v>
          </cell>
          <cell r="I392">
            <v>100</v>
          </cell>
          <cell r="J392">
            <v>100</v>
          </cell>
          <cell r="K392">
            <v>100</v>
          </cell>
          <cell r="L392" t="str">
            <v/>
          </cell>
        </row>
        <row r="393">
          <cell r="C393">
            <v>23537</v>
          </cell>
          <cell r="D393" t="str">
            <v>文心宝箱</v>
          </cell>
          <cell r="E393">
            <v>200</v>
          </cell>
          <cell r="F393">
            <v>1</v>
          </cell>
          <cell r="G393">
            <v>1</v>
          </cell>
          <cell r="H393">
            <v>1</v>
          </cell>
          <cell r="I393">
            <v>200</v>
          </cell>
          <cell r="J393">
            <v>200</v>
          </cell>
          <cell r="K393">
            <v>200</v>
          </cell>
          <cell r="L393" t="str">
            <v/>
          </cell>
        </row>
        <row r="394">
          <cell r="C394">
            <v>23540</v>
          </cell>
          <cell r="D394" t="str">
            <v>500偕作玉宝箱</v>
          </cell>
          <cell r="E394">
            <v>500</v>
          </cell>
          <cell r="F394">
            <v>1</v>
          </cell>
          <cell r="G394">
            <v>1</v>
          </cell>
          <cell r="H394">
            <v>1</v>
          </cell>
          <cell r="I394">
            <v>500</v>
          </cell>
          <cell r="J394">
            <v>500</v>
          </cell>
          <cell r="K394">
            <v>500</v>
          </cell>
          <cell r="L394" t="str">
            <v/>
          </cell>
        </row>
        <row r="395">
          <cell r="C395">
            <v>90510</v>
          </cell>
          <cell r="D395" t="str">
            <v>偕作玉</v>
          </cell>
          <cell r="E395">
            <v>1</v>
          </cell>
          <cell r="F395">
            <v>1</v>
          </cell>
          <cell r="G395">
            <v>1</v>
          </cell>
          <cell r="H395">
            <v>1</v>
          </cell>
          <cell r="I395">
            <v>1</v>
          </cell>
          <cell r="J395">
            <v>1</v>
          </cell>
          <cell r="K395">
            <v>1</v>
          </cell>
          <cell r="L395" t="str">
            <v/>
          </cell>
        </row>
        <row r="396">
          <cell r="C396">
            <v>90512</v>
          </cell>
          <cell r="D396" t="str">
            <v>文心</v>
          </cell>
          <cell r="E396">
            <v>0.33333333333333331</v>
          </cell>
          <cell r="F396">
            <v>1</v>
          </cell>
          <cell r="G396">
            <v>1</v>
          </cell>
          <cell r="H396">
            <v>1</v>
          </cell>
          <cell r="I396">
            <v>0.33333333333333331</v>
          </cell>
          <cell r="J396">
            <v>0.33333333333333331</v>
          </cell>
          <cell r="K396">
            <v>0.33333333333333331</v>
          </cell>
          <cell r="L396" t="str">
            <v/>
          </cell>
        </row>
        <row r="397">
          <cell r="C397">
            <v>90513</v>
          </cell>
          <cell r="D397" t="str">
            <v>宝物精华</v>
          </cell>
          <cell r="E397">
            <v>100</v>
          </cell>
          <cell r="F397">
            <v>1</v>
          </cell>
          <cell r="G397">
            <v>1</v>
          </cell>
          <cell r="H397">
            <v>1</v>
          </cell>
          <cell r="I397">
            <v>100</v>
          </cell>
          <cell r="J397">
            <v>100</v>
          </cell>
          <cell r="K397">
            <v>100</v>
          </cell>
          <cell r="L397" t="str">
            <v/>
          </cell>
        </row>
        <row r="398">
          <cell r="C398">
            <v>23652</v>
          </cell>
          <cell r="D398" t="str">
            <v>流云装备宝箱碎片</v>
          </cell>
          <cell r="E398" t="str">
            <v/>
          </cell>
          <cell r="F398">
            <v>1</v>
          </cell>
          <cell r="G398">
            <v>1</v>
          </cell>
          <cell r="H398">
            <v>1</v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</row>
        <row r="399">
          <cell r="C399">
            <v>23658</v>
          </cell>
          <cell r="D399" t="str">
            <v>乱世王者碎片</v>
          </cell>
          <cell r="E399" t="str">
            <v/>
          </cell>
          <cell r="F399">
            <v>1</v>
          </cell>
          <cell r="G399">
            <v>1</v>
          </cell>
          <cell r="H399">
            <v>1</v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</row>
        <row r="400">
          <cell r="C400" t="str">
            <v/>
          </cell>
          <cell r="D400" t="str">
            <v/>
          </cell>
          <cell r="E400" t="str">
            <v/>
          </cell>
          <cell r="F400">
            <v>1</v>
          </cell>
          <cell r="G400">
            <v>1</v>
          </cell>
          <cell r="H400">
            <v>1</v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</row>
        <row r="401">
          <cell r="C401" t="str">
            <v/>
          </cell>
          <cell r="D401" t="str">
            <v/>
          </cell>
          <cell r="E401" t="str">
            <v/>
          </cell>
          <cell r="F401">
            <v>1</v>
          </cell>
          <cell r="G401">
            <v>1</v>
          </cell>
          <cell r="H401">
            <v>1</v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</row>
        <row r="402">
          <cell r="C402" t="str">
            <v/>
          </cell>
          <cell r="D402" t="str">
            <v/>
          </cell>
          <cell r="E402" t="str">
            <v/>
          </cell>
          <cell r="F402">
            <v>1</v>
          </cell>
          <cell r="G402">
            <v>1</v>
          </cell>
          <cell r="H402">
            <v>1</v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</row>
        <row r="403">
          <cell r="C403" t="str">
            <v/>
          </cell>
          <cell r="D403" t="str">
            <v/>
          </cell>
          <cell r="E403" t="str">
            <v/>
          </cell>
          <cell r="F403">
            <v>1</v>
          </cell>
          <cell r="G403">
            <v>1</v>
          </cell>
          <cell r="H403">
            <v>1</v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</row>
        <row r="404">
          <cell r="C404" t="str">
            <v/>
          </cell>
          <cell r="D404" t="str">
            <v/>
          </cell>
          <cell r="E404" t="str">
            <v/>
          </cell>
          <cell r="F404">
            <v>1</v>
          </cell>
          <cell r="G404">
            <v>1</v>
          </cell>
          <cell r="H404">
            <v>1</v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</row>
        <row r="405">
          <cell r="C405" t="str">
            <v/>
          </cell>
          <cell r="D405" t="str">
            <v/>
          </cell>
          <cell r="E405" t="str">
            <v/>
          </cell>
          <cell r="F405">
            <v>1</v>
          </cell>
          <cell r="G405">
            <v>1</v>
          </cell>
          <cell r="H405">
            <v>1</v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</row>
        <row r="406">
          <cell r="C406" t="str">
            <v/>
          </cell>
          <cell r="D406" t="str">
            <v/>
          </cell>
          <cell r="E406" t="str">
            <v/>
          </cell>
          <cell r="F406">
            <v>1</v>
          </cell>
          <cell r="G406">
            <v>1</v>
          </cell>
          <cell r="H406">
            <v>1</v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</row>
        <row r="407">
          <cell r="C407" t="str">
            <v/>
          </cell>
          <cell r="D407" t="str">
            <v/>
          </cell>
          <cell r="E407" t="str">
            <v/>
          </cell>
          <cell r="F407">
            <v>1</v>
          </cell>
          <cell r="G407">
            <v>1</v>
          </cell>
          <cell r="H407">
            <v>1</v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</row>
        <row r="408">
          <cell r="C408" t="str">
            <v/>
          </cell>
          <cell r="D408" t="str">
            <v/>
          </cell>
          <cell r="E408" t="str">
            <v/>
          </cell>
          <cell r="F408">
            <v>1</v>
          </cell>
          <cell r="G408">
            <v>1</v>
          </cell>
          <cell r="H408">
            <v>1</v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</row>
        <row r="409">
          <cell r="C409" t="str">
            <v/>
          </cell>
          <cell r="D409" t="str">
            <v/>
          </cell>
          <cell r="E409" t="str">
            <v/>
          </cell>
          <cell r="F409">
            <v>1</v>
          </cell>
          <cell r="G409">
            <v>1</v>
          </cell>
          <cell r="H409">
            <v>1</v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</row>
        <row r="410">
          <cell r="C410" t="str">
            <v/>
          </cell>
          <cell r="D410" t="str">
            <v/>
          </cell>
          <cell r="E410" t="str">
            <v/>
          </cell>
          <cell r="F410">
            <v>1</v>
          </cell>
          <cell r="G410">
            <v>1</v>
          </cell>
          <cell r="H410">
            <v>1</v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</row>
        <row r="411">
          <cell r="C411" t="str">
            <v/>
          </cell>
          <cell r="D411" t="str">
            <v/>
          </cell>
          <cell r="E411" t="str">
            <v/>
          </cell>
          <cell r="F411">
            <v>1</v>
          </cell>
          <cell r="G411">
            <v>1</v>
          </cell>
          <cell r="H411">
            <v>1</v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</row>
        <row r="412">
          <cell r="C412" t="str">
            <v/>
          </cell>
          <cell r="D412" t="str">
            <v/>
          </cell>
          <cell r="E412" t="str">
            <v/>
          </cell>
          <cell r="F412">
            <v>1</v>
          </cell>
          <cell r="G412">
            <v>1</v>
          </cell>
          <cell r="H412">
            <v>1</v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</row>
        <row r="413">
          <cell r="C413" t="str">
            <v/>
          </cell>
          <cell r="D413" t="str">
            <v/>
          </cell>
          <cell r="E413" t="str">
            <v/>
          </cell>
          <cell r="F413">
            <v>1</v>
          </cell>
          <cell r="G413">
            <v>1</v>
          </cell>
          <cell r="H413">
            <v>1</v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</row>
        <row r="414">
          <cell r="C414" t="str">
            <v/>
          </cell>
          <cell r="D414" t="str">
            <v/>
          </cell>
          <cell r="E414" t="str">
            <v/>
          </cell>
          <cell r="F414">
            <v>1</v>
          </cell>
          <cell r="G414">
            <v>1</v>
          </cell>
          <cell r="H414">
            <v>1</v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</row>
        <row r="415">
          <cell r="C415" t="str">
            <v/>
          </cell>
          <cell r="D415" t="str">
            <v/>
          </cell>
          <cell r="E415" t="str">
            <v/>
          </cell>
          <cell r="F415">
            <v>1</v>
          </cell>
          <cell r="G415">
            <v>1</v>
          </cell>
          <cell r="H415">
            <v>1</v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</row>
        <row r="416">
          <cell r="C416" t="str">
            <v/>
          </cell>
          <cell r="D416" t="str">
            <v/>
          </cell>
          <cell r="E416" t="str">
            <v/>
          </cell>
          <cell r="F416">
            <v>1</v>
          </cell>
          <cell r="G416">
            <v>1</v>
          </cell>
          <cell r="H416">
            <v>1</v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</row>
        <row r="417">
          <cell r="C417" t="str">
            <v/>
          </cell>
          <cell r="D417" t="str">
            <v/>
          </cell>
          <cell r="E417" t="str">
            <v/>
          </cell>
          <cell r="F417">
            <v>1</v>
          </cell>
          <cell r="G417">
            <v>1</v>
          </cell>
          <cell r="H417">
            <v>1</v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</row>
        <row r="418">
          <cell r="C418" t="str">
            <v/>
          </cell>
          <cell r="D418" t="str">
            <v/>
          </cell>
          <cell r="E418" t="str">
            <v/>
          </cell>
          <cell r="F418">
            <v>1</v>
          </cell>
          <cell r="G418">
            <v>1</v>
          </cell>
          <cell r="H418">
            <v>1</v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</sheetPr>
  <dimension ref="B1:BN363"/>
  <sheetViews>
    <sheetView workbookViewId="0">
      <selection activeCell="J4" sqref="J4"/>
    </sheetView>
  </sheetViews>
  <sheetFormatPr defaultColWidth="6.625" defaultRowHeight="11.25" x14ac:dyDescent="0.15"/>
  <cols>
    <col min="1" max="12" width="6.625" style="45"/>
    <col min="13" max="13" width="6.625" style="47"/>
    <col min="14" max="35" width="6.625" style="45"/>
    <col min="36" max="36" width="6.625" style="47"/>
    <col min="37" max="43" width="6.625" style="45"/>
    <col min="44" max="44" width="6.625" style="48"/>
    <col min="45" max="50" width="6.625" style="45"/>
    <col min="51" max="51" width="6.625" style="48"/>
    <col min="52" max="58" width="6.625" style="45"/>
    <col min="59" max="59" width="6.625" style="47"/>
    <col min="60" max="60" width="6.625" style="45"/>
    <col min="61" max="66" width="6.625" style="49"/>
    <col min="67" max="16384" width="6.625" style="45"/>
  </cols>
  <sheetData>
    <row r="1" spans="2:66" x14ac:dyDescent="0.15">
      <c r="F1" s="78" t="s">
        <v>78</v>
      </c>
      <c r="G1" s="78" t="s">
        <v>79</v>
      </c>
      <c r="H1" s="46"/>
      <c r="I1" s="78" t="s">
        <v>80</v>
      </c>
      <c r="J1" s="78" t="s">
        <v>79</v>
      </c>
      <c r="K1" s="78" t="s">
        <v>81</v>
      </c>
      <c r="P1" s="45" t="s">
        <v>82</v>
      </c>
      <c r="AM1" s="45">
        <v>1</v>
      </c>
      <c r="AN1" s="45">
        <v>0.8</v>
      </c>
      <c r="AO1" s="45">
        <v>0.6</v>
      </c>
      <c r="AP1" s="45">
        <v>0.4</v>
      </c>
      <c r="AQ1" s="45">
        <v>0.2</v>
      </c>
    </row>
    <row r="2" spans="2:66" x14ac:dyDescent="0.15">
      <c r="F2" s="78"/>
      <c r="G2" s="78"/>
      <c r="H2" s="46"/>
      <c r="I2" s="78"/>
      <c r="J2" s="78"/>
      <c r="K2" s="78"/>
      <c r="P2" s="76" t="s">
        <v>83</v>
      </c>
      <c r="Q2" s="76"/>
      <c r="R2" s="76"/>
      <c r="S2" s="76"/>
      <c r="T2" s="76"/>
      <c r="W2" s="76" t="s">
        <v>84</v>
      </c>
      <c r="X2" s="76"/>
      <c r="Y2" s="76"/>
      <c r="Z2" s="76"/>
      <c r="AA2" s="76"/>
      <c r="AD2" s="76" t="s">
        <v>85</v>
      </c>
      <c r="AE2" s="76"/>
      <c r="AF2" s="76"/>
      <c r="AG2" s="76"/>
      <c r="AH2" s="76"/>
      <c r="AM2" s="76" t="s">
        <v>86</v>
      </c>
      <c r="AN2" s="76"/>
      <c r="AO2" s="76"/>
      <c r="AP2" s="76"/>
      <c r="AQ2" s="76"/>
      <c r="AT2" s="76" t="s">
        <v>87</v>
      </c>
      <c r="AU2" s="76"/>
      <c r="AV2" s="76"/>
      <c r="AW2" s="76"/>
      <c r="AX2" s="76"/>
      <c r="BA2" s="76" t="s">
        <v>88</v>
      </c>
      <c r="BB2" s="76"/>
      <c r="BC2" s="76"/>
      <c r="BD2" s="76"/>
      <c r="BE2" s="76"/>
      <c r="BJ2" s="77" t="s">
        <v>89</v>
      </c>
      <c r="BK2" s="77"/>
      <c r="BL2" s="77"/>
      <c r="BM2" s="77"/>
      <c r="BN2" s="77"/>
    </row>
    <row r="3" spans="2:66" x14ac:dyDescent="0.15">
      <c r="F3" s="45">
        <f>[1]节奏总纲!F3</f>
        <v>1</v>
      </c>
      <c r="G3" s="45">
        <f>[1]节奏总纲!G3</f>
        <v>7.1773462536293131E-2</v>
      </c>
      <c r="I3" s="45">
        <f>[1]节奏总纲!I3</f>
        <v>1</v>
      </c>
      <c r="J3" s="45">
        <f>[1]节奏总纲!J3</f>
        <v>7.4349177498517554E-3</v>
      </c>
      <c r="K3" s="45">
        <f>[1]节奏总纲!K3</f>
        <v>0.1</v>
      </c>
      <c r="N3" s="45" t="str">
        <f>[1]节奏总纲!N3</f>
        <v>对应玩家等级</v>
      </c>
      <c r="O3" s="45" t="s">
        <v>78</v>
      </c>
      <c r="P3" s="45" t="s">
        <v>91</v>
      </c>
      <c r="Q3" s="45" t="s">
        <v>92</v>
      </c>
      <c r="R3" s="45" t="s">
        <v>94</v>
      </c>
      <c r="S3" s="45" t="s">
        <v>95</v>
      </c>
      <c r="T3" s="45" t="s">
        <v>96</v>
      </c>
      <c r="V3" s="45" t="s">
        <v>78</v>
      </c>
      <c r="W3" s="45" t="s">
        <v>90</v>
      </c>
      <c r="X3" s="45" t="s">
        <v>97</v>
      </c>
      <c r="Y3" s="45" t="s">
        <v>94</v>
      </c>
      <c r="Z3" s="45" t="s">
        <v>98</v>
      </c>
      <c r="AA3" s="45" t="s">
        <v>96</v>
      </c>
      <c r="AC3" s="45" t="s">
        <v>99</v>
      </c>
      <c r="AD3" s="45" t="s">
        <v>100</v>
      </c>
      <c r="AE3" s="45" t="s">
        <v>101</v>
      </c>
      <c r="AF3" s="45" t="s">
        <v>102</v>
      </c>
      <c r="AG3" s="45" t="s">
        <v>95</v>
      </c>
      <c r="AH3" s="45" t="s">
        <v>103</v>
      </c>
      <c r="AL3" s="45" t="s">
        <v>80</v>
      </c>
      <c r="AM3" s="45" t="s">
        <v>100</v>
      </c>
      <c r="AN3" s="45" t="s">
        <v>104</v>
      </c>
      <c r="AO3" s="45" t="s">
        <v>102</v>
      </c>
      <c r="AP3" s="45" t="s">
        <v>98</v>
      </c>
      <c r="AQ3" s="45" t="s">
        <v>105</v>
      </c>
      <c r="AS3" s="45" t="s">
        <v>80</v>
      </c>
      <c r="AT3" s="45" t="s">
        <v>100</v>
      </c>
      <c r="AU3" s="45" t="s">
        <v>106</v>
      </c>
      <c r="AV3" s="45" t="s">
        <v>102</v>
      </c>
      <c r="AW3" s="45" t="s">
        <v>95</v>
      </c>
      <c r="AX3" s="45" t="s">
        <v>96</v>
      </c>
      <c r="AZ3" s="45" t="s">
        <v>99</v>
      </c>
      <c r="BA3" s="45" t="s">
        <v>90</v>
      </c>
      <c r="BB3" s="45" t="s">
        <v>92</v>
      </c>
      <c r="BC3" s="45" t="s">
        <v>93</v>
      </c>
      <c r="BD3" s="45" t="s">
        <v>98</v>
      </c>
      <c r="BE3" s="45" t="s">
        <v>96</v>
      </c>
      <c r="BI3" s="49" t="s">
        <v>78</v>
      </c>
      <c r="BJ3" s="49" t="s">
        <v>100</v>
      </c>
      <c r="BK3" s="49" t="s">
        <v>92</v>
      </c>
      <c r="BL3" s="49" t="s">
        <v>107</v>
      </c>
      <c r="BM3" s="49" t="s">
        <v>108</v>
      </c>
      <c r="BN3" s="49" t="s">
        <v>96</v>
      </c>
    </row>
    <row r="4" spans="2:66" x14ac:dyDescent="0.15">
      <c r="F4" s="45">
        <f>[1]节奏总纲!F4</f>
        <v>2</v>
      </c>
      <c r="G4" s="45">
        <f>[1]节奏总纲!G4</f>
        <v>0.1486983549970351</v>
      </c>
      <c r="I4" s="45">
        <f>[1]节奏总纲!I4</f>
        <v>2</v>
      </c>
      <c r="J4" s="45">
        <f>[1]节奏总纲!J4</f>
        <v>2.3963093307967063E-2</v>
      </c>
      <c r="K4" s="45">
        <f>[1]节奏总纲!K4</f>
        <v>0.15</v>
      </c>
      <c r="N4" s="45">
        <f>[1]节奏总纲!N4</f>
        <v>2</v>
      </c>
      <c r="O4" s="45">
        <v>1</v>
      </c>
      <c r="P4" s="45">
        <f>[1]节奏总纲!P4</f>
        <v>7.1773462536293131E-2</v>
      </c>
      <c r="Q4" s="45">
        <f>[1]节奏总纲!Q4</f>
        <v>5.9787294292732177E-2</v>
      </c>
      <c r="R4" s="45">
        <f>[1]节奏总纲!R4</f>
        <v>4.677476553490223E-2</v>
      </c>
      <c r="S4" s="45">
        <f>[1]节奏总纲!S4</f>
        <v>3.2585151991477081E-2</v>
      </c>
      <c r="T4" s="45">
        <f>[1]节奏总纲!T4</f>
        <v>1.7039020006115988E-2</v>
      </c>
      <c r="V4" s="45">
        <v>1</v>
      </c>
      <c r="W4" s="45">
        <f>[1]节奏总纲!W4</f>
        <v>7.1773462536293131E-2</v>
      </c>
      <c r="X4" s="45">
        <f>[1]节奏总纲!X4</f>
        <v>5.9787294292732177E-2</v>
      </c>
      <c r="Y4" s="45">
        <f>[1]节奏总纲!Y4</f>
        <v>4.677476553490223E-2</v>
      </c>
      <c r="Z4" s="45">
        <f>[1]节奏总纲!Z4</f>
        <v>3.2585151991477081E-2</v>
      </c>
      <c r="AA4" s="45">
        <f>[1]节奏总纲!AA4</f>
        <v>1.7039020006115988E-2</v>
      </c>
      <c r="AC4" s="45">
        <v>1</v>
      </c>
      <c r="AD4" s="45">
        <f>[1]节奏总纲!AD4</f>
        <v>10</v>
      </c>
      <c r="AE4" s="45">
        <f>[1]节奏总纲!AE4</f>
        <v>11.148446722089302</v>
      </c>
      <c r="AF4" s="45">
        <f>[1]节奏总纲!AF4</f>
        <v>12.761737853656415</v>
      </c>
      <c r="AG4" s="45">
        <f>[1]节奏总纲!AG4</f>
        <v>15.452231935206081</v>
      </c>
      <c r="AH4" s="45">
        <f>[1]节奏总纲!AH4</f>
        <v>21.291911942729964</v>
      </c>
      <c r="AL4" s="45">
        <v>1</v>
      </c>
      <c r="AM4" s="45">
        <f>[1]节奏总纲!AM4</f>
        <v>7.4349177498517554E-3</v>
      </c>
      <c r="AN4" s="45">
        <f>[1]节奏总纲!AN4</f>
        <v>5.947934199881405E-3</v>
      </c>
      <c r="AO4" s="45">
        <f>[1]节奏总纲!AO4</f>
        <v>4.4609506499110529E-3</v>
      </c>
      <c r="AP4" s="45">
        <f>[1]节奏总纲!AP4</f>
        <v>2.9739670999407025E-3</v>
      </c>
      <c r="AQ4" s="45">
        <f>[1]节奏总纲!AQ4</f>
        <v>1.4869835499703513E-3</v>
      </c>
      <c r="AS4" s="45">
        <v>1</v>
      </c>
      <c r="AT4" s="45">
        <f>[1]节奏总纲!AT4</f>
        <v>7.4349177498517554E-3</v>
      </c>
      <c r="AU4" s="45">
        <f>[1]节奏总纲!AU4</f>
        <v>5.947934199881405E-3</v>
      </c>
      <c r="AV4" s="45">
        <f>[1]节奏总纲!AV4</f>
        <v>4.4609506499110529E-3</v>
      </c>
      <c r="AW4" s="45">
        <f>[1]节奏总纲!AW4</f>
        <v>2.9739670999407025E-3</v>
      </c>
      <c r="AX4" s="45">
        <f>[1]节奏总纲!AX4</f>
        <v>1.4869835499703513E-3</v>
      </c>
      <c r="AY4" s="45"/>
      <c r="AZ4" s="45">
        <v>1</v>
      </c>
      <c r="BA4" s="45">
        <f>[1]节奏总纲!BA4</f>
        <v>11.296493250964016</v>
      </c>
      <c r="BB4" s="45">
        <f>[1]节奏总纲!BB4</f>
        <v>12.361596792946616</v>
      </c>
      <c r="BC4" s="45">
        <f>[1]节奏总纲!BC4</f>
        <v>13.798091195443488</v>
      </c>
      <c r="BD4" s="45">
        <f>[1]节奏总纲!BD4</f>
        <v>15.911635365458322</v>
      </c>
      <c r="BE4" s="45">
        <f>[1]节奏总纲!BE4</f>
        <v>19.707330185578734</v>
      </c>
      <c r="BI4" s="49">
        <v>1</v>
      </c>
      <c r="BJ4" s="45">
        <f>[1]节奏总纲!BJ4</f>
        <v>0.3</v>
      </c>
      <c r="BK4" s="45">
        <f>[1]节奏总纲!BK4</f>
        <v>0.30599999999999999</v>
      </c>
      <c r="BL4" s="45">
        <f>[1]节奏总纲!BL4</f>
        <v>0.318</v>
      </c>
      <c r="BM4" s="45">
        <f>[1]节奏总纲!BM4</f>
        <v>0.34199999999999997</v>
      </c>
      <c r="BN4" s="45">
        <f>[1]节奏总纲!BN4</f>
        <v>0.42</v>
      </c>
    </row>
    <row r="5" spans="2:66" x14ac:dyDescent="0.15">
      <c r="F5" s="45">
        <f>[1]节奏总纲!F5</f>
        <v>3</v>
      </c>
      <c r="G5" s="45">
        <f>[1]节奏总纲!G5</f>
        <v>0.23114441334491631</v>
      </c>
      <c r="I5" s="45">
        <f>[1]节奏总纲!I5</f>
        <v>3</v>
      </c>
      <c r="J5" s="45">
        <f>[1]节奏总纲!J5</f>
        <v>5.1571656651039799E-2</v>
      </c>
      <c r="K5" s="45">
        <f>[1]节奏总纲!K5</f>
        <v>0.2</v>
      </c>
      <c r="N5" s="45">
        <f>[1]节奏总纲!N5</f>
        <v>4</v>
      </c>
      <c r="O5" s="45">
        <v>2</v>
      </c>
      <c r="P5" s="45">
        <f>[1]节奏总纲!P5</f>
        <v>0.1486983549970351</v>
      </c>
      <c r="Q5" s="45">
        <f>[1]节奏总纲!Q5</f>
        <v>0.12505531655250651</v>
      </c>
      <c r="R5" s="45">
        <f>[1]节奏总纲!R5</f>
        <v>9.883979656652922E-2</v>
      </c>
      <c r="S5" s="45">
        <f>[1]节奏总纲!S5</f>
        <v>6.9828747506607683E-2</v>
      </c>
      <c r="T5" s="45">
        <f>[1]节奏总纲!T5</f>
        <v>3.7085369736260552E-2</v>
      </c>
      <c r="V5" s="45">
        <v>2</v>
      </c>
      <c r="W5" s="45">
        <f>[1]节奏总纲!W5</f>
        <v>7.6924892460741967E-2</v>
      </c>
      <c r="X5" s="45">
        <f>[1]节奏总纲!X5</f>
        <v>6.5268022259774336E-2</v>
      </c>
      <c r="Y5" s="45">
        <f>[1]节奏总纲!Y5</f>
        <v>5.206503103162699E-2</v>
      </c>
      <c r="Z5" s="45">
        <f>[1]节奏总纲!Z5</f>
        <v>3.7243595515130602E-2</v>
      </c>
      <c r="AA5" s="45">
        <f>[1]节奏总纲!AA5</f>
        <v>2.0046349730144564E-2</v>
      </c>
      <c r="AC5" s="45">
        <v>2</v>
      </c>
      <c r="AD5" s="45">
        <f>[1]节奏总纲!AD5</f>
        <v>15.845161563010114</v>
      </c>
      <c r="AE5" s="45">
        <f>[1]节奏总纲!AE5</f>
        <v>17.271997130667014</v>
      </c>
      <c r="AF5" s="45">
        <f>[1]节奏总纲!AF5</f>
        <v>19.263096801323076</v>
      </c>
      <c r="AG5" s="45">
        <f>[1]节奏总纲!AG5</f>
        <v>22.536681597650272</v>
      </c>
      <c r="AH5" s="45">
        <f>[1]节奏总纲!AH5</f>
        <v>29.386000042029625</v>
      </c>
      <c r="AL5" s="45">
        <v>2</v>
      </c>
      <c r="AM5" s="45">
        <f>[1]节奏总纲!AM5</f>
        <v>2.3963093307967063E-2</v>
      </c>
      <c r="AN5" s="45">
        <f>[1]节奏总纲!AN5</f>
        <v>1.9170474646373652E-2</v>
      </c>
      <c r="AO5" s="45">
        <f>[1]节奏总纲!AO5</f>
        <v>1.4377855984780237E-2</v>
      </c>
      <c r="AP5" s="45">
        <f>[1]节奏总纲!AP5</f>
        <v>9.5852373231868262E-3</v>
      </c>
      <c r="AQ5" s="45">
        <f>[1]节奏总纲!AQ5</f>
        <v>4.7926186615934131E-3</v>
      </c>
      <c r="AS5" s="45">
        <v>2</v>
      </c>
      <c r="AT5" s="45">
        <f>[1]节奏总纲!AT5</f>
        <v>1.6528175558115307E-2</v>
      </c>
      <c r="AU5" s="45">
        <f>[1]节奏总纲!AU5</f>
        <v>1.3222540446492247E-2</v>
      </c>
      <c r="AV5" s="45">
        <f>[1]节奏总纲!AV5</f>
        <v>9.9169053348691846E-3</v>
      </c>
      <c r="AW5" s="45">
        <f>[1]节奏总纲!AW5</f>
        <v>6.6112702232461237E-3</v>
      </c>
      <c r="AX5" s="45">
        <f>[1]节奏总纲!AX5</f>
        <v>3.3056351116230618E-3</v>
      </c>
      <c r="AY5" s="45"/>
      <c r="AZ5" s="45">
        <v>2</v>
      </c>
      <c r="BA5" s="45">
        <f>[1]节奏总纲!BA5</f>
        <v>14.729965238833779</v>
      </c>
      <c r="BB5" s="45">
        <f>[1]节奏总纲!BB5</f>
        <v>15.911635365458322</v>
      </c>
      <c r="BC5" s="45">
        <f>[1]节奏总纲!BC5</f>
        <v>17.448850811924295</v>
      </c>
      <c r="BD5" s="45">
        <f>[1]节奏总纲!BD5</f>
        <v>19.707330185578734</v>
      </c>
      <c r="BE5" s="45">
        <f>[1]节奏总纲!BE5</f>
        <v>23.710496742673982</v>
      </c>
      <c r="BI5" s="49">
        <v>2</v>
      </c>
      <c r="BJ5" s="45">
        <f>[1]节奏总纲!BJ5</f>
        <v>0.47499999999999998</v>
      </c>
      <c r="BK5" s="45">
        <f>[1]节奏总纲!BK5</f>
        <v>0.48449999999999999</v>
      </c>
      <c r="BL5" s="45">
        <f>[1]节奏总纲!BL5</f>
        <v>0.50349999999999995</v>
      </c>
      <c r="BM5" s="45">
        <f>[1]节奏总纲!BM5</f>
        <v>0.54149999999999998</v>
      </c>
      <c r="BN5" s="45">
        <f>[1]节奏总纲!BN5</f>
        <v>0.66499999999999992</v>
      </c>
    </row>
    <row r="6" spans="2:66" x14ac:dyDescent="0.15">
      <c r="B6" s="76" t="s">
        <v>109</v>
      </c>
      <c r="C6" s="76"/>
      <c r="D6" s="76"/>
      <c r="F6" s="45">
        <f>[1]节奏总纲!F6</f>
        <v>4</v>
      </c>
      <c r="G6" s="45">
        <f>[1]节奏总纲!G6</f>
        <v>0.3195079107728942</v>
      </c>
      <c r="I6" s="45">
        <f>[1]节奏总纲!I6</f>
        <v>4</v>
      </c>
      <c r="J6" s="45">
        <f>[1]节奏总纲!J6</f>
        <v>9.2637640824031031E-2</v>
      </c>
      <c r="K6" s="45">
        <f>[1]节奏总纲!K6</f>
        <v>0.25</v>
      </c>
      <c r="N6" s="45">
        <f>[1]节奏总纲!N6</f>
        <v>6</v>
      </c>
      <c r="O6" s="45">
        <v>3</v>
      </c>
      <c r="P6" s="45">
        <f>[1]节奏总纲!P6</f>
        <v>0.23114441334491631</v>
      </c>
      <c r="Q6" s="45">
        <f>[1]节奏总纲!Q6</f>
        <v>0.19582554698581309</v>
      </c>
      <c r="R6" s="45">
        <f>[1]节奏总纲!R6</f>
        <v>0.15616116565582547</v>
      </c>
      <c r="S6" s="45">
        <f>[1]节奏总纲!S6</f>
        <v>0.11120357726023924</v>
      </c>
      <c r="T6" s="45">
        <f>[1]节奏总纲!T6</f>
        <v>5.9380999788309005E-2</v>
      </c>
      <c r="V6" s="45">
        <v>3</v>
      </c>
      <c r="W6" s="45">
        <f>[1]节奏总纲!W6</f>
        <v>8.2446058347881213E-2</v>
      </c>
      <c r="X6" s="45">
        <f>[1]节奏总纲!X6</f>
        <v>7.0770230433306575E-2</v>
      </c>
      <c r="Y6" s="45">
        <f>[1]节奏总纲!Y6</f>
        <v>5.7321369089296248E-2</v>
      </c>
      <c r="Z6" s="45">
        <f>[1]节奏总纲!Z6</f>
        <v>4.1374829753631562E-2</v>
      </c>
      <c r="AA6" s="45">
        <f>[1]节奏总纲!AA6</f>
        <v>2.2295630052048453E-2</v>
      </c>
      <c r="AC6" s="45">
        <v>3</v>
      </c>
      <c r="AD6" s="45">
        <f>[1]节奏总纲!AD6</f>
        <v>20</v>
      </c>
      <c r="AE6" s="45">
        <f>[1]节奏总纲!AE6</f>
        <v>21.543844702365945</v>
      </c>
      <c r="AF6" s="45">
        <f>[1]节奏总纲!AF6</f>
        <v>23.734615677065324</v>
      </c>
      <c r="AG6" s="45">
        <f>[1]节奏总纲!AG6</f>
        <v>27.324610510337703</v>
      </c>
      <c r="AH6" s="45">
        <f>[1]节奏总纲!AH6</f>
        <v>34.517938607173015</v>
      </c>
      <c r="AL6" s="45">
        <v>3</v>
      </c>
      <c r="AM6" s="45">
        <f>[1]节奏总纲!AM6</f>
        <v>5.1571656651039799E-2</v>
      </c>
      <c r="AN6" s="45">
        <f>[1]节奏总纲!AN6</f>
        <v>4.1257325320831845E-2</v>
      </c>
      <c r="AO6" s="45">
        <f>[1]节奏总纲!AO6</f>
        <v>3.0942993990623877E-2</v>
      </c>
      <c r="AP6" s="45">
        <f>[1]节奏总纲!AP6</f>
        <v>2.0628662660415922E-2</v>
      </c>
      <c r="AQ6" s="45">
        <f>[1]节奏总纲!AQ6</f>
        <v>1.0314331330207961E-2</v>
      </c>
      <c r="AS6" s="45">
        <v>3</v>
      </c>
      <c r="AT6" s="45">
        <f>[1]节奏总纲!AT6</f>
        <v>2.7608563343072736E-2</v>
      </c>
      <c r="AU6" s="45">
        <f>[1]节奏总纲!AU6</f>
        <v>2.2086850674458192E-2</v>
      </c>
      <c r="AV6" s="45">
        <f>[1]节奏总纲!AV6</f>
        <v>1.6565138005843638E-2</v>
      </c>
      <c r="AW6" s="45">
        <f>[1]节奏总纲!AW6</f>
        <v>1.1043425337229096E-2</v>
      </c>
      <c r="AX6" s="45">
        <f>[1]节奏总纲!AX6</f>
        <v>5.5217126686145481E-3</v>
      </c>
      <c r="AY6" s="45"/>
      <c r="AZ6" s="45">
        <v>3</v>
      </c>
      <c r="BA6" s="45">
        <f>[1]节奏总纲!BA6</f>
        <v>16.888397947066121</v>
      </c>
      <c r="BB6" s="45">
        <f>[1]节奏总纲!BB6</f>
        <v>18.108391417375849</v>
      </c>
      <c r="BC6" s="45">
        <f>[1]节奏总纲!BC6</f>
        <v>19.707330185578734</v>
      </c>
      <c r="BD6" s="45">
        <f>[1]节奏总纲!BD6</f>
        <v>22.041972908628715</v>
      </c>
      <c r="BE6" s="45">
        <f>[1]节奏总纲!BE6</f>
        <v>26.127796402772656</v>
      </c>
      <c r="BI6" s="49">
        <v>3</v>
      </c>
      <c r="BJ6" s="45">
        <f>[1]节奏总纲!BJ6</f>
        <v>0.65</v>
      </c>
      <c r="BK6" s="45">
        <f>[1]节奏总纲!BK6</f>
        <v>0.66300000000000003</v>
      </c>
      <c r="BL6" s="45">
        <f>[1]节奏总纲!BL6</f>
        <v>0.68900000000000006</v>
      </c>
      <c r="BM6" s="45">
        <f>[1]节奏总纲!BM6</f>
        <v>0.74099999999999999</v>
      </c>
      <c r="BN6" s="45">
        <f>[1]节奏总纲!BN6</f>
        <v>0.90999999999999992</v>
      </c>
    </row>
    <row r="7" spans="2:66" x14ac:dyDescent="0.15">
      <c r="B7" s="45" t="s">
        <v>78</v>
      </c>
      <c r="C7" s="45" t="s">
        <v>110</v>
      </c>
      <c r="D7" s="45" t="s">
        <v>111</v>
      </c>
      <c r="F7" s="45">
        <f>[1]节奏总纲!F7</f>
        <v>5</v>
      </c>
      <c r="G7" s="45">
        <f>[1]节奏总纲!G7</f>
        <v>0.41421356237309515</v>
      </c>
      <c r="I7" s="45">
        <f>[1]节奏总纲!I7</f>
        <v>5</v>
      </c>
      <c r="J7" s="45">
        <f>[1]节奏总纲!J7</f>
        <v>0.15</v>
      </c>
      <c r="K7" s="45">
        <f>[1]节奏总纲!K7</f>
        <v>0.3</v>
      </c>
      <c r="N7" s="45">
        <f>[1]节奏总纲!N7</f>
        <v>8</v>
      </c>
      <c r="O7" s="45">
        <v>4</v>
      </c>
      <c r="P7" s="45">
        <f>[1]节奏总纲!P7</f>
        <v>0.3195079107728942</v>
      </c>
      <c r="Q7" s="45">
        <f>[1]节奏总纲!Q7</f>
        <v>0.2719651336498875</v>
      </c>
      <c r="R7" s="45">
        <f>[1]节奏总纲!R7</f>
        <v>0.21816000147573214</v>
      </c>
      <c r="S7" s="45">
        <f>[1]节奏总纲!S7</f>
        <v>0.15607961441255883</v>
      </c>
      <c r="T7" s="45">
        <f>[1]节奏总纲!T7</f>
        <v>8.4062531324348461E-2</v>
      </c>
      <c r="V7" s="45">
        <v>4</v>
      </c>
      <c r="W7" s="45">
        <f>[1]节奏总纲!W7</f>
        <v>8.8363497427977888E-2</v>
      </c>
      <c r="X7" s="45">
        <f>[1]节奏总纲!X7</f>
        <v>7.6139586664074416E-2</v>
      </c>
      <c r="Y7" s="45">
        <f>[1]节奏总纲!Y7</f>
        <v>6.1998835819906672E-2</v>
      </c>
      <c r="Z7" s="45">
        <f>[1]节奏总纲!Z7</f>
        <v>4.4876037152319581E-2</v>
      </c>
      <c r="AA7" s="45">
        <f>[1]节奏总纲!AA7</f>
        <v>2.4681531536039455E-2</v>
      </c>
      <c r="AC7" s="45">
        <v>4</v>
      </c>
      <c r="AD7" s="45">
        <f>[1]节奏总纲!AD7</f>
        <v>23.213386604241784</v>
      </c>
      <c r="AE7" s="45">
        <f>[1]节奏总纲!AE7</f>
        <v>24.836966034810484</v>
      </c>
      <c r="AF7" s="45">
        <f>[1]节奏总纲!AF7</f>
        <v>27.155717181399513</v>
      </c>
      <c r="AG7" s="45">
        <f>[1]节奏总纲!AG7</f>
        <v>30.831257561377125</v>
      </c>
      <c r="AH7" s="45">
        <f>[1]节奏总纲!AH7</f>
        <v>38.431365705145346</v>
      </c>
      <c r="AL7" s="45">
        <v>4</v>
      </c>
      <c r="AM7" s="45">
        <f>[1]节奏总纲!AM7</f>
        <v>9.2637640824031031E-2</v>
      </c>
      <c r="AN7" s="45">
        <f>[1]节奏总纲!AN7</f>
        <v>7.4110112659224833E-2</v>
      </c>
      <c r="AO7" s="45">
        <f>[1]节奏总纲!AO7</f>
        <v>5.5582584494418615E-2</v>
      </c>
      <c r="AP7" s="45">
        <f>[1]节奏总纲!AP7</f>
        <v>3.7055056329612417E-2</v>
      </c>
      <c r="AQ7" s="45">
        <f>[1]节奏总纲!AQ7</f>
        <v>1.8527528164806208E-2</v>
      </c>
      <c r="AS7" s="45">
        <v>4</v>
      </c>
      <c r="AT7" s="45">
        <f>[1]节奏总纲!AT7</f>
        <v>4.1065984172991232E-2</v>
      </c>
      <c r="AU7" s="45">
        <f>[1]节奏总纲!AU7</f>
        <v>3.2852787338392989E-2</v>
      </c>
      <c r="AV7" s="45">
        <f>[1]节奏总纲!AV7</f>
        <v>2.4639590503794738E-2</v>
      </c>
      <c r="AW7" s="45">
        <f>[1]节奏总纲!AW7</f>
        <v>1.6426393669196494E-2</v>
      </c>
      <c r="AX7" s="45">
        <f>[1]节奏总纲!AX7</f>
        <v>8.2131968345982471E-3</v>
      </c>
      <c r="AY7" s="45"/>
      <c r="AZ7" s="45">
        <v>4</v>
      </c>
      <c r="BA7" s="45">
        <f>[1]节奏总纲!BA7</f>
        <v>18.453550676044042</v>
      </c>
      <c r="BB7" s="45">
        <f>[1]节奏总纲!BB7</f>
        <v>19.707330185578734</v>
      </c>
      <c r="BC7" s="45">
        <f>[1]节奏总纲!BC7</f>
        <v>21.34613466141565</v>
      </c>
      <c r="BD7" s="45">
        <f>[1]节奏总纲!BD7</f>
        <v>23.710496742673982</v>
      </c>
      <c r="BE7" s="45">
        <f>[1]节奏总纲!BE7</f>
        <v>27.863030247590562</v>
      </c>
      <c r="BI7" s="49">
        <v>4</v>
      </c>
      <c r="BJ7" s="45">
        <f>[1]节奏总纲!BJ7</f>
        <v>0.82499999999999996</v>
      </c>
      <c r="BK7" s="45">
        <f>[1]节奏总纲!BK7</f>
        <v>0.84149999999999991</v>
      </c>
      <c r="BL7" s="45">
        <f>[1]节奏总纲!BL7</f>
        <v>0.87449999999999994</v>
      </c>
      <c r="BM7" s="45">
        <f>[1]节奏总纲!BM7</f>
        <v>0.94049999999999989</v>
      </c>
      <c r="BN7" s="45">
        <f>[1]节奏总纲!BN7</f>
        <v>1.1549999999999998</v>
      </c>
    </row>
    <row r="8" spans="2:66" x14ac:dyDescent="0.15">
      <c r="B8" s="45">
        <f>[1]节奏总纲!B8</f>
        <v>10</v>
      </c>
      <c r="C8" s="45">
        <f>[1]节奏总纲!C8</f>
        <v>1</v>
      </c>
      <c r="D8" s="45">
        <f>[1]节奏总纲!D8</f>
        <v>1</v>
      </c>
      <c r="F8" s="45">
        <f>[1]节奏总纲!F8</f>
        <v>6</v>
      </c>
      <c r="G8" s="45">
        <f>[1]节奏总纲!G8</f>
        <v>0.51571656651039799</v>
      </c>
      <c r="I8" s="45">
        <f>[1]节奏总纲!I8</f>
        <v>6</v>
      </c>
      <c r="J8" s="45">
        <f>[1]节奏总纲!J8</f>
        <v>0.22055744069899194</v>
      </c>
      <c r="K8" s="45">
        <f>[1]节奏总纲!K8</f>
        <v>0.34</v>
      </c>
      <c r="N8" s="45">
        <f>[1]节奏总纲!N8</f>
        <v>10</v>
      </c>
      <c r="O8" s="45">
        <v>5</v>
      </c>
      <c r="P8" s="45">
        <f>[1]节奏总纲!P8</f>
        <v>0.41421356237309515</v>
      </c>
      <c r="Q8" s="45">
        <f>[1]节奏总纲!Q8</f>
        <v>0.35241289886702937</v>
      </c>
      <c r="R8" s="45">
        <f>[1]节奏总纲!R8</f>
        <v>0.28315639123824782</v>
      </c>
      <c r="S8" s="45">
        <f>[1]节奏总纲!S8</f>
        <v>0.20296464556281663</v>
      </c>
      <c r="T8" s="45">
        <f>[1]节奏总纲!T8</f>
        <v>0.10951806589144637</v>
      </c>
      <c r="V8" s="45">
        <v>5</v>
      </c>
      <c r="W8" s="45">
        <f>[1]节奏总纲!W8</f>
        <v>9.4705651600200946E-2</v>
      </c>
      <c r="X8" s="45">
        <f>[1]节奏总纲!X8</f>
        <v>8.0447765217141864E-2</v>
      </c>
      <c r="Y8" s="45">
        <f>[1]节奏总纲!Y8</f>
        <v>6.4996389762515677E-2</v>
      </c>
      <c r="Z8" s="45">
        <f>[1]节奏总纲!Z8</f>
        <v>4.68850311502578E-2</v>
      </c>
      <c r="AA8" s="45">
        <f>[1]节奏总纲!AA8</f>
        <v>2.5455534567097912E-2</v>
      </c>
      <c r="AC8" s="45">
        <v>5</v>
      </c>
      <c r="AD8" s="45">
        <f>[1]节奏总纲!AD8</f>
        <v>25.845161563010112</v>
      </c>
      <c r="AE8" s="45">
        <f>[1]节奏总纲!AE8</f>
        <v>27.525245270311611</v>
      </c>
      <c r="AF8" s="45">
        <f>[1]节奏总纲!AF8</f>
        <v>29.892344464157688</v>
      </c>
      <c r="AG8" s="45">
        <f>[1]节奏总纲!AG8</f>
        <v>33.672145166817529</v>
      </c>
      <c r="AH8" s="45">
        <f>[1]节奏总纲!AH8</f>
        <v>41.359260538726978</v>
      </c>
      <c r="AL8" s="45">
        <v>5</v>
      </c>
      <c r="AM8" s="45">
        <f>[1]节奏总纲!AM8</f>
        <v>0.15</v>
      </c>
      <c r="AN8" s="45">
        <f>[1]节奏总纲!AN8</f>
        <v>0.12</v>
      </c>
      <c r="AO8" s="45">
        <f>[1]节奏总纲!AO8</f>
        <v>0.09</v>
      </c>
      <c r="AP8" s="45">
        <f>[1]节奏总纲!AP8</f>
        <v>0.06</v>
      </c>
      <c r="AQ8" s="45">
        <f>[1]节奏总纲!AQ8</f>
        <v>0.03</v>
      </c>
      <c r="AS8" s="45">
        <v>5</v>
      </c>
      <c r="AT8" s="45">
        <f>[1]节奏总纲!AT8</f>
        <v>5.7362359175968963E-2</v>
      </c>
      <c r="AU8" s="45">
        <f>[1]节奏总纲!AU8</f>
        <v>4.5889887340775162E-2</v>
      </c>
      <c r="AV8" s="45">
        <f>[1]节奏总纲!AV8</f>
        <v>3.4417415505581382E-2</v>
      </c>
      <c r="AW8" s="45">
        <f>[1]节奏总纲!AW8</f>
        <v>2.2944943670387581E-2</v>
      </c>
      <c r="AX8" s="45">
        <f>[1]节奏总纲!AX8</f>
        <v>1.1472471835193791E-2</v>
      </c>
      <c r="AY8" s="45"/>
      <c r="AZ8" s="45">
        <v>5</v>
      </c>
      <c r="BA8" s="45">
        <f>[1]节奏总纲!BA8</f>
        <v>19.707330185578734</v>
      </c>
      <c r="BB8" s="45">
        <f>[1]节奏总纲!BB8</f>
        <v>20.993539484876777</v>
      </c>
      <c r="BC8" s="45">
        <f>[1]节奏总纲!BC8</f>
        <v>22.639743033177162</v>
      </c>
      <c r="BD8" s="45">
        <f>[1]节奏总纲!BD8</f>
        <v>25.044229735272328</v>
      </c>
      <c r="BE8" s="45">
        <f>[1]节奏总纲!BE8</f>
        <v>29.216428548527322</v>
      </c>
      <c r="BI8" s="49">
        <v>5</v>
      </c>
      <c r="BJ8" s="45">
        <f>[1]节奏总纲!BJ8</f>
        <v>1</v>
      </c>
      <c r="BK8" s="45">
        <f>[1]节奏总纲!BK8</f>
        <v>1.02</v>
      </c>
      <c r="BL8" s="45">
        <f>[1]节奏总纲!BL8</f>
        <v>1.06</v>
      </c>
      <c r="BM8" s="45">
        <f>[1]节奏总纲!BM8</f>
        <v>1.1399999999999999</v>
      </c>
      <c r="BN8" s="45">
        <f>[1]节奏总纲!BN8</f>
        <v>1.4</v>
      </c>
    </row>
    <row r="9" spans="2:66" x14ac:dyDescent="0.15">
      <c r="B9" s="45">
        <f>[1]节奏总纲!B9</f>
        <v>20</v>
      </c>
      <c r="C9" s="45">
        <f>[1]节奏总纲!C9</f>
        <v>3</v>
      </c>
      <c r="D9" s="45">
        <f>[1]节奏总纲!D9</f>
        <v>2</v>
      </c>
      <c r="F9" s="45">
        <f>[1]节奏总纲!F9</f>
        <v>7</v>
      </c>
      <c r="G9" s="45">
        <f>[1]节奏总纲!G9</f>
        <v>0.62450479271247095</v>
      </c>
      <c r="I9" s="45">
        <f>[1]节奏总纲!I9</f>
        <v>7</v>
      </c>
      <c r="J9" s="45">
        <f>[1]节奏总纲!J9</f>
        <v>0.31141300609369982</v>
      </c>
      <c r="K9" s="45">
        <f>[1]节奏总纲!K9</f>
        <v>0.38</v>
      </c>
      <c r="N9" s="45">
        <f>[1]节奏总纲!N9</f>
        <v>12</v>
      </c>
      <c r="O9" s="45">
        <v>6</v>
      </c>
      <c r="P9" s="45">
        <f>[1]节奏总纲!P9</f>
        <v>0.51571656651039799</v>
      </c>
      <c r="Q9" s="45">
        <f>[1]节奏总纲!Q9</f>
        <v>0.43939051466685908</v>
      </c>
      <c r="R9" s="45">
        <f>[1]节奏总纲!R9</f>
        <v>0.35336899137292471</v>
      </c>
      <c r="S9" s="45">
        <f>[1]节奏总纲!S9</f>
        <v>0.25440298225957936</v>
      </c>
      <c r="T9" s="45">
        <f>[1]节奏总纲!T9</f>
        <v>0.13836675479473978</v>
      </c>
      <c r="V9" s="45">
        <v>6</v>
      </c>
      <c r="W9" s="45">
        <f>[1]节奏总纲!W9</f>
        <v>0.10150300413730284</v>
      </c>
      <c r="X9" s="45">
        <f>[1]节奏总纲!X9</f>
        <v>8.6977615799829711E-2</v>
      </c>
      <c r="Y9" s="45">
        <f>[1]节奏总纲!Y9</f>
        <v>7.0212600134676895E-2</v>
      </c>
      <c r="Z9" s="45">
        <f>[1]节奏总纲!Z9</f>
        <v>5.1438336696762732E-2</v>
      </c>
      <c r="AA9" s="45">
        <f>[1]节奏总纲!AA9</f>
        <v>2.884868890329341E-2</v>
      </c>
      <c r="AC9" s="45">
        <v>6</v>
      </c>
      <c r="AD9" s="45">
        <f>[1]节奏总纲!AD9</f>
        <v>28.071211008105138</v>
      </c>
      <c r="AE9" s="45">
        <f>[1]节奏总纲!AE9</f>
        <v>29.78183527117605</v>
      </c>
      <c r="AF9" s="45">
        <f>[1]节奏总纲!AF9</f>
        <v>32.202183458664891</v>
      </c>
      <c r="AG9" s="45">
        <f>[1]节奏总纲!AG9</f>
        <v>36.067019846099676</v>
      </c>
      <c r="AH9" s="45">
        <f>[1]节奏总纲!AH9</f>
        <v>43.870275262019007</v>
      </c>
      <c r="AL9" s="45">
        <v>6</v>
      </c>
      <c r="AM9" s="45">
        <f>[1]节奏总纲!AM9</f>
        <v>0.22055744069899194</v>
      </c>
      <c r="AN9" s="45">
        <f>[1]节奏总纲!AN9</f>
        <v>0.17644595255919357</v>
      </c>
      <c r="AO9" s="45">
        <f>[1]节奏总纲!AO9</f>
        <v>0.13233446441939517</v>
      </c>
      <c r="AP9" s="45">
        <f>[1]节奏总纲!AP9</f>
        <v>8.8222976279596785E-2</v>
      </c>
      <c r="AQ9" s="45">
        <f>[1]节奏总纲!AQ9</f>
        <v>4.4111488139798392E-2</v>
      </c>
      <c r="AS9" s="45">
        <v>6</v>
      </c>
      <c r="AT9" s="45">
        <f>[1]节奏总纲!AT9</f>
        <v>7.0557440698991947E-2</v>
      </c>
      <c r="AU9" s="45">
        <f>[1]节奏总纲!AU9</f>
        <v>5.6445952559193574E-2</v>
      </c>
      <c r="AV9" s="45">
        <f>[1]节奏总纲!AV9</f>
        <v>4.2334464419395174E-2</v>
      </c>
      <c r="AW9" s="45">
        <f>[1]节奏总纲!AW9</f>
        <v>2.8222976279596787E-2</v>
      </c>
      <c r="AX9" s="45">
        <f>[1]节奏总纲!AX9</f>
        <v>1.4111488139798394E-2</v>
      </c>
      <c r="AY9" s="45"/>
      <c r="AZ9" s="45">
        <v>6</v>
      </c>
      <c r="BA9" s="45">
        <f>[1]节奏总纲!BA9</f>
        <v>20.745154613657583</v>
      </c>
      <c r="BB9" s="45">
        <f>[1]节奏总纲!BB9</f>
        <v>22.041972908628715</v>
      </c>
      <c r="BC9" s="45">
        <f>[1]节奏总纲!BC9</f>
        <v>23.710496742673982</v>
      </c>
      <c r="BD9" s="45">
        <f>[1]节奏总纲!BD9</f>
        <v>26.127796402772656</v>
      </c>
      <c r="BE9" s="45">
        <f>[1]节奏总纲!BE9</f>
        <v>30.329493925593439</v>
      </c>
      <c r="BI9" s="49">
        <v>6</v>
      </c>
      <c r="BJ9" s="45">
        <f>[1]节奏总纲!BJ9</f>
        <v>1.0333333333333334</v>
      </c>
      <c r="BK9" s="45">
        <f>[1]节奏总纲!BK9</f>
        <v>1.054</v>
      </c>
      <c r="BL9" s="45">
        <f>[1]节奏总纲!BL9</f>
        <v>1.0953333333333335</v>
      </c>
      <c r="BM9" s="45">
        <f>[1]节奏总纲!BM9</f>
        <v>1.1779999999999999</v>
      </c>
      <c r="BN9" s="45">
        <f>[1]节奏总纲!BN9</f>
        <v>1.4466666666666668</v>
      </c>
    </row>
    <row r="10" spans="2:66" x14ac:dyDescent="0.15">
      <c r="B10" s="45">
        <f>[1]节奏总纲!B10</f>
        <v>30</v>
      </c>
      <c r="C10" s="45">
        <f>[1]节奏总纲!C10</f>
        <v>7</v>
      </c>
      <c r="D10" s="45">
        <f>[1]节奏总纲!D10</f>
        <v>4</v>
      </c>
      <c r="F10" s="45">
        <f>[1]节奏总纲!F10</f>
        <v>8</v>
      </c>
      <c r="G10" s="45">
        <f>[1]节奏总纲!G10</f>
        <v>0.74110112659224825</v>
      </c>
      <c r="I10" s="45">
        <f>[1]节奏总纲!I10</f>
        <v>8</v>
      </c>
      <c r="J10" s="45">
        <f>[1]节奏总纲!J10</f>
        <v>0.42660095793436714</v>
      </c>
      <c r="K10" s="45">
        <f>[1]节奏总纲!K10</f>
        <v>0.42</v>
      </c>
      <c r="N10" s="45">
        <f>[1]节奏总纲!N10</f>
        <v>14</v>
      </c>
      <c r="O10" s="45">
        <v>7</v>
      </c>
      <c r="P10" s="45">
        <f>[1]节奏总纲!P10</f>
        <v>0.62450479271247095</v>
      </c>
      <c r="Q10" s="45">
        <f>[1]节奏总纲!Q10</f>
        <v>0.53413894920697635</v>
      </c>
      <c r="R10" s="45">
        <f>[1]节奏总纲!R10</f>
        <v>0.43072095553379119</v>
      </c>
      <c r="S10" s="45">
        <f>[1]节奏总纲!S10</f>
        <v>0.30950457526830061</v>
      </c>
      <c r="T10" s="45">
        <f>[1]节奏总纲!T10</f>
        <v>0.16699258157131475</v>
      </c>
      <c r="V10" s="45">
        <v>7</v>
      </c>
      <c r="W10" s="45">
        <f>[1]节奏总纲!W10</f>
        <v>0.10878822620207296</v>
      </c>
      <c r="X10" s="45">
        <f>[1]节奏总纲!X10</f>
        <v>9.4748434540117277E-2</v>
      </c>
      <c r="Y10" s="45">
        <f>[1]节奏总纲!Y10</f>
        <v>7.7351964160866482E-2</v>
      </c>
      <c r="Z10" s="45">
        <f>[1]节奏总纲!Z10</f>
        <v>5.510159300872125E-2</v>
      </c>
      <c r="AA10" s="45">
        <f>[1]节奏总纲!AA10</f>
        <v>2.8625826776574964E-2</v>
      </c>
      <c r="AC10" s="45">
        <v>7</v>
      </c>
      <c r="AD10" s="45">
        <f>[1]节奏总纲!AD10</f>
        <v>30</v>
      </c>
      <c r="AE10" s="45">
        <f>[1]节奏总纲!AE10</f>
        <v>31.718819483847451</v>
      </c>
      <c r="AF10" s="45">
        <f>[1]节奏总纲!AF10</f>
        <v>34.192155176139416</v>
      </c>
      <c r="AG10" s="45">
        <f>[1]节奏总纲!AG10</f>
        <v>38.19822972207853</v>
      </c>
      <c r="AH10" s="45">
        <f>[1]节奏总纲!AH10</f>
        <v>46.093186357957826</v>
      </c>
      <c r="AL10" s="45">
        <v>7</v>
      </c>
      <c r="AM10" s="45">
        <f>[1]节奏总纲!AM10</f>
        <v>0.31141300609369982</v>
      </c>
      <c r="AN10" s="45">
        <f>[1]节奏总纲!AN10</f>
        <v>0.24913040487495985</v>
      </c>
      <c r="AO10" s="45">
        <f>[1]节奏总纲!AO10</f>
        <v>0.18684780365621989</v>
      </c>
      <c r="AP10" s="45">
        <f>[1]节奏总纲!AP10</f>
        <v>0.12456520243747993</v>
      </c>
      <c r="AQ10" s="45">
        <f>[1]节奏总纲!AQ10</f>
        <v>6.2282601218739964E-2</v>
      </c>
      <c r="AS10" s="45">
        <v>7</v>
      </c>
      <c r="AT10" s="45">
        <f>[1]节奏总纲!AT10</f>
        <v>9.0855565394707877E-2</v>
      </c>
      <c r="AU10" s="45">
        <f>[1]节奏总纲!AU10</f>
        <v>7.2684452315766285E-2</v>
      </c>
      <c r="AV10" s="45">
        <f>[1]节奏总纲!AV10</f>
        <v>5.451333923682472E-2</v>
      </c>
      <c r="AW10" s="45">
        <f>[1]节奏总纲!AW10</f>
        <v>3.6342226157883142E-2</v>
      </c>
      <c r="AX10" s="45">
        <f>[1]节奏总纲!AX10</f>
        <v>1.8171113078941571E-2</v>
      </c>
      <c r="AY10" s="45"/>
      <c r="AZ10" s="45">
        <v>7</v>
      </c>
      <c r="BA10" s="45">
        <f>[1]节奏总纲!BA10</f>
        <v>21.627432338833255</v>
      </c>
      <c r="BB10" s="45">
        <f>[1]节奏总纲!BB10</f>
        <v>22.938628095451385</v>
      </c>
      <c r="BC10" s="45">
        <f>[1]节奏总纲!BC10</f>
        <v>24.619152272059132</v>
      </c>
      <c r="BD10" s="45">
        <f>[1]节奏总纲!BD10</f>
        <v>27.059707353051884</v>
      </c>
      <c r="BE10" s="45">
        <f>[1]节奏总纲!BE10</f>
        <v>31.280110398778046</v>
      </c>
      <c r="BI10" s="49">
        <v>7</v>
      </c>
      <c r="BJ10" s="45">
        <f>[1]节奏总纲!BJ10</f>
        <v>1.0666666666666669</v>
      </c>
      <c r="BK10" s="45">
        <f>[1]节奏总纲!BK10</f>
        <v>1.0880000000000003</v>
      </c>
      <c r="BL10" s="45">
        <f>[1]节奏总纲!BL10</f>
        <v>1.1306666666666669</v>
      </c>
      <c r="BM10" s="45">
        <f>[1]节奏总纲!BM10</f>
        <v>1.2160000000000002</v>
      </c>
      <c r="BN10" s="45">
        <f>[1]节奏总纲!BN10</f>
        <v>1.4933333333333336</v>
      </c>
    </row>
    <row r="11" spans="2:66" x14ac:dyDescent="0.15">
      <c r="B11" s="45">
        <f>[1]节奏总纲!B11</f>
        <v>40</v>
      </c>
      <c r="C11" s="45">
        <f>[1]节奏总纲!C11</f>
        <v>15</v>
      </c>
      <c r="D11" s="45">
        <f>[1]节奏总纲!D11</f>
        <v>8</v>
      </c>
      <c r="F11" s="45">
        <f>[1]节奏总纲!F11</f>
        <v>9</v>
      </c>
      <c r="G11" s="45">
        <f>[1]节奏总纲!G11</f>
        <v>0.86606598307361482</v>
      </c>
      <c r="I11" s="45">
        <f>[1]节奏总纲!I11</f>
        <v>9</v>
      </c>
      <c r="J11" s="45">
        <f>[1]节奏总纲!J11</f>
        <v>0.57090651823243421</v>
      </c>
      <c r="K11" s="45">
        <f>[1]节奏总纲!K11</f>
        <v>0.46</v>
      </c>
      <c r="N11" s="45">
        <f>[1]节奏总纲!N11</f>
        <v>16</v>
      </c>
      <c r="O11" s="45">
        <v>8</v>
      </c>
      <c r="P11" s="45">
        <f>[1]节奏总纲!P11</f>
        <v>0.74110112659224825</v>
      </c>
      <c r="Q11" s="45">
        <f>[1]节奏总纲!Q11</f>
        <v>0.63089938906798093</v>
      </c>
      <c r="R11" s="45">
        <f>[1]节奏总纲!R11</f>
        <v>0.50550507844857251</v>
      </c>
      <c r="S11" s="45">
        <f>[1]节奏总纲!S11</f>
        <v>0.36195379022765406</v>
      </c>
      <c r="T11" s="45">
        <f>[1]节奏总纲!T11</f>
        <v>0.19579891764567198</v>
      </c>
      <c r="V11" s="45">
        <v>8</v>
      </c>
      <c r="W11" s="45">
        <f>[1]节奏总纲!W11</f>
        <v>0.1165963338797773</v>
      </c>
      <c r="X11" s="45">
        <f>[1]节奏总纲!X11</f>
        <v>9.6760439861004577E-2</v>
      </c>
      <c r="Y11" s="45">
        <f>[1]节奏总纲!Y11</f>
        <v>7.4784122914781315E-2</v>
      </c>
      <c r="Z11" s="45">
        <f>[1]节奏总纲!Z11</f>
        <v>5.2449214959353452E-2</v>
      </c>
      <c r="AA11" s="45">
        <f>[1]节奏总纲!AA11</f>
        <v>2.8806336074357231E-2</v>
      </c>
      <c r="AC11" s="45">
        <v>8</v>
      </c>
      <c r="AD11" s="45">
        <f>[1]节奏总纲!AD11</f>
        <v>31.691928656135214</v>
      </c>
      <c r="AE11" s="45">
        <f>[1]节奏总纲!AE11</f>
        <v>33.465251056098396</v>
      </c>
      <c r="AF11" s="45">
        <f>[1]节奏总纲!AF11</f>
        <v>35.930751746472978</v>
      </c>
      <c r="AG11" s="45">
        <f>[1]节奏总纲!AG11</f>
        <v>39.998279638578282</v>
      </c>
      <c r="AH11" s="45">
        <f>[1]节奏总纲!AH11</f>
        <v>48.067140183443534</v>
      </c>
      <c r="AL11" s="45">
        <v>8</v>
      </c>
      <c r="AM11" s="45">
        <f>[1]节奏总纲!AM11</f>
        <v>0.42660095793436714</v>
      </c>
      <c r="AN11" s="45">
        <f>[1]节奏总纲!AN11</f>
        <v>0.34128076634749371</v>
      </c>
      <c r="AO11" s="45">
        <f>[1]节奏总纲!AO11</f>
        <v>0.25596057476062029</v>
      </c>
      <c r="AP11" s="45">
        <f>[1]节奏总纲!AP11</f>
        <v>0.17064038317374686</v>
      </c>
      <c r="AQ11" s="45">
        <f>[1]节奏总纲!AQ11</f>
        <v>8.5320191586873428E-2</v>
      </c>
      <c r="AS11" s="45">
        <v>8</v>
      </c>
      <c r="AT11" s="45">
        <f>[1]节奏总纲!AT11</f>
        <v>0.11518795184066732</v>
      </c>
      <c r="AU11" s="45">
        <f>[1]节奏总纲!AU11</f>
        <v>9.2150361472533859E-2</v>
      </c>
      <c r="AV11" s="45">
        <f>[1]节奏总纲!AV11</f>
        <v>6.9112771104400395E-2</v>
      </c>
      <c r="AW11" s="45">
        <f>[1]节奏总纲!AW11</f>
        <v>4.607518073626693E-2</v>
      </c>
      <c r="AX11" s="45">
        <f>[1]节奏总纲!AX11</f>
        <v>2.3037590368133465E-2</v>
      </c>
      <c r="AY11" s="45"/>
      <c r="AZ11" s="45">
        <v>8</v>
      </c>
      <c r="BA11" s="45">
        <f>[1]节奏总纲!BA11</f>
        <v>22.400634983357783</v>
      </c>
      <c r="BB11" s="45">
        <f>[1]节奏总纲!BB11</f>
        <v>23.710496742673982</v>
      </c>
      <c r="BC11" s="45">
        <f>[1]节奏总纲!BC11</f>
        <v>25.412810862541733</v>
      </c>
      <c r="BD11" s="45">
        <f>[1]节奏总纲!BD11</f>
        <v>27.863030247590562</v>
      </c>
      <c r="BE11" s="45">
        <f>[1]节奏总纲!BE11</f>
        <v>32.113552950216736</v>
      </c>
      <c r="BI11" s="49">
        <v>8</v>
      </c>
      <c r="BJ11" s="45">
        <f>[1]节奏总纲!BJ11</f>
        <v>1.1000000000000003</v>
      </c>
      <c r="BK11" s="45">
        <f>[1]节奏总纲!BK11</f>
        <v>1.1220000000000003</v>
      </c>
      <c r="BL11" s="45">
        <f>[1]节奏总纲!BL11</f>
        <v>1.1660000000000004</v>
      </c>
      <c r="BM11" s="45">
        <f>[1]节奏总纲!BM11</f>
        <v>1.2540000000000002</v>
      </c>
      <c r="BN11" s="45">
        <f>[1]节奏总纲!BN11</f>
        <v>1.5400000000000003</v>
      </c>
    </row>
    <row r="12" spans="2:66" x14ac:dyDescent="0.15">
      <c r="B12" s="45">
        <f>[1]节奏总纲!B12</f>
        <v>50</v>
      </c>
      <c r="C12" s="45">
        <f>[1]节奏总纲!C12</f>
        <v>31</v>
      </c>
      <c r="D12" s="45">
        <f>[1]节奏总纲!D12</f>
        <v>16</v>
      </c>
      <c r="F12" s="45">
        <f>[1]节奏总纲!F12</f>
        <v>10</v>
      </c>
      <c r="G12" s="45">
        <f>[1]节奏总纲!G12</f>
        <v>1</v>
      </c>
      <c r="I12" s="45">
        <f>[1]节奏总纲!I12</f>
        <v>10</v>
      </c>
      <c r="J12" s="45">
        <f>[1]节奏总纲!J12</f>
        <v>0.75</v>
      </c>
      <c r="K12" s="45">
        <f>[1]节奏总纲!K12</f>
        <v>0.5</v>
      </c>
      <c r="N12" s="45">
        <f>[1]节奏总纲!N12</f>
        <v>18</v>
      </c>
      <c r="O12" s="45">
        <v>9</v>
      </c>
      <c r="P12" s="45">
        <f>[1]节奏总纲!P12</f>
        <v>0.86606598307361482</v>
      </c>
      <c r="Q12" s="45">
        <f>[1]节奏总纲!Q12</f>
        <v>0.73702215159564621</v>
      </c>
      <c r="R12" s="45">
        <f>[1]节奏总纲!R12</f>
        <v>0.59282216541388932</v>
      </c>
      <c r="S12" s="45">
        <f>[1]节奏总纲!S12</f>
        <v>0.42766338244175101</v>
      </c>
      <c r="T12" s="45">
        <f>[1]节奏总纲!T12</f>
        <v>0.23193247026711403</v>
      </c>
      <c r="V12" s="45">
        <v>9</v>
      </c>
      <c r="W12" s="45">
        <f>[1]节奏总纲!W12</f>
        <v>0.12496485648136657</v>
      </c>
      <c r="X12" s="45">
        <f>[1]节奏总纲!X12</f>
        <v>0.10612276252766528</v>
      </c>
      <c r="Y12" s="45">
        <f>[1]节奏总纲!Y12</f>
        <v>8.7317086965316815E-2</v>
      </c>
      <c r="Z12" s="45">
        <f>[1]节奏总纲!Z12</f>
        <v>6.5709592214096946E-2</v>
      </c>
      <c r="AA12" s="45">
        <f>[1]节奏总纲!AA12</f>
        <v>3.613355262144205E-2</v>
      </c>
      <c r="AC12" s="45">
        <v>9</v>
      </c>
      <c r="AD12" s="45">
        <f>[1]节奏总纲!AD12</f>
        <v>33.213386604241784</v>
      </c>
      <c r="AE12" s="45">
        <f>[1]节奏总纲!AE12</f>
        <v>34.992730785174565</v>
      </c>
      <c r="AF12" s="45">
        <f>[1]节奏总纲!AF12</f>
        <v>37.510565846691456</v>
      </c>
      <c r="AG12" s="45">
        <f>[1]节奏总纲!AG12</f>
        <v>41.534743419557365</v>
      </c>
      <c r="AH12" s="45">
        <f>[1]节奏总纲!AH12</f>
        <v>49.706056771838036</v>
      </c>
      <c r="AL12" s="45">
        <v>9</v>
      </c>
      <c r="AM12" s="45">
        <f>[1]节奏总纲!AM12</f>
        <v>0.57090651823243421</v>
      </c>
      <c r="AN12" s="45">
        <f>[1]节奏总纲!AN12</f>
        <v>0.45672521458594739</v>
      </c>
      <c r="AO12" s="45">
        <f>[1]节奏总纲!AO12</f>
        <v>0.34254391093946052</v>
      </c>
      <c r="AP12" s="45">
        <f>[1]节奏总纲!AP12</f>
        <v>0.2283626072929737</v>
      </c>
      <c r="AQ12" s="45">
        <f>[1]节奏总纲!AQ12</f>
        <v>0.11418130364648685</v>
      </c>
      <c r="AS12" s="45">
        <v>9</v>
      </c>
      <c r="AT12" s="45">
        <f>[1]节奏总纲!AT12</f>
        <v>0.14430556029806707</v>
      </c>
      <c r="AU12" s="45">
        <f>[1]节奏总纲!AU12</f>
        <v>0.11544444823845368</v>
      </c>
      <c r="AV12" s="45">
        <f>[1]节奏总纲!AV12</f>
        <v>8.6583336178840231E-2</v>
      </c>
      <c r="AW12" s="45">
        <f>[1]节奏总纲!AW12</f>
        <v>5.7722224119226839E-2</v>
      </c>
      <c r="AX12" s="45">
        <f>[1]节奏总纲!AX12</f>
        <v>2.886111205961342E-2</v>
      </c>
      <c r="AY12" s="45"/>
      <c r="AZ12" s="45">
        <v>9</v>
      </c>
      <c r="BA12" s="45">
        <f>[1]节奏总纲!BA12</f>
        <v>23.100336713798686</v>
      </c>
      <c r="BB12" s="45">
        <f>[1]节奏总纲!BB12</f>
        <v>24.402761517547276</v>
      </c>
      <c r="BC12" s="45">
        <f>[1]节奏总纲!BC12</f>
        <v>26.127796402772656</v>
      </c>
      <c r="BD12" s="45">
        <f>[1]节奏总纲!BD12</f>
        <v>28.568390277483555</v>
      </c>
      <c r="BE12" s="45">
        <f>[1]节奏总纲!BE12</f>
        <v>32.842201900114915</v>
      </c>
      <c r="BI12" s="49">
        <v>9</v>
      </c>
      <c r="BJ12" s="45">
        <f>[1]节奏总纲!BJ12</f>
        <v>1.1333333333333337</v>
      </c>
      <c r="BK12" s="45">
        <f>[1]节奏总纲!BK12</f>
        <v>1.1560000000000004</v>
      </c>
      <c r="BL12" s="45">
        <f>[1]节奏总纲!BL12</f>
        <v>1.2013333333333338</v>
      </c>
      <c r="BM12" s="45">
        <f>[1]节奏总纲!BM12</f>
        <v>1.2920000000000003</v>
      </c>
      <c r="BN12" s="45">
        <f>[1]节奏总纲!BN12</f>
        <v>1.5866666666666671</v>
      </c>
    </row>
    <row r="13" spans="2:66" x14ac:dyDescent="0.15">
      <c r="B13" s="45">
        <f>[1]节奏总纲!B13</f>
        <v>60</v>
      </c>
      <c r="C13" s="45">
        <f>[1]节奏总纲!C13</f>
        <v>63</v>
      </c>
      <c r="D13" s="45">
        <f>[1]节奏总纲!D13</f>
        <v>32</v>
      </c>
      <c r="F13" s="45">
        <f>[1]节奏总纲!F13</f>
        <v>11</v>
      </c>
      <c r="G13" s="45">
        <f>[1]节奏总纲!G13</f>
        <v>1.1435469250725863</v>
      </c>
      <c r="I13" s="45">
        <f>[1]节奏总纲!I13</f>
        <v>11</v>
      </c>
      <c r="J13" s="45">
        <f>[1]节奏总纲!J13</f>
        <v>0.93464628919691628</v>
      </c>
      <c r="K13" s="45">
        <f>[1]节奏总纲!K13</f>
        <v>0.52</v>
      </c>
      <c r="N13" s="45">
        <f>[1]节奏总纲!N13</f>
        <v>20</v>
      </c>
      <c r="O13" s="45">
        <v>10</v>
      </c>
      <c r="P13" s="45">
        <f>[1]节奏总纲!P13</f>
        <v>1</v>
      </c>
      <c r="Q13" s="45">
        <f>[1]节奏总纲!Q13</f>
        <v>0.8548</v>
      </c>
      <c r="R13" s="45">
        <f>[1]节奏总纲!R13</f>
        <v>0.6895</v>
      </c>
      <c r="S13" s="45">
        <f>[1]节奏总纲!S13</f>
        <v>0.49980000000000002</v>
      </c>
      <c r="T13" s="45">
        <f>[1]节奏总纲!T13</f>
        <v>0.2732</v>
      </c>
      <c r="V13" s="45">
        <v>10</v>
      </c>
      <c r="W13" s="45">
        <f>[1]节奏总纲!W13</f>
        <v>0.13393401692638518</v>
      </c>
      <c r="X13" s="45">
        <f>[1]节奏总纲!X13</f>
        <v>0.11777784840435379</v>
      </c>
      <c r="Y13" s="45">
        <f>[1]节奏总纲!Y13</f>
        <v>9.6677834586110678E-2</v>
      </c>
      <c r="Z13" s="45">
        <f>[1]节奏总纲!Z13</f>
        <v>7.2136617558249017E-2</v>
      </c>
      <c r="AA13" s="45">
        <f>[1]节奏总纲!AA13</f>
        <v>4.1267529732885971E-2</v>
      </c>
      <c r="AC13" s="45">
        <v>10</v>
      </c>
      <c r="AD13" s="45">
        <f>[1]节奏总纲!AD13</f>
        <v>34.585942742481357</v>
      </c>
      <c r="AE13" s="45">
        <f>[1]节奏总纲!AE13</f>
        <v>36.36169634498642</v>
      </c>
      <c r="AF13" s="45">
        <f>[1]节奏总纲!AF13</f>
        <v>38.977035507933373</v>
      </c>
      <c r="AG13" s="45">
        <f>[1]节奏总纲!AG13</f>
        <v>42.970748198558951</v>
      </c>
      <c r="AH13" s="45">
        <f>[1]节奏总纲!AH13</f>
        <v>51.212821897464167</v>
      </c>
      <c r="AL13" s="45">
        <v>10</v>
      </c>
      <c r="AM13" s="45">
        <f>[1]节奏总纲!AM13</f>
        <v>0.75</v>
      </c>
      <c r="AN13" s="45">
        <f>[1]节奏总纲!AN13</f>
        <v>0.60000000000000009</v>
      </c>
      <c r="AO13" s="45">
        <f>[1]节奏总纲!AO13</f>
        <v>0.44999999999999996</v>
      </c>
      <c r="AP13" s="45">
        <f>[1]节奏总纲!AP13</f>
        <v>0.30000000000000004</v>
      </c>
      <c r="AQ13" s="45">
        <f>[1]节奏总纲!AQ13</f>
        <v>0.15000000000000002</v>
      </c>
      <c r="AS13" s="45">
        <v>10</v>
      </c>
      <c r="AT13" s="45">
        <f>[1]节奏总纲!AT13</f>
        <v>0.17909348176756579</v>
      </c>
      <c r="AU13" s="45">
        <f>[1]节奏总纲!AU13</f>
        <v>0.1432747854140527</v>
      </c>
      <c r="AV13" s="45">
        <f>[1]节奏总纲!AV13</f>
        <v>0.10745608906053944</v>
      </c>
      <c r="AW13" s="45">
        <f>[1]节奏总纲!AW13</f>
        <v>7.1637392707026348E-2</v>
      </c>
      <c r="AX13" s="45">
        <f>[1]节奏总纲!AX13</f>
        <v>3.5818696353513174E-2</v>
      </c>
      <c r="AY13" s="45"/>
      <c r="AZ13" s="45">
        <v>10</v>
      </c>
      <c r="BA13" s="45">
        <f>[1]节奏总纲!BA13</f>
        <v>23.710496742673982</v>
      </c>
      <c r="BB13" s="45">
        <f>[1]节奏总纲!BB13</f>
        <v>25.044229735272328</v>
      </c>
      <c r="BC13" s="45">
        <f>[1]节奏总纲!BC13</f>
        <v>26.755953543357073</v>
      </c>
      <c r="BD13" s="45">
        <f>[1]节奏总纲!BD13</f>
        <v>29.216428548527322</v>
      </c>
      <c r="BE13" s="45">
        <f>[1]节奏总纲!BE13</f>
        <v>33.487933395889513</v>
      </c>
      <c r="BI13" s="49">
        <v>10</v>
      </c>
      <c r="BJ13" s="45">
        <f>[1]节奏总纲!BJ13</f>
        <v>1.1666666666666672</v>
      </c>
      <c r="BK13" s="45">
        <f>[1]节奏总纲!BK13</f>
        <v>1.1900000000000006</v>
      </c>
      <c r="BL13" s="45">
        <f>[1]节奏总纲!BL13</f>
        <v>1.2366666666666672</v>
      </c>
      <c r="BM13" s="45">
        <f>[1]节奏总纲!BM13</f>
        <v>1.3300000000000005</v>
      </c>
      <c r="BN13" s="45">
        <f>[1]节奏总纲!BN13</f>
        <v>1.633333333333334</v>
      </c>
    </row>
    <row r="14" spans="2:66" x14ac:dyDescent="0.15">
      <c r="B14" s="45">
        <f>[1]节奏总纲!B14</f>
        <v>70</v>
      </c>
      <c r="C14" s="45">
        <f>[1]节奏总纲!C14</f>
        <v>127</v>
      </c>
      <c r="D14" s="45">
        <f>[1]节奏总纲!D14</f>
        <v>64</v>
      </c>
      <c r="F14" s="45">
        <f>[1]节奏总纲!F14</f>
        <v>12</v>
      </c>
      <c r="G14" s="45">
        <f>[1]节奏总纲!G14</f>
        <v>1.2973967099940702</v>
      </c>
      <c r="I14" s="45">
        <f>[1]节奏总纲!I14</f>
        <v>12</v>
      </c>
      <c r="J14" s="45">
        <f>[1]节奏总纲!J14</f>
        <v>1.1550685436347259</v>
      </c>
      <c r="K14" s="45">
        <f>[1]节奏总纲!K14</f>
        <v>0.54</v>
      </c>
      <c r="N14" s="45">
        <f>[1]节奏总纲!N14</f>
        <v>21</v>
      </c>
      <c r="O14" s="45">
        <v>11</v>
      </c>
      <c r="P14" s="45">
        <f>[1]节奏总纲!P14</f>
        <v>1.1435469250725863</v>
      </c>
      <c r="Q14" s="45">
        <f>[1]节奏总纲!Q14</f>
        <v>0.98036277886472811</v>
      </c>
      <c r="R14" s="45">
        <f>[1]节奏总纲!R14</f>
        <v>0.79453640354043287</v>
      </c>
      <c r="S14" s="45">
        <f>[1]节奏总纲!S14</f>
        <v>0.57577587677404707</v>
      </c>
      <c r="T14" s="45">
        <f>[1]节奏总纲!T14</f>
        <v>0.31767733578516444</v>
      </c>
      <c r="V14" s="45">
        <v>11</v>
      </c>
      <c r="W14" s="45">
        <f>[1]节奏总纲!W14</f>
        <v>0.14354692507258626</v>
      </c>
      <c r="X14" s="45">
        <f>[1]节奏总纲!X14</f>
        <v>0.12556277886472811</v>
      </c>
      <c r="Y14" s="45">
        <f>[1]节奏总纲!Y14</f>
        <v>0.10503640354043287</v>
      </c>
      <c r="Z14" s="45">
        <f>[1]节奏总纲!Z14</f>
        <v>7.5975876774047046E-2</v>
      </c>
      <c r="AA14" s="45">
        <f>[1]节奏总纲!AA14</f>
        <v>4.447733578516444E-2</v>
      </c>
      <c r="AC14" s="45">
        <v>11</v>
      </c>
      <c r="AD14" s="45">
        <f>[1]节奏总纲!AD14</f>
        <v>35.845161563010116</v>
      </c>
      <c r="AE14" s="45">
        <f>[1]节奏总纲!AE14</f>
        <v>37.6388925299823</v>
      </c>
      <c r="AF14" s="45">
        <f>[1]节奏总纲!AF14</f>
        <v>40.259528204263837</v>
      </c>
      <c r="AG14" s="45">
        <f>[1]节奏总纲!AG14</f>
        <v>44.288230531994081</v>
      </c>
      <c r="AH14" s="45">
        <f>[1]节奏总纲!AH14</f>
        <v>52.559419343629337</v>
      </c>
      <c r="AL14" s="45">
        <v>11</v>
      </c>
      <c r="AM14" s="45">
        <f>[1]节奏总纲!AM14</f>
        <v>0.93464628919691628</v>
      </c>
      <c r="AN14" s="45">
        <f>[1]节奏总纲!AN14</f>
        <v>0.74771703135753309</v>
      </c>
      <c r="AO14" s="45">
        <f>[1]节奏总纲!AO14</f>
        <v>0.56078777351814979</v>
      </c>
      <c r="AP14" s="45">
        <f>[1]节奏总纲!AP14</f>
        <v>0.37385851567876655</v>
      </c>
      <c r="AQ14" s="45">
        <f>[1]节奏总纲!AQ14</f>
        <v>0.18692925783938327</v>
      </c>
      <c r="AS14" s="45">
        <v>11</v>
      </c>
      <c r="AT14" s="45">
        <f>[1]节奏总纲!AT14</f>
        <v>0.18464628919691628</v>
      </c>
      <c r="AU14" s="45">
        <f>[1]节奏总纲!AU14</f>
        <v>0.147717031357533</v>
      </c>
      <c r="AV14" s="45">
        <f>[1]节奏总纲!AV14</f>
        <v>0.11078777351814983</v>
      </c>
      <c r="AW14" s="45">
        <f>[1]节奏总纲!AW14</f>
        <v>7.3858515678766501E-2</v>
      </c>
      <c r="AX14" s="45">
        <f>[1]节奏总纲!AX14</f>
        <v>3.692925783938325E-2</v>
      </c>
      <c r="AY14" s="45"/>
      <c r="AZ14" s="45">
        <v>11</v>
      </c>
      <c r="BA14" s="45">
        <f>[1]节奏总纲!BA14</f>
        <v>24.272927064840161</v>
      </c>
      <c r="BB14" s="45">
        <f>[1]节奏总纲!BB14</f>
        <v>25.597101426176433</v>
      </c>
      <c r="BC14" s="45">
        <f>[1]节奏总纲!BC14</f>
        <v>27.327481651231444</v>
      </c>
      <c r="BD14" s="45">
        <f>[1]节奏总纲!BD14</f>
        <v>29.80118336305917</v>
      </c>
      <c r="BE14" s="45">
        <f>[1]节奏总纲!BE14</f>
        <v>34.09469189131628</v>
      </c>
      <c r="BI14" s="49">
        <v>11</v>
      </c>
      <c r="BJ14" s="45">
        <f>[1]节奏总纲!BJ14</f>
        <v>1.2000000000000006</v>
      </c>
      <c r="BK14" s="45">
        <f>[1]节奏总纲!BK14</f>
        <v>1.2240000000000006</v>
      </c>
      <c r="BL14" s="45">
        <f>[1]节奏总纲!BL14</f>
        <v>1.2720000000000007</v>
      </c>
      <c r="BM14" s="45">
        <f>[1]节奏总纲!BM14</f>
        <v>1.3680000000000005</v>
      </c>
      <c r="BN14" s="45">
        <f>[1]节奏总纲!BN14</f>
        <v>1.6800000000000008</v>
      </c>
    </row>
    <row r="15" spans="2:66" x14ac:dyDescent="0.15">
      <c r="B15" s="45">
        <f>[1]节奏总纲!B15</f>
        <v>80</v>
      </c>
      <c r="C15" s="45">
        <f>[1]节奏总纲!C15</f>
        <v>255</v>
      </c>
      <c r="D15" s="45">
        <f>[1]节奏总纲!D15</f>
        <v>128</v>
      </c>
      <c r="F15" s="45">
        <f>[1]节奏总纲!F15</f>
        <v>13</v>
      </c>
      <c r="G15" s="45">
        <f>[1]节奏总纲!G15</f>
        <v>1.4622888266898326</v>
      </c>
      <c r="I15" s="45">
        <f>[1]节奏总纲!I15</f>
        <v>13</v>
      </c>
      <c r="J15" s="45">
        <f>[1]节奏总纲!J15</f>
        <v>1.417602554491646</v>
      </c>
      <c r="K15" s="45">
        <f>[1]节奏总纲!K15</f>
        <v>0.56000000000000005</v>
      </c>
      <c r="N15" s="45">
        <f>[1]节奏总纲!N15</f>
        <v>22</v>
      </c>
      <c r="O15" s="45">
        <v>12</v>
      </c>
      <c r="P15" s="45">
        <f>[1]节奏总纲!P15</f>
        <v>1.2973967099940702</v>
      </c>
      <c r="Q15" s="45">
        <f>[1]节奏总纲!Q15</f>
        <v>1.1126474184909145</v>
      </c>
      <c r="R15" s="45">
        <f>[1]节奏总纲!R15</f>
        <v>0.9058423829178599</v>
      </c>
      <c r="S15" s="45">
        <f>[1]节奏总纲!S15</f>
        <v>0.66219128078097333</v>
      </c>
      <c r="T15" s="45">
        <f>[1]节奏总纲!T15</f>
        <v>0.36560639287632896</v>
      </c>
      <c r="V15" s="45">
        <v>12</v>
      </c>
      <c r="W15" s="45">
        <f>[1]节奏总纲!W15</f>
        <v>0.15384978492148393</v>
      </c>
      <c r="X15" s="45">
        <f>[1]节奏总纲!X15</f>
        <v>0.13228463962618642</v>
      </c>
      <c r="Y15" s="45">
        <f>[1]节奏总纲!Y15</f>
        <v>0.11130597937742703</v>
      </c>
      <c r="Z15" s="45">
        <f>[1]节奏总纲!Z15</f>
        <v>8.6415404006926266E-2</v>
      </c>
      <c r="AA15" s="45">
        <f>[1]节奏总纲!AA15</f>
        <v>4.7929057091164518E-2</v>
      </c>
      <c r="AC15" s="45">
        <v>12</v>
      </c>
      <c r="AD15" s="45">
        <f>[1]节奏总纲!AD15</f>
        <v>37.004247194324648</v>
      </c>
      <c r="AE15" s="45">
        <f>[1]节奏总纲!AE15</f>
        <v>38.827998824669805</v>
      </c>
      <c r="AF15" s="45">
        <f>[1]节奏总纲!AF15</f>
        <v>41.408320762540754</v>
      </c>
      <c r="AG15" s="45">
        <f>[1]节奏总纲!AG15</f>
        <v>45.500930067545958</v>
      </c>
      <c r="AH15" s="45">
        <f>[1]节奏总纲!AH15</f>
        <v>53.855547243088772</v>
      </c>
      <c r="AL15" s="45">
        <v>12</v>
      </c>
      <c r="AM15" s="45">
        <f>[1]节奏总纲!AM15</f>
        <v>1.1550685436347259</v>
      </c>
      <c r="AN15" s="45">
        <f>[1]节奏总纲!AN15</f>
        <v>0.92405483490778073</v>
      </c>
      <c r="AO15" s="45">
        <f>[1]节奏总纲!AO15</f>
        <v>0.69304112618083547</v>
      </c>
      <c r="AP15" s="45">
        <f>[1]节奏总纲!AP15</f>
        <v>0.46202741745389037</v>
      </c>
      <c r="AQ15" s="45">
        <f>[1]节奏总纲!AQ15</f>
        <v>0.23101370872694518</v>
      </c>
      <c r="AS15" s="45">
        <v>12</v>
      </c>
      <c r="AT15" s="45">
        <f>[1]节奏总纲!AT15</f>
        <v>0.22042225443780961</v>
      </c>
      <c r="AU15" s="45">
        <f>[1]节奏总纲!AU15</f>
        <v>0.17633780355024764</v>
      </c>
      <c r="AV15" s="45">
        <f>[1]节奏总纲!AV15</f>
        <v>0.13225335266268567</v>
      </c>
      <c r="AW15" s="45">
        <f>[1]节奏总纲!AW15</f>
        <v>8.816890177512382E-2</v>
      </c>
      <c r="AX15" s="45">
        <f>[1]节奏总纲!AX15</f>
        <v>4.408445088756191E-2</v>
      </c>
      <c r="AY15" s="45"/>
      <c r="AZ15" s="45">
        <v>12</v>
      </c>
      <c r="BA15" s="45">
        <f>[1]节奏总纲!BA15</f>
        <v>24.792264875668618</v>
      </c>
      <c r="BB15" s="45">
        <f>[1]节奏总纲!BB15</f>
        <v>26.127796402772656</v>
      </c>
      <c r="BC15" s="45">
        <f>[1]节奏总纲!BC15</f>
        <v>27.863030247590562</v>
      </c>
      <c r="BD15" s="45">
        <f>[1]节奏总纲!BD15</f>
        <v>30.329493925593439</v>
      </c>
      <c r="BE15" s="45">
        <f>[1]节奏总纲!BE15</f>
        <v>34.627226072894942</v>
      </c>
      <c r="BI15" s="49">
        <v>12</v>
      </c>
      <c r="BJ15" s="45">
        <f>[1]节奏总纲!BJ15</f>
        <v>1.2333333333333341</v>
      </c>
      <c r="BK15" s="45">
        <f>[1]节奏总纲!BK15</f>
        <v>1.2580000000000007</v>
      </c>
      <c r="BL15" s="45">
        <f>[1]节奏总纲!BL15</f>
        <v>1.3073333333333341</v>
      </c>
      <c r="BM15" s="45">
        <f>[1]节奏总纲!BM15</f>
        <v>1.4060000000000008</v>
      </c>
      <c r="BN15" s="45">
        <f>[1]节奏总纲!BN15</f>
        <v>1.7266666666666677</v>
      </c>
    </row>
    <row r="16" spans="2:66" x14ac:dyDescent="0.15">
      <c r="B16" s="45">
        <f>[1]节奏总纲!B16</f>
        <v>90</v>
      </c>
      <c r="C16" s="45">
        <f>[1]节奏总纲!C16</f>
        <v>511</v>
      </c>
      <c r="D16" s="45">
        <f>[1]节奏总纲!D16</f>
        <v>256</v>
      </c>
      <c r="F16" s="45">
        <f>[1]节奏总纲!F16</f>
        <v>14</v>
      </c>
      <c r="G16" s="45">
        <f>[1]节奏总纲!G16</f>
        <v>1.6390158215457884</v>
      </c>
      <c r="I16" s="45">
        <f>[1]节奏总纲!I16</f>
        <v>14</v>
      </c>
      <c r="J16" s="45">
        <f>[1]节奏总纲!J16</f>
        <v>1.7296773068470075</v>
      </c>
      <c r="K16" s="45">
        <f>[1]节奏总纲!K16</f>
        <v>0.57999999999999996</v>
      </c>
      <c r="N16" s="45">
        <f>[1]节奏总纲!N16</f>
        <v>23</v>
      </c>
      <c r="O16" s="45">
        <v>13</v>
      </c>
      <c r="P16" s="45">
        <f>[1]节奏总纲!P16</f>
        <v>1.4622888266898326</v>
      </c>
      <c r="Q16" s="45">
        <f>[1]节奏总纲!Q16</f>
        <v>1.2628326307293396</v>
      </c>
      <c r="R16" s="45">
        <f>[1]节奏总纲!R16</f>
        <v>1.0294513339896421</v>
      </c>
      <c r="S16" s="45">
        <f>[1]节奏总纲!S16</f>
        <v>0.75556463675063656</v>
      </c>
      <c r="T16" s="45">
        <f>[1]节奏总纲!T16</f>
        <v>0.41865329108129906</v>
      </c>
      <c r="V16" s="45">
        <v>13</v>
      </c>
      <c r="W16" s="45">
        <f>[1]节奏总纲!W16</f>
        <v>0.16489211669576243</v>
      </c>
      <c r="X16" s="45">
        <f>[1]节奏总纲!X16</f>
        <v>0.15018521223842507</v>
      </c>
      <c r="Y16" s="45">
        <f>[1]节奏总纲!Y16</f>
        <v>0.12360895107178216</v>
      </c>
      <c r="Z16" s="45">
        <f>[1]节奏总纲!Z16</f>
        <v>9.337335596966323E-2</v>
      </c>
      <c r="AA16" s="45">
        <f>[1]节奏总纲!AA16</f>
        <v>5.3046898204970105E-2</v>
      </c>
      <c r="AC16" s="45">
        <v>13</v>
      </c>
      <c r="AD16" s="45">
        <f>[1]节奏总纲!AD16</f>
        <v>38.071211008105138</v>
      </c>
      <c r="AE16" s="45">
        <f>[1]节奏总纲!AE16</f>
        <v>39.935302111946527</v>
      </c>
      <c r="AF16" s="45">
        <f>[1]节奏总纲!AF16</f>
        <v>42.470214785133983</v>
      </c>
      <c r="AG16" s="45">
        <f>[1]节奏总纲!AG16</f>
        <v>46.631096344914496</v>
      </c>
      <c r="AH16" s="45">
        <f>[1]节奏总纲!AH16</f>
        <v>55.062101953238496</v>
      </c>
      <c r="AL16" s="45">
        <v>13</v>
      </c>
      <c r="AM16" s="45">
        <f>[1]节奏总纲!AM16</f>
        <v>1.417602554491646</v>
      </c>
      <c r="AN16" s="45">
        <f>[1]节奏总纲!AN16</f>
        <v>1.1340820435933168</v>
      </c>
      <c r="AO16" s="45">
        <f>[1]节奏总纲!AO16</f>
        <v>0.85056153269498758</v>
      </c>
      <c r="AP16" s="45">
        <f>[1]节奏总纲!AP16</f>
        <v>0.56704102179665838</v>
      </c>
      <c r="AQ16" s="45">
        <f>[1]节奏总纲!AQ16</f>
        <v>0.28352051089832919</v>
      </c>
      <c r="AS16" s="45">
        <v>13</v>
      </c>
      <c r="AT16" s="45">
        <f>[1]节奏总纲!AT16</f>
        <v>0.26253401085692007</v>
      </c>
      <c r="AU16" s="45">
        <f>[1]节奏总纲!AU16</f>
        <v>0.21002720868553604</v>
      </c>
      <c r="AV16" s="45">
        <f>[1]节奏总纲!AV16</f>
        <v>0.15752040651415211</v>
      </c>
      <c r="AW16" s="45">
        <f>[1]节奏总纲!AW16</f>
        <v>0.10501360434276802</v>
      </c>
      <c r="AX16" s="45">
        <f>[1]节奏总纲!AX16</f>
        <v>5.2506802171384009E-2</v>
      </c>
      <c r="AY16" s="45"/>
      <c r="AZ16" s="45">
        <v>13</v>
      </c>
      <c r="BA16" s="45">
        <f>[1]节奏总纲!BA16</f>
        <v>25.265378411633971</v>
      </c>
      <c r="BB16" s="45">
        <f>[1]节奏总纲!BB16</f>
        <v>26.598914258210968</v>
      </c>
      <c r="BC16" s="45">
        <f>[1]节奏总纲!BC16</f>
        <v>28.339982398803929</v>
      </c>
      <c r="BD16" s="45">
        <f>[1]节奏总纲!BD16</f>
        <v>30.828727146189561</v>
      </c>
      <c r="BE16" s="45">
        <f>[1]节奏总纲!BE16</f>
        <v>35.146386283795508</v>
      </c>
      <c r="BI16" s="49">
        <v>13</v>
      </c>
      <c r="BJ16" s="45">
        <f>[1]节奏总纲!BJ16</f>
        <v>1.2666666666666675</v>
      </c>
      <c r="BK16" s="45">
        <f>[1]节奏总纲!BK16</f>
        <v>1.2920000000000009</v>
      </c>
      <c r="BL16" s="45">
        <f>[1]节奏总纲!BL16</f>
        <v>1.3426666666666676</v>
      </c>
      <c r="BM16" s="45">
        <f>[1]节奏总纲!BM16</f>
        <v>1.4440000000000008</v>
      </c>
      <c r="BN16" s="45">
        <f>[1]节奏总纲!BN16</f>
        <v>1.7733333333333343</v>
      </c>
    </row>
    <row r="17" spans="2:66" x14ac:dyDescent="0.15">
      <c r="B17" s="45">
        <f>[1]节奏总纲!B17</f>
        <v>100</v>
      </c>
      <c r="C17" s="45">
        <f>[1]节奏总纲!C17</f>
        <v>1023</v>
      </c>
      <c r="D17" s="45">
        <f>[1]节奏总纲!D17</f>
        <v>512</v>
      </c>
      <c r="F17" s="45">
        <f>[1]节奏总纲!F17</f>
        <v>15</v>
      </c>
      <c r="G17" s="45">
        <f>[1]节奏总纲!G17</f>
        <v>1.8284271247461898</v>
      </c>
      <c r="I17" s="45">
        <f>[1]节奏总纲!I17</f>
        <v>15</v>
      </c>
      <c r="J17" s="45">
        <f>[1]节奏总纲!J17</f>
        <v>2.1</v>
      </c>
      <c r="K17" s="45">
        <f>[1]节奏总纲!K17</f>
        <v>0.6</v>
      </c>
      <c r="N17" s="45">
        <f>[1]节奏总纲!N17</f>
        <v>24</v>
      </c>
      <c r="O17" s="45">
        <v>14</v>
      </c>
      <c r="P17" s="45">
        <f>[1]节奏总纲!P17</f>
        <v>1.6390158215457884</v>
      </c>
      <c r="Q17" s="45">
        <f>[1]节奏总纲!Q17</f>
        <v>1.4136511460832426</v>
      </c>
      <c r="R17" s="45">
        <f>[1]节奏总纲!R17</f>
        <v>1.1545227446968533</v>
      </c>
      <c r="S17" s="45">
        <f>[1]节奏总纲!S17</f>
        <v>0.84605996708193598</v>
      </c>
      <c r="T17" s="45">
        <f>[1]节奏总纲!T17</f>
        <v>0.46810291863347719</v>
      </c>
      <c r="V17" s="45">
        <v>14</v>
      </c>
      <c r="W17" s="45">
        <f>[1]节奏总纲!W17</f>
        <v>0.17672699485595578</v>
      </c>
      <c r="X17" s="45">
        <f>[1]节奏总纲!X17</f>
        <v>0.150818515353903</v>
      </c>
      <c r="Y17" s="45">
        <f>[1]节奏总纲!Y17</f>
        <v>0.12507141070721128</v>
      </c>
      <c r="Z17" s="45">
        <f>[1]节奏总纲!Z17</f>
        <v>9.0495330331299417E-2</v>
      </c>
      <c r="AA17" s="45">
        <f>[1]节奏总纲!AA17</f>
        <v>4.9449627552178133E-2</v>
      </c>
      <c r="AC17" s="45">
        <v>14</v>
      </c>
      <c r="AD17" s="45">
        <f>[1]节奏总纲!AD17</f>
        <v>39.066704614192943</v>
      </c>
      <c r="AE17" s="45">
        <f>[1]节奏总纲!AE17</f>
        <v>40.935169244165145</v>
      </c>
      <c r="AF17" s="45">
        <f>[1]节奏总纲!AF17</f>
        <v>43.484929789964411</v>
      </c>
      <c r="AG17" s="45">
        <f>[1]节奏总纲!AG17</f>
        <v>47.711408234944486</v>
      </c>
      <c r="AH17" s="45">
        <f>[1]节奏总纲!AH17</f>
        <v>56.165983112651688</v>
      </c>
      <c r="AL17" s="45">
        <v>14</v>
      </c>
      <c r="AM17" s="45">
        <f>[1]节奏总纲!AM17</f>
        <v>1.7296773068470075</v>
      </c>
      <c r="AN17" s="45">
        <f>[1]节奏总纲!AN17</f>
        <v>1.383741845477606</v>
      </c>
      <c r="AO17" s="45">
        <f>[1]节奏总纲!AO17</f>
        <v>1.0378063841082044</v>
      </c>
      <c r="AP17" s="45">
        <f>[1]节奏总纲!AP17</f>
        <v>0.69187092273880302</v>
      </c>
      <c r="AQ17" s="45">
        <f>[1]节奏总纲!AQ17</f>
        <v>0.34593546136940151</v>
      </c>
      <c r="AS17" s="45">
        <v>14</v>
      </c>
      <c r="AT17" s="45">
        <f>[1]节奏总纲!AT17</f>
        <v>0.31207475235536153</v>
      </c>
      <c r="AU17" s="45">
        <f>[1]节奏总纲!AU17</f>
        <v>0.24965980188428927</v>
      </c>
      <c r="AV17" s="45">
        <f>[1]节奏总纲!AV17</f>
        <v>0.18724485141321678</v>
      </c>
      <c r="AW17" s="45">
        <f>[1]节奏总纲!AW17</f>
        <v>0.12482990094214463</v>
      </c>
      <c r="AX17" s="45">
        <f>[1]节奏总纲!AX17</f>
        <v>6.2414950471072317E-2</v>
      </c>
      <c r="AY17" s="45"/>
      <c r="AZ17" s="45">
        <v>14</v>
      </c>
      <c r="BA17" s="45">
        <f>[1]节奏总纲!BA17</f>
        <v>25.707675764357255</v>
      </c>
      <c r="BB17" s="45">
        <f>[1]节奏总纲!BB17</f>
        <v>27.059707353051884</v>
      </c>
      <c r="BC17" s="45">
        <f>[1]节奏总纲!BC17</f>
        <v>28.796798156163181</v>
      </c>
      <c r="BD17" s="45">
        <f>[1]节奏总纲!BD17</f>
        <v>31.280110398778046</v>
      </c>
      <c r="BE17" s="45">
        <f>[1]节奏总纲!BE17</f>
        <v>35.634340563113874</v>
      </c>
      <c r="BI17" s="49">
        <v>14</v>
      </c>
      <c r="BJ17" s="45">
        <f>[1]节奏总纲!BJ17</f>
        <v>1.3000000000000009</v>
      </c>
      <c r="BK17" s="45">
        <f>[1]节奏总纲!BK17</f>
        <v>1.326000000000001</v>
      </c>
      <c r="BL17" s="45">
        <f>[1]节奏总纲!BL17</f>
        <v>1.378000000000001</v>
      </c>
      <c r="BM17" s="45">
        <f>[1]节奏总纲!BM17</f>
        <v>1.4820000000000009</v>
      </c>
      <c r="BN17" s="45">
        <f>[1]节奏总纲!BN17</f>
        <v>1.8200000000000012</v>
      </c>
    </row>
    <row r="18" spans="2:66" x14ac:dyDescent="0.15">
      <c r="F18" s="45">
        <f>[1]节奏总纲!F18</f>
        <v>16</v>
      </c>
      <c r="G18" s="45">
        <f>[1]节奏总纲!G18</f>
        <v>2.031433133020796</v>
      </c>
      <c r="I18" s="45">
        <f>[1]节奏总纲!I18</f>
        <v>16</v>
      </c>
      <c r="J18" s="45">
        <f>[1]节奏总纲!J18</f>
        <v>2.5387719203926467</v>
      </c>
      <c r="K18" s="45">
        <f>[1]节奏总纲!K18</f>
        <v>0.62</v>
      </c>
      <c r="N18" s="45">
        <f>[1]节奏总纲!N18</f>
        <v>25</v>
      </c>
      <c r="O18" s="45">
        <v>15</v>
      </c>
      <c r="P18" s="45">
        <f>[1]节奏总纲!P18</f>
        <v>1.8284271247461898</v>
      </c>
      <c r="Q18" s="45">
        <f>[1]节奏总纲!Q18</f>
        <v>1.5793953503557587</v>
      </c>
      <c r="R18" s="45">
        <f>[1]节奏总纲!R18</f>
        <v>1.2928808199080308</v>
      </c>
      <c r="S18" s="45">
        <f>[1]节奏总纲!S18</f>
        <v>0.94895367774327255</v>
      </c>
      <c r="T18" s="45">
        <f>[1]节奏总纲!T18</f>
        <v>0.5271355400643265</v>
      </c>
      <c r="V18" s="45">
        <v>15</v>
      </c>
      <c r="W18" s="45">
        <f>[1]节奏总纲!W18</f>
        <v>0.18941130320040145</v>
      </c>
      <c r="X18" s="45">
        <f>[1]节奏总纲!X18</f>
        <v>0.16574420427251613</v>
      </c>
      <c r="Y18" s="45">
        <f>[1]节奏总纲!Y18</f>
        <v>0.13835807521117749</v>
      </c>
      <c r="Z18" s="45">
        <f>[1]节奏总纲!Z18</f>
        <v>0.10289371066133657</v>
      </c>
      <c r="AA18" s="45">
        <f>[1]节奏总纲!AA18</f>
        <v>5.9032621430849308E-2</v>
      </c>
      <c r="AC18" s="45">
        <v>15</v>
      </c>
      <c r="AD18" s="45">
        <f>[1]节奏总纲!AD18</f>
        <v>40</v>
      </c>
      <c r="AE18" s="45">
        <f>[1]节奏总纲!AE18</f>
        <v>41.83669503626701</v>
      </c>
      <c r="AF18" s="45">
        <f>[1]节奏总纲!AF18</f>
        <v>44.442238853326032</v>
      </c>
      <c r="AG18" s="45">
        <f>[1]节奏总纲!AG18</f>
        <v>48.731413734867289</v>
      </c>
      <c r="AH18" s="45">
        <f>[1]节奏总纲!AH18</f>
        <v>57.176846218996921</v>
      </c>
      <c r="AL18" s="45">
        <v>15</v>
      </c>
      <c r="AM18" s="45">
        <f>[1]节奏总纲!AM18</f>
        <v>2.1</v>
      </c>
      <c r="AN18" s="45">
        <f>[1]节奏总纲!AN18</f>
        <v>1.6800000000000002</v>
      </c>
      <c r="AO18" s="45">
        <f>[1]节奏总纲!AO18</f>
        <v>1.26</v>
      </c>
      <c r="AP18" s="45">
        <f>[1]节奏总纲!AP18</f>
        <v>0.84000000000000008</v>
      </c>
      <c r="AQ18" s="45">
        <f>[1]节奏总纲!AQ18</f>
        <v>0.42000000000000004</v>
      </c>
      <c r="AS18" s="45">
        <v>15</v>
      </c>
      <c r="AT18" s="45">
        <f>[1]节奏总纲!AT18</f>
        <v>0.3703226931529926</v>
      </c>
      <c r="AU18" s="45">
        <f>[1]节奏总纲!AU18</f>
        <v>0.29625815452239412</v>
      </c>
      <c r="AV18" s="45">
        <f>[1]节奏总纲!AV18</f>
        <v>0.22219361589179565</v>
      </c>
      <c r="AW18" s="45">
        <f>[1]节奏总纲!AW18</f>
        <v>0.14812907726119706</v>
      </c>
      <c r="AX18" s="45">
        <f>[1]节奏总纲!AX18</f>
        <v>7.4064538630598531E-2</v>
      </c>
      <c r="AY18" s="45"/>
      <c r="AZ18" s="45">
        <v>15</v>
      </c>
      <c r="BA18" s="45">
        <f>[1]节奏总纲!BA18</f>
        <v>26.127796402772656</v>
      </c>
      <c r="BB18" s="45">
        <f>[1]节奏总纲!BB18</f>
        <v>27.461368800321225</v>
      </c>
      <c r="BC18" s="45">
        <f>[1]节奏总纲!BC18</f>
        <v>29.216428548527322</v>
      </c>
      <c r="BD18" s="45">
        <f>[1]节奏总纲!BD18</f>
        <v>31.706504654507764</v>
      </c>
      <c r="BE18" s="45">
        <f>[1]节奏总纲!BE18</f>
        <v>36.105477566569242</v>
      </c>
      <c r="BI18" s="49">
        <v>15</v>
      </c>
      <c r="BJ18" s="45">
        <f>[1]节奏总纲!BJ18</f>
        <v>1.3333333333333344</v>
      </c>
      <c r="BK18" s="45">
        <f>[1]节奏总纲!BK18</f>
        <v>1.360000000000001</v>
      </c>
      <c r="BL18" s="45">
        <f>[1]节奏总纲!BL18</f>
        <v>1.4133333333333344</v>
      </c>
      <c r="BM18" s="45">
        <f>[1]节奏总纲!BM18</f>
        <v>1.5200000000000011</v>
      </c>
      <c r="BN18" s="45">
        <f>[1]节奏总纲!BN18</f>
        <v>1.866666666666668</v>
      </c>
    </row>
    <row r="19" spans="2:66" x14ac:dyDescent="0.15">
      <c r="F19" s="45">
        <f>[1]节奏总纲!F19</f>
        <v>17</v>
      </c>
      <c r="G19" s="45">
        <f>[1]节奏总纲!G19</f>
        <v>2.2490095854249419</v>
      </c>
      <c r="I19" s="45">
        <f>[1]节奏总纲!I19</f>
        <v>17</v>
      </c>
      <c r="J19" s="45">
        <f>[1]节奏总纲!J19</f>
        <v>3.0579402515786085</v>
      </c>
      <c r="K19" s="45">
        <f>[1]节奏总纲!K19</f>
        <v>0.64</v>
      </c>
      <c r="N19" s="45">
        <f>[1]节奏总纲!N19</f>
        <v>26</v>
      </c>
      <c r="O19" s="45">
        <v>16</v>
      </c>
      <c r="P19" s="45">
        <f>[1]节奏总纲!P19</f>
        <v>2.031433133020796</v>
      </c>
      <c r="Q19" s="45">
        <f>[1]节奏总纲!Q19</f>
        <v>1.7586116632561031</v>
      </c>
      <c r="R19" s="45">
        <f>[1]节奏总纲!R19</f>
        <v>1.4398798046851402</v>
      </c>
      <c r="S19" s="45">
        <f>[1]节奏总纲!S19</f>
        <v>1.0618300986299702</v>
      </c>
      <c r="T19" s="45">
        <f>[1]节奏总纲!T19</f>
        <v>0.59460047803518701</v>
      </c>
      <c r="V19" s="45">
        <v>16</v>
      </c>
      <c r="W19" s="45">
        <f>[1]节奏总纲!W19</f>
        <v>0.20300600827460613</v>
      </c>
      <c r="X19" s="45">
        <f>[1]节奏总纲!X19</f>
        <v>0.17921631290034434</v>
      </c>
      <c r="Y19" s="45">
        <f>[1]节奏总纲!Y19</f>
        <v>0.14699898477710938</v>
      </c>
      <c r="Z19" s="45">
        <f>[1]节奏总纲!Z19</f>
        <v>0.11287642088669769</v>
      </c>
      <c r="AA19" s="45">
        <f>[1]节奏总纲!AA19</f>
        <v>6.7464937970860506E-2</v>
      </c>
      <c r="AC19" s="45">
        <v>16</v>
      </c>
      <c r="AD19" s="45">
        <f>[1]节奏总纲!AD19</f>
        <v>40.870795385807064</v>
      </c>
      <c r="AE19" s="45">
        <f>[1]节奏总纲!AE19</f>
        <v>42.707142308553742</v>
      </c>
      <c r="AF19" s="45">
        <f>[1]节奏总纲!AF19</f>
        <v>45.343250058486468</v>
      </c>
      <c r="AG19" s="45">
        <f>[1]节奏总纲!AG19</f>
        <v>49.654306534727205</v>
      </c>
      <c r="AH19" s="45">
        <f>[1]节奏总纲!AH19</f>
        <v>58.12511610143563</v>
      </c>
      <c r="AL19" s="45">
        <v>16</v>
      </c>
      <c r="AM19" s="45">
        <f>[1]节奏总纲!AM19</f>
        <v>2.5387719203926467</v>
      </c>
      <c r="AN19" s="45">
        <f>[1]节奏总纲!AN19</f>
        <v>2.0310175363141174</v>
      </c>
      <c r="AO19" s="45">
        <f>[1]节奏总纲!AO19</f>
        <v>1.5232631522355879</v>
      </c>
      <c r="AP19" s="45">
        <f>[1]节奏总纲!AP19</f>
        <v>1.0155087681570587</v>
      </c>
      <c r="AQ19" s="45">
        <f>[1]节奏总纲!AQ19</f>
        <v>0.50775438407852935</v>
      </c>
      <c r="AS19" s="45">
        <v>16</v>
      </c>
      <c r="AT19" s="45">
        <f>[1]节奏总纲!AT19</f>
        <v>0.43877192039264656</v>
      </c>
      <c r="AU19" s="45">
        <f>[1]节奏总纲!AU19</f>
        <v>0.35101753631411725</v>
      </c>
      <c r="AV19" s="45">
        <f>[1]节奏总纲!AV19</f>
        <v>0.26326315223558794</v>
      </c>
      <c r="AW19" s="45">
        <f>[1]节奏总纲!AW19</f>
        <v>0.17550876815705863</v>
      </c>
      <c r="AX19" s="45">
        <f>[1]节奏总纲!AX19</f>
        <v>8.7754384078529313E-2</v>
      </c>
      <c r="AY19" s="45"/>
      <c r="AZ19" s="45">
        <v>16</v>
      </c>
      <c r="BA19" s="45">
        <f>[1]节奏总纲!BA19</f>
        <v>26.504690687123308</v>
      </c>
      <c r="BB19" s="45">
        <f>[1]节奏总纲!BB19</f>
        <v>27.863030247590562</v>
      </c>
      <c r="BC19" s="45">
        <f>[1]节奏总纲!BC19</f>
        <v>29.606265091548554</v>
      </c>
      <c r="BD19" s="45">
        <f>[1]节奏总纲!BD19</f>
        <v>32.113552950216736</v>
      </c>
      <c r="BE19" s="45">
        <f>[1]节奏总纲!BE19</f>
        <v>36.526331209747774</v>
      </c>
      <c r="BI19" s="49">
        <v>16</v>
      </c>
      <c r="BJ19" s="45">
        <f>[1]节奏总纲!BJ19</f>
        <v>1.3666666666666678</v>
      </c>
      <c r="BK19" s="45">
        <f>[1]节奏总纲!BK19</f>
        <v>1.3940000000000012</v>
      </c>
      <c r="BL19" s="45">
        <f>[1]节奏总纲!BL19</f>
        <v>1.4486666666666679</v>
      </c>
      <c r="BM19" s="45">
        <f>[1]节奏总纲!BM19</f>
        <v>1.5580000000000012</v>
      </c>
      <c r="BN19" s="45">
        <f>[1]节奏总纲!BN19</f>
        <v>1.9133333333333349</v>
      </c>
    </row>
    <row r="20" spans="2:66" x14ac:dyDescent="0.15">
      <c r="F20" s="45">
        <f>[1]节奏总纲!F20</f>
        <v>18</v>
      </c>
      <c r="G20" s="45">
        <f>[1]节奏总纲!G20</f>
        <v>2.4822022531844965</v>
      </c>
      <c r="I20" s="45">
        <f>[1]节奏总纲!I20</f>
        <v>18</v>
      </c>
      <c r="J20" s="45">
        <f>[1]节奏总纲!J20</f>
        <v>3.671491735587451</v>
      </c>
      <c r="K20" s="45">
        <f>[1]节奏总纲!K20</f>
        <v>0.66</v>
      </c>
      <c r="N20" s="45">
        <f>[1]节奏总纲!N20</f>
        <v>27</v>
      </c>
      <c r="O20" s="45">
        <v>17</v>
      </c>
      <c r="P20" s="45">
        <f>[1]节奏总纲!P20</f>
        <v>2.2490095854249419</v>
      </c>
      <c r="Q20" s="45">
        <f>[1]节奏总纲!Q20</f>
        <v>1.9433691827656923</v>
      </c>
      <c r="R20" s="45">
        <f>[1]节奏总纲!R20</f>
        <v>1.5904995788125189</v>
      </c>
      <c r="S20" s="45">
        <f>[1]节奏总纲!S20</f>
        <v>1.1742079045503622</v>
      </c>
      <c r="T20" s="45">
        <f>[1]节奏总纲!T20</f>
        <v>0.65311238360740309</v>
      </c>
      <c r="V20" s="45">
        <v>17</v>
      </c>
      <c r="W20" s="45">
        <f>[1]节奏总纲!W20</f>
        <v>0.21757645240414591</v>
      </c>
      <c r="X20" s="45">
        <f>[1]节奏总纲!X20</f>
        <v>0.18475751950958919</v>
      </c>
      <c r="Y20" s="45">
        <f>[1]节奏总纲!Y20</f>
        <v>0.1506197741273787</v>
      </c>
      <c r="Z20" s="45">
        <f>[1]节奏总纲!Z20</f>
        <v>0.11237780592039193</v>
      </c>
      <c r="AA20" s="45">
        <f>[1]节奏总纲!AA20</f>
        <v>5.8511905572216083E-2</v>
      </c>
      <c r="AC20" s="45">
        <v>17</v>
      </c>
      <c r="AD20" s="45">
        <f>[1]节奏总纲!AD20</f>
        <v>41.691928656135218</v>
      </c>
      <c r="AE20" s="45">
        <f>[1]节奏总纲!AE20</f>
        <v>43.535389560453282</v>
      </c>
      <c r="AF20" s="45">
        <f>[1]节奏总纲!AF20</f>
        <v>46.195785611164197</v>
      </c>
      <c r="AG20" s="45">
        <f>[1]节奏总纲!AG20</f>
        <v>50.510850036206186</v>
      </c>
      <c r="AH20" s="45">
        <f>[1]节奏总纲!AH20</f>
        <v>58.996855914896834</v>
      </c>
      <c r="AL20" s="45">
        <v>17</v>
      </c>
      <c r="AM20" s="45">
        <f>[1]节奏总纲!AM20</f>
        <v>3.0579402515786085</v>
      </c>
      <c r="AN20" s="45">
        <f>[1]节奏总纲!AN20</f>
        <v>2.4463522012628869</v>
      </c>
      <c r="AO20" s="45">
        <f>[1]节奏总纲!AO20</f>
        <v>1.8347641509471651</v>
      </c>
      <c r="AP20" s="45">
        <f>[1]节奏总纲!AP20</f>
        <v>1.2231761006314434</v>
      </c>
      <c r="AQ20" s="45">
        <f>[1]节奏总纲!AQ20</f>
        <v>0.61158805031572172</v>
      </c>
      <c r="AS20" s="45">
        <v>17</v>
      </c>
      <c r="AT20" s="45">
        <f>[1]节奏总纲!AT20</f>
        <v>0.51916833118596184</v>
      </c>
      <c r="AU20" s="45">
        <f>[1]节奏总纲!AU20</f>
        <v>0.41533466494876947</v>
      </c>
      <c r="AV20" s="45">
        <f>[1]节奏总纲!AV20</f>
        <v>0.3115009987115771</v>
      </c>
      <c r="AW20" s="45">
        <f>[1]节奏总纲!AW20</f>
        <v>0.20766733247438474</v>
      </c>
      <c r="AX20" s="45">
        <f>[1]节奏总纲!AX20</f>
        <v>0.10383366623719237</v>
      </c>
      <c r="AY20" s="45"/>
      <c r="AZ20" s="45">
        <v>17</v>
      </c>
      <c r="BA20" s="45">
        <f>[1]节奏总纲!BA20</f>
        <v>26.881584971473956</v>
      </c>
      <c r="BB20" s="45">
        <f>[1]节奏总纲!BB20</f>
        <v>28.225778459464117</v>
      </c>
      <c r="BC20" s="45">
        <f>[1]节奏总纲!BC20</f>
        <v>29.996101634569786</v>
      </c>
      <c r="BD20" s="45">
        <f>[1]节奏总纲!BD20</f>
        <v>32.477877425165822</v>
      </c>
      <c r="BE20" s="45">
        <f>[1]节奏总纲!BE20</f>
        <v>36.947184852926306</v>
      </c>
      <c r="BI20" s="49">
        <v>17</v>
      </c>
      <c r="BJ20" s="45">
        <f>[1]节奏总纲!BJ20</f>
        <v>1.4000000000000012</v>
      </c>
      <c r="BK20" s="45">
        <f>[1]节奏总纲!BK20</f>
        <v>1.4280000000000013</v>
      </c>
      <c r="BL20" s="45">
        <f>[1]节奏总纲!BL20</f>
        <v>1.4840000000000013</v>
      </c>
      <c r="BM20" s="45">
        <f>[1]节奏总纲!BM20</f>
        <v>1.5960000000000012</v>
      </c>
      <c r="BN20" s="45">
        <f>[1]节奏总纲!BN20</f>
        <v>1.9600000000000015</v>
      </c>
    </row>
    <row r="21" spans="2:66" x14ac:dyDescent="0.15">
      <c r="F21" s="45">
        <f>[1]节奏总纲!F21</f>
        <v>19</v>
      </c>
      <c r="G21" s="45">
        <f>[1]节奏总纲!G21</f>
        <v>2.7321319661472296</v>
      </c>
      <c r="I21" s="45">
        <f>[1]节奏总纲!I21</f>
        <v>19</v>
      </c>
      <c r="J21" s="45">
        <f>[1]节奏总纲!J21</f>
        <v>4.3957950643309154</v>
      </c>
      <c r="K21" s="45">
        <f>[1]节奏总纲!K21</f>
        <v>0.68</v>
      </c>
      <c r="N21" s="45">
        <f>[1]节奏总纲!N21</f>
        <v>28</v>
      </c>
      <c r="O21" s="45">
        <v>18</v>
      </c>
      <c r="P21" s="45">
        <f>[1]节奏总纲!P21</f>
        <v>2.4822022531844965</v>
      </c>
      <c r="Q21" s="45">
        <f>[1]节奏总纲!Q21</f>
        <v>2.1515729130603214</v>
      </c>
      <c r="R21" s="45">
        <f>[1]节奏总纲!R21</f>
        <v>1.7690655458445907</v>
      </c>
      <c r="S21" s="45">
        <f>[1]节奏总纲!S21</f>
        <v>1.3066312660763189</v>
      </c>
      <c r="T21" s="45">
        <f>[1]节奏总纲!T21</f>
        <v>0.72554771860582834</v>
      </c>
      <c r="V21" s="45">
        <v>18</v>
      </c>
      <c r="W21" s="45">
        <f>[1]节奏总纲!W21</f>
        <v>0.23319266775955461</v>
      </c>
      <c r="X21" s="45">
        <f>[1]节奏总纲!X21</f>
        <v>0.20820373029462913</v>
      </c>
      <c r="Y21" s="45">
        <f>[1]节奏总纲!Y21</f>
        <v>0.17856596703207184</v>
      </c>
      <c r="Z21" s="45">
        <f>[1]节奏总纲!Z21</f>
        <v>0.13242336152595668</v>
      </c>
      <c r="AA21" s="45">
        <f>[1]节奏总纲!AA21</f>
        <v>7.2435334998425249E-2</v>
      </c>
      <c r="AC21" s="45">
        <v>18</v>
      </c>
      <c r="AD21" s="45">
        <f>[1]节奏总纲!AD21</f>
        <v>42.470630686057078</v>
      </c>
      <c r="AE21" s="45">
        <f>[1]节奏总纲!AE21</f>
        <v>44.32123076997032</v>
      </c>
      <c r="AF21" s="45">
        <f>[1]节奏总纲!AF21</f>
        <v>47.002405448181747</v>
      </c>
      <c r="AG21" s="45">
        <f>[1]节奏总纲!AG21</f>
        <v>51.307235833425089</v>
      </c>
      <c r="AH21" s="45">
        <f>[1]节奏总纲!AH21</f>
        <v>59.782901351568675</v>
      </c>
      <c r="AL21" s="45">
        <v>18</v>
      </c>
      <c r="AM21" s="45">
        <f>[1]节奏总纲!AM21</f>
        <v>3.671491735587451</v>
      </c>
      <c r="AN21" s="45">
        <f>[1]节奏总纲!AN21</f>
        <v>2.9371933884699608</v>
      </c>
      <c r="AO21" s="45">
        <f>[1]节奏总纲!AO21</f>
        <v>2.2028950413524706</v>
      </c>
      <c r="AP21" s="45">
        <f>[1]节奏总纲!AP21</f>
        <v>1.4685966942349804</v>
      </c>
      <c r="AQ21" s="45">
        <f>[1]节奏总纲!AQ21</f>
        <v>0.7342983471174902</v>
      </c>
      <c r="AS21" s="45">
        <v>18</v>
      </c>
      <c r="AT21" s="45">
        <f>[1]节奏总纲!AT21</f>
        <v>0.61355148400884252</v>
      </c>
      <c r="AU21" s="45">
        <f>[1]节奏总纲!AU21</f>
        <v>0.49084118720707393</v>
      </c>
      <c r="AV21" s="45">
        <f>[1]节奏总纲!AV21</f>
        <v>0.36813089040530556</v>
      </c>
      <c r="AW21" s="45">
        <f>[1]节奏总纲!AW21</f>
        <v>0.24542059360353696</v>
      </c>
      <c r="AX21" s="45">
        <f>[1]节奏总纲!AX21</f>
        <v>0.12271029680176848</v>
      </c>
      <c r="AY21" s="45"/>
      <c r="AZ21" s="45">
        <v>18</v>
      </c>
      <c r="BA21" s="45">
        <f>[1]节奏总纲!BA21</f>
        <v>27.220371931959619</v>
      </c>
      <c r="BB21" s="45">
        <f>[1]节奏总纲!BB21</f>
        <v>28.568390277483555</v>
      </c>
      <c r="BC21" s="45">
        <f>[1]节奏总纲!BC21</f>
        <v>30.329493925593439</v>
      </c>
      <c r="BD21" s="45">
        <f>[1]节奏总纲!BD21</f>
        <v>32.842201900114915</v>
      </c>
      <c r="BE21" s="45">
        <f>[1]节奏总纲!BE21</f>
        <v>37.317457773889828</v>
      </c>
      <c r="BI21" s="49">
        <v>18</v>
      </c>
      <c r="BJ21" s="45">
        <f>[1]节奏总纲!BJ21</f>
        <v>1.4333333333333347</v>
      </c>
      <c r="BK21" s="45">
        <f>[1]节奏总纲!BK21</f>
        <v>1.4620000000000013</v>
      </c>
      <c r="BL21" s="45">
        <f>[1]节奏总纲!BL21</f>
        <v>1.5193333333333348</v>
      </c>
      <c r="BM21" s="45">
        <f>[1]节奏总纲!BM21</f>
        <v>1.6340000000000015</v>
      </c>
      <c r="BN21" s="45">
        <f>[1]节奏总纲!BN21</f>
        <v>2.0066666666666686</v>
      </c>
    </row>
    <row r="22" spans="2:66" x14ac:dyDescent="0.15">
      <c r="B22" s="76" t="s">
        <v>112</v>
      </c>
      <c r="C22" s="76"/>
      <c r="D22" s="76"/>
      <c r="F22" s="45">
        <f>[1]节奏总纲!F22</f>
        <v>20</v>
      </c>
      <c r="G22" s="45">
        <f>[1]节奏总纲!G22</f>
        <v>3</v>
      </c>
      <c r="I22" s="45">
        <f>[1]节奏总纲!I22</f>
        <v>20</v>
      </c>
      <c r="J22" s="45">
        <f>[1]节奏总纲!J22</f>
        <v>5.25</v>
      </c>
      <c r="K22" s="45">
        <f>[1]节奏总纲!K22</f>
        <v>0.7</v>
      </c>
      <c r="N22" s="45">
        <f>[1]节奏总纲!N22</f>
        <v>29</v>
      </c>
      <c r="O22" s="45">
        <v>19</v>
      </c>
      <c r="P22" s="45">
        <f>[1]节奏总纲!P22</f>
        <v>2.7321319661472296</v>
      </c>
      <c r="Q22" s="45">
        <f>[1]节奏总纲!Q22</f>
        <v>2.3734030389920986</v>
      </c>
      <c r="R22" s="45">
        <f>[1]节奏总纲!R22</f>
        <v>1.9510154370257367</v>
      </c>
      <c r="S22" s="45">
        <f>[1]节奏总纲!S22</f>
        <v>1.4395603329629754</v>
      </c>
      <c r="T22" s="45">
        <f>[1]节奏总纲!T22</f>
        <v>0.80270037165405606</v>
      </c>
      <c r="V22" s="45">
        <v>19</v>
      </c>
      <c r="W22" s="45">
        <f>[1]节奏总纲!W22</f>
        <v>0.24992971296273314</v>
      </c>
      <c r="X22" s="45">
        <f>[1]节奏总纲!X22</f>
        <v>0.2218301259317772</v>
      </c>
      <c r="Y22" s="45">
        <f>[1]节奏总纲!Y22</f>
        <v>0.18194989118114591</v>
      </c>
      <c r="Z22" s="45">
        <f>[1]节奏总纲!Z22</f>
        <v>0.13292906688665651</v>
      </c>
      <c r="AA22" s="45">
        <f>[1]节奏总纲!AA22</f>
        <v>7.7152653048227715E-2</v>
      </c>
      <c r="AC22" s="45">
        <v>19</v>
      </c>
      <c r="AD22" s="45">
        <f>[1]节奏总纲!AD22</f>
        <v>43.213386604241784</v>
      </c>
      <c r="AE22" s="45">
        <f>[1]节奏总纲!AE22</f>
        <v>45.070782602372333</v>
      </c>
      <c r="AF22" s="45">
        <f>[1]节奏总纲!AF22</f>
        <v>47.752799438858894</v>
      </c>
      <c r="AG22" s="45">
        <f>[1]节奏总纲!AG22</f>
        <v>52.050057424983954</v>
      </c>
      <c r="AH22" s="45">
        <f>[1]节奏总纲!AH22</f>
        <v>60.54585273688761</v>
      </c>
      <c r="AL22" s="45">
        <v>19</v>
      </c>
      <c r="AM22" s="45">
        <f>[1]节奏总纲!AM22</f>
        <v>4.3957950643309154</v>
      </c>
      <c r="AN22" s="45">
        <f>[1]节奏总纲!AN22</f>
        <v>3.5166360514647326</v>
      </c>
      <c r="AO22" s="45">
        <f>[1]节奏总纲!AO22</f>
        <v>2.6374770385985493</v>
      </c>
      <c r="AP22" s="45">
        <f>[1]节奏总纲!AP22</f>
        <v>1.7583180257323663</v>
      </c>
      <c r="AQ22" s="45">
        <f>[1]节奏总纲!AQ22</f>
        <v>0.87915901286618314</v>
      </c>
      <c r="AS22" s="45">
        <v>19</v>
      </c>
      <c r="AT22" s="45">
        <f>[1]节奏总纲!AT22</f>
        <v>0.72430332874346437</v>
      </c>
      <c r="AU22" s="45">
        <f>[1]节奏总纲!AU22</f>
        <v>0.57944266299477176</v>
      </c>
      <c r="AV22" s="45">
        <f>[1]节奏总纲!AV22</f>
        <v>0.43458199724607871</v>
      </c>
      <c r="AW22" s="45">
        <f>[1]节奏总纲!AW22</f>
        <v>0.28972133149738588</v>
      </c>
      <c r="AX22" s="45">
        <f>[1]节奏总纲!AX22</f>
        <v>0.14486066574869294</v>
      </c>
      <c r="AY22" s="45"/>
      <c r="AZ22" s="45">
        <v>19</v>
      </c>
      <c r="BA22" s="45">
        <f>[1]节奏总纲!BA22</f>
        <v>27.541701089775092</v>
      </c>
      <c r="BB22" s="45">
        <f>[1]节奏总纲!BB22</f>
        <v>28.911002095502997</v>
      </c>
      <c r="BC22" s="45">
        <f>[1]节奏总纲!BC22</f>
        <v>30.662316072657521</v>
      </c>
      <c r="BD22" s="45">
        <f>[1]节奏总纲!BD22</f>
        <v>33.176527924103851</v>
      </c>
      <c r="BE22" s="45">
        <f>[1]节奏总纲!BE22</f>
        <v>37.680472138177471</v>
      </c>
      <c r="BI22" s="49">
        <v>19</v>
      </c>
      <c r="BJ22" s="45">
        <f>[1]节奏总纲!BJ22</f>
        <v>1.4666666666666681</v>
      </c>
      <c r="BK22" s="45">
        <f>[1]节奏总纲!BK22</f>
        <v>1.4960000000000016</v>
      </c>
      <c r="BL22" s="45">
        <f>[1]节奏总纲!BL22</f>
        <v>1.5546666666666682</v>
      </c>
      <c r="BM22" s="45">
        <f>[1]节奏总纲!BM22</f>
        <v>1.6720000000000015</v>
      </c>
      <c r="BN22" s="45">
        <f>[1]节奏总纲!BN22</f>
        <v>2.0533333333333355</v>
      </c>
    </row>
    <row r="23" spans="2:66" x14ac:dyDescent="0.15">
      <c r="B23" s="45" t="s">
        <v>78</v>
      </c>
      <c r="C23" s="45" t="s">
        <v>113</v>
      </c>
      <c r="D23" s="45" t="s">
        <v>114</v>
      </c>
      <c r="F23" s="45">
        <f>[1]节奏总纲!F23</f>
        <v>21</v>
      </c>
      <c r="G23" s="45">
        <f>[1]节奏总纲!G23</f>
        <v>3.2870938501451725</v>
      </c>
      <c r="I23" s="45">
        <f>[1]节奏总纲!I23</f>
        <v>21</v>
      </c>
      <c r="J23" s="45">
        <f>[1]节奏总纲!J23</f>
        <v>6.2565025247829205</v>
      </c>
      <c r="K23" s="45">
        <f>[1]节奏总纲!K23</f>
        <v>0.72</v>
      </c>
      <c r="N23" s="45">
        <f>[1]节奏总纲!N23</f>
        <v>30</v>
      </c>
      <c r="O23" s="45">
        <v>20</v>
      </c>
      <c r="P23" s="45">
        <f>[1]节奏总纲!P23</f>
        <v>3</v>
      </c>
      <c r="Q23" s="45">
        <f>[1]节奏总纲!Q23</f>
        <v>2.6036999999999999</v>
      </c>
      <c r="R23" s="45">
        <f>[1]节奏总纲!R23</f>
        <v>2.1372</v>
      </c>
      <c r="S23" s="45">
        <f>[1]节奏总纲!S23</f>
        <v>1.5800999999999998</v>
      </c>
      <c r="T23" s="45">
        <f>[1]节奏总纲!T23</f>
        <v>0.87990000000000002</v>
      </c>
      <c r="V23" s="45">
        <v>20</v>
      </c>
      <c r="W23" s="45">
        <f>[1]节奏总纲!W23</f>
        <v>0.26786803385277036</v>
      </c>
      <c r="X23" s="45">
        <f>[1]节奏总纲!X23</f>
        <v>0.23029696100790131</v>
      </c>
      <c r="Y23" s="45">
        <f>[1]节奏总纲!Y23</f>
        <v>0.18618456297426333</v>
      </c>
      <c r="Z23" s="45">
        <f>[1]节奏总纲!Z23</f>
        <v>0.14053966703702447</v>
      </c>
      <c r="AA23" s="45">
        <f>[1]节奏总纲!AA23</f>
        <v>7.719962834594396E-2</v>
      </c>
      <c r="AC23" s="45">
        <v>20</v>
      </c>
      <c r="AD23" s="45">
        <f>[1]节奏总纲!AD23</f>
        <v>43.920692243099523</v>
      </c>
      <c r="AE23" s="45">
        <f>[1]节奏总纲!AE23</f>
        <v>45.780025086357675</v>
      </c>
      <c r="AF23" s="45">
        <f>[1]节奏总纲!AF23</f>
        <v>48.482447528152484</v>
      </c>
      <c r="AG23" s="45">
        <f>[1]节奏总纲!AG23</f>
        <v>52.769987980532711</v>
      </c>
      <c r="AH23" s="45">
        <f>[1]节奏总纲!AH23</f>
        <v>61.261422558944936</v>
      </c>
      <c r="AL23" s="45">
        <v>20</v>
      </c>
      <c r="AM23" s="45">
        <f>[1]节奏总纲!AM23</f>
        <v>5.25</v>
      </c>
      <c r="AN23" s="45">
        <f>[1]节奏总纲!AN23</f>
        <v>4.2</v>
      </c>
      <c r="AO23" s="45">
        <f>[1]节奏总纲!AO23</f>
        <v>3.15</v>
      </c>
      <c r="AP23" s="45">
        <f>[1]节奏总纲!AP23</f>
        <v>2.1</v>
      </c>
      <c r="AQ23" s="45">
        <f>[1]节奏总纲!AQ23</f>
        <v>1.05</v>
      </c>
      <c r="AS23" s="45">
        <v>20</v>
      </c>
      <c r="AT23" s="45">
        <f>[1]节奏总纲!AT23</f>
        <v>0.85420493566908462</v>
      </c>
      <c r="AU23" s="45">
        <f>[1]节奏总纲!AU23</f>
        <v>0.68336394853526761</v>
      </c>
      <c r="AV23" s="45">
        <f>[1]节奏总纲!AV23</f>
        <v>0.51252296140145059</v>
      </c>
      <c r="AW23" s="45">
        <f>[1]节奏总纲!AW23</f>
        <v>0.3416819742676338</v>
      </c>
      <c r="AX23" s="45">
        <f>[1]节奏总纲!AX23</f>
        <v>0.1708409871338169</v>
      </c>
      <c r="AY23" s="45"/>
      <c r="AZ23" s="45">
        <v>20</v>
      </c>
      <c r="BA23" s="45">
        <f>[1]节奏总纲!BA23</f>
        <v>27.863030247590562</v>
      </c>
      <c r="BB23" s="45">
        <f>[1]节奏总纲!BB23</f>
        <v>29.216428548527322</v>
      </c>
      <c r="BC23" s="45">
        <f>[1]节奏总纲!BC23</f>
        <v>30.995138219721603</v>
      </c>
      <c r="BD23" s="45">
        <f>[1]节奏总纲!BD23</f>
        <v>33.487933395889513</v>
      </c>
      <c r="BE23" s="45">
        <f>[1]节奏总纲!BE23</f>
        <v>38.037513426486328</v>
      </c>
      <c r="BI23" s="49">
        <v>20</v>
      </c>
      <c r="BJ23" s="45">
        <f>[1]节奏总纲!BJ23</f>
        <v>1.5000000000000016</v>
      </c>
      <c r="BK23" s="45">
        <f>[1]节奏总纲!BK23</f>
        <v>1.5300000000000016</v>
      </c>
      <c r="BL23" s="45">
        <f>[1]节奏总纲!BL23</f>
        <v>1.5900000000000016</v>
      </c>
      <c r="BM23" s="45">
        <f>[1]节奏总纲!BM23</f>
        <v>1.7100000000000015</v>
      </c>
      <c r="BN23" s="45">
        <f>[1]节奏总纲!BN23</f>
        <v>2.1000000000000019</v>
      </c>
    </row>
    <row r="24" spans="2:66" x14ac:dyDescent="0.15">
      <c r="B24" s="45">
        <f>[1]节奏总纲!B24</f>
        <v>5</v>
      </c>
      <c r="C24" s="45">
        <f>[1]节奏总纲!C24</f>
        <v>0.5</v>
      </c>
      <c r="D24" s="45">
        <f>[1]节奏总纲!D24</f>
        <v>0.5</v>
      </c>
      <c r="F24" s="45">
        <f>[1]节奏总纲!F24</f>
        <v>22</v>
      </c>
      <c r="G24" s="45">
        <f>[1]节奏总纲!G24</f>
        <v>3.5947934199881395</v>
      </c>
      <c r="I24" s="45">
        <f>[1]节奏总纲!I24</f>
        <v>22</v>
      </c>
      <c r="J24" s="45">
        <f>[1]节奏总纲!J24</f>
        <v>7.4414868317755332</v>
      </c>
      <c r="K24" s="45">
        <f>[1]节奏总纲!K24</f>
        <v>0.74</v>
      </c>
      <c r="N24" s="45">
        <f>[1]节奏总纲!N24</f>
        <v>31</v>
      </c>
      <c r="O24" s="45">
        <v>21</v>
      </c>
      <c r="P24" s="45">
        <f>[1]节奏总纲!P24</f>
        <v>3.2870938501451725</v>
      </c>
      <c r="Q24" s="45">
        <f>[1]节奏总纲!Q24</f>
        <v>2.8518826243859516</v>
      </c>
      <c r="R24" s="45">
        <f>[1]节奏总纲!R24</f>
        <v>2.3466562996186386</v>
      </c>
      <c r="S24" s="45">
        <f>[1]节奏总纲!S24</f>
        <v>1.7365716810316947</v>
      </c>
      <c r="T24" s="45">
        <f>[1]节奏总纲!T24</f>
        <v>0.97166494210291288</v>
      </c>
      <c r="V24" s="45">
        <v>21</v>
      </c>
      <c r="W24" s="45">
        <f>[1]节奏总纲!W24</f>
        <v>0.28709385014517252</v>
      </c>
      <c r="X24" s="45">
        <f>[1]节奏总纲!X24</f>
        <v>0.24818262438595173</v>
      </c>
      <c r="Y24" s="45">
        <f>[1]节奏总纲!Y24</f>
        <v>0.20945629961863865</v>
      </c>
      <c r="Z24" s="45">
        <f>[1]节奏总纲!Z24</f>
        <v>0.15647168103169484</v>
      </c>
      <c r="AA24" s="45">
        <f>[1]节奏总纲!AA24</f>
        <v>9.1764942102912861E-2</v>
      </c>
      <c r="AC24" s="45">
        <v>21</v>
      </c>
      <c r="AD24" s="45">
        <f>[1]节奏总纲!AD24</f>
        <v>44.585942742481357</v>
      </c>
      <c r="AE24" s="45">
        <f>[1]节奏总纲!AE24</f>
        <v>46.455967430551723</v>
      </c>
      <c r="AF24" s="45">
        <f>[1]节奏总纲!AF24</f>
        <v>49.18886033229559</v>
      </c>
      <c r="AG24" s="45">
        <f>[1]节奏总纲!AG24</f>
        <v>53.471660769826336</v>
      </c>
      <c r="AH24" s="45">
        <f>[1]节奏总纲!AH24</f>
        <v>61.918453772109508</v>
      </c>
      <c r="AL24" s="45">
        <v>21</v>
      </c>
      <c r="AM24" s="45">
        <f>[1]节奏总纲!AM24</f>
        <v>6.2565025247829205</v>
      </c>
      <c r="AN24" s="45">
        <f>[1]节奏总纲!AN24</f>
        <v>5.0052020198263367</v>
      </c>
      <c r="AO24" s="45">
        <f>[1]节奏总纲!AO24</f>
        <v>3.7539015148697521</v>
      </c>
      <c r="AP24" s="45">
        <f>[1]节奏总纲!AP24</f>
        <v>2.5026010099131684</v>
      </c>
      <c r="AQ24" s="45">
        <f>[1]节奏总纲!AQ24</f>
        <v>1.2513005049565842</v>
      </c>
      <c r="AS24" s="45">
        <v>21</v>
      </c>
      <c r="AT24" s="45">
        <f>[1]节奏总纲!AT24</f>
        <v>1.0065025247829205</v>
      </c>
      <c r="AU24" s="45">
        <f>[1]节奏总纲!AU24</f>
        <v>0.80520201982633655</v>
      </c>
      <c r="AV24" s="45">
        <f>[1]节奏总纲!AV24</f>
        <v>0.60390151486975219</v>
      </c>
      <c r="AW24" s="45">
        <f>[1]节奏总纲!AW24</f>
        <v>0.40260100991316827</v>
      </c>
      <c r="AX24" s="45">
        <f>[1]节奏总纲!AX24</f>
        <v>0.20130050495658414</v>
      </c>
      <c r="AY24" s="45"/>
      <c r="AZ24" s="45">
        <v>21</v>
      </c>
      <c r="BA24" s="45">
        <f>[1]节奏总纲!BA24</f>
        <v>28.157256095860227</v>
      </c>
      <c r="BB24" s="45">
        <f>[1]节奏总纲!BB24</f>
        <v>29.508805955793246</v>
      </c>
      <c r="BC24" s="45">
        <f>[1]节奏总纲!BC24</f>
        <v>31.280110398778046</v>
      </c>
      <c r="BD24" s="45">
        <f>[1]节奏总纲!BD24</f>
        <v>33.799338867675175</v>
      </c>
      <c r="BE24" s="45">
        <f>[1]节奏总纲!BE24</f>
        <v>38.35066605767593</v>
      </c>
      <c r="BI24" s="49">
        <v>21</v>
      </c>
      <c r="BJ24" s="45">
        <f>[1]节奏总纲!BJ24</f>
        <v>1.533333333333335</v>
      </c>
      <c r="BK24" s="45">
        <f>[1]节奏总纲!BK24</f>
        <v>1.5640000000000016</v>
      </c>
      <c r="BL24" s="45">
        <f>[1]节奏总纲!BL24</f>
        <v>1.6253333333333351</v>
      </c>
      <c r="BM24" s="45">
        <f>[1]节奏总纲!BM24</f>
        <v>1.7480000000000018</v>
      </c>
      <c r="BN24" s="45">
        <f>[1]节奏总纲!BN24</f>
        <v>2.1466666666666687</v>
      </c>
    </row>
    <row r="25" spans="2:66" x14ac:dyDescent="0.15">
      <c r="B25" s="45">
        <f>[1]节奏总纲!B25</f>
        <v>10</v>
      </c>
      <c r="C25" s="45">
        <f>[1]节奏总纲!C25</f>
        <v>1.5</v>
      </c>
      <c r="D25" s="45">
        <f>[1]节奏总纲!D25</f>
        <v>1</v>
      </c>
      <c r="F25" s="45">
        <f>[1]节奏总纲!F25</f>
        <v>23</v>
      </c>
      <c r="G25" s="45">
        <f>[1]节奏总纲!G25</f>
        <v>3.9245776533796644</v>
      </c>
      <c r="I25" s="45">
        <f>[1]节奏总纲!I25</f>
        <v>23</v>
      </c>
      <c r="J25" s="45">
        <f>[1]节奏总纲!J25</f>
        <v>8.8355567243832152</v>
      </c>
      <c r="K25" s="45">
        <f>[1]节奏总纲!K25</f>
        <v>0.76</v>
      </c>
      <c r="N25" s="45">
        <f>[1]节奏总纲!N25</f>
        <v>32</v>
      </c>
      <c r="O25" s="45">
        <v>22</v>
      </c>
      <c r="P25" s="45">
        <f>[1]节奏总纲!P25</f>
        <v>3.5947934199881395</v>
      </c>
      <c r="Q25" s="45">
        <f>[1]节奏总纲!Q25</f>
        <v>3.124234961311692</v>
      </c>
      <c r="R25" s="45">
        <f>[1]节奏总纲!R25</f>
        <v>2.5749505267375046</v>
      </c>
      <c r="S25" s="45">
        <f>[1]节奏总纲!S25</f>
        <v>1.9077568679877055</v>
      </c>
      <c r="T25" s="45">
        <f>[1]节奏总纲!T25</f>
        <v>1.0687320837624739</v>
      </c>
      <c r="V25" s="45">
        <v>22</v>
      </c>
      <c r="W25" s="45">
        <f>[1]节奏总纲!W25</f>
        <v>0.30769956984296698</v>
      </c>
      <c r="X25" s="45">
        <f>[1]节奏总纲!X25</f>
        <v>0.27235233692574035</v>
      </c>
      <c r="Y25" s="45">
        <f>[1]节奏总纲!Y25</f>
        <v>0.22829422711886593</v>
      </c>
      <c r="Z25" s="45">
        <f>[1]节奏总纲!Z25</f>
        <v>0.17118518695601082</v>
      </c>
      <c r="AA25" s="45">
        <f>[1]节奏总纲!AA25</f>
        <v>9.7067141659560985E-2</v>
      </c>
      <c r="AC25" s="45">
        <v>22</v>
      </c>
      <c r="AD25" s="45">
        <f>[1]节奏总纲!AD25</f>
        <v>45.229416240679988</v>
      </c>
      <c r="AE25" s="45">
        <f>[1]节奏总纲!AE25</f>
        <v>47.110426931480873</v>
      </c>
      <c r="AF25" s="45">
        <f>[1]节奏总纲!AF25</f>
        <v>49.861837738505173</v>
      </c>
      <c r="AG25" s="45">
        <f>[1]节奏总纲!AG25</f>
        <v>54.15637358335789</v>
      </c>
      <c r="AH25" s="45">
        <f>[1]节奏总纲!AH25</f>
        <v>62.555781631668886</v>
      </c>
      <c r="AL25" s="45">
        <v>22</v>
      </c>
      <c r="AM25" s="45">
        <f>[1]节奏总纲!AM25</f>
        <v>7.4414868317755332</v>
      </c>
      <c r="AN25" s="45">
        <f>[1]节奏总纲!AN25</f>
        <v>5.9531894654204267</v>
      </c>
      <c r="AO25" s="45">
        <f>[1]节奏总纲!AO25</f>
        <v>4.4648920990653194</v>
      </c>
      <c r="AP25" s="45">
        <f>[1]节奏总纲!AP25</f>
        <v>2.9765947327102134</v>
      </c>
      <c r="AQ25" s="45">
        <f>[1]节奏总纲!AQ25</f>
        <v>1.4882973663551067</v>
      </c>
      <c r="AS25" s="45">
        <v>22</v>
      </c>
      <c r="AT25" s="45">
        <f>[1]节奏总纲!AT25</f>
        <v>1.1849843069926127</v>
      </c>
      <c r="AU25" s="45">
        <f>[1]节奏总纲!AU25</f>
        <v>0.94798744559408998</v>
      </c>
      <c r="AV25" s="45">
        <f>[1]节奏总纲!AV25</f>
        <v>0.71099058419556727</v>
      </c>
      <c r="AW25" s="45">
        <f>[1]节奏总纲!AW25</f>
        <v>0.47399372279704499</v>
      </c>
      <c r="AX25" s="45">
        <f>[1]节奏总纲!AX25</f>
        <v>0.2369968613985225</v>
      </c>
      <c r="AY25" s="45"/>
      <c r="AZ25" s="45">
        <v>22</v>
      </c>
      <c r="BA25" s="45">
        <f>[1]节奏总纲!BA25</f>
        <v>28.431345550275779</v>
      </c>
      <c r="BB25" s="45">
        <f>[1]节奏总纲!BB25</f>
        <v>29.80118336305917</v>
      </c>
      <c r="BC25" s="45">
        <f>[1]节奏总纲!BC25</f>
        <v>31.564373235931193</v>
      </c>
      <c r="BD25" s="45">
        <f>[1]节奏总纲!BD25</f>
        <v>34.09469189131628</v>
      </c>
      <c r="BE25" s="45">
        <f>[1]节奏总纲!BE25</f>
        <v>38.663818688865533</v>
      </c>
      <c r="BI25" s="49">
        <v>22</v>
      </c>
      <c r="BJ25" s="45">
        <f>[1]节奏总纲!BJ25</f>
        <v>1.5666666666666684</v>
      </c>
      <c r="BK25" s="45">
        <f>[1]节奏总纲!BK25</f>
        <v>1.5980000000000019</v>
      </c>
      <c r="BL25" s="45">
        <f>[1]节奏总纲!BL25</f>
        <v>1.6606666666666685</v>
      </c>
      <c r="BM25" s="45">
        <f>[1]节奏总纲!BM25</f>
        <v>1.7860000000000018</v>
      </c>
      <c r="BN25" s="45">
        <f>[1]节奏总纲!BN25</f>
        <v>2.1933333333333356</v>
      </c>
    </row>
    <row r="26" spans="2:66" x14ac:dyDescent="0.15">
      <c r="B26" s="45">
        <f>[1]节奏总纲!B26</f>
        <v>15</v>
      </c>
      <c r="C26" s="45">
        <f>[1]节奏总纲!C26</f>
        <v>3.5</v>
      </c>
      <c r="D26" s="45">
        <f>[1]节奏总纲!D26</f>
        <v>2</v>
      </c>
      <c r="F26" s="45">
        <f>[1]节奏总纲!F26</f>
        <v>24</v>
      </c>
      <c r="G26" s="45">
        <f>[1]节奏总纲!G26</f>
        <v>4.2780316430915768</v>
      </c>
      <c r="I26" s="45">
        <f>[1]节奏总纲!I26</f>
        <v>24</v>
      </c>
      <c r="J26" s="45">
        <f>[1]节奏总纲!J26</f>
        <v>10.47447102993563</v>
      </c>
      <c r="K26" s="45">
        <f>[1]节奏总纲!K26</f>
        <v>0.78</v>
      </c>
      <c r="N26" s="45">
        <f>[1]节奏总纲!N26</f>
        <v>33</v>
      </c>
      <c r="O26" s="45">
        <v>23</v>
      </c>
      <c r="P26" s="45">
        <f>[1]节奏总纲!P26</f>
        <v>3.9245776533796644</v>
      </c>
      <c r="Q26" s="45">
        <f>[1]节奏总纲!Q26</f>
        <v>3.4081032341949005</v>
      </c>
      <c r="R26" s="45">
        <f>[1]节奏总纲!R26</f>
        <v>2.8064654799317976</v>
      </c>
      <c r="S26" s="45">
        <f>[1]节奏总纲!S26</f>
        <v>2.0796336985258841</v>
      </c>
      <c r="T26" s="45">
        <f>[1]节奏总纲!T26</f>
        <v>1.1608900698697047</v>
      </c>
      <c r="V26" s="45">
        <v>23</v>
      </c>
      <c r="W26" s="45">
        <f>[1]节奏总纲!W26</f>
        <v>0.32978423339152485</v>
      </c>
      <c r="X26" s="45">
        <f>[1]节奏总纲!X26</f>
        <v>0.28386827288320848</v>
      </c>
      <c r="Y26" s="45">
        <f>[1]节奏总纲!Y26</f>
        <v>0.23151495319429305</v>
      </c>
      <c r="Z26" s="45">
        <f>[1]节奏总纲!Z26</f>
        <v>0.17187683053817859</v>
      </c>
      <c r="AA26" s="45">
        <f>[1]节奏总纲!AA26</f>
        <v>9.2157986107230805E-2</v>
      </c>
      <c r="AC26" s="45">
        <v>23</v>
      </c>
      <c r="AD26" s="45">
        <f>[1]节奏总纲!AD26</f>
        <v>45.845161563010116</v>
      </c>
      <c r="AE26" s="45">
        <f>[1]节奏总纲!AE26</f>
        <v>47.734594805743399</v>
      </c>
      <c r="AF26" s="45">
        <f>[1]节奏总纲!AF26</f>
        <v>50.503430607741265</v>
      </c>
      <c r="AG26" s="45">
        <f>[1]节奏总纲!AG26</f>
        <v>54.814188287451351</v>
      </c>
      <c r="AH26" s="45">
        <f>[1]节奏总纲!AH26</f>
        <v>63.182677965405439</v>
      </c>
      <c r="AL26" s="45">
        <v>23</v>
      </c>
      <c r="AM26" s="45">
        <f>[1]节奏总纲!AM26</f>
        <v>8.8355567243832152</v>
      </c>
      <c r="AN26" s="45">
        <f>[1]节奏总纲!AN26</f>
        <v>7.0684453795065725</v>
      </c>
      <c r="AO26" s="45">
        <f>[1]节奏总纲!AO26</f>
        <v>5.3013340346299289</v>
      </c>
      <c r="AP26" s="45">
        <f>[1]节奏总纲!AP26</f>
        <v>3.5342226897532862</v>
      </c>
      <c r="AQ26" s="45">
        <f>[1]节奏总纲!AQ26</f>
        <v>1.7671113448766431</v>
      </c>
      <c r="AS26" s="45">
        <v>23</v>
      </c>
      <c r="AT26" s="45">
        <f>[1]节奏总纲!AT26</f>
        <v>1.394069892607682</v>
      </c>
      <c r="AU26" s="45">
        <f>[1]节奏总纲!AU26</f>
        <v>1.1152559140861458</v>
      </c>
      <c r="AV26" s="45">
        <f>[1]节奏总纲!AV26</f>
        <v>0.83644193556460955</v>
      </c>
      <c r="AW26" s="45">
        <f>[1]节奏总纲!AW26</f>
        <v>0.55762795704307289</v>
      </c>
      <c r="AX26" s="45">
        <f>[1]节奏总纲!AX26</f>
        <v>0.27881397852153644</v>
      </c>
      <c r="AY26" s="45"/>
      <c r="AZ26" s="45">
        <v>23</v>
      </c>
      <c r="BA26" s="45">
        <f>[1]节奏总纲!BA26</f>
        <v>28.705435004691331</v>
      </c>
      <c r="BB26" s="45">
        <f>[1]节奏总纲!BB26</f>
        <v>30.079877315295377</v>
      </c>
      <c r="BC26" s="45">
        <f>[1]节奏总纲!BC26</f>
        <v>31.848636073084339</v>
      </c>
      <c r="BD26" s="45">
        <f>[1]节奏总纲!BD26</f>
        <v>34.360958982105608</v>
      </c>
      <c r="BE26" s="45">
        <f>[1]节奏总纲!BE26</f>
        <v>38.976971320055128</v>
      </c>
      <c r="BI26" s="49">
        <v>23</v>
      </c>
      <c r="BJ26" s="45">
        <f>[1]节奏总纲!BJ26</f>
        <v>1.6000000000000019</v>
      </c>
      <c r="BK26" s="45">
        <f>[1]节奏总纲!BK26</f>
        <v>1.6320000000000019</v>
      </c>
      <c r="BL26" s="45">
        <f>[1]节奏总纲!BL26</f>
        <v>1.6960000000000022</v>
      </c>
      <c r="BM26" s="45">
        <f>[1]节奏总纲!BM26</f>
        <v>1.8240000000000021</v>
      </c>
      <c r="BN26" s="45">
        <f>[1]节奏总纲!BN26</f>
        <v>2.2400000000000024</v>
      </c>
    </row>
    <row r="27" spans="2:66" x14ac:dyDescent="0.15">
      <c r="B27" s="45">
        <f>[1]节奏总纲!B27</f>
        <v>20</v>
      </c>
      <c r="C27" s="45">
        <f>[1]节奏总纲!C27</f>
        <v>7.5</v>
      </c>
      <c r="D27" s="45">
        <f>[1]节奏总纲!D27</f>
        <v>4</v>
      </c>
      <c r="F27" s="45">
        <f>[1]节奏总纲!F27</f>
        <v>25</v>
      </c>
      <c r="G27" s="45">
        <f>[1]节奏总纲!G27</f>
        <v>4.6568542494923806</v>
      </c>
      <c r="I27" s="45">
        <f>[1]节奏总纲!I27</f>
        <v>25</v>
      </c>
      <c r="J27" s="45">
        <f>[1]节奏总纲!J27</f>
        <v>12.4</v>
      </c>
      <c r="K27" s="45">
        <f>[1]节奏总纲!K27</f>
        <v>0.8</v>
      </c>
      <c r="N27" s="45">
        <f>[1]节奏总纲!N27</f>
        <v>34</v>
      </c>
      <c r="O27" s="45">
        <v>24</v>
      </c>
      <c r="P27" s="45">
        <f>[1]节奏总纲!P27</f>
        <v>4.2780316430915768</v>
      </c>
      <c r="Q27" s="45">
        <f>[1]节奏总纲!Q27</f>
        <v>3.7214597263253628</v>
      </c>
      <c r="R27" s="45">
        <f>[1]节奏总纲!R27</f>
        <v>3.0699155070825155</v>
      </c>
      <c r="S27" s="45">
        <f>[1]节奏总纲!S27</f>
        <v>2.2742016214674821</v>
      </c>
      <c r="T27" s="45">
        <f>[1]节奏总纲!T27</f>
        <v>1.2692919885052709</v>
      </c>
      <c r="V27" s="45">
        <v>24</v>
      </c>
      <c r="W27" s="45">
        <f>[1]节奏总纲!W27</f>
        <v>0.35345398971191244</v>
      </c>
      <c r="X27" s="45">
        <f>[1]节奏总纲!X27</f>
        <v>0.31335649213046235</v>
      </c>
      <c r="Y27" s="45">
        <f>[1]节奏总纲!Y27</f>
        <v>0.26345002715071786</v>
      </c>
      <c r="Z27" s="45">
        <f>[1]节奏总纲!Z27</f>
        <v>0.19456792294159797</v>
      </c>
      <c r="AA27" s="45">
        <f>[1]节奏总纲!AA27</f>
        <v>0.10840191863556625</v>
      </c>
      <c r="AC27" s="45">
        <v>24</v>
      </c>
      <c r="AD27" s="45">
        <f>[1]节奏总纲!AD27</f>
        <v>46.430041330048923</v>
      </c>
      <c r="AE27" s="45">
        <f>[1]节奏总纲!AE27</f>
        <v>48.330142263709867</v>
      </c>
      <c r="AF27" s="45">
        <f>[1]节奏总纲!AF27</f>
        <v>51.118578408701396</v>
      </c>
      <c r="AG27" s="45">
        <f>[1]节奏总纲!AG27</f>
        <v>55.44072585486321</v>
      </c>
      <c r="AH27" s="45">
        <f>[1]节奏总纲!AH27</f>
        <v>63.791742872142052</v>
      </c>
      <c r="AL27" s="45">
        <v>24</v>
      </c>
      <c r="AM27" s="45">
        <f>[1]节奏总纲!AM27</f>
        <v>10.47447102993563</v>
      </c>
      <c r="AN27" s="45">
        <f>[1]节奏总纲!AN27</f>
        <v>8.3795768239485042</v>
      </c>
      <c r="AO27" s="45">
        <f>[1]节奏总纲!AO27</f>
        <v>6.2846826179613782</v>
      </c>
      <c r="AP27" s="45">
        <f>[1]节奏总纲!AP27</f>
        <v>4.1897884119742521</v>
      </c>
      <c r="AQ27" s="45">
        <f>[1]节奏总纲!AQ27</f>
        <v>2.0948942059871261</v>
      </c>
      <c r="AS27" s="45">
        <v>24</v>
      </c>
      <c r="AT27" s="45">
        <f>[1]节奏总纲!AT27</f>
        <v>1.6389143055524151</v>
      </c>
      <c r="AU27" s="45">
        <f>[1]节奏总纲!AU27</f>
        <v>1.3111314444419317</v>
      </c>
      <c r="AV27" s="45">
        <f>[1]节奏总纲!AV27</f>
        <v>0.98334858333144926</v>
      </c>
      <c r="AW27" s="45">
        <f>[1]节奏总纲!AW27</f>
        <v>0.65556572222096587</v>
      </c>
      <c r="AX27" s="45">
        <f>[1]节奏总纲!AX27</f>
        <v>0.32778286111048294</v>
      </c>
      <c r="AY27" s="45"/>
      <c r="AZ27" s="45">
        <v>24</v>
      </c>
      <c r="BA27" s="45">
        <f>[1]节奏总纲!BA27</f>
        <v>28.979524459106884</v>
      </c>
      <c r="BB27" s="45">
        <f>[1]节奏总纲!BB27</f>
        <v>30.329493925593439</v>
      </c>
      <c r="BC27" s="45">
        <f>[1]节奏总纲!BC27</f>
        <v>32.113552950216736</v>
      </c>
      <c r="BD27" s="45">
        <f>[1]节奏总纲!BD27</f>
        <v>34.627226072894942</v>
      </c>
      <c r="BE27" s="45">
        <f>[1]节奏总纲!BE27</f>
        <v>39.250296194358178</v>
      </c>
      <c r="BI27" s="49">
        <v>24</v>
      </c>
      <c r="BJ27" s="45">
        <f>[1]节奏总纲!BJ27</f>
        <v>1.6333333333333353</v>
      </c>
      <c r="BK27" s="45">
        <f>[1]节奏总纲!BK27</f>
        <v>1.6660000000000021</v>
      </c>
      <c r="BL27" s="45">
        <f>[1]节奏总纲!BL27</f>
        <v>1.7313333333333356</v>
      </c>
      <c r="BM27" s="45">
        <f>[1]节奏总纲!BM27</f>
        <v>1.8620000000000021</v>
      </c>
      <c r="BN27" s="45">
        <f>[1]节奏总纲!BN27</f>
        <v>2.2866666666666693</v>
      </c>
    </row>
    <row r="28" spans="2:66" x14ac:dyDescent="0.15">
      <c r="B28" s="45">
        <f>[1]节奏总纲!B28</f>
        <v>25</v>
      </c>
      <c r="C28" s="45">
        <f>[1]节奏总纲!C28</f>
        <v>15.5</v>
      </c>
      <c r="D28" s="45">
        <f>[1]节奏总纲!D28</f>
        <v>8</v>
      </c>
      <c r="F28" s="45">
        <f>[1]节奏总纲!F28</f>
        <v>26</v>
      </c>
      <c r="G28" s="45">
        <f>[1]节奏总纲!G28</f>
        <v>5.062866266041592</v>
      </c>
      <c r="I28" s="45">
        <f>[1]节奏总纲!I28</f>
        <v>26</v>
      </c>
      <c r="J28" s="45">
        <f>[1]节奏总纲!J28</f>
        <v>14.6609224175611</v>
      </c>
      <c r="K28" s="45">
        <f>[1]节奏总纲!K28</f>
        <v>0.82</v>
      </c>
      <c r="N28" s="45">
        <f>[1]节奏总纲!N28</f>
        <v>35</v>
      </c>
      <c r="O28" s="45">
        <v>25</v>
      </c>
      <c r="P28" s="45">
        <f>[1]节奏总纲!P28</f>
        <v>4.6568542494923806</v>
      </c>
      <c r="Q28" s="45">
        <f>[1]节奏总纲!Q28</f>
        <v>4.054257309608067</v>
      </c>
      <c r="R28" s="45">
        <f>[1]节奏总纲!R28</f>
        <v>3.3445527219854276</v>
      </c>
      <c r="S28" s="45">
        <f>[1]节奏总纲!S28</f>
        <v>2.478377831579845</v>
      </c>
      <c r="T28" s="45">
        <f>[1]节奏总纲!T28</f>
        <v>1.3802915995495415</v>
      </c>
      <c r="V28" s="45">
        <v>25</v>
      </c>
      <c r="W28" s="45">
        <f>[1]节奏总纲!W28</f>
        <v>0.37882260640080379</v>
      </c>
      <c r="X28" s="45">
        <f>[1]节奏总纲!X28</f>
        <v>0.33279758328270415</v>
      </c>
      <c r="Y28" s="45">
        <f>[1]节奏总纲!Y28</f>
        <v>0.27463721490291215</v>
      </c>
      <c r="Z28" s="45">
        <f>[1]节奏总纲!Z28</f>
        <v>0.20417621011236298</v>
      </c>
      <c r="AA28" s="45">
        <f>[1]节奏总纲!AA28</f>
        <v>0.11099961104427059</v>
      </c>
      <c r="AC28" s="45">
        <v>25</v>
      </c>
      <c r="AD28" s="45">
        <f>[1]节奏总纲!AD28</f>
        <v>47.004247194324648</v>
      </c>
      <c r="AE28" s="45">
        <f>[1]节奏总纲!AE28</f>
        <v>48.904516930942819</v>
      </c>
      <c r="AF28" s="45">
        <f>[1]节奏总纲!AF28</f>
        <v>51.667220029142385</v>
      </c>
      <c r="AG28" s="45">
        <f>[1]节奏总纲!AG28</f>
        <v>56.05100027504308</v>
      </c>
      <c r="AH28" s="45">
        <f>[1]节奏总纲!AH28</f>
        <v>64.398425477456215</v>
      </c>
      <c r="AL28" s="45">
        <v>25</v>
      </c>
      <c r="AM28" s="45">
        <f>[1]节奏总纲!AM28</f>
        <v>12.4</v>
      </c>
      <c r="AN28" s="45">
        <f>[1]节奏总纲!AN28</f>
        <v>9.9200000000000017</v>
      </c>
      <c r="AO28" s="45">
        <f>[1]节奏总纲!AO28</f>
        <v>7.4399999999999995</v>
      </c>
      <c r="AP28" s="45">
        <f>[1]节奏总纲!AP28</f>
        <v>4.9600000000000009</v>
      </c>
      <c r="AQ28" s="45">
        <f>[1]节奏总纲!AQ28</f>
        <v>2.4800000000000004</v>
      </c>
      <c r="AS28" s="45">
        <v>25</v>
      </c>
      <c r="AT28" s="45">
        <f>[1]节奏总纲!AT28</f>
        <v>1.9255289700643701</v>
      </c>
      <c r="AU28" s="45">
        <f>[1]节奏总纲!AU28</f>
        <v>1.5404231760514975</v>
      </c>
      <c r="AV28" s="45">
        <f>[1]节奏总纲!AV28</f>
        <v>1.1553173820386213</v>
      </c>
      <c r="AW28" s="45">
        <f>[1]节奏总纲!AW28</f>
        <v>0.77021158802574874</v>
      </c>
      <c r="AX28" s="45">
        <f>[1]节奏总纲!AX28</f>
        <v>0.38510579401287437</v>
      </c>
      <c r="AY28" s="45"/>
      <c r="AZ28" s="45">
        <v>25</v>
      </c>
      <c r="BA28" s="45">
        <f>[1]节奏总纲!BA28</f>
        <v>29.216428548527322</v>
      </c>
      <c r="BB28" s="45">
        <f>[1]节奏总纲!BB28</f>
        <v>30.579110535891502</v>
      </c>
      <c r="BC28" s="45">
        <f>[1]节奏总纲!BC28</f>
        <v>32.356435933516131</v>
      </c>
      <c r="BD28" s="45">
        <f>[1]节奏总纲!BD28</f>
        <v>34.893493163684269</v>
      </c>
      <c r="BE28" s="45">
        <f>[1]节奏总纲!BE28</f>
        <v>39.520459727922798</v>
      </c>
      <c r="BI28" s="49">
        <v>25</v>
      </c>
      <c r="BJ28" s="45">
        <f>[1]节奏总纲!BJ28</f>
        <v>1.6666666666666687</v>
      </c>
      <c r="BK28" s="45">
        <f>[1]节奏总纲!BK28</f>
        <v>1.7000000000000022</v>
      </c>
      <c r="BL28" s="45">
        <f>[1]节奏总纲!BL28</f>
        <v>1.766666666666669</v>
      </c>
      <c r="BM28" s="45">
        <f>[1]节奏总纲!BM28</f>
        <v>1.9000000000000021</v>
      </c>
      <c r="BN28" s="45">
        <f>[1]节奏总纲!BN28</f>
        <v>2.3333333333333361</v>
      </c>
    </row>
    <row r="29" spans="2:66" x14ac:dyDescent="0.15">
      <c r="B29" s="45">
        <f>[1]节奏总纲!B29</f>
        <v>30</v>
      </c>
      <c r="C29" s="45">
        <f>[1]节奏总纲!C29</f>
        <v>31.5</v>
      </c>
      <c r="D29" s="45">
        <f>[1]节奏总纲!D29</f>
        <v>16</v>
      </c>
      <c r="F29" s="45">
        <f>[1]节奏总纲!F29</f>
        <v>27</v>
      </c>
      <c r="G29" s="45">
        <f>[1]节奏总纲!G29</f>
        <v>5.4980191708498847</v>
      </c>
      <c r="I29" s="45">
        <f>[1]节奏总纲!I29</f>
        <v>27</v>
      </c>
      <c r="J29" s="45">
        <f>[1]节奏总纲!J29</f>
        <v>17.314186320787698</v>
      </c>
      <c r="K29" s="45">
        <f>[1]节奏总纲!K29</f>
        <v>0.84</v>
      </c>
      <c r="N29" s="45">
        <f>[1]节奏总纲!N29</f>
        <v>36</v>
      </c>
      <c r="O29" s="45">
        <v>26</v>
      </c>
      <c r="P29" s="45">
        <f>[1]节奏总纲!P29</f>
        <v>5.062866266041592</v>
      </c>
      <c r="Q29" s="45">
        <f>[1]节奏总纲!Q29</f>
        <v>4.408743944469018</v>
      </c>
      <c r="R29" s="45">
        <f>[1]节奏总纲!R29</f>
        <v>3.63716312552428</v>
      </c>
      <c r="S29" s="45">
        <f>[1]节奏总纲!S29</f>
        <v>2.6914197070277099</v>
      </c>
      <c r="T29" s="45">
        <f>[1]节奏总纲!T29</f>
        <v>1.4996209880015197</v>
      </c>
      <c r="V29" s="45">
        <v>26</v>
      </c>
      <c r="W29" s="45">
        <f>[1]节奏总纲!W29</f>
        <v>0.40601201654921137</v>
      </c>
      <c r="X29" s="45">
        <f>[1]节奏总纲!X29</f>
        <v>0.354486634860951</v>
      </c>
      <c r="Y29" s="45">
        <f>[1]节奏总纲!Y29</f>
        <v>0.29261040353885237</v>
      </c>
      <c r="Z29" s="45">
        <f>[1]节奏总纲!Z29</f>
        <v>0.2130418754478649</v>
      </c>
      <c r="AA29" s="45">
        <f>[1]节奏总纲!AA29</f>
        <v>0.11932938845197816</v>
      </c>
      <c r="AC29" s="45">
        <v>26</v>
      </c>
      <c r="AD29" s="45">
        <f>[1]节奏总纲!AD29</f>
        <v>47.540284631526092</v>
      </c>
      <c r="AE29" s="45">
        <f>[1]节奏总纲!AE29</f>
        <v>49.446133440059114</v>
      </c>
      <c r="AF29" s="45">
        <f>[1]节奏总纲!AF29</f>
        <v>52.199341027338768</v>
      </c>
      <c r="AG29" s="45">
        <f>[1]节奏总纲!AG29</f>
        <v>56.621068614050692</v>
      </c>
      <c r="AH29" s="45">
        <f>[1]节奏总纲!AH29</f>
        <v>65.00344105132713</v>
      </c>
      <c r="AL29" s="45">
        <v>26</v>
      </c>
      <c r="AM29" s="45">
        <f>[1]节奏总纲!AM29</f>
        <v>14.6609224175611</v>
      </c>
      <c r="AN29" s="45">
        <f>[1]节奏总纲!AN29</f>
        <v>11.72873793404888</v>
      </c>
      <c r="AO29" s="45">
        <f>[1]节奏总纲!AO29</f>
        <v>8.7965534505366598</v>
      </c>
      <c r="AP29" s="45">
        <f>[1]节奏总纲!AP29</f>
        <v>5.8643689670244399</v>
      </c>
      <c r="AQ29" s="45">
        <f>[1]节奏总纲!AQ29</f>
        <v>2.9321844835122199</v>
      </c>
      <c r="AS29" s="45">
        <v>26</v>
      </c>
      <c r="AT29" s="45">
        <f>[1]节奏总纲!AT29</f>
        <v>2.2609224175610994</v>
      </c>
      <c r="AU29" s="45">
        <f>[1]节奏总纲!AU29</f>
        <v>1.8087379340488781</v>
      </c>
      <c r="AV29" s="45">
        <f>[1]节奏总纲!AV29</f>
        <v>1.3565534505366603</v>
      </c>
      <c r="AW29" s="45">
        <f>[1]节奏总纲!AW29</f>
        <v>0.90436896702443903</v>
      </c>
      <c r="AX29" s="45">
        <f>[1]节奏总纲!AX29</f>
        <v>0.45218448351221951</v>
      </c>
      <c r="AY29" s="45"/>
      <c r="AZ29" s="45">
        <v>26</v>
      </c>
      <c r="BA29" s="45">
        <f>[1]节奏总纲!BA29</f>
        <v>29.45033047434006</v>
      </c>
      <c r="BB29" s="45">
        <f>[1]节奏总纲!BB29</f>
        <v>30.828727146189561</v>
      </c>
      <c r="BC29" s="45">
        <f>[1]节奏总纲!BC29</f>
        <v>32.59931891681552</v>
      </c>
      <c r="BD29" s="45">
        <f>[1]节奏总纲!BD29</f>
        <v>35.146386283795508</v>
      </c>
      <c r="BE29" s="45">
        <f>[1]节奏总纲!BE29</f>
        <v>39.790623261487418</v>
      </c>
      <c r="BI29" s="49">
        <v>26</v>
      </c>
      <c r="BJ29" s="45">
        <f>[1]节奏总纲!BJ29</f>
        <v>1.7000000000000022</v>
      </c>
      <c r="BK29" s="45">
        <f>[1]节奏总纲!BK29</f>
        <v>1.7340000000000022</v>
      </c>
      <c r="BL29" s="45">
        <f>[1]节奏总纲!BL29</f>
        <v>1.8020000000000025</v>
      </c>
      <c r="BM29" s="45">
        <f>[1]节奏总纲!BM29</f>
        <v>1.9380000000000024</v>
      </c>
      <c r="BN29" s="45">
        <f>[1]节奏总纲!BN29</f>
        <v>2.380000000000003</v>
      </c>
    </row>
    <row r="30" spans="2:66" x14ac:dyDescent="0.15">
      <c r="B30" s="45">
        <f>[1]节奏总纲!B30</f>
        <v>35</v>
      </c>
      <c r="C30" s="45">
        <f>[1]节奏总纲!C30</f>
        <v>63.5</v>
      </c>
      <c r="D30" s="45">
        <f>[1]节奏总纲!D30</f>
        <v>32</v>
      </c>
      <c r="F30" s="45">
        <f>[1]节奏总纲!F30</f>
        <v>28</v>
      </c>
      <c r="G30" s="45">
        <f>[1]节奏总纲!G30</f>
        <v>5.9644045063689921</v>
      </c>
      <c r="I30" s="45">
        <f>[1]节奏总纲!I30</f>
        <v>28</v>
      </c>
      <c r="J30" s="45">
        <f>[1]节奏总纲!J30</f>
        <v>20.42625995518307</v>
      </c>
      <c r="K30" s="45">
        <f>[1]节奏总纲!K30</f>
        <v>0.86</v>
      </c>
      <c r="N30" s="45">
        <f>[1]节奏总纲!N30</f>
        <v>37</v>
      </c>
      <c r="O30" s="45">
        <v>27</v>
      </c>
      <c r="P30" s="45">
        <f>[1]节奏总纲!P30</f>
        <v>5.4980191708498847</v>
      </c>
      <c r="Q30" s="45">
        <f>[1]节奏总纲!Q30</f>
        <v>4.7882248958931646</v>
      </c>
      <c r="R30" s="45">
        <f>[1]节奏总纲!R30</f>
        <v>3.9492271704214725</v>
      </c>
      <c r="S30" s="45">
        <f>[1]节奏总纲!S30</f>
        <v>2.9205477835554587</v>
      </c>
      <c r="T30" s="45">
        <f>[1]节奏总纲!T30</f>
        <v>1.6290630803228208</v>
      </c>
      <c r="V30" s="45">
        <v>27</v>
      </c>
      <c r="W30" s="45">
        <f>[1]节奏总纲!W30</f>
        <v>0.43515290480829272</v>
      </c>
      <c r="X30" s="45">
        <f>[1]节奏总纲!X30</f>
        <v>0.37948095142414662</v>
      </c>
      <c r="Y30" s="45">
        <f>[1]节奏总纲!Y30</f>
        <v>0.31206404489719253</v>
      </c>
      <c r="Z30" s="45">
        <f>[1]节奏总纲!Z30</f>
        <v>0.2291280765277488</v>
      </c>
      <c r="AA30" s="45">
        <f>[1]节奏总纲!AA30</f>
        <v>0.12944209232130111</v>
      </c>
      <c r="AC30" s="45">
        <v>27</v>
      </c>
      <c r="AD30" s="45">
        <f>[1]节奏总纲!AD30</f>
        <v>48.071211008105138</v>
      </c>
      <c r="AE30" s="45">
        <f>[1]节奏总纲!AE30</f>
        <v>49.981218513907905</v>
      </c>
      <c r="AF30" s="45">
        <f>[1]节奏总纲!AF30</f>
        <v>52.705993248660157</v>
      </c>
      <c r="AG30" s="45">
        <f>[1]节奏总纲!AG30</f>
        <v>57.175765669822162</v>
      </c>
      <c r="AH30" s="45">
        <f>[1]节奏总纲!AH30</f>
        <v>65.541743280100334</v>
      </c>
      <c r="AL30" s="45">
        <v>27</v>
      </c>
      <c r="AM30" s="45">
        <f>[1]节奏总纲!AM30</f>
        <v>17.314186320787698</v>
      </c>
      <c r="AN30" s="45">
        <f>[1]节奏总纲!AN30</f>
        <v>13.851349056630159</v>
      </c>
      <c r="AO30" s="45">
        <f>[1]节奏总纲!AO30</f>
        <v>10.388511792472618</v>
      </c>
      <c r="AP30" s="45">
        <f>[1]节奏总纲!AP30</f>
        <v>6.9256745283150796</v>
      </c>
      <c r="AQ30" s="45">
        <f>[1]节奏总纲!AQ30</f>
        <v>3.4628372641575398</v>
      </c>
      <c r="AS30" s="45">
        <v>27</v>
      </c>
      <c r="AT30" s="45">
        <f>[1]节奏总纲!AT30</f>
        <v>2.6532639032265983</v>
      </c>
      <c r="AU30" s="45">
        <f>[1]节奏总纲!AU30</f>
        <v>2.1226111225812794</v>
      </c>
      <c r="AV30" s="45">
        <f>[1]节奏总纲!AV30</f>
        <v>1.5919583419359586</v>
      </c>
      <c r="AW30" s="45">
        <f>[1]节奏总纲!AW30</f>
        <v>1.0613055612906397</v>
      </c>
      <c r="AX30" s="45">
        <f>[1]节奏总纲!AX30</f>
        <v>0.53065278064531984</v>
      </c>
      <c r="AY30" s="45"/>
      <c r="AZ30" s="45">
        <v>27</v>
      </c>
      <c r="BA30" s="45">
        <f>[1]节奏总纲!BA30</f>
        <v>29.684232400152801</v>
      </c>
      <c r="BB30" s="45">
        <f>[1]节奏总纲!BB30</f>
        <v>31.066913270913183</v>
      </c>
      <c r="BC30" s="45">
        <f>[1]节奏总纲!BC30</f>
        <v>32.842201900114915</v>
      </c>
      <c r="BD30" s="45">
        <f>[1]节奏总纲!BD30</f>
        <v>35.390363423454687</v>
      </c>
      <c r="BE30" s="45">
        <f>[1]节奏总纲!BE30</f>
        <v>40.052446592012309</v>
      </c>
      <c r="BI30" s="49">
        <v>27</v>
      </c>
      <c r="BJ30" s="45">
        <f>[1]节奏总纲!BJ30</f>
        <v>1.7333333333333356</v>
      </c>
      <c r="BK30" s="45">
        <f>[1]节奏总纲!BK30</f>
        <v>1.7680000000000025</v>
      </c>
      <c r="BL30" s="45">
        <f>[1]节奏总纲!BL30</f>
        <v>1.8373333333333359</v>
      </c>
      <c r="BM30" s="45">
        <f>[1]节奏总纲!BM30</f>
        <v>1.9760000000000024</v>
      </c>
      <c r="BN30" s="45">
        <f>[1]节奏总纲!BN30</f>
        <v>2.4266666666666699</v>
      </c>
    </row>
    <row r="31" spans="2:66" x14ac:dyDescent="0.15">
      <c r="B31" s="45">
        <f>[1]节奏总纲!B31</f>
        <v>40</v>
      </c>
      <c r="C31" s="45">
        <f>[1]节奏总纲!C31</f>
        <v>127.5</v>
      </c>
      <c r="D31" s="45">
        <f>[1]节奏总纲!D31</f>
        <v>64</v>
      </c>
      <c r="F31" s="45">
        <f>[1]节奏总纲!F31</f>
        <v>29</v>
      </c>
      <c r="G31" s="45">
        <f>[1]节奏总纲!G31</f>
        <v>6.4642639322944575</v>
      </c>
      <c r="I31" s="45">
        <f>[1]节奏总纲!I31</f>
        <v>29</v>
      </c>
      <c r="J31" s="45">
        <f>[1]节奏总纲!J31</f>
        <v>24.074703862418847</v>
      </c>
      <c r="K31" s="45">
        <f>[1]节奏总纲!K31</f>
        <v>0.88</v>
      </c>
      <c r="N31" s="45">
        <f>[1]节奏总纲!N31</f>
        <v>38</v>
      </c>
      <c r="O31" s="45">
        <v>28</v>
      </c>
      <c r="P31" s="45">
        <f>[1]节奏总纲!P31</f>
        <v>5.9644045063689921</v>
      </c>
      <c r="Q31" s="45">
        <f>[1]节奏总纲!Q31</f>
        <v>5.1914176823435705</v>
      </c>
      <c r="R31" s="45">
        <f>[1]节奏总纲!R31</f>
        <v>4.2752851501652938</v>
      </c>
      <c r="S31" s="45">
        <f>[1]节奏总纲!S31</f>
        <v>3.1653094715300236</v>
      </c>
      <c r="T31" s="45">
        <f>[1]节奏总纲!T31</f>
        <v>1.7738139001941382</v>
      </c>
      <c r="V31" s="45">
        <v>28</v>
      </c>
      <c r="W31" s="45">
        <f>[1]节奏总纲!W31</f>
        <v>0.46638533551910744</v>
      </c>
      <c r="X31" s="45">
        <f>[1]节奏总纲!X31</f>
        <v>0.4031927864504059</v>
      </c>
      <c r="Y31" s="45">
        <f>[1]节奏总纲!Y31</f>
        <v>0.32605797974382122</v>
      </c>
      <c r="Z31" s="45">
        <f>[1]节奏总纲!Z31</f>
        <v>0.24476168797456488</v>
      </c>
      <c r="AA31" s="45">
        <f>[1]节奏总纲!AA31</f>
        <v>0.14475081987131744</v>
      </c>
      <c r="AC31" s="45">
        <v>28</v>
      </c>
      <c r="AD31" s="45">
        <f>[1]节奏总纲!AD31</f>
        <v>48.571351621712928</v>
      </c>
      <c r="AE31" s="45">
        <f>[1]节奏总纲!AE31</f>
        <v>50.509688493127967</v>
      </c>
      <c r="AF31" s="45">
        <f>[1]节奏总纲!AF31</f>
        <v>53.212684955585161</v>
      </c>
      <c r="AG31" s="45">
        <f>[1]节奏总纲!AG31</f>
        <v>57.699988965458331</v>
      </c>
      <c r="AH31" s="45">
        <f>[1]节奏总纲!AH31</f>
        <v>66.076345334947405</v>
      </c>
      <c r="AL31" s="45">
        <v>28</v>
      </c>
      <c r="AM31" s="45">
        <f>[1]节奏总纲!AM31</f>
        <v>20.42625995518307</v>
      </c>
      <c r="AN31" s="45">
        <f>[1]节奏总纲!AN31</f>
        <v>16.341007964146456</v>
      </c>
      <c r="AO31" s="45">
        <f>[1]节奏总纲!AO31</f>
        <v>12.255755973109842</v>
      </c>
      <c r="AP31" s="45">
        <f>[1]节奏总纲!AP31</f>
        <v>8.1705039820732281</v>
      </c>
      <c r="AQ31" s="45">
        <f>[1]节奏总纲!AQ31</f>
        <v>4.0852519910366141</v>
      </c>
      <c r="AS31" s="45">
        <v>28</v>
      </c>
      <c r="AT31" s="45">
        <f>[1]节奏总纲!AT31</f>
        <v>3.1120736343953723</v>
      </c>
      <c r="AU31" s="45">
        <f>[1]节奏总纲!AU31</f>
        <v>2.4896589075162971</v>
      </c>
      <c r="AV31" s="45">
        <f>[1]节奏总纲!AV31</f>
        <v>1.8672441806372237</v>
      </c>
      <c r="AW31" s="45">
        <f>[1]节奏总纲!AW31</f>
        <v>1.2448294537581486</v>
      </c>
      <c r="AX31" s="45">
        <f>[1]节奏总纲!AX31</f>
        <v>0.62241472687907429</v>
      </c>
      <c r="AY31" s="45"/>
      <c r="AZ31" s="45">
        <v>28</v>
      </c>
      <c r="BA31" s="45">
        <f>[1]节奏总纲!BA31</f>
        <v>29.918134325965539</v>
      </c>
      <c r="BB31" s="45">
        <f>[1]节奏总纲!BB31</f>
        <v>31.280110398778046</v>
      </c>
      <c r="BC31" s="45">
        <f>[1]节奏总纲!BC31</f>
        <v>33.072726100175295</v>
      </c>
      <c r="BD31" s="45">
        <f>[1]节奏总纲!BD31</f>
        <v>35.634340563113874</v>
      </c>
      <c r="BE31" s="45">
        <f>[1]节奏总纲!BE31</f>
        <v>40.28554255651148</v>
      </c>
      <c r="BI31" s="49">
        <v>28</v>
      </c>
      <c r="BJ31" s="45">
        <f>[1]节奏总纲!BJ31</f>
        <v>1.766666666666669</v>
      </c>
      <c r="BK31" s="45">
        <f>[1]节奏总纲!BK31</f>
        <v>1.8020000000000025</v>
      </c>
      <c r="BL31" s="45">
        <f>[1]节奏总纲!BL31</f>
        <v>1.8726666666666694</v>
      </c>
      <c r="BM31" s="45">
        <f>[1]节奏总纲!BM31</f>
        <v>2.0140000000000025</v>
      </c>
      <c r="BN31" s="45">
        <f>[1]节奏总纲!BN31</f>
        <v>2.4733333333333367</v>
      </c>
    </row>
    <row r="32" spans="2:66" x14ac:dyDescent="0.15">
      <c r="B32" s="45">
        <f>[1]节奏总纲!B32</f>
        <v>45</v>
      </c>
      <c r="C32" s="45">
        <f>[1]节奏总纲!C32</f>
        <v>255.5</v>
      </c>
      <c r="D32" s="45">
        <f>[1]节奏总纲!D32</f>
        <v>128</v>
      </c>
      <c r="F32" s="45">
        <f>[1]节奏总纲!F32</f>
        <v>30</v>
      </c>
      <c r="G32" s="45">
        <f>[1]节奏总纲!G32</f>
        <v>7</v>
      </c>
      <c r="I32" s="45">
        <f>[1]节奏总纲!I32</f>
        <v>30</v>
      </c>
      <c r="J32" s="45">
        <f>[1]节奏总纲!J32</f>
        <v>28.35</v>
      </c>
      <c r="K32" s="45">
        <f>[1]节奏总纲!K32</f>
        <v>0.9</v>
      </c>
      <c r="N32" s="45">
        <f>[1]节奏总纲!N32</f>
        <v>39</v>
      </c>
      <c r="O32" s="45">
        <v>29</v>
      </c>
      <c r="P32" s="45">
        <f>[1]节奏总纲!P32</f>
        <v>6.4642639322944575</v>
      </c>
      <c r="Q32" s="45">
        <f>[1]节奏总纲!Q32</f>
        <v>5.6323131642081607</v>
      </c>
      <c r="R32" s="45">
        <f>[1]节奏总纲!R32</f>
        <v>4.6510378992858623</v>
      </c>
      <c r="S32" s="45">
        <f>[1]节奏总纲!S32</f>
        <v>3.4532097926316991</v>
      </c>
      <c r="T32" s="45">
        <f>[1]节奏总纲!T32</f>
        <v>1.9366934741154194</v>
      </c>
      <c r="V32" s="45">
        <v>29</v>
      </c>
      <c r="W32" s="45">
        <f>[1]节奏总纲!W32</f>
        <v>0.49985942592546539</v>
      </c>
      <c r="X32" s="45">
        <f>[1]节奏总纲!X32</f>
        <v>0.44089548186459027</v>
      </c>
      <c r="Y32" s="45">
        <f>[1]节奏总纲!Y32</f>
        <v>0.37575274912056855</v>
      </c>
      <c r="Z32" s="45">
        <f>[1]节奏总纲!Z32</f>
        <v>0.28790032110167552</v>
      </c>
      <c r="AA32" s="45">
        <f>[1]节奏总纲!AA32</f>
        <v>0.16287957392128116</v>
      </c>
      <c r="AC32" s="45">
        <v>29</v>
      </c>
      <c r="AD32" s="45">
        <f>[1]节奏总纲!AD32</f>
        <v>49.066704614192936</v>
      </c>
      <c r="AE32" s="45">
        <f>[1]节奏总纲!AE32</f>
        <v>51.033341828534468</v>
      </c>
      <c r="AF32" s="45">
        <f>[1]节奏总纲!AF32</f>
        <v>53.719431255885922</v>
      </c>
      <c r="AG32" s="45">
        <f>[1]节奏总纲!AG32</f>
        <v>58.210135614815364</v>
      </c>
      <c r="AH32" s="45">
        <f>[1]节奏总纲!AH32</f>
        <v>66.589764070576265</v>
      </c>
      <c r="AL32" s="45">
        <v>29</v>
      </c>
      <c r="AM32" s="45">
        <f>[1]节奏总纲!AM32</f>
        <v>24.074703862418847</v>
      </c>
      <c r="AN32" s="45">
        <f>[1]节奏总纲!AN32</f>
        <v>19.259763089935078</v>
      </c>
      <c r="AO32" s="45">
        <f>[1]节奏总纲!AO32</f>
        <v>14.444822317451308</v>
      </c>
      <c r="AP32" s="45">
        <f>[1]节奏总纲!AP32</f>
        <v>9.6298815449675388</v>
      </c>
      <c r="AQ32" s="45">
        <f>[1]节奏总纲!AQ32</f>
        <v>4.8149407724837694</v>
      </c>
      <c r="AS32" s="45">
        <v>29</v>
      </c>
      <c r="AT32" s="45">
        <f>[1]节奏总纲!AT32</f>
        <v>3.6484439072357766</v>
      </c>
      <c r="AU32" s="45">
        <f>[1]节奏总纲!AU32</f>
        <v>2.9187551257886213</v>
      </c>
      <c r="AV32" s="45">
        <f>[1]节奏总纲!AV32</f>
        <v>2.189066344341466</v>
      </c>
      <c r="AW32" s="45">
        <f>[1]节奏总纲!AW32</f>
        <v>1.4593775628943106</v>
      </c>
      <c r="AX32" s="45">
        <f>[1]节奏总纲!AX32</f>
        <v>0.72968878144715532</v>
      </c>
      <c r="AY32" s="45"/>
      <c r="AZ32" s="45">
        <v>29</v>
      </c>
      <c r="BA32" s="45">
        <f>[1]节奏总纲!BA32</f>
        <v>30.12980063735499</v>
      </c>
      <c r="BB32" s="45">
        <f>[1]节奏总纲!BB32</f>
        <v>31.493307526642905</v>
      </c>
      <c r="BC32" s="45">
        <f>[1]节奏总纲!BC32</f>
        <v>33.280329748032408</v>
      </c>
      <c r="BD32" s="45">
        <f>[1]节奏总纲!BD32</f>
        <v>35.878317702773053</v>
      </c>
      <c r="BE32" s="45">
        <f>[1]节奏总纲!BE32</f>
        <v>40.518638521010644</v>
      </c>
      <c r="BI32" s="49">
        <v>29</v>
      </c>
      <c r="BJ32" s="45">
        <f>[1]节奏总纲!BJ32</f>
        <v>1.8000000000000025</v>
      </c>
      <c r="BK32" s="45">
        <f>[1]节奏总纲!BK32</f>
        <v>1.8360000000000025</v>
      </c>
      <c r="BL32" s="45">
        <f>[1]节奏总纲!BL32</f>
        <v>1.9080000000000028</v>
      </c>
      <c r="BM32" s="45">
        <f>[1]节奏总纲!BM32</f>
        <v>2.0520000000000027</v>
      </c>
      <c r="BN32" s="45">
        <f>[1]节奏总纲!BN32</f>
        <v>2.5200000000000031</v>
      </c>
    </row>
    <row r="33" spans="2:66" x14ac:dyDescent="0.15">
      <c r="B33" s="45">
        <f>[1]节奏总纲!B33</f>
        <v>50</v>
      </c>
      <c r="C33" s="45">
        <f>[1]节奏总纲!C33</f>
        <v>511.5</v>
      </c>
      <c r="D33" s="45">
        <f>[1]节奏总纲!D33</f>
        <v>256</v>
      </c>
      <c r="F33" s="45">
        <f>[1]节奏总纲!F33</f>
        <v>31</v>
      </c>
      <c r="G33" s="45">
        <f>[1]节奏总纲!G33</f>
        <v>7.5741877002903433</v>
      </c>
      <c r="I33" s="45">
        <f>[1]节奏总纲!I33</f>
        <v>31</v>
      </c>
      <c r="J33" s="45">
        <f>[1]节奏总纲!J33</f>
        <v>33.357679571112705</v>
      </c>
      <c r="K33" s="45">
        <f>[1]节奏总纲!K33</f>
        <v>0.92</v>
      </c>
      <c r="N33" s="45">
        <f>[1]节奏总纲!N33</f>
        <v>40</v>
      </c>
      <c r="O33" s="45">
        <v>30</v>
      </c>
      <c r="P33" s="45">
        <f>[1]节奏总纲!P33</f>
        <v>7</v>
      </c>
      <c r="Q33" s="45">
        <f>[1]节奏总纲!Q33</f>
        <v>6.1025999999999998</v>
      </c>
      <c r="R33" s="45">
        <f>[1]节奏总纲!R33</f>
        <v>5.0421000000000005</v>
      </c>
      <c r="S33" s="45">
        <f>[1]节奏总纲!S33</f>
        <v>3.7428999999999997</v>
      </c>
      <c r="T33" s="45">
        <f>[1]节奏总纲!T33</f>
        <v>2.1006999999999998</v>
      </c>
      <c r="V33" s="45">
        <v>30</v>
      </c>
      <c r="W33" s="45">
        <f>[1]节奏总纲!W33</f>
        <v>0.5357360677055425</v>
      </c>
      <c r="X33" s="45">
        <f>[1]节奏总纲!X33</f>
        <v>0.47028683579183905</v>
      </c>
      <c r="Y33" s="45">
        <f>[1]节奏总纲!Y33</f>
        <v>0.39106210071413816</v>
      </c>
      <c r="Z33" s="45">
        <f>[1]节奏总纲!Z33</f>
        <v>0.28969020736830053</v>
      </c>
      <c r="AA33" s="45">
        <f>[1]节奏总纲!AA33</f>
        <v>0.16400652588458042</v>
      </c>
      <c r="AC33" s="45">
        <v>30</v>
      </c>
      <c r="AD33" s="45">
        <f>[1]节奏总纲!AD33</f>
        <v>49.533352307096472</v>
      </c>
      <c r="AE33" s="45">
        <f>[1]节奏总纲!AE33</f>
        <v>51.497823295559343</v>
      </c>
      <c r="AF33" s="45">
        <f>[1]节奏总纲!AF33</f>
        <v>54.213705787583436</v>
      </c>
      <c r="AG33" s="45">
        <f>[1]节奏总纲!AG33</f>
        <v>58.701446767877648</v>
      </c>
      <c r="AH33" s="45">
        <f>[1]节奏总纲!AH33</f>
        <v>67.097551508592701</v>
      </c>
      <c r="AL33" s="45">
        <v>30</v>
      </c>
      <c r="AM33" s="45">
        <f>[1]节奏总纲!AM33</f>
        <v>28.35</v>
      </c>
      <c r="AN33" s="45">
        <f>[1]节奏总纲!AN33</f>
        <v>22.680000000000003</v>
      </c>
      <c r="AO33" s="45">
        <f>[1]节奏总纲!AO33</f>
        <v>17.010000000000002</v>
      </c>
      <c r="AP33" s="45">
        <f>[1]节奏总纲!AP33</f>
        <v>11.340000000000002</v>
      </c>
      <c r="AQ33" s="45">
        <f>[1]节奏总纲!AQ33</f>
        <v>5.6700000000000008</v>
      </c>
      <c r="AS33" s="45">
        <v>30</v>
      </c>
      <c r="AT33" s="45">
        <f>[1]节奏总纲!AT33</f>
        <v>4.2752961375811545</v>
      </c>
      <c r="AU33" s="45">
        <f>[1]节奏总纲!AU33</f>
        <v>3.4202369100649257</v>
      </c>
      <c r="AV33" s="45">
        <f>[1]节奏总纲!AV33</f>
        <v>2.5651776825486934</v>
      </c>
      <c r="AW33" s="45">
        <f>[1]节奏总纲!AW33</f>
        <v>1.7101184550324628</v>
      </c>
      <c r="AX33" s="45">
        <f>[1]节奏总纲!AX33</f>
        <v>0.85505922751623142</v>
      </c>
      <c r="AY33" s="45"/>
      <c r="AZ33" s="45">
        <v>30</v>
      </c>
      <c r="BA33" s="45">
        <f>[1]节奏总纲!BA33</f>
        <v>30.329493925593439</v>
      </c>
      <c r="BB33" s="45">
        <f>[1]节奏总纲!BB33</f>
        <v>31.706504654507764</v>
      </c>
      <c r="BC33" s="45">
        <f>[1]节奏总纲!BC33</f>
        <v>33.487933395889513</v>
      </c>
      <c r="BD33" s="45">
        <f>[1]节奏总纲!BD33</f>
        <v>36.105477566569242</v>
      </c>
      <c r="BE33" s="45">
        <f>[1]节奏总纲!BE33</f>
        <v>40.751734485509814</v>
      </c>
      <c r="BI33" s="49">
        <v>30</v>
      </c>
      <c r="BJ33" s="45">
        <f>[1]节奏总纲!BJ33</f>
        <v>1.8333333333333359</v>
      </c>
      <c r="BK33" s="45">
        <f>[1]节奏总纲!BK33</f>
        <v>1.8700000000000028</v>
      </c>
      <c r="BL33" s="45">
        <f>[1]节奏总纲!BL33</f>
        <v>1.9433333333333362</v>
      </c>
      <c r="BM33" s="45">
        <f>[1]节奏总纲!BM33</f>
        <v>2.090000000000003</v>
      </c>
      <c r="BN33" s="45">
        <f>[1]节奏总纲!BN33</f>
        <v>2.56666666666667</v>
      </c>
    </row>
    <row r="34" spans="2:66" x14ac:dyDescent="0.15">
      <c r="B34" s="45">
        <f>[1]节奏总纲!B34</f>
        <v>55</v>
      </c>
      <c r="C34" s="45">
        <f>[1]节奏总纲!C34</f>
        <v>1023.5</v>
      </c>
      <c r="D34" s="45">
        <f>[1]节奏总纲!D34</f>
        <v>512</v>
      </c>
      <c r="F34" s="45">
        <f>[1]节奏总纲!F34</f>
        <v>32</v>
      </c>
      <c r="G34" s="45">
        <f>[1]节奏总纲!G34</f>
        <v>8.189586839976279</v>
      </c>
      <c r="I34" s="45">
        <f>[1]节奏总纲!I34</f>
        <v>32</v>
      </c>
      <c r="J34" s="45">
        <f>[1]节奏总纲!J34</f>
        <v>39.220797956048642</v>
      </c>
      <c r="K34" s="45">
        <f>[1]节奏总纲!K34</f>
        <v>0.94</v>
      </c>
      <c r="N34" s="45">
        <f>[1]节奏总纲!N34</f>
        <v>41</v>
      </c>
      <c r="O34" s="45">
        <v>31</v>
      </c>
      <c r="P34" s="45">
        <f>[1]节奏总纲!P34</f>
        <v>7.5741877002903433</v>
      </c>
      <c r="Q34" s="45">
        <f>[1]节奏总纲!Q34</f>
        <v>6.6115084435834408</v>
      </c>
      <c r="R34" s="45">
        <f>[1]节奏总纲!R34</f>
        <v>5.4632615882194253</v>
      </c>
      <c r="S34" s="45">
        <f>[1]节奏总纲!S34</f>
        <v>4.052190419655334</v>
      </c>
      <c r="T34" s="45">
        <f>[1]节奏总纲!T34</f>
        <v>2.2783156602473356</v>
      </c>
      <c r="V34" s="45">
        <v>31</v>
      </c>
      <c r="W34" s="45">
        <f>[1]节奏总纲!W34</f>
        <v>0.57418770029034327</v>
      </c>
      <c r="X34" s="45">
        <f>[1]节奏总纲!X34</f>
        <v>0.50890844358344101</v>
      </c>
      <c r="Y34" s="45">
        <f>[1]节奏总纲!Y34</f>
        <v>0.42116158821942484</v>
      </c>
      <c r="Z34" s="45">
        <f>[1]节奏总纲!Z34</f>
        <v>0.30929041965533433</v>
      </c>
      <c r="AA34" s="45">
        <f>[1]节奏总纲!AA34</f>
        <v>0.17761566024733577</v>
      </c>
      <c r="AC34" s="45">
        <v>31</v>
      </c>
      <c r="AD34" s="45">
        <f>[1]节奏总纲!AD34</f>
        <v>50</v>
      </c>
      <c r="AE34" s="45">
        <f>[1]节奏总纲!AE34</f>
        <v>51.96230476258421</v>
      </c>
      <c r="AF34" s="45">
        <f>[1]节奏总纲!AF34</f>
        <v>54.692509339255828</v>
      </c>
      <c r="AG34" s="45">
        <f>[1]节奏总纲!AG34</f>
        <v>59.178112178215827</v>
      </c>
      <c r="AH34" s="45">
        <f>[1]节奏总纲!AH34</f>
        <v>67.582949939226467</v>
      </c>
      <c r="AL34" s="45">
        <v>31</v>
      </c>
      <c r="AM34" s="45">
        <f>[1]节奏总纲!AM34</f>
        <v>33.357679571112705</v>
      </c>
      <c r="AN34" s="45">
        <f>[1]节奏总纲!AN34</f>
        <v>26.686143656890167</v>
      </c>
      <c r="AO34" s="45">
        <f>[1]节奏总纲!AO34</f>
        <v>20.014607742667621</v>
      </c>
      <c r="AP34" s="45">
        <f>[1]节奏总纲!AP34</f>
        <v>13.343071828445083</v>
      </c>
      <c r="AQ34" s="45">
        <f>[1]节奏总纲!AQ34</f>
        <v>6.6715359142225417</v>
      </c>
      <c r="AS34" s="45">
        <v>31</v>
      </c>
      <c r="AT34" s="45">
        <f>[1]节奏总纲!AT34</f>
        <v>5.0076795711127033</v>
      </c>
      <c r="AU34" s="45">
        <f>[1]节奏总纲!AU34</f>
        <v>4.0061436568901634</v>
      </c>
      <c r="AV34" s="45">
        <f>[1]节奏总纲!AV34</f>
        <v>3.0046077426676199</v>
      </c>
      <c r="AW34" s="45">
        <f>[1]节奏总纲!AW34</f>
        <v>2.0030718284450817</v>
      </c>
      <c r="AX34" s="45">
        <f>[1]节奏总纲!AX34</f>
        <v>1.0015359142225408</v>
      </c>
      <c r="AY34" s="45"/>
      <c r="AZ34" s="45">
        <v>31</v>
      </c>
      <c r="BA34" s="45">
        <f>[1]节奏总纲!BA34</f>
        <v>30.529187213831889</v>
      </c>
      <c r="BB34" s="45">
        <f>[1]节奏总纲!BB34</f>
        <v>31.919701782372627</v>
      </c>
      <c r="BC34" s="45">
        <f>[1]节奏总纲!BC34</f>
        <v>33.695537043746626</v>
      </c>
      <c r="BD34" s="45">
        <f>[1]节奏总纲!BD34</f>
        <v>36.315904388158508</v>
      </c>
      <c r="BE34" s="45">
        <f>[1]节奏总纲!BE34</f>
        <v>40.984830450008978</v>
      </c>
      <c r="BI34" s="49">
        <v>31</v>
      </c>
      <c r="BJ34" s="45">
        <f>[1]节奏总纲!BJ34</f>
        <v>1.8666666666666694</v>
      </c>
      <c r="BK34" s="45">
        <f>[1]节奏总纲!BK34</f>
        <v>1.9040000000000028</v>
      </c>
      <c r="BL34" s="45">
        <f>[1]节奏总纲!BL34</f>
        <v>1.9786666666666697</v>
      </c>
      <c r="BM34" s="45">
        <f>[1]节奏总纲!BM34</f>
        <v>2.1280000000000028</v>
      </c>
      <c r="BN34" s="45">
        <f>[1]节奏总纲!BN34</f>
        <v>2.6133333333333368</v>
      </c>
    </row>
    <row r="35" spans="2:66" x14ac:dyDescent="0.15">
      <c r="B35" s="45">
        <f>[1]节奏总纲!B35</f>
        <v>60</v>
      </c>
      <c r="C35" s="45">
        <f>[1]节奏总纲!C35</f>
        <v>2047.5</v>
      </c>
      <c r="D35" s="45">
        <f>[1]节奏总纲!D35</f>
        <v>1024</v>
      </c>
      <c r="F35" s="45">
        <f>[1]节奏总纲!F35</f>
        <v>33</v>
      </c>
      <c r="G35" s="45">
        <f>[1]节奏总纲!G35</f>
        <v>8.8491553067593287</v>
      </c>
      <c r="I35" s="45">
        <f>[1]节奏总纲!I35</f>
        <v>33</v>
      </c>
      <c r="J35" s="45">
        <f>[1]节奏总纲!J35</f>
        <v>46.082812923199413</v>
      </c>
      <c r="K35" s="45">
        <f>[1]节奏总纲!K35</f>
        <v>0.96</v>
      </c>
      <c r="N35" s="45">
        <f>[1]节奏总纲!N35</f>
        <v>42</v>
      </c>
      <c r="O35" s="45">
        <v>32</v>
      </c>
      <c r="P35" s="45">
        <f>[1]节奏总纲!P35</f>
        <v>8.189586839976279</v>
      </c>
      <c r="Q35" s="45">
        <f>[1]节奏总纲!Q35</f>
        <v>7.1519661873512845</v>
      </c>
      <c r="R35" s="45">
        <f>[1]节奏总纲!R35</f>
        <v>5.906330028990892</v>
      </c>
      <c r="S35" s="45">
        <f>[1]节奏总纲!S35</f>
        <v>4.3855237528072974</v>
      </c>
      <c r="T35" s="45">
        <f>[1]节奏总纲!T35</f>
        <v>2.46506563883286</v>
      </c>
      <c r="V35" s="45">
        <v>32</v>
      </c>
      <c r="W35" s="45">
        <f>[1]节奏总纲!W35</f>
        <v>0.61539913968593574</v>
      </c>
      <c r="X35" s="45">
        <f>[1]节奏总纲!X35</f>
        <v>0.54045774376784372</v>
      </c>
      <c r="Y35" s="45">
        <f>[1]节奏总纲!Y35</f>
        <v>0.44306844077146668</v>
      </c>
      <c r="Z35" s="45">
        <f>[1]节奏总纲!Z35</f>
        <v>0.33333333315196345</v>
      </c>
      <c r="AA35" s="45">
        <f>[1]节奏总纲!AA35</f>
        <v>0.18674997858552445</v>
      </c>
      <c r="AC35" s="45">
        <v>32</v>
      </c>
      <c r="AD35" s="45">
        <f>[1]节奏总纲!AD35</f>
        <v>50.435397692903535</v>
      </c>
      <c r="AE35" s="45">
        <f>[1]节奏总纲!AE35</f>
        <v>52.391506955233744</v>
      </c>
      <c r="AF35" s="45">
        <f>[1]节奏总纲!AF35</f>
        <v>55.159275389027101</v>
      </c>
      <c r="AG35" s="45">
        <f>[1]节奏总纲!AG35</f>
        <v>59.632093520341421</v>
      </c>
      <c r="AH35" s="45">
        <f>[1]节奏总纲!AH35</f>
        <v>68.063981730538742</v>
      </c>
      <c r="AL35" s="45">
        <v>32</v>
      </c>
      <c r="AM35" s="45">
        <f>[1]节奏总纲!AM35</f>
        <v>39.220797956048642</v>
      </c>
      <c r="AN35" s="45">
        <f>[1]节奏总纲!AN35</f>
        <v>31.376638364838914</v>
      </c>
      <c r="AO35" s="45">
        <f>[1]节奏总纲!AO35</f>
        <v>23.532478773629183</v>
      </c>
      <c r="AP35" s="45">
        <f>[1]节奏总纲!AP35</f>
        <v>15.688319182419457</v>
      </c>
      <c r="AQ35" s="45">
        <f>[1]节奏总纲!AQ35</f>
        <v>7.8441595912097286</v>
      </c>
      <c r="AS35" s="45">
        <v>32</v>
      </c>
      <c r="AT35" s="45">
        <f>[1]节奏总纲!AT35</f>
        <v>5.8631183849359374</v>
      </c>
      <c r="AU35" s="45">
        <f>[1]节奏总纲!AU35</f>
        <v>4.6904947079487478</v>
      </c>
      <c r="AV35" s="45">
        <f>[1]节奏总纲!AV35</f>
        <v>3.5178710309615617</v>
      </c>
      <c r="AW35" s="45">
        <f>[1]节奏总纲!AW35</f>
        <v>2.3452473539743739</v>
      </c>
      <c r="AX35" s="45">
        <f>[1]节奏总纲!AX35</f>
        <v>1.1726236769871869</v>
      </c>
      <c r="AY35" s="45"/>
      <c r="AZ35" s="45">
        <v>32</v>
      </c>
      <c r="BA35" s="45">
        <f>[1]节奏总纲!BA35</f>
        <v>30.728880502070336</v>
      </c>
      <c r="BB35" s="45">
        <f>[1]节奏总纲!BB35</f>
        <v>32.113552950216736</v>
      </c>
      <c r="BC35" s="45">
        <f>[1]节奏总纲!BC35</f>
        <v>33.903140691603731</v>
      </c>
      <c r="BD35" s="45">
        <f>[1]节奏总纲!BD35</f>
        <v>36.526331209747774</v>
      </c>
      <c r="BE35" s="45">
        <f>[1]节奏总纲!BE35</f>
        <v>41.188041754455355</v>
      </c>
      <c r="BI35" s="49">
        <v>32</v>
      </c>
      <c r="BJ35" s="45">
        <f>[1]节奏总纲!BJ35</f>
        <v>1.9000000000000028</v>
      </c>
      <c r="BK35" s="45">
        <f>[1]节奏总纲!BK35</f>
        <v>1.9380000000000028</v>
      </c>
      <c r="BL35" s="45">
        <f>[1]节奏总纲!BL35</f>
        <v>2.0140000000000029</v>
      </c>
      <c r="BM35" s="45">
        <f>[1]节奏总纲!BM35</f>
        <v>2.166000000000003</v>
      </c>
      <c r="BN35" s="45">
        <f>[1]节奏总纲!BN35</f>
        <v>2.6600000000000037</v>
      </c>
    </row>
    <row r="36" spans="2:66" x14ac:dyDescent="0.15">
      <c r="F36" s="45">
        <f>[1]节奏总纲!F36</f>
        <v>34</v>
      </c>
      <c r="G36" s="45">
        <f>[1]节奏总纲!G36</f>
        <v>9.5560632861831518</v>
      </c>
      <c r="I36" s="45">
        <f>[1]节奏总纲!I36</f>
        <v>34</v>
      </c>
      <c r="J36" s="45">
        <f>[1]节奏总纲!J36</f>
        <v>54.110931329932889</v>
      </c>
      <c r="K36" s="45">
        <f>[1]节奏总纲!K36</f>
        <v>0.98</v>
      </c>
      <c r="N36" s="45">
        <f>[1]节奏总纲!N36</f>
        <v>43</v>
      </c>
      <c r="O36" s="45">
        <v>33</v>
      </c>
      <c r="P36" s="45">
        <f>[1]节奏总纲!P36</f>
        <v>8.8491553067593287</v>
      </c>
      <c r="Q36" s="45">
        <f>[1]节奏总纲!Q36</f>
        <v>7.7120388498407557</v>
      </c>
      <c r="R36" s="45">
        <f>[1]节奏总纲!R36</f>
        <v>6.3696219898053652</v>
      </c>
      <c r="S36" s="45">
        <f>[1]节奏总纲!S36</f>
        <v>4.736067920177593</v>
      </c>
      <c r="T36" s="45">
        <f>[1]节奏总纲!T36</f>
        <v>2.6627108318038819</v>
      </c>
      <c r="V36" s="45">
        <v>33</v>
      </c>
      <c r="W36" s="45">
        <f>[1]节奏总纲!W36</f>
        <v>0.6595684667830497</v>
      </c>
      <c r="X36" s="45">
        <f>[1]节奏总纲!X36</f>
        <v>0.56007266248947118</v>
      </c>
      <c r="Y36" s="45">
        <f>[1]节奏总纲!Y36</f>
        <v>0.46329196081447321</v>
      </c>
      <c r="Z36" s="45">
        <f>[1]节奏总纲!Z36</f>
        <v>0.35054416737029559</v>
      </c>
      <c r="AA36" s="45">
        <f>[1]节奏总纲!AA36</f>
        <v>0.1976451929710219</v>
      </c>
      <c r="AC36" s="45">
        <v>33</v>
      </c>
      <c r="AD36" s="45">
        <f>[1]节奏总纲!AD36</f>
        <v>50.870795385807064</v>
      </c>
      <c r="AE36" s="45">
        <f>[1]节奏总纲!AE36</f>
        <v>52.81759316022675</v>
      </c>
      <c r="AF36" s="45">
        <f>[1]节奏总纲!AF36</f>
        <v>55.604435245632025</v>
      </c>
      <c r="AG36" s="45">
        <f>[1]节奏总纲!AG36</f>
        <v>60.078368706270226</v>
      </c>
      <c r="AH36" s="45">
        <f>[1]节奏总纲!AH36</f>
        <v>68.518369035696878</v>
      </c>
      <c r="AL36" s="45">
        <v>33</v>
      </c>
      <c r="AM36" s="45">
        <f>[1]节奏总纲!AM36</f>
        <v>46.082812923199413</v>
      </c>
      <c r="AN36" s="45">
        <f>[1]节奏总纲!AN36</f>
        <v>36.866250338559531</v>
      </c>
      <c r="AO36" s="45">
        <f>[1]节奏总纲!AO36</f>
        <v>27.649687753919647</v>
      </c>
      <c r="AP36" s="45">
        <f>[1]节奏总纲!AP36</f>
        <v>18.433125169279766</v>
      </c>
      <c r="AQ36" s="45">
        <f>[1]节奏总纲!AQ36</f>
        <v>9.2165625846398829</v>
      </c>
      <c r="AS36" s="45">
        <v>33</v>
      </c>
      <c r="AT36" s="45">
        <f>[1]节奏总纲!AT36</f>
        <v>6.8620149671507704</v>
      </c>
      <c r="AU36" s="45">
        <f>[1]节奏总纲!AU36</f>
        <v>5.489611973720617</v>
      </c>
      <c r="AV36" s="45">
        <f>[1]节奏总纲!AV36</f>
        <v>4.1172089802904637</v>
      </c>
      <c r="AW36" s="45">
        <f>[1]节奏总纲!AW36</f>
        <v>2.7448059868603085</v>
      </c>
      <c r="AX36" s="45">
        <f>[1]节奏总纲!AX36</f>
        <v>1.3724029934301543</v>
      </c>
      <c r="AY36" s="45"/>
      <c r="AZ36" s="45">
        <v>33</v>
      </c>
      <c r="BA36" s="45">
        <f>[1]节奏总纲!BA36</f>
        <v>30.928573790308786</v>
      </c>
      <c r="BB36" s="45">
        <f>[1]节奏总纲!BB36</f>
        <v>32.295715187691279</v>
      </c>
      <c r="BC36" s="45">
        <f>[1]节奏总纲!BC36</f>
        <v>34.09469189131628</v>
      </c>
      <c r="BD36" s="45">
        <f>[1]节奏总纲!BD36</f>
        <v>36.73675803133704</v>
      </c>
      <c r="BE36" s="45">
        <f>[1]节奏总纲!BE36</f>
        <v>41.389172829914081</v>
      </c>
      <c r="BI36" s="49">
        <v>33</v>
      </c>
      <c r="BJ36" s="45">
        <f>[1]节奏总纲!BJ36</f>
        <v>1.9333333333333362</v>
      </c>
      <c r="BK36" s="45">
        <f>[1]节奏总纲!BK36</f>
        <v>1.9720000000000031</v>
      </c>
      <c r="BL36" s="45">
        <f>[1]节奏总纲!BL36</f>
        <v>2.0493333333333363</v>
      </c>
      <c r="BM36" s="45">
        <f>[1]节奏总纲!BM36</f>
        <v>2.2040000000000033</v>
      </c>
      <c r="BN36" s="45">
        <f>[1]节奏总纲!BN36</f>
        <v>2.7066666666666706</v>
      </c>
    </row>
    <row r="37" spans="2:66" x14ac:dyDescent="0.15">
      <c r="F37" s="45">
        <f>[1]节奏总纲!F37</f>
        <v>35</v>
      </c>
      <c r="G37" s="45">
        <f>[1]节奏总纲!G37</f>
        <v>10.313708498984759</v>
      </c>
      <c r="I37" s="45">
        <f>[1]节奏总纲!I37</f>
        <v>35</v>
      </c>
      <c r="J37" s="45">
        <f>[1]节奏总纲!J37</f>
        <v>63.5</v>
      </c>
      <c r="K37" s="45">
        <f>[1]节奏总纲!K37</f>
        <v>1</v>
      </c>
      <c r="N37" s="45">
        <f>[1]节奏总纲!N37</f>
        <v>44</v>
      </c>
      <c r="O37" s="45">
        <v>34</v>
      </c>
      <c r="P37" s="45">
        <f>[1]节奏总纲!P37</f>
        <v>9.5560632861831518</v>
      </c>
      <c r="Q37" s="45">
        <f>[1]节奏总纲!Q37</f>
        <v>8.3309759728944712</v>
      </c>
      <c r="R37" s="45">
        <f>[1]节奏总纲!R37</f>
        <v>6.8918328419952886</v>
      </c>
      <c r="S37" s="45">
        <f>[1]节奏总纲!S37</f>
        <v>5.1287391656944967</v>
      </c>
      <c r="T37" s="45">
        <f>[1]节奏总纲!T37</f>
        <v>2.8811530807842201</v>
      </c>
      <c r="V37" s="45">
        <v>34</v>
      </c>
      <c r="W37" s="45">
        <f>[1]节奏总纲!W37</f>
        <v>0.70690797942382311</v>
      </c>
      <c r="X37" s="45">
        <f>[1]节奏总纲!X37</f>
        <v>0.61893712305371551</v>
      </c>
      <c r="Y37" s="45">
        <f>[1]节奏总纲!Y37</f>
        <v>0.52221085218992336</v>
      </c>
      <c r="Z37" s="45">
        <f>[1]节奏总纲!Z37</f>
        <v>0.39267124551690369</v>
      </c>
      <c r="AA37" s="45">
        <f>[1]节奏总纲!AA37</f>
        <v>0.21844224898033815</v>
      </c>
      <c r="AC37" s="45">
        <v>34</v>
      </c>
      <c r="AD37" s="45">
        <f>[1]节奏总纲!AD37</f>
        <v>51.285688244217212</v>
      </c>
      <c r="AE37" s="45">
        <f>[1]节奏总纲!AE37</f>
        <v>53.226994578658328</v>
      </c>
      <c r="AF37" s="45">
        <f>[1]节奏总纲!AF37</f>
        <v>56.045896281048073</v>
      </c>
      <c r="AG37" s="45">
        <f>[1]节奏总纲!AG37</f>
        <v>60.491705764657482</v>
      </c>
      <c r="AH37" s="45">
        <f>[1]节奏总纲!AH37</f>
        <v>68.972756340855</v>
      </c>
      <c r="AL37" s="45">
        <v>34</v>
      </c>
      <c r="AM37" s="45">
        <f>[1]节奏总纲!AM37</f>
        <v>54.110931329932889</v>
      </c>
      <c r="AN37" s="45">
        <f>[1]节奏总纲!AN37</f>
        <v>43.288745063946315</v>
      </c>
      <c r="AO37" s="45">
        <f>[1]节奏总纲!AO37</f>
        <v>32.466558797959735</v>
      </c>
      <c r="AP37" s="45">
        <f>[1]节奏总纲!AP37</f>
        <v>21.644372531973158</v>
      </c>
      <c r="AQ37" s="45">
        <f>[1]节奏总纲!AQ37</f>
        <v>10.822186265986579</v>
      </c>
      <c r="AS37" s="45">
        <v>34</v>
      </c>
      <c r="AT37" s="45">
        <f>[1]节奏总纲!AT37</f>
        <v>8.0281184067334763</v>
      </c>
      <c r="AU37" s="45">
        <f>[1]节奏总纲!AU37</f>
        <v>6.4224947253867839</v>
      </c>
      <c r="AV37" s="45">
        <f>[1]节奏总纲!AV37</f>
        <v>4.8168710440400879</v>
      </c>
      <c r="AW37" s="45">
        <f>[1]节奏总纲!AW37</f>
        <v>3.2112473626933919</v>
      </c>
      <c r="AX37" s="45">
        <f>[1]节奏总纲!AX37</f>
        <v>1.605623681346696</v>
      </c>
      <c r="AY37" s="45"/>
      <c r="AZ37" s="45">
        <v>34</v>
      </c>
      <c r="BA37" s="45">
        <f>[1]节奏总纲!BA37</f>
        <v>31.109552696486158</v>
      </c>
      <c r="BB37" s="45">
        <f>[1]节奏总纲!BB37</f>
        <v>32.477877425165822</v>
      </c>
      <c r="BC37" s="45">
        <f>[1]节奏总纲!BC37</f>
        <v>34.272203285175834</v>
      </c>
      <c r="BD37" s="45">
        <f>[1]节奏总纲!BD37</f>
        <v>36.947184852926306</v>
      </c>
      <c r="BE37" s="45">
        <f>[1]节奏总纲!BE37</f>
        <v>41.590303905372799</v>
      </c>
      <c r="BI37" s="49">
        <v>34</v>
      </c>
      <c r="BJ37" s="45">
        <f>[1]节奏总纲!BJ37</f>
        <v>1.9666666666666697</v>
      </c>
      <c r="BK37" s="45">
        <f>[1]节奏总纲!BK37</f>
        <v>2.0060000000000029</v>
      </c>
      <c r="BL37" s="45">
        <f>[1]节奏总纲!BL37</f>
        <v>2.0846666666666698</v>
      </c>
      <c r="BM37" s="45">
        <f>[1]节奏总纲!BM37</f>
        <v>2.2420000000000031</v>
      </c>
      <c r="BN37" s="45">
        <f>[1]节奏总纲!BN37</f>
        <v>2.7533333333333374</v>
      </c>
    </row>
    <row r="38" spans="2:66" x14ac:dyDescent="0.15">
      <c r="F38" s="45">
        <f>[1]节奏总纲!F38</f>
        <v>36</v>
      </c>
      <c r="G38" s="45">
        <f>[1]节奏总纲!G38</f>
        <v>11.125732532083184</v>
      </c>
      <c r="I38" s="45">
        <f>[1]节奏总纲!I38</f>
        <v>36</v>
      </c>
      <c r="J38" s="45">
        <f>[1]节奏总纲!J38</f>
        <v>73.746861667008318</v>
      </c>
      <c r="K38" s="45">
        <f>[1]节奏总纲!K38</f>
        <v>1.01</v>
      </c>
      <c r="N38" s="45">
        <f>[1]节奏总纲!N38</f>
        <v>45</v>
      </c>
      <c r="O38" s="45">
        <v>35</v>
      </c>
      <c r="P38" s="45">
        <f>[1]节奏总纲!P38</f>
        <v>10.313708498984759</v>
      </c>
      <c r="Q38" s="45">
        <f>[1]节奏总纲!Q38</f>
        <v>9.0048988904635934</v>
      </c>
      <c r="R38" s="45">
        <f>[1]节奏总纲!R38</f>
        <v>7.4547485030661838</v>
      </c>
      <c r="S38" s="45">
        <f>[1]节奏总纲!S38</f>
        <v>5.5405242056546129</v>
      </c>
      <c r="T38" s="45">
        <f>[1]节奏总纲!T38</f>
        <v>3.1106144832938032</v>
      </c>
      <c r="V38" s="45">
        <v>35</v>
      </c>
      <c r="W38" s="45">
        <f>[1]节奏总纲!W38</f>
        <v>0.75764521280160757</v>
      </c>
      <c r="X38" s="45">
        <f>[1]节奏总纲!X38</f>
        <v>0.67392291756912215</v>
      </c>
      <c r="Y38" s="45">
        <f>[1]节奏总纲!Y38</f>
        <v>0.56291566107089519</v>
      </c>
      <c r="Z38" s="45">
        <f>[1]节奏总纲!Z38</f>
        <v>0.41178503996011617</v>
      </c>
      <c r="AA38" s="45">
        <f>[1]节奏总纲!AA38</f>
        <v>0.22946140250958313</v>
      </c>
      <c r="AC38" s="45">
        <v>35</v>
      </c>
      <c r="AD38" s="45">
        <f>[1]节奏总纲!AD38</f>
        <v>51.691928656135211</v>
      </c>
      <c r="AE38" s="45">
        <f>[1]节奏总纲!AE38</f>
        <v>53.623906555539456</v>
      </c>
      <c r="AF38" s="45">
        <f>[1]节奏总纲!AF38</f>
        <v>56.457855949816349</v>
      </c>
      <c r="AG38" s="45">
        <f>[1]节奏总纲!AG38</f>
        <v>60.905042823044738</v>
      </c>
      <c r="AH38" s="45">
        <f>[1]节奏总纲!AH38</f>
        <v>69.385288338144662</v>
      </c>
      <c r="AL38" s="45">
        <v>35</v>
      </c>
      <c r="AM38" s="45">
        <f>[1]节奏总纲!AM38</f>
        <v>63.5</v>
      </c>
      <c r="AN38" s="45">
        <f>[1]节奏总纲!AN38</f>
        <v>50.800000000000004</v>
      </c>
      <c r="AO38" s="45">
        <f>[1]节奏总纲!AO38</f>
        <v>38.1</v>
      </c>
      <c r="AP38" s="45">
        <f>[1]节奏总纲!AP38</f>
        <v>25.400000000000002</v>
      </c>
      <c r="AQ38" s="45">
        <f>[1]节奏总纲!AQ38</f>
        <v>12.700000000000001</v>
      </c>
      <c r="AS38" s="45">
        <v>35</v>
      </c>
      <c r="AT38" s="45">
        <f>[1]节奏总纲!AT38</f>
        <v>9.3890686700671111</v>
      </c>
      <c r="AU38" s="45">
        <f>[1]节奏总纲!AU38</f>
        <v>7.5112549360536889</v>
      </c>
      <c r="AV38" s="45">
        <f>[1]节奏总纲!AV38</f>
        <v>5.6334412020402667</v>
      </c>
      <c r="AW38" s="45">
        <f>[1]节奏总纲!AW38</f>
        <v>3.7556274680268444</v>
      </c>
      <c r="AX38" s="45">
        <f>[1]节奏总纲!AX38</f>
        <v>1.8778137340134222</v>
      </c>
      <c r="AY38" s="45"/>
      <c r="AZ38" s="45">
        <v>35</v>
      </c>
      <c r="BA38" s="45">
        <f>[1]节奏总纲!BA38</f>
        <v>31.280110398778046</v>
      </c>
      <c r="BB38" s="45">
        <f>[1]节奏总纲!BB38</f>
        <v>32.660039662640372</v>
      </c>
      <c r="BC38" s="45">
        <f>[1]节奏总纲!BC38</f>
        <v>34.449714679035388</v>
      </c>
      <c r="BD38" s="45">
        <f>[1]节奏总纲!BD38</f>
        <v>37.135950591746003</v>
      </c>
      <c r="BE38" s="45">
        <f>[1]节奏总纲!BE38</f>
        <v>41.791434980831518</v>
      </c>
      <c r="BI38" s="49">
        <v>35</v>
      </c>
      <c r="BJ38" s="45">
        <f>[1]节奏总纲!BJ38</f>
        <v>2.0000000000000031</v>
      </c>
      <c r="BK38" s="45">
        <f>[1]节奏总纲!BK38</f>
        <v>2.0400000000000031</v>
      </c>
      <c r="BL38" s="45">
        <f>[1]节奏总纲!BL38</f>
        <v>2.1200000000000032</v>
      </c>
      <c r="BM38" s="45">
        <f>[1]节奏总纲!BM38</f>
        <v>2.2800000000000034</v>
      </c>
      <c r="BN38" s="45">
        <f>[1]节奏总纲!BN38</f>
        <v>2.8000000000000043</v>
      </c>
    </row>
    <row r="39" spans="2:66" x14ac:dyDescent="0.15">
      <c r="F39" s="45">
        <f>[1]节奏总纲!F39</f>
        <v>37</v>
      </c>
      <c r="G39" s="45">
        <f>[1]节奏总纲!G39</f>
        <v>11.996038341699768</v>
      </c>
      <c r="I39" s="45">
        <f>[1]节奏总纲!I39</f>
        <v>37</v>
      </c>
      <c r="J39" s="45">
        <f>[1]节奏总纲!J39</f>
        <v>85.62747641525452</v>
      </c>
      <c r="K39" s="45">
        <f>[1]节奏总纲!K39</f>
        <v>1.02</v>
      </c>
      <c r="N39" s="45">
        <f>[1]节奏总纲!N39</f>
        <v>46</v>
      </c>
      <c r="O39" s="45">
        <v>36</v>
      </c>
      <c r="P39" s="45">
        <f>[1]节奏总纲!P39</f>
        <v>11.125732532083184</v>
      </c>
      <c r="Q39" s="45">
        <f>[1]节奏总纲!Q39</f>
        <v>9.7261153795471191</v>
      </c>
      <c r="R39" s="45">
        <f>[1]节奏总纲!R39</f>
        <v>8.0405669009365166</v>
      </c>
      <c r="S39" s="45">
        <f>[1]节奏总纲!S39</f>
        <v>5.9700680767158358</v>
      </c>
      <c r="T39" s="45">
        <f>[1]节奏总纲!T39</f>
        <v>3.3388323328781633</v>
      </c>
      <c r="V39" s="45">
        <v>36</v>
      </c>
      <c r="W39" s="45">
        <f>[1]节奏总纲!W39</f>
        <v>0.81202403309842452</v>
      </c>
      <c r="X39" s="45">
        <f>[1]节奏总纲!X39</f>
        <v>0.72121648908352576</v>
      </c>
      <c r="Y39" s="45">
        <f>[1]节奏总纲!Y39</f>
        <v>0.58581839787033285</v>
      </c>
      <c r="Z39" s="45">
        <f>[1]节奏总纲!Z39</f>
        <v>0.42954387106122294</v>
      </c>
      <c r="AA39" s="45">
        <f>[1]节奏总纲!AA39</f>
        <v>0.22821784958436009</v>
      </c>
      <c r="AC39" s="45">
        <v>36</v>
      </c>
      <c r="AD39" s="45">
        <f>[1]节奏总纲!AD39</f>
        <v>52.091594979242075</v>
      </c>
      <c r="AE39" s="45">
        <f>[1]节奏总纲!AE39</f>
        <v>54.020289560649204</v>
      </c>
      <c r="AF39" s="45">
        <f>[1]节奏总纲!AF39</f>
        <v>56.869815618584624</v>
      </c>
      <c r="AG39" s="45">
        <f>[1]节奏总纲!AG39</f>
        <v>61.294362422865476</v>
      </c>
      <c r="AH39" s="45">
        <f>[1]节奏总纲!AH39</f>
        <v>69.795150761037945</v>
      </c>
      <c r="AL39" s="45">
        <v>36</v>
      </c>
      <c r="AM39" s="45">
        <f>[1]节奏总纲!AM39</f>
        <v>73.746861667008318</v>
      </c>
      <c r="AN39" s="45">
        <f>[1]节奏总纲!AN39</f>
        <v>58.997489333606659</v>
      </c>
      <c r="AO39" s="45">
        <f>[1]节奏总纲!AO39</f>
        <v>44.248117000204992</v>
      </c>
      <c r="AP39" s="45">
        <f>[1]节奏总纲!AP39</f>
        <v>29.498744666803329</v>
      </c>
      <c r="AQ39" s="45">
        <f>[1]节奏总纲!AQ39</f>
        <v>14.749372333401665</v>
      </c>
      <c r="AS39" s="45">
        <v>36</v>
      </c>
      <c r="AT39" s="45">
        <f>[1]节奏总纲!AT39</f>
        <v>10.246861667008318</v>
      </c>
      <c r="AU39" s="45">
        <f>[1]节奏总纲!AU39</f>
        <v>8.1974893336066543</v>
      </c>
      <c r="AV39" s="45">
        <f>[1]节奏总纲!AV39</f>
        <v>6.1481170002049907</v>
      </c>
      <c r="AW39" s="45">
        <f>[1]节奏总纲!AW39</f>
        <v>4.0987446668033272</v>
      </c>
      <c r="AX39" s="45">
        <f>[1]节奏总纲!AX39</f>
        <v>2.0493723334016636</v>
      </c>
      <c r="AY39" s="45"/>
      <c r="AZ39" s="45">
        <v>36</v>
      </c>
      <c r="BA39" s="45">
        <f>[1]节奏总纲!BA39</f>
        <v>31.450668101069933</v>
      </c>
      <c r="BB39" s="45">
        <f>[1]节奏总纲!BB39</f>
        <v>32.842201900114915</v>
      </c>
      <c r="BC39" s="45">
        <f>[1]节奏总纲!BC39</f>
        <v>34.627226072894942</v>
      </c>
      <c r="BD39" s="45">
        <f>[1]节奏总纲!BD39</f>
        <v>37.317457773889828</v>
      </c>
      <c r="BE39" s="45">
        <f>[1]节奏总纲!BE39</f>
        <v>41.992566056290244</v>
      </c>
      <c r="BI39" s="49">
        <v>36</v>
      </c>
      <c r="BJ39" s="45">
        <f>[1]节奏总纲!BJ39</f>
        <v>2.0333333333333363</v>
      </c>
      <c r="BK39" s="45">
        <f>[1]节奏总纲!BK39</f>
        <v>2.074000000000003</v>
      </c>
      <c r="BL39" s="45">
        <f>[1]节奏总纲!BL39</f>
        <v>2.1553333333333367</v>
      </c>
      <c r="BM39" s="45">
        <f>[1]节奏总纲!BM39</f>
        <v>2.3180000000000032</v>
      </c>
      <c r="BN39" s="45">
        <f>[1]节奏总纲!BN39</f>
        <v>2.8466666666666707</v>
      </c>
    </row>
    <row r="40" spans="2:66" x14ac:dyDescent="0.15">
      <c r="F40" s="45">
        <f>[1]节奏总纲!F40</f>
        <v>38</v>
      </c>
      <c r="G40" s="45">
        <f>[1]节奏总纲!G40</f>
        <v>12.928809012737984</v>
      </c>
      <c r="I40" s="45">
        <f>[1]节奏总纲!I40</f>
        <v>38</v>
      </c>
      <c r="J40" s="45">
        <f>[1]节奏总纲!J40</f>
        <v>99.401036064365428</v>
      </c>
      <c r="K40" s="45">
        <f>[1]节奏总纲!K40</f>
        <v>1.03</v>
      </c>
      <c r="N40" s="45">
        <f>[1]节奏总纲!N40</f>
        <v>47</v>
      </c>
      <c r="O40" s="45">
        <v>37</v>
      </c>
      <c r="P40" s="45">
        <f>[1]节奏总纲!P40</f>
        <v>11.996038341699768</v>
      </c>
      <c r="Q40" s="45">
        <f>[1]节奏总纲!Q40</f>
        <v>10.483337906811427</v>
      </c>
      <c r="R40" s="45">
        <f>[1]节奏总纲!R40</f>
        <v>8.6671377018780831</v>
      </c>
      <c r="S40" s="45">
        <f>[1]节奏总纲!S40</f>
        <v>6.4166809089752066</v>
      </c>
      <c r="T40" s="45">
        <f>[1]节奏总纲!T40</f>
        <v>3.6000111063441</v>
      </c>
      <c r="V40" s="45">
        <v>37</v>
      </c>
      <c r="W40" s="45">
        <f>[1]节奏总纲!W40</f>
        <v>0.87030580961658366</v>
      </c>
      <c r="X40" s="45">
        <f>[1]节奏总纲!X40</f>
        <v>0.75722252726430739</v>
      </c>
      <c r="Y40" s="45">
        <f>[1]节奏总纲!Y40</f>
        <v>0.62657080094156647</v>
      </c>
      <c r="Z40" s="45">
        <f>[1]节奏总纲!Z40</f>
        <v>0.44661283225937076</v>
      </c>
      <c r="AA40" s="45">
        <f>[1]节奏总纲!AA40</f>
        <v>0.26117877346593676</v>
      </c>
      <c r="AC40" s="45">
        <v>37</v>
      </c>
      <c r="AD40" s="45">
        <f>[1]节奏总纲!AD40</f>
        <v>52.470630686057078</v>
      </c>
      <c r="AE40" s="45">
        <f>[1]节奏总纲!AE40</f>
        <v>54.407116521581436</v>
      </c>
      <c r="AF40" s="45">
        <f>[1]节奏总纲!AF40</f>
        <v>57.263329041432932</v>
      </c>
      <c r="AG40" s="45">
        <f>[1]节奏总纲!AG40</f>
        <v>61.676518787205197</v>
      </c>
      <c r="AH40" s="45">
        <f>[1]节奏总纲!AH40</f>
        <v>70.190427169053478</v>
      </c>
      <c r="AL40" s="45">
        <v>37</v>
      </c>
      <c r="AM40" s="45">
        <f>[1]节奏总纲!AM40</f>
        <v>85.62747641525452</v>
      </c>
      <c r="AN40" s="45">
        <f>[1]节奏总纲!AN40</f>
        <v>68.501981132203625</v>
      </c>
      <c r="AO40" s="45">
        <f>[1]节奏总纲!AO40</f>
        <v>51.376485849152708</v>
      </c>
      <c r="AP40" s="45">
        <f>[1]节奏总纲!AP40</f>
        <v>34.250990566101812</v>
      </c>
      <c r="AQ40" s="45">
        <f>[1]节奏总纲!AQ40</f>
        <v>17.125495283050906</v>
      </c>
      <c r="AS40" s="45">
        <v>37</v>
      </c>
      <c r="AT40" s="45">
        <f>[1]节奏总纲!AT40</f>
        <v>11.880614748246202</v>
      </c>
      <c r="AU40" s="45">
        <f>[1]节奏总纲!AU40</f>
        <v>9.5044917985969661</v>
      </c>
      <c r="AV40" s="45">
        <f>[1]节奏总纲!AV40</f>
        <v>7.1283688489477157</v>
      </c>
      <c r="AW40" s="45">
        <f>[1]节奏总纲!AW40</f>
        <v>4.7522458992984831</v>
      </c>
      <c r="AX40" s="45">
        <f>[1]节奏总纲!AX40</f>
        <v>2.3761229496492415</v>
      </c>
      <c r="AY40" s="45"/>
      <c r="AZ40" s="45">
        <v>37</v>
      </c>
      <c r="BA40" s="45">
        <f>[1]节奏总纲!BA40</f>
        <v>31.621225803361821</v>
      </c>
      <c r="BB40" s="45">
        <f>[1]节奏总纲!BB40</f>
        <v>33.02082518821102</v>
      </c>
      <c r="BC40" s="45">
        <f>[1]节奏总纲!BC40</f>
        <v>34.804737466754489</v>
      </c>
      <c r="BD40" s="45">
        <f>[1]节奏总纲!BD40</f>
        <v>37.498964956033646</v>
      </c>
      <c r="BE40" s="45">
        <f>[1]节奏总纲!BE40</f>
        <v>42.167148737437564</v>
      </c>
      <c r="BI40" s="49">
        <v>37</v>
      </c>
      <c r="BJ40" s="45">
        <f>[1]节奏总纲!BJ40</f>
        <v>2.0666666666666695</v>
      </c>
      <c r="BK40" s="45">
        <f>[1]节奏总纲!BK40</f>
        <v>2.1080000000000028</v>
      </c>
      <c r="BL40" s="45">
        <f>[1]节奏总纲!BL40</f>
        <v>2.1906666666666696</v>
      </c>
      <c r="BM40" s="45">
        <f>[1]节奏总纲!BM40</f>
        <v>2.356000000000003</v>
      </c>
      <c r="BN40" s="45">
        <f>[1]节奏总纲!BN40</f>
        <v>2.8933333333333371</v>
      </c>
    </row>
    <row r="41" spans="2:66" x14ac:dyDescent="0.15">
      <c r="F41" s="45">
        <f>[1]节奏总纲!F41</f>
        <v>39</v>
      </c>
      <c r="G41" s="45">
        <f>[1]节奏总纲!G41</f>
        <v>13.928527864588917</v>
      </c>
      <c r="I41" s="45">
        <f>[1]节奏总纲!I41</f>
        <v>39</v>
      </c>
      <c r="J41" s="45">
        <f>[1]节奏总纲!J41</f>
        <v>115.36769098598003</v>
      </c>
      <c r="K41" s="45">
        <f>[1]节奏总纲!K41</f>
        <v>1.04</v>
      </c>
      <c r="N41" s="45">
        <f>[1]节奏总纲!N41</f>
        <v>48</v>
      </c>
      <c r="O41" s="45">
        <v>38</v>
      </c>
      <c r="P41" s="45">
        <f>[1]节奏总纲!P41</f>
        <v>12.928809012737984</v>
      </c>
      <c r="Q41" s="45">
        <f>[1]节奏总纲!Q41</f>
        <v>11.292021791725356</v>
      </c>
      <c r="R41" s="45">
        <f>[1]节奏总纲!R41</f>
        <v>9.3190855363815395</v>
      </c>
      <c r="S41" s="45">
        <f>[1]节奏总纲!S41</f>
        <v>6.8962267273944402</v>
      </c>
      <c r="T41" s="45">
        <f>[1]节奏总纲!T41</f>
        <v>3.8708854184137524</v>
      </c>
      <c r="V41" s="45">
        <v>38</v>
      </c>
      <c r="W41" s="45">
        <f>[1]节奏总纲!W41</f>
        <v>0.93277067103821665</v>
      </c>
      <c r="X41" s="45">
        <f>[1]节奏总纲!X41</f>
        <v>0.80868388491392906</v>
      </c>
      <c r="Y41" s="45">
        <f>[1]节奏总纲!Y41</f>
        <v>0.65194783450345639</v>
      </c>
      <c r="Z41" s="45">
        <f>[1]节奏总纲!Z41</f>
        <v>0.4795458184192336</v>
      </c>
      <c r="AA41" s="45">
        <f>[1]节奏总纲!AA41</f>
        <v>0.2708743120696524</v>
      </c>
      <c r="AC41" s="45">
        <v>38</v>
      </c>
      <c r="AD41" s="45">
        <f>[1]节奏总纲!AD41</f>
        <v>52.849666392872081</v>
      </c>
      <c r="AE41" s="45">
        <f>[1]节奏总纲!AE41</f>
        <v>54.793943482513676</v>
      </c>
      <c r="AF41" s="45">
        <f>[1]节奏总纲!AF41</f>
        <v>57.64832002380362</v>
      </c>
      <c r="AG41" s="45">
        <f>[1]节奏总纲!AG41</f>
        <v>62.054222259937362</v>
      </c>
      <c r="AH41" s="45">
        <f>[1]节奏总纲!AH41</f>
        <v>70.571129226337533</v>
      </c>
      <c r="AL41" s="45">
        <v>38</v>
      </c>
      <c r="AM41" s="45">
        <f>[1]节奏总纲!AM41</f>
        <v>99.401036064365428</v>
      </c>
      <c r="AN41" s="45">
        <f>[1]节奏总纲!AN41</f>
        <v>79.520828851492354</v>
      </c>
      <c r="AO41" s="45">
        <f>[1]节奏总纲!AO41</f>
        <v>59.640621638619251</v>
      </c>
      <c r="AP41" s="45">
        <f>[1]节奏总纲!AP41</f>
        <v>39.760414425746177</v>
      </c>
      <c r="AQ41" s="45">
        <f>[1]节奏总纲!AQ41</f>
        <v>19.880207212873088</v>
      </c>
      <c r="AS41" s="45">
        <v>38</v>
      </c>
      <c r="AT41" s="45">
        <f>[1]节奏总纲!AT41</f>
        <v>13.773559649110908</v>
      </c>
      <c r="AU41" s="45">
        <f>[1]节奏总纲!AU41</f>
        <v>11.018847719288729</v>
      </c>
      <c r="AV41" s="45">
        <f>[1]节奏总纲!AV41</f>
        <v>8.2641357894665433</v>
      </c>
      <c r="AW41" s="45">
        <f>[1]节奏总纲!AW41</f>
        <v>5.5094238596443645</v>
      </c>
      <c r="AX41" s="45">
        <f>[1]节奏总纲!AX41</f>
        <v>2.7547119298221823</v>
      </c>
      <c r="AY41" s="45"/>
      <c r="AZ41" s="45">
        <v>38</v>
      </c>
      <c r="BA41" s="45">
        <f>[1]节奏总纲!BA41</f>
        <v>31.791783505653711</v>
      </c>
      <c r="BB41" s="45">
        <f>[1]节奏总纲!BB41</f>
        <v>33.176527924103851</v>
      </c>
      <c r="BC41" s="45">
        <f>[1]节奏总纲!BC41</f>
        <v>34.982248860614042</v>
      </c>
      <c r="BD41" s="45">
        <f>[1]节奏总纲!BD41</f>
        <v>37.680472138177471</v>
      </c>
      <c r="BE41" s="45">
        <f>[1]节奏总纲!BE41</f>
        <v>42.340712512072891</v>
      </c>
      <c r="BI41" s="49">
        <v>38</v>
      </c>
      <c r="BJ41" s="45">
        <f>[1]节奏总纲!BJ41</f>
        <v>2.1000000000000028</v>
      </c>
      <c r="BK41" s="45">
        <f>[1]节奏总纲!BK41</f>
        <v>2.142000000000003</v>
      </c>
      <c r="BL41" s="45">
        <f>[1]节奏总纲!BL41</f>
        <v>2.2260000000000031</v>
      </c>
      <c r="BM41" s="45">
        <f>[1]节奏总纲!BM41</f>
        <v>2.3940000000000028</v>
      </c>
      <c r="BN41" s="45">
        <f>[1]节奏总纲!BN41</f>
        <v>2.9400000000000035</v>
      </c>
    </row>
    <row r="42" spans="2:66" x14ac:dyDescent="0.15">
      <c r="F42" s="45">
        <f>[1]节奏总纲!F42</f>
        <v>40</v>
      </c>
      <c r="G42" s="45">
        <f>[1]节奏总纲!G42</f>
        <v>15</v>
      </c>
      <c r="I42" s="45">
        <f>[1]节奏总纲!I42</f>
        <v>40</v>
      </c>
      <c r="J42" s="45">
        <f>[1]节奏总纲!J42</f>
        <v>133.875</v>
      </c>
      <c r="K42" s="45">
        <f>[1]节奏总纲!K42</f>
        <v>1.05</v>
      </c>
      <c r="N42" s="45">
        <f>[1]节奏总纲!N42</f>
        <v>49</v>
      </c>
      <c r="O42" s="45">
        <v>39</v>
      </c>
      <c r="P42" s="45">
        <f>[1]节奏总纲!P42</f>
        <v>13.928527864588917</v>
      </c>
      <c r="Q42" s="45">
        <f>[1]节奏总纲!Q42</f>
        <v>12.147069150707994</v>
      </c>
      <c r="R42" s="45">
        <f>[1]节奏总纲!R42</f>
        <v>10.016004387425889</v>
      </c>
      <c r="S42" s="45">
        <f>[1]节奏总纲!S42</f>
        <v>7.4197267934665154</v>
      </c>
      <c r="T42" s="45">
        <f>[1]节奏总纲!T42</f>
        <v>4.1702012426579218</v>
      </c>
      <c r="V42" s="45">
        <v>39</v>
      </c>
      <c r="W42" s="45">
        <f>[1]节奏总纲!W42</f>
        <v>0.99971885185093257</v>
      </c>
      <c r="X42" s="45">
        <f>[1]节奏总纲!X42</f>
        <v>0.85504735898263817</v>
      </c>
      <c r="Y42" s="45">
        <f>[1]节奏总纲!Y42</f>
        <v>0.69691885104434981</v>
      </c>
      <c r="Z42" s="45">
        <f>[1]节奏总纲!Z42</f>
        <v>0.52350006607207522</v>
      </c>
      <c r="AA42" s="45">
        <f>[1]节奏总纲!AA42</f>
        <v>0.29931582424416936</v>
      </c>
      <c r="AC42" s="45">
        <v>39</v>
      </c>
      <c r="AD42" s="45">
        <f>[1]节奏总纲!AD42</f>
        <v>53.213386604241784</v>
      </c>
      <c r="AE42" s="45">
        <f>[1]节奏总纲!AE42</f>
        <v>55.170390866416149</v>
      </c>
      <c r="AF42" s="45">
        <f>[1]节奏总纲!AF42</f>
        <v>58.030740707238266</v>
      </c>
      <c r="AG42" s="45">
        <f>[1]节奏总纲!AG42</f>
        <v>62.407376554018477</v>
      </c>
      <c r="AH42" s="45">
        <f>[1]节奏总纲!AH42</f>
        <v>70.951831283621587</v>
      </c>
      <c r="AL42" s="45">
        <v>39</v>
      </c>
      <c r="AM42" s="45">
        <f>[1]节奏总纲!AM42</f>
        <v>115.36769098598003</v>
      </c>
      <c r="AN42" s="45">
        <f>[1]节奏总纲!AN42</f>
        <v>92.294152788784032</v>
      </c>
      <c r="AO42" s="45">
        <f>[1]节奏总纲!AO42</f>
        <v>69.220614591588017</v>
      </c>
      <c r="AP42" s="45">
        <f>[1]节奏总纲!AP42</f>
        <v>46.147076394392016</v>
      </c>
      <c r="AQ42" s="45">
        <f>[1]节奏总纲!AQ42</f>
        <v>23.073538197196008</v>
      </c>
      <c r="AS42" s="45">
        <v>39</v>
      </c>
      <c r="AT42" s="45">
        <f>[1]节奏总纲!AT42</f>
        <v>15.966654921614605</v>
      </c>
      <c r="AU42" s="45">
        <f>[1]节奏总纲!AU42</f>
        <v>12.773323937291678</v>
      </c>
      <c r="AV42" s="45">
        <f>[1]节奏总纲!AV42</f>
        <v>9.579992952968766</v>
      </c>
      <c r="AW42" s="45">
        <f>[1]节奏总纲!AW42</f>
        <v>6.3866619686458392</v>
      </c>
      <c r="AX42" s="45">
        <f>[1]节奏总纲!AX42</f>
        <v>3.1933309843229196</v>
      </c>
      <c r="AY42" s="45"/>
      <c r="AZ42" s="45">
        <v>39</v>
      </c>
      <c r="BA42" s="45">
        <f>[1]节奏总纲!BA42</f>
        <v>31.962341207945599</v>
      </c>
      <c r="BB42" s="45">
        <f>[1]节奏总纲!BB42</f>
        <v>33.332230659996682</v>
      </c>
      <c r="BC42" s="45">
        <f>[1]节奏总纲!BC42</f>
        <v>35.146386283795508</v>
      </c>
      <c r="BD42" s="45">
        <f>[1]节奏总纲!BD42</f>
        <v>37.861979320321296</v>
      </c>
      <c r="BE42" s="45">
        <f>[1]节奏总纲!BE42</f>
        <v>42.51427628670821</v>
      </c>
      <c r="BI42" s="49">
        <v>39</v>
      </c>
      <c r="BJ42" s="45">
        <f>[1]节奏总纲!BJ42</f>
        <v>2.133333333333336</v>
      </c>
      <c r="BK42" s="45">
        <f>[1]节奏总纲!BK42</f>
        <v>2.1760000000000028</v>
      </c>
      <c r="BL42" s="45">
        <f>[1]节奏总纲!BL42</f>
        <v>2.2613333333333361</v>
      </c>
      <c r="BM42" s="45">
        <f>[1]节奏总纲!BM42</f>
        <v>2.4320000000000026</v>
      </c>
      <c r="BN42" s="45">
        <f>[1]节奏总纲!BN42</f>
        <v>2.9866666666666704</v>
      </c>
    </row>
    <row r="43" spans="2:66" x14ac:dyDescent="0.15">
      <c r="F43" s="45">
        <f>[1]节奏总纲!F43</f>
        <v>41</v>
      </c>
      <c r="G43" s="45">
        <f>[1]节奏总纲!G43</f>
        <v>16.148375400580683</v>
      </c>
      <c r="I43" s="45">
        <f>[1]节奏总纲!I43</f>
        <v>41</v>
      </c>
      <c r="J43" s="45">
        <f>[1]节奏总纲!J43</f>
        <v>155.32539280599755</v>
      </c>
      <c r="K43" s="45">
        <f>[1]节奏总纲!K43</f>
        <v>1.06</v>
      </c>
      <c r="N43" s="45">
        <f>[1]节奏总纲!N43</f>
        <v>50</v>
      </c>
      <c r="O43" s="45">
        <v>40</v>
      </c>
      <c r="P43" s="45">
        <f>[1]节奏总纲!P43</f>
        <v>15</v>
      </c>
      <c r="Q43" s="45">
        <f>[1]节奏总纲!Q43</f>
        <v>13.059000000000001</v>
      </c>
      <c r="R43" s="45">
        <f>[1]节奏总纲!R43</f>
        <v>10.782</v>
      </c>
      <c r="S43" s="45">
        <f>[1]节奏总纲!S43</f>
        <v>8.0009999999999994</v>
      </c>
      <c r="T43" s="45">
        <f>[1]节奏总纲!T43</f>
        <v>4.5</v>
      </c>
      <c r="V43" s="45">
        <v>40</v>
      </c>
      <c r="W43" s="45">
        <f>[1]节奏总纲!W43</f>
        <v>1.0714721354110832</v>
      </c>
      <c r="X43" s="45">
        <f>[1]节奏总纲!X43</f>
        <v>0.9119308492920073</v>
      </c>
      <c r="Y43" s="45">
        <f>[1]节奏总纲!Y43</f>
        <v>0.76599561257411075</v>
      </c>
      <c r="Z43" s="45">
        <f>[1]节奏总纲!Z43</f>
        <v>0.58127320653348402</v>
      </c>
      <c r="AA43" s="45">
        <f>[1]节奏总纲!AA43</f>
        <v>0.3297987573420782</v>
      </c>
      <c r="AC43" s="45">
        <v>40</v>
      </c>
      <c r="AD43" s="45">
        <f>[1]节奏总纲!AD43</f>
        <v>53.567039423670657</v>
      </c>
      <c r="AE43" s="45">
        <f>[1]节奏总纲!AE43</f>
        <v>55.535006783542492</v>
      </c>
      <c r="AF43" s="45">
        <f>[1]节奏总纲!AF43</f>
        <v>58.38602553461638</v>
      </c>
      <c r="AG43" s="45">
        <f>[1]节奏总纲!AG43</f>
        <v>62.760530848099599</v>
      </c>
      <c r="AH43" s="45">
        <f>[1]节奏总纲!AH43</f>
        <v>71.315281959371688</v>
      </c>
      <c r="AL43" s="45">
        <v>40</v>
      </c>
      <c r="AM43" s="45">
        <f>[1]节奏总纲!AM43</f>
        <v>133.875</v>
      </c>
      <c r="AN43" s="45">
        <f>[1]节奏总纲!AN43</f>
        <v>107.10000000000001</v>
      </c>
      <c r="AO43" s="45">
        <f>[1]节奏总纲!AO43</f>
        <v>80.325000000000003</v>
      </c>
      <c r="AP43" s="45">
        <f>[1]节奏总纲!AP43</f>
        <v>53.550000000000004</v>
      </c>
      <c r="AQ43" s="45">
        <f>[1]节奏总纲!AQ43</f>
        <v>26.775000000000002</v>
      </c>
      <c r="AS43" s="45">
        <v>40</v>
      </c>
      <c r="AT43" s="45">
        <f>[1]节奏总纲!AT43</f>
        <v>18.507309014019967</v>
      </c>
      <c r="AU43" s="45">
        <f>[1]节奏总纲!AU43</f>
        <v>14.805847211215976</v>
      </c>
      <c r="AV43" s="45">
        <f>[1]节奏总纲!AV43</f>
        <v>11.104385408411986</v>
      </c>
      <c r="AW43" s="45">
        <f>[1]节奏总纲!AW43</f>
        <v>7.4029236056079881</v>
      </c>
      <c r="AX43" s="45">
        <f>[1]节奏总纲!AX43</f>
        <v>3.7014618028039941</v>
      </c>
      <c r="AY43" s="45"/>
      <c r="AZ43" s="45">
        <v>40</v>
      </c>
      <c r="BA43" s="45">
        <f>[1]节奏总纲!BA43</f>
        <v>32.113552950216736</v>
      </c>
      <c r="BB43" s="45">
        <f>[1]节奏总纲!BB43</f>
        <v>33.487933395889513</v>
      </c>
      <c r="BC43" s="45">
        <f>[1]节奏总纲!BC43</f>
        <v>35.309037710234961</v>
      </c>
      <c r="BD43" s="45">
        <f>[1]节奏总纲!BD43</f>
        <v>38.037513426486328</v>
      </c>
      <c r="BE43" s="45">
        <f>[1]节奏总纲!BE43</f>
        <v>42.687840061343536</v>
      </c>
      <c r="BI43" s="49">
        <v>40</v>
      </c>
      <c r="BJ43" s="45">
        <f>[1]节奏总纲!BJ43</f>
        <v>2.1666666666666692</v>
      </c>
      <c r="BK43" s="45">
        <f>[1]节奏总纲!BK43</f>
        <v>2.2100000000000026</v>
      </c>
      <c r="BL43" s="45">
        <f>[1]节奏总纲!BL43</f>
        <v>2.2966666666666695</v>
      </c>
      <c r="BM43" s="45">
        <f>[1]节奏总纲!BM43</f>
        <v>2.4700000000000029</v>
      </c>
      <c r="BN43" s="45">
        <f>[1]节奏总纲!BN43</f>
        <v>3.0333333333333368</v>
      </c>
    </row>
    <row r="44" spans="2:66" x14ac:dyDescent="0.15">
      <c r="F44" s="45">
        <f>[1]节奏总纲!F44</f>
        <v>42</v>
      </c>
      <c r="G44" s="45">
        <f>[1]节奏总纲!G44</f>
        <v>17.379173679952558</v>
      </c>
      <c r="I44" s="45">
        <f>[1]节奏总纲!I44</f>
        <v>42</v>
      </c>
      <c r="J44" s="45">
        <f>[1]节奏总纲!J44</f>
        <v>180.18480345945557</v>
      </c>
      <c r="K44" s="45">
        <f>[1]节奏总纲!K44</f>
        <v>1.07</v>
      </c>
      <c r="N44" s="45">
        <f>[1]节奏总纲!N44</f>
        <v>51</v>
      </c>
      <c r="O44" s="45">
        <v>41</v>
      </c>
      <c r="P44" s="45">
        <f>[1]节奏总纲!P44</f>
        <v>16.148375400580683</v>
      </c>
      <c r="Q44" s="45">
        <f>[1]节奏总纲!Q44</f>
        <v>14.065234973905774</v>
      </c>
      <c r="R44" s="45">
        <f>[1]节奏总纲!R44</f>
        <v>11.621985775797917</v>
      </c>
      <c r="S44" s="45">
        <f>[1]节奏总纲!S44</f>
        <v>8.6296918140703163</v>
      </c>
      <c r="T44" s="45">
        <f>[1]节奏总纲!T44</f>
        <v>4.8606609955747855</v>
      </c>
      <c r="V44" s="45">
        <v>41</v>
      </c>
      <c r="W44" s="45">
        <f>[1]节奏总纲!W44</f>
        <v>1.148375400580683</v>
      </c>
      <c r="X44" s="45">
        <f>[1]节奏总纲!X44</f>
        <v>1.006234973905773</v>
      </c>
      <c r="Y44" s="45">
        <f>[1]节奏总纲!Y44</f>
        <v>0.839985775797917</v>
      </c>
      <c r="Z44" s="45">
        <f>[1]节奏总纲!Z44</f>
        <v>0.62869181407031682</v>
      </c>
      <c r="AA44" s="45">
        <f>[1]节奏总纲!AA44</f>
        <v>0.36066099557478548</v>
      </c>
      <c r="AC44" s="45">
        <v>41</v>
      </c>
      <c r="AD44" s="45">
        <f>[1]节奏总纲!AD44</f>
        <v>53.920692243099523</v>
      </c>
      <c r="AE44" s="45">
        <f>[1]节奏总纲!AE44</f>
        <v>55.899622700668843</v>
      </c>
      <c r="AF44" s="45">
        <f>[1]节奏总纲!AF44</f>
        <v>58.741310361994486</v>
      </c>
      <c r="AG44" s="45">
        <f>[1]节奏总纲!AG44</f>
        <v>63.10587219844583</v>
      </c>
      <c r="AH44" s="45">
        <f>[1]节奏总纲!AH44</f>
        <v>71.676233707038421</v>
      </c>
      <c r="AL44" s="45">
        <v>41</v>
      </c>
      <c r="AM44" s="45">
        <f>[1]节奏总纲!AM44</f>
        <v>155.32539280599755</v>
      </c>
      <c r="AN44" s="45">
        <f>[1]节奏总纲!AN44</f>
        <v>124.26031424479805</v>
      </c>
      <c r="AO44" s="45">
        <f>[1]节奏总纲!AO44</f>
        <v>93.195235683598526</v>
      </c>
      <c r="AP44" s="45">
        <f>[1]节奏总纲!AP44</f>
        <v>62.130157122399027</v>
      </c>
      <c r="AQ44" s="45">
        <f>[1]节奏总纲!AQ44</f>
        <v>31.065078561199513</v>
      </c>
      <c r="AS44" s="45">
        <v>41</v>
      </c>
      <c r="AT44" s="45">
        <f>[1]节奏总纲!AT44</f>
        <v>21.450392805997552</v>
      </c>
      <c r="AU44" s="45">
        <f>[1]节奏总纲!AU44</f>
        <v>17.160314244798045</v>
      </c>
      <c r="AV44" s="45">
        <f>[1]节奏总纲!AV44</f>
        <v>12.870235683598523</v>
      </c>
      <c r="AW44" s="45">
        <f>[1]节奏总纲!AW44</f>
        <v>8.5801571223990223</v>
      </c>
      <c r="AX44" s="45">
        <f>[1]节奏总纲!AX44</f>
        <v>4.2900785611995111</v>
      </c>
      <c r="AY44" s="45"/>
      <c r="AZ44" s="45">
        <v>41</v>
      </c>
      <c r="BA44" s="45">
        <f>[1]节奏总纲!BA44</f>
        <v>32.259282740196369</v>
      </c>
      <c r="BB44" s="45">
        <f>[1]节奏总纲!BB44</f>
        <v>33.643636131782344</v>
      </c>
      <c r="BC44" s="45">
        <f>[1]节奏总纲!BC44</f>
        <v>35.471689136674414</v>
      </c>
      <c r="BD44" s="45">
        <f>[1]节奏总纲!BD44</f>
        <v>38.194089742081125</v>
      </c>
      <c r="BE44" s="45">
        <f>[1]节奏总纲!BE44</f>
        <v>42.861403835978855</v>
      </c>
      <c r="BI44" s="49">
        <v>41</v>
      </c>
      <c r="BJ44" s="45">
        <f>[1]节奏总纲!BJ44</f>
        <v>2.2000000000000024</v>
      </c>
      <c r="BK44" s="45">
        <f>[1]节奏总纲!BK44</f>
        <v>2.2440000000000024</v>
      </c>
      <c r="BL44" s="45">
        <f>[1]节奏总纲!BL44</f>
        <v>2.3320000000000025</v>
      </c>
      <c r="BM44" s="45">
        <f>[1]节奏总纲!BM44</f>
        <v>2.5080000000000027</v>
      </c>
      <c r="BN44" s="45">
        <f>[1]节奏总纲!BN44</f>
        <v>3.0800000000000032</v>
      </c>
    </row>
    <row r="45" spans="2:66" x14ac:dyDescent="0.15">
      <c r="F45" s="45">
        <f>[1]节奏总纲!F45</f>
        <v>43</v>
      </c>
      <c r="G45" s="45">
        <f>[1]节奏总纲!G45</f>
        <v>18.698310613518661</v>
      </c>
      <c r="I45" s="45">
        <f>[1]节奏总纲!I45</f>
        <v>43</v>
      </c>
      <c r="J45" s="45">
        <f>[1]节奏总纲!J45</f>
        <v>208.99265815439742</v>
      </c>
      <c r="K45" s="45">
        <f>[1]节奏总纲!K45</f>
        <v>1.08</v>
      </c>
      <c r="N45" s="45">
        <f>[1]节奏总纲!N45</f>
        <v>52</v>
      </c>
      <c r="O45" s="45">
        <v>42</v>
      </c>
      <c r="P45" s="45">
        <f>[1]节奏总纲!P45</f>
        <v>17.379173679952558</v>
      </c>
      <c r="Q45" s="45">
        <f>[1]节奏总纲!Q45</f>
        <v>15.182446126806555</v>
      </c>
      <c r="R45" s="45">
        <f>[1]节奏总纲!R45</f>
        <v>12.547763396925747</v>
      </c>
      <c r="S45" s="45">
        <f>[1]节奏总纲!S45</f>
        <v>9.3221887619265527</v>
      </c>
      <c r="T45" s="45">
        <f>[1]节奏总纲!T45</f>
        <v>5.2485104513456724</v>
      </c>
      <c r="V45" s="45">
        <v>42</v>
      </c>
      <c r="W45" s="45">
        <f>[1]节奏总纲!W45</f>
        <v>1.230798279371875</v>
      </c>
      <c r="X45" s="45">
        <f>[1]节奏总纲!X45</f>
        <v>1.1172111529007811</v>
      </c>
      <c r="Y45" s="45">
        <f>[1]节奏总纲!Y45</f>
        <v>0.92577762112783013</v>
      </c>
      <c r="Z45" s="45">
        <f>[1]节奏总纲!Z45</f>
        <v>0.69249694785623639</v>
      </c>
      <c r="AA45" s="45">
        <f>[1]节奏总纲!AA45</f>
        <v>0.38784945577088692</v>
      </c>
      <c r="AC45" s="45">
        <v>42</v>
      </c>
      <c r="AD45" s="45">
        <f>[1]节奏总纲!AD45</f>
        <v>54.255972994404218</v>
      </c>
      <c r="AE45" s="45">
        <f>[1]节奏总纲!AE45</f>
        <v>56.238779717153008</v>
      </c>
      <c r="AF45" s="45">
        <f>[1]节奏总纲!AF45</f>
        <v>59.09095196730258</v>
      </c>
      <c r="AG45" s="45">
        <f>[1]节奏总纲!AG45</f>
        <v>63.434756173851497</v>
      </c>
      <c r="AH45" s="45">
        <f>[1]节奏总纲!AH45</f>
        <v>72.034562459436771</v>
      </c>
      <c r="AL45" s="45">
        <v>42</v>
      </c>
      <c r="AM45" s="45">
        <f>[1]节奏总纲!AM45</f>
        <v>180.18480345945557</v>
      </c>
      <c r="AN45" s="45">
        <f>[1]节奏总纲!AN45</f>
        <v>144.14784276756447</v>
      </c>
      <c r="AO45" s="45">
        <f>[1]节奏总纲!AO45</f>
        <v>108.11088207567333</v>
      </c>
      <c r="AP45" s="45">
        <f>[1]节奏总纲!AP45</f>
        <v>72.073921383782235</v>
      </c>
      <c r="AQ45" s="45">
        <f>[1]节奏总纲!AQ45</f>
        <v>36.036960691891117</v>
      </c>
      <c r="AS45" s="45">
        <v>42</v>
      </c>
      <c r="AT45" s="45">
        <f>[1]节奏总纲!AT45</f>
        <v>24.859410653458013</v>
      </c>
      <c r="AU45" s="45">
        <f>[1]节奏总纲!AU45</f>
        <v>19.887528522766416</v>
      </c>
      <c r="AV45" s="45">
        <f>[1]节奏总纲!AV45</f>
        <v>14.915646392074805</v>
      </c>
      <c r="AW45" s="45">
        <f>[1]节奏总纲!AW45</f>
        <v>9.9437642613832082</v>
      </c>
      <c r="AX45" s="45">
        <f>[1]节奏总纲!AX45</f>
        <v>4.9718821306916041</v>
      </c>
      <c r="AY45" s="45"/>
      <c r="AZ45" s="45">
        <v>42</v>
      </c>
      <c r="BA45" s="45">
        <f>[1]节奏总纲!BA45</f>
        <v>32.405012530176009</v>
      </c>
      <c r="BB45" s="45">
        <f>[1]节奏总纲!BB45</f>
        <v>33.799338867675175</v>
      </c>
      <c r="BC45" s="45">
        <f>[1]节奏总纲!BC45</f>
        <v>35.634340563113874</v>
      </c>
      <c r="BD45" s="45">
        <f>[1]节奏总纲!BD45</f>
        <v>38.35066605767593</v>
      </c>
      <c r="BE45" s="45">
        <f>[1]节奏总纲!BE45</f>
        <v>43.030177309109042</v>
      </c>
      <c r="BI45" s="49">
        <v>42</v>
      </c>
      <c r="BJ45" s="45">
        <f>[1]节奏总纲!BJ45</f>
        <v>2.2333333333333356</v>
      </c>
      <c r="BK45" s="45">
        <f>[1]节奏总纲!BK45</f>
        <v>2.2780000000000022</v>
      </c>
      <c r="BL45" s="45">
        <f>[1]节奏总纲!BL45</f>
        <v>2.367333333333336</v>
      </c>
      <c r="BM45" s="45">
        <f>[1]节奏总纲!BM45</f>
        <v>2.5460000000000025</v>
      </c>
      <c r="BN45" s="45">
        <f>[1]节奏总纲!BN45</f>
        <v>3.1266666666666696</v>
      </c>
    </row>
    <row r="46" spans="2:66" x14ac:dyDescent="0.15">
      <c r="F46" s="45">
        <f>[1]节奏总纲!F46</f>
        <v>44</v>
      </c>
      <c r="G46" s="45">
        <f>[1]节奏总纲!G46</f>
        <v>20.112126572366307</v>
      </c>
      <c r="I46" s="45">
        <f>[1]节奏总纲!I46</f>
        <v>44</v>
      </c>
      <c r="J46" s="45">
        <f>[1]节奏总纲!J46</f>
        <v>242.37342918215046</v>
      </c>
      <c r="K46" s="45">
        <f>[1]节奏总纲!K46</f>
        <v>1.0900000000000001</v>
      </c>
      <c r="N46" s="45">
        <f>[1]节奏总纲!N46</f>
        <v>53</v>
      </c>
      <c r="O46" s="45">
        <v>43</v>
      </c>
      <c r="P46" s="45">
        <f>[1]节奏总纲!P46</f>
        <v>18.698310613518661</v>
      </c>
      <c r="Q46" s="45">
        <f>[1]节奏总纲!Q46</f>
        <v>16.338583814092605</v>
      </c>
      <c r="R46" s="45">
        <f>[1]节奏总纲!R46</f>
        <v>13.509529418267233</v>
      </c>
      <c r="S46" s="45">
        <f>[1]节奏总纲!S46</f>
        <v>10.020424657784652</v>
      </c>
      <c r="T46" s="45">
        <f>[1]节奏总纲!T46</f>
        <v>5.6394104810372276</v>
      </c>
      <c r="V46" s="45">
        <v>43</v>
      </c>
      <c r="W46" s="45">
        <f>[1]节奏总纲!W46</f>
        <v>1.319136933566103</v>
      </c>
      <c r="X46" s="45">
        <f>[1]节奏总纲!X46</f>
        <v>1.1561376872860496</v>
      </c>
      <c r="Y46" s="45">
        <f>[1]节奏总纲!Y46</f>
        <v>0.96176602134148581</v>
      </c>
      <c r="Z46" s="45">
        <f>[1]节奏总纲!Z46</f>
        <v>0.6982358958580992</v>
      </c>
      <c r="AA46" s="45">
        <f>[1]节奏总纲!AA46</f>
        <v>0.39090002969155524</v>
      </c>
      <c r="AC46" s="45">
        <v>43</v>
      </c>
      <c r="AD46" s="45">
        <f>[1]节奏总纲!AD46</f>
        <v>54.585942742481357</v>
      </c>
      <c r="AE46" s="45">
        <f>[1]节奏总纲!AE46</f>
        <v>56.568265567054013</v>
      </c>
      <c r="AF46" s="45">
        <f>[1]节奏总纲!AF46</f>
        <v>59.425480572843689</v>
      </c>
      <c r="AG46" s="45">
        <f>[1]节奏总纲!AG46</f>
        <v>63.763640149257171</v>
      </c>
      <c r="AH46" s="45">
        <f>[1]节奏总纲!AH46</f>
        <v>72.370053318329937</v>
      </c>
      <c r="AL46" s="45">
        <v>43</v>
      </c>
      <c r="AM46" s="45">
        <f>[1]节奏总纲!AM46</f>
        <v>208.99265815439742</v>
      </c>
      <c r="AN46" s="45">
        <f>[1]节奏总纲!AN46</f>
        <v>167.19412652351795</v>
      </c>
      <c r="AO46" s="45">
        <f>[1]节奏总纲!AO46</f>
        <v>125.39559489263844</v>
      </c>
      <c r="AP46" s="45">
        <f>[1]节奏总纲!AP46</f>
        <v>83.597063261758976</v>
      </c>
      <c r="AQ46" s="45">
        <f>[1]节奏总纲!AQ46</f>
        <v>41.798531630879488</v>
      </c>
      <c r="AS46" s="45">
        <v>43</v>
      </c>
      <c r="AT46" s="45">
        <f>[1]节奏总纲!AT46</f>
        <v>28.807854694941852</v>
      </c>
      <c r="AU46" s="45">
        <f>[1]节奏总纲!AU46</f>
        <v>23.046283755953482</v>
      </c>
      <c r="AV46" s="45">
        <f>[1]节奏总纲!AV46</f>
        <v>17.284712816965111</v>
      </c>
      <c r="AW46" s="45">
        <f>[1]节奏总纲!AW46</f>
        <v>11.523141877976741</v>
      </c>
      <c r="AX46" s="45">
        <f>[1]节奏总纲!AX46</f>
        <v>5.7615709389883705</v>
      </c>
      <c r="AY46" s="45"/>
      <c r="AZ46" s="45">
        <v>43</v>
      </c>
      <c r="BA46" s="45">
        <f>[1]节奏总纲!BA46</f>
        <v>32.550742320155642</v>
      </c>
      <c r="BB46" s="45">
        <f>[1]节奏总纲!BB46</f>
        <v>33.955041603568006</v>
      </c>
      <c r="BC46" s="45">
        <f>[1]节奏总纲!BC46</f>
        <v>35.796991989553327</v>
      </c>
      <c r="BD46" s="45">
        <f>[1]节奏总纲!BD46</f>
        <v>38.507242373270728</v>
      </c>
      <c r="BE46" s="45">
        <f>[1]节奏总纲!BE46</f>
        <v>43.179964142847631</v>
      </c>
      <c r="BI46" s="49">
        <v>43</v>
      </c>
      <c r="BJ46" s="45">
        <f>[1]节奏总纲!BJ46</f>
        <v>2.2666666666666688</v>
      </c>
      <c r="BK46" s="45">
        <f>[1]节奏总纲!BK46</f>
        <v>2.3120000000000021</v>
      </c>
      <c r="BL46" s="45">
        <f>[1]节奏总纲!BL46</f>
        <v>2.4026666666666689</v>
      </c>
      <c r="BM46" s="45">
        <f>[1]节奏总纲!BM46</f>
        <v>2.5840000000000023</v>
      </c>
      <c r="BN46" s="45">
        <f>[1]节奏总纲!BN46</f>
        <v>3.173333333333336</v>
      </c>
    </row>
    <row r="47" spans="2:66" x14ac:dyDescent="0.15">
      <c r="F47" s="45">
        <f>[1]节奏总纲!F47</f>
        <v>45</v>
      </c>
      <c r="G47" s="45">
        <f>[1]节奏总纲!G47</f>
        <v>21.627416997969519</v>
      </c>
      <c r="I47" s="45">
        <f>[1]节奏总纲!I47</f>
        <v>45</v>
      </c>
      <c r="J47" s="45">
        <f>[1]节奏总纲!J47</f>
        <v>281.05</v>
      </c>
      <c r="K47" s="45">
        <f>[1]节奏总纲!K47</f>
        <v>1.1000000000000001</v>
      </c>
      <c r="N47" s="45">
        <f>[1]节奏总纲!N47</f>
        <v>54</v>
      </c>
      <c r="O47" s="45">
        <v>44</v>
      </c>
      <c r="P47" s="45">
        <f>[1]节奏总纲!P47</f>
        <v>20.112126572366307</v>
      </c>
      <c r="Q47" s="45">
        <f>[1]节奏总纲!Q47</f>
        <v>17.573976198933678</v>
      </c>
      <c r="R47" s="45">
        <f>[1]节奏总纲!R47</f>
        <v>14.520955385248474</v>
      </c>
      <c r="S47" s="45">
        <f>[1]节奏总纲!S47</f>
        <v>10.768032566844921</v>
      </c>
      <c r="T47" s="45">
        <f>[1]节奏总纲!T47</f>
        <v>6.0537500982822579</v>
      </c>
      <c r="V47" s="45">
        <v>44</v>
      </c>
      <c r="W47" s="45">
        <f>[1]节奏总纲!W47</f>
        <v>1.4138159588476462</v>
      </c>
      <c r="X47" s="45">
        <f>[1]节奏总纲!X47</f>
        <v>1.2353923848410737</v>
      </c>
      <c r="Y47" s="45">
        <f>[1]节奏总纲!Y47</f>
        <v>1.0114259669812409</v>
      </c>
      <c r="Z47" s="45">
        <f>[1]节奏总纲!Z47</f>
        <v>0.74760790906026919</v>
      </c>
      <c r="AA47" s="45">
        <f>[1]节奏总纲!AA47</f>
        <v>0.41433961724503021</v>
      </c>
      <c r="AC47" s="45">
        <v>44</v>
      </c>
      <c r="AD47" s="45">
        <f>[1]节奏总纲!AD47</f>
        <v>54.915912490558505</v>
      </c>
      <c r="AE47" s="45">
        <f>[1]节奏总纲!AE47</f>
        <v>56.897751416955018</v>
      </c>
      <c r="AF47" s="45">
        <f>[1]节奏总纲!AF47</f>
        <v>59.760009178384806</v>
      </c>
      <c r="AG47" s="45">
        <f>[1]节奏总纲!AG47</f>
        <v>64.08760696397195</v>
      </c>
      <c r="AH47" s="45">
        <f>[1]节奏总纲!AH47</f>
        <v>72.705544177223089</v>
      </c>
      <c r="AL47" s="45">
        <v>44</v>
      </c>
      <c r="AM47" s="45">
        <f>[1]节奏总纲!AM47</f>
        <v>242.37342918215046</v>
      </c>
      <c r="AN47" s="45">
        <f>[1]节奏总纲!AN47</f>
        <v>193.89874334572039</v>
      </c>
      <c r="AO47" s="45">
        <f>[1]节奏总纲!AO47</f>
        <v>145.42405750929026</v>
      </c>
      <c r="AP47" s="45">
        <f>[1]节奏总纲!AP47</f>
        <v>96.949371672860195</v>
      </c>
      <c r="AQ47" s="45">
        <f>[1]节奏总纲!AQ47</f>
        <v>48.474685836430098</v>
      </c>
      <c r="AS47" s="45">
        <v>44</v>
      </c>
      <c r="AT47" s="45">
        <f>[1]节奏总纲!AT47</f>
        <v>33.380771027753042</v>
      </c>
      <c r="AU47" s="45">
        <f>[1]节奏总纲!AU47</f>
        <v>26.704616822202439</v>
      </c>
      <c r="AV47" s="45">
        <f>[1]节奏总纲!AV47</f>
        <v>20.028462616651822</v>
      </c>
      <c r="AW47" s="45">
        <f>[1]节奏总纲!AW47</f>
        <v>13.35230841110122</v>
      </c>
      <c r="AX47" s="45">
        <f>[1]节奏总纲!AX47</f>
        <v>6.6761542055506098</v>
      </c>
      <c r="AY47" s="45"/>
      <c r="AZ47" s="45">
        <v>44</v>
      </c>
      <c r="BA47" s="45">
        <f>[1]节奏总纲!BA47</f>
        <v>32.696472110135275</v>
      </c>
      <c r="BB47" s="45">
        <f>[1]节奏总纲!BB47</f>
        <v>34.09469189131628</v>
      </c>
      <c r="BC47" s="45">
        <f>[1]节奏总纲!BC47</f>
        <v>35.95964341599278</v>
      </c>
      <c r="BD47" s="45">
        <f>[1]节奏总纲!BD47</f>
        <v>38.663818688865533</v>
      </c>
      <c r="BE47" s="45">
        <f>[1]节奏总纲!BE47</f>
        <v>43.329750976586219</v>
      </c>
      <c r="BI47" s="49">
        <v>44</v>
      </c>
      <c r="BJ47" s="45">
        <f>[1]节奏总纲!BJ47</f>
        <v>2.300000000000002</v>
      </c>
      <c r="BK47" s="45">
        <f>[1]节奏总纲!BK47</f>
        <v>2.3460000000000023</v>
      </c>
      <c r="BL47" s="45">
        <f>[1]节奏总纲!BL47</f>
        <v>2.4380000000000024</v>
      </c>
      <c r="BM47" s="45">
        <f>[1]节奏总纲!BM47</f>
        <v>2.6220000000000021</v>
      </c>
      <c r="BN47" s="45">
        <f>[1]节奏总纲!BN47</f>
        <v>3.2200000000000029</v>
      </c>
    </row>
    <row r="48" spans="2:66" x14ac:dyDescent="0.15">
      <c r="F48" s="45">
        <f>[1]节奏总纲!F48</f>
        <v>46</v>
      </c>
      <c r="G48" s="45">
        <f>[1]节奏总纲!G48</f>
        <v>23.251465064166357</v>
      </c>
      <c r="I48" s="45">
        <f>[1]节奏总纲!I48</f>
        <v>46</v>
      </c>
      <c r="J48" s="45">
        <f>[1]节奏总纲!J48</f>
        <v>325.85912455595718</v>
      </c>
      <c r="K48" s="45">
        <f>[1]节奏总纲!K48</f>
        <v>1.1100000000000001</v>
      </c>
      <c r="N48" s="45">
        <f>[1]节奏总纲!N48</f>
        <v>55</v>
      </c>
      <c r="O48" s="45">
        <v>45</v>
      </c>
      <c r="P48" s="45">
        <f>[1]节奏总纲!P48</f>
        <v>21.627416997969519</v>
      </c>
      <c r="Q48" s="45">
        <f>[1]节奏总纲!Q48</f>
        <v>18.900199714525563</v>
      </c>
      <c r="R48" s="45">
        <f>[1]节奏总纲!R48</f>
        <v>15.604181364035009</v>
      </c>
      <c r="S48" s="45">
        <f>[1]节奏总纲!S48</f>
        <v>11.572830835613489</v>
      </c>
      <c r="T48" s="45">
        <f>[1]节奏总纲!T48</f>
        <v>6.49903880788984</v>
      </c>
      <c r="V48" s="45">
        <v>45</v>
      </c>
      <c r="W48" s="45">
        <f>[1]节奏总纲!W48</f>
        <v>1.5152904256032116</v>
      </c>
      <c r="X48" s="45">
        <f>[1]节奏总纲!X48</f>
        <v>1.3262235155918844</v>
      </c>
      <c r="Y48" s="45">
        <f>[1]节奏总纲!Y48</f>
        <v>1.083225978786535</v>
      </c>
      <c r="Z48" s="45">
        <f>[1]节奏总纲!Z48</f>
        <v>0.80479826876856819</v>
      </c>
      <c r="AA48" s="45">
        <f>[1]节奏总纲!AA48</f>
        <v>0.44528870960758216</v>
      </c>
      <c r="AC48" s="45">
        <v>45</v>
      </c>
      <c r="AD48" s="45">
        <f>[1]节奏总纲!AD48</f>
        <v>55.229416240679981</v>
      </c>
      <c r="AE48" s="45">
        <f>[1]节奏总纲!AE48</f>
        <v>57.218966664386244</v>
      </c>
      <c r="AF48" s="45">
        <f>[1]节奏总纲!AF48</f>
        <v>60.086674688654931</v>
      </c>
      <c r="AG48" s="45">
        <f>[1]节奏总纲!AG48</f>
        <v>64.399012521055653</v>
      </c>
      <c r="AH48" s="45">
        <f>[1]节奏总纲!AH48</f>
        <v>73.037155126421851</v>
      </c>
      <c r="AL48" s="45">
        <v>45</v>
      </c>
      <c r="AM48" s="45">
        <f>[1]节奏总纲!AM48</f>
        <v>281.05</v>
      </c>
      <c r="AN48" s="45">
        <f>[1]节奏总纲!AN48</f>
        <v>224.84000000000003</v>
      </c>
      <c r="AO48" s="45">
        <f>[1]节奏总纲!AO48</f>
        <v>168.63</v>
      </c>
      <c r="AP48" s="45">
        <f>[1]节奏总纲!AP48</f>
        <v>112.42000000000002</v>
      </c>
      <c r="AQ48" s="45">
        <f>[1]节奏总纲!AQ48</f>
        <v>56.210000000000008</v>
      </c>
      <c r="AS48" s="45">
        <v>45</v>
      </c>
      <c r="AT48" s="45">
        <f>[1]节奏总纲!AT48</f>
        <v>38.676570817849552</v>
      </c>
      <c r="AU48" s="45">
        <f>[1]节奏总纲!AU48</f>
        <v>30.941256654279641</v>
      </c>
      <c r="AV48" s="45">
        <f>[1]节奏总纲!AV48</f>
        <v>23.205942490709731</v>
      </c>
      <c r="AW48" s="45">
        <f>[1]节奏总纲!AW48</f>
        <v>15.470628327139821</v>
      </c>
      <c r="AX48" s="45">
        <f>[1]节奏总纲!AX48</f>
        <v>7.7353141635699103</v>
      </c>
      <c r="AY48" s="45"/>
      <c r="AZ48" s="45">
        <v>45</v>
      </c>
      <c r="BA48" s="45">
        <f>[1]节奏总纲!BA48</f>
        <v>32.842201900114915</v>
      </c>
      <c r="BB48" s="45">
        <f>[1]节奏总纲!BB48</f>
        <v>34.227825436710944</v>
      </c>
      <c r="BC48" s="45">
        <f>[1]节奏总纲!BC48</f>
        <v>36.105477566569242</v>
      </c>
      <c r="BD48" s="45">
        <f>[1]节奏总纲!BD48</f>
        <v>38.82039500446033</v>
      </c>
      <c r="BE48" s="45">
        <f>[1]节奏总纲!BE48</f>
        <v>43.479537810324807</v>
      </c>
      <c r="BI48" s="49">
        <v>45</v>
      </c>
      <c r="BJ48" s="45">
        <f>[1]节奏总纲!BJ48</f>
        <v>2.3333333333333353</v>
      </c>
      <c r="BK48" s="45">
        <f>[1]节奏总纲!BK48</f>
        <v>2.3800000000000021</v>
      </c>
      <c r="BL48" s="45">
        <f>[1]节奏总纲!BL48</f>
        <v>2.4733333333333354</v>
      </c>
      <c r="BM48" s="45">
        <f>[1]节奏总纲!BM48</f>
        <v>2.6600000000000019</v>
      </c>
      <c r="BN48" s="45">
        <f>[1]节奏总纲!BN48</f>
        <v>3.2666666666666693</v>
      </c>
    </row>
    <row r="49" spans="6:66" x14ac:dyDescent="0.15">
      <c r="F49" s="45">
        <f>[1]节奏总纲!F49</f>
        <v>47</v>
      </c>
      <c r="G49" s="45">
        <f>[1]节奏总纲!G49</f>
        <v>24.992076683399535</v>
      </c>
      <c r="I49" s="45">
        <f>[1]节奏总纲!I49</f>
        <v>47</v>
      </c>
      <c r="J49" s="45">
        <f>[1]节奏总纲!J49</f>
        <v>377.76930817680426</v>
      </c>
      <c r="K49" s="45">
        <f>[1]节奏总纲!K49</f>
        <v>1.1200000000000001</v>
      </c>
      <c r="N49" s="45">
        <f>[1]节奏总纲!N49</f>
        <v>56</v>
      </c>
      <c r="O49" s="45">
        <v>46</v>
      </c>
      <c r="P49" s="45">
        <f>[1]节奏总纲!P49</f>
        <v>23.251465064166357</v>
      </c>
      <c r="Q49" s="45">
        <f>[1]节奏总纲!Q49</f>
        <v>20.310154733549314</v>
      </c>
      <c r="R49" s="45">
        <f>[1]节奏总纲!R49</f>
        <v>16.757330871744692</v>
      </c>
      <c r="S49" s="45">
        <f>[1]节奏总纲!S49</f>
        <v>12.425582930290501</v>
      </c>
      <c r="T49" s="45">
        <f>[1]节奏总纲!T49</f>
        <v>6.9545132006921566</v>
      </c>
      <c r="V49" s="45">
        <v>46</v>
      </c>
      <c r="W49" s="45">
        <f>[1]节奏总纲!W49</f>
        <v>1.6240480661968384</v>
      </c>
      <c r="X49" s="45">
        <f>[1]节奏总纲!X49</f>
        <v>1.4099550190237515</v>
      </c>
      <c r="Y49" s="45">
        <f>[1]节奏总纲!Y49</f>
        <v>1.1531495077096832</v>
      </c>
      <c r="Z49" s="45">
        <f>[1]节奏总纲!Z49</f>
        <v>0.85275209467701174</v>
      </c>
      <c r="AA49" s="45">
        <f>[1]节奏总纲!AA49</f>
        <v>0.45547439280231661</v>
      </c>
      <c r="AC49" s="45">
        <v>46</v>
      </c>
      <c r="AD49" s="45">
        <f>[1]节奏总纲!AD49</f>
        <v>55.537288901845052</v>
      </c>
      <c r="AE49" s="45">
        <f>[1]节奏总纲!AE49</f>
        <v>57.53646043868428</v>
      </c>
      <c r="AF49" s="45">
        <f>[1]节奏总纲!AF49</f>
        <v>60.393379177879737</v>
      </c>
      <c r="AG49" s="45">
        <f>[1]节奏总纲!AG49</f>
        <v>64.710418078139355</v>
      </c>
      <c r="AH49" s="45">
        <f>[1]节奏总纲!AH49</f>
        <v>73.340924940105893</v>
      </c>
      <c r="AL49" s="45">
        <v>46</v>
      </c>
      <c r="AM49" s="45">
        <f>[1]节奏总纲!AM49</f>
        <v>325.85912455595718</v>
      </c>
      <c r="AN49" s="45">
        <f>[1]节奏总纲!AN49</f>
        <v>260.68729964476574</v>
      </c>
      <c r="AO49" s="45">
        <f>[1]节奏总纲!AO49</f>
        <v>195.51547473357431</v>
      </c>
      <c r="AP49" s="45">
        <f>[1]节奏总纲!AP49</f>
        <v>130.34364982238287</v>
      </c>
      <c r="AQ49" s="45">
        <f>[1]节奏总纲!AQ49</f>
        <v>65.171824911191436</v>
      </c>
      <c r="AS49" s="45">
        <v>46</v>
      </c>
      <c r="AT49" s="45">
        <f>[1]节奏总纲!AT49</f>
        <v>44.809124555957169</v>
      </c>
      <c r="AU49" s="45">
        <f>[1]节奏总纲!AU49</f>
        <v>35.847299644765712</v>
      </c>
      <c r="AV49" s="45">
        <f>[1]节奏总纲!AV49</f>
        <v>26.885474733574313</v>
      </c>
      <c r="AW49" s="45">
        <f>[1]节奏总纲!AW49</f>
        <v>17.923649822382856</v>
      </c>
      <c r="AX49" s="45">
        <f>[1]节奏总纲!AX49</f>
        <v>8.9618249111914281</v>
      </c>
      <c r="AY49" s="45"/>
      <c r="AZ49" s="45">
        <v>46</v>
      </c>
      <c r="BA49" s="45">
        <f>[1]节奏总纲!BA49</f>
        <v>32.987931690094548</v>
      </c>
      <c r="BB49" s="45">
        <f>[1]节奏总纲!BB49</f>
        <v>34.360958982105608</v>
      </c>
      <c r="BC49" s="45">
        <f>[1]节奏总纲!BC49</f>
        <v>36.245762114295424</v>
      </c>
      <c r="BD49" s="45">
        <f>[1]节奏总纲!BD49</f>
        <v>38.976971320055128</v>
      </c>
      <c r="BE49" s="45">
        <f>[1]节奏总纲!BE49</f>
        <v>43.629324644063402</v>
      </c>
      <c r="BI49" s="49">
        <v>46</v>
      </c>
      <c r="BJ49" s="45">
        <f>[1]节奏总纲!BJ49</f>
        <v>2.3666666666666685</v>
      </c>
      <c r="BK49" s="45">
        <f>[1]节奏总纲!BK49</f>
        <v>2.4140000000000019</v>
      </c>
      <c r="BL49" s="45">
        <f>[1]节奏总纲!BL49</f>
        <v>2.5086666666666688</v>
      </c>
      <c r="BM49" s="45">
        <f>[1]节奏总纲!BM49</f>
        <v>2.6980000000000017</v>
      </c>
      <c r="BN49" s="45">
        <f>[1]节奏总纲!BN49</f>
        <v>3.3133333333333357</v>
      </c>
    </row>
    <row r="50" spans="6:66" x14ac:dyDescent="0.15">
      <c r="F50" s="45">
        <f>[1]节奏总纲!F50</f>
        <v>48</v>
      </c>
      <c r="G50" s="45">
        <f>[1]节奏总纲!G50</f>
        <v>26.857618025475972</v>
      </c>
      <c r="I50" s="45">
        <f>[1]节奏总纲!I50</f>
        <v>48</v>
      </c>
      <c r="J50" s="45">
        <f>[1]节奏总纲!J50</f>
        <v>437.90148836012787</v>
      </c>
      <c r="K50" s="45">
        <f>[1]节奏总纲!K50</f>
        <v>1.1299999999999999</v>
      </c>
      <c r="N50" s="45">
        <f>[1]节奏总纲!N50</f>
        <v>57</v>
      </c>
      <c r="O50" s="45">
        <v>47</v>
      </c>
      <c r="P50" s="45">
        <f>[1]节奏总纲!P50</f>
        <v>24.992076683399535</v>
      </c>
      <c r="Q50" s="45">
        <f>[1]节奏总纲!Q50</f>
        <v>21.823081359944474</v>
      </c>
      <c r="R50" s="45">
        <f>[1]节奏总纲!R50</f>
        <v>17.996794419716004</v>
      </c>
      <c r="S50" s="45">
        <f>[1]节奏总纲!S50</f>
        <v>13.335772118261991</v>
      </c>
      <c r="T50" s="45">
        <f>[1]节奏总纲!T50</f>
        <v>7.4426404363163821</v>
      </c>
      <c r="V50" s="45">
        <v>47</v>
      </c>
      <c r="W50" s="45">
        <f>[1]节奏总纲!W50</f>
        <v>1.740611619233178</v>
      </c>
      <c r="X50" s="45">
        <f>[1]节奏总纲!X50</f>
        <v>1.51292662639516</v>
      </c>
      <c r="Y50" s="45">
        <f>[1]节奏总纲!Y50</f>
        <v>1.2394635479713116</v>
      </c>
      <c r="Z50" s="45">
        <f>[1]节奏总纲!Z50</f>
        <v>0.91018918797148984</v>
      </c>
      <c r="AA50" s="45">
        <f>[1]节奏总纲!AA50</f>
        <v>0.48812723562422544</v>
      </c>
      <c r="AC50" s="45">
        <v>47</v>
      </c>
      <c r="AD50" s="45">
        <f>[1]节奏总纲!AD50</f>
        <v>55.845161563010116</v>
      </c>
      <c r="AE50" s="45">
        <f>[1]节奏总纲!AE50</f>
        <v>57.853954212982316</v>
      </c>
      <c r="AF50" s="45">
        <f>[1]节奏总纲!AF50</f>
        <v>60.700083667104536</v>
      </c>
      <c r="AG50" s="45">
        <f>[1]节奏总纲!AG50</f>
        <v>65.021675833900701</v>
      </c>
      <c r="AH50" s="45">
        <f>[1]节奏总纲!AH50</f>
        <v>73.644694753789935</v>
      </c>
      <c r="AL50" s="45">
        <v>47</v>
      </c>
      <c r="AM50" s="45">
        <f>[1]节奏总纲!AM50</f>
        <v>377.76930817680426</v>
      </c>
      <c r="AN50" s="45">
        <f>[1]节奏总纲!AN50</f>
        <v>302.21544654144344</v>
      </c>
      <c r="AO50" s="45">
        <f>[1]节奏总纲!AO50</f>
        <v>226.66158490608254</v>
      </c>
      <c r="AP50" s="45">
        <f>[1]节奏总纲!AP50</f>
        <v>151.10772327072172</v>
      </c>
      <c r="AQ50" s="45">
        <f>[1]节奏总纲!AQ50</f>
        <v>75.55386163536086</v>
      </c>
      <c r="AS50" s="45">
        <v>47</v>
      </c>
      <c r="AT50" s="45">
        <f>[1]节奏总纲!AT50</f>
        <v>51.910183620847079</v>
      </c>
      <c r="AU50" s="45">
        <f>[1]节奏总纲!AU50</f>
        <v>41.528146896677697</v>
      </c>
      <c r="AV50" s="45">
        <f>[1]节奏总纲!AV50</f>
        <v>31.14611017250823</v>
      </c>
      <c r="AW50" s="45">
        <f>[1]节奏总纲!AW50</f>
        <v>20.764073448338848</v>
      </c>
      <c r="AX50" s="45">
        <f>[1]节奏总纲!AX50</f>
        <v>10.382036724169424</v>
      </c>
      <c r="AY50" s="45"/>
      <c r="AZ50" s="45">
        <v>47</v>
      </c>
      <c r="BA50" s="45">
        <f>[1]节奏总纲!BA50</f>
        <v>33.114246829746719</v>
      </c>
      <c r="BB50" s="45">
        <f>[1]节奏总纲!BB50</f>
        <v>34.494092527500278</v>
      </c>
      <c r="BC50" s="45">
        <f>[1]节奏总纲!BC50</f>
        <v>36.386046662021599</v>
      </c>
      <c r="BD50" s="45">
        <f>[1]节奏总纲!BD50</f>
        <v>39.115214427575864</v>
      </c>
      <c r="BE50" s="45">
        <f>[1]节奏总纲!BE50</f>
        <v>43.77911147780199</v>
      </c>
      <c r="BI50" s="49">
        <v>47</v>
      </c>
      <c r="BJ50" s="45">
        <f>[1]节奏总纲!BJ50</f>
        <v>2.4000000000000017</v>
      </c>
      <c r="BK50" s="45">
        <f>[1]节奏总纲!BK50</f>
        <v>2.4480000000000017</v>
      </c>
      <c r="BL50" s="45">
        <f>[1]节奏总纲!BL50</f>
        <v>2.5440000000000018</v>
      </c>
      <c r="BM50" s="45">
        <f>[1]节奏总纲!BM50</f>
        <v>2.7360000000000015</v>
      </c>
      <c r="BN50" s="45">
        <f>[1]节奏总纲!BN50</f>
        <v>3.3600000000000021</v>
      </c>
    </row>
    <row r="51" spans="6:66" x14ac:dyDescent="0.15">
      <c r="F51" s="45">
        <f>[1]节奏总纲!F51</f>
        <v>49</v>
      </c>
      <c r="G51" s="45">
        <f>[1]节奏总纲!G51</f>
        <v>28.857055729177837</v>
      </c>
      <c r="I51" s="45">
        <f>[1]节奏总纲!I51</f>
        <v>49</v>
      </c>
      <c r="J51" s="45">
        <f>[1]节奏总纲!J51</f>
        <v>507.55295278468168</v>
      </c>
      <c r="K51" s="45">
        <f>[1]节奏总纲!K51</f>
        <v>1.1399999999999999</v>
      </c>
      <c r="N51" s="45">
        <f>[1]节奏总纲!N51</f>
        <v>58</v>
      </c>
      <c r="O51" s="45">
        <v>48</v>
      </c>
      <c r="P51" s="45">
        <f>[1]节奏总纲!P51</f>
        <v>26.857618025475972</v>
      </c>
      <c r="Q51" s="45">
        <f>[1]节奏总纲!Q51</f>
        <v>23.425214441820142</v>
      </c>
      <c r="R51" s="45">
        <f>[1]节奏总纲!R51</f>
        <v>19.329427692935056</v>
      </c>
      <c r="S51" s="45">
        <f>[1]节奏总纲!S51</f>
        <v>14.269452456935383</v>
      </c>
      <c r="T51" s="45">
        <f>[1]节奏总纲!T51</f>
        <v>7.9605979827510778</v>
      </c>
      <c r="V51" s="45">
        <v>48</v>
      </c>
      <c r="W51" s="45">
        <f>[1]节奏总纲!W51</f>
        <v>1.8655413420764368</v>
      </c>
      <c r="X51" s="45">
        <f>[1]节奏总纲!X51</f>
        <v>1.6021330818756674</v>
      </c>
      <c r="Y51" s="45">
        <f>[1]节奏总纲!Y51</f>
        <v>1.3326332732190522</v>
      </c>
      <c r="Z51" s="45">
        <f>[1]节奏总纲!Z51</f>
        <v>0.93368033867339228</v>
      </c>
      <c r="AA51" s="45">
        <f>[1]节奏总纲!AA51</f>
        <v>0.51795754643469571</v>
      </c>
      <c r="AC51" s="45">
        <v>48</v>
      </c>
      <c r="AD51" s="45">
        <f>[1]节奏总纲!AD51</f>
        <v>56.142785979989682</v>
      </c>
      <c r="AE51" s="45">
        <f>[1]节奏总纲!AE51</f>
        <v>58.155157256402767</v>
      </c>
      <c r="AF51" s="45">
        <f>[1]节奏总纲!AF51</f>
        <v>61.006268532239034</v>
      </c>
      <c r="AG51" s="45">
        <f>[1]节奏总纲!AG51</f>
        <v>65.330972386106993</v>
      </c>
      <c r="AH51" s="45">
        <f>[1]节奏总纲!AH51</f>
        <v>73.948464567473962</v>
      </c>
      <c r="AL51" s="45">
        <v>48</v>
      </c>
      <c r="AM51" s="45">
        <f>[1]节奏总纲!AM51</f>
        <v>437.90148836012787</v>
      </c>
      <c r="AN51" s="45">
        <f>[1]节奏总纲!AN51</f>
        <v>350.32119068810232</v>
      </c>
      <c r="AO51" s="45">
        <f>[1]节奏总纲!AO51</f>
        <v>262.74089301607671</v>
      </c>
      <c r="AP51" s="45">
        <f>[1]节奏总纲!AP51</f>
        <v>175.16059534405116</v>
      </c>
      <c r="AQ51" s="45">
        <f>[1]节奏总纲!AQ51</f>
        <v>87.58029767202558</v>
      </c>
      <c r="AS51" s="45">
        <v>48</v>
      </c>
      <c r="AT51" s="45">
        <f>[1]节奏总纲!AT51</f>
        <v>60.132180183323612</v>
      </c>
      <c r="AU51" s="45">
        <f>[1]节奏总纲!AU51</f>
        <v>48.105744146658878</v>
      </c>
      <c r="AV51" s="45">
        <f>[1]节奏总纲!AV51</f>
        <v>36.079308109994173</v>
      </c>
      <c r="AW51" s="45">
        <f>[1]节奏总纲!AW51</f>
        <v>24.052872073329439</v>
      </c>
      <c r="AX51" s="45">
        <f>[1]节奏总纲!AX51</f>
        <v>12.02643603666472</v>
      </c>
      <c r="AY51" s="45"/>
      <c r="AZ51" s="45">
        <v>48</v>
      </c>
      <c r="BA51" s="45">
        <f>[1]节奏总纲!BA51</f>
        <v>33.238809018460984</v>
      </c>
      <c r="BB51" s="45">
        <f>[1]节奏总纲!BB51</f>
        <v>34.627226072894942</v>
      </c>
      <c r="BC51" s="45">
        <f>[1]节奏总纲!BC51</f>
        <v>36.526331209747774</v>
      </c>
      <c r="BD51" s="45">
        <f>[1]节奏总纲!BD51</f>
        <v>39.250296194358178</v>
      </c>
      <c r="BE51" s="45">
        <f>[1]节奏总纲!BE51</f>
        <v>43.928898311540578</v>
      </c>
      <c r="BI51" s="49">
        <v>48</v>
      </c>
      <c r="BJ51" s="45">
        <f>[1]节奏总纲!BJ51</f>
        <v>2.4333333333333349</v>
      </c>
      <c r="BK51" s="45">
        <f>[1]节奏总纲!BK51</f>
        <v>2.4820000000000015</v>
      </c>
      <c r="BL51" s="45">
        <f>[1]节奏总纲!BL51</f>
        <v>2.5793333333333353</v>
      </c>
      <c r="BM51" s="45">
        <f>[1]节奏总纲!BM51</f>
        <v>2.7740000000000014</v>
      </c>
      <c r="BN51" s="45">
        <f>[1]节奏总纲!BN51</f>
        <v>3.4066666666666685</v>
      </c>
    </row>
    <row r="52" spans="6:66" x14ac:dyDescent="0.15">
      <c r="F52" s="45">
        <f>[1]节奏总纲!F52</f>
        <v>50</v>
      </c>
      <c r="G52" s="45">
        <f>[1]节奏总纲!G52</f>
        <v>31</v>
      </c>
      <c r="I52" s="45">
        <f>[1]节奏总纲!I52</f>
        <v>50</v>
      </c>
      <c r="J52" s="45">
        <f>[1]节奏总纲!J52</f>
        <v>588.22499999999991</v>
      </c>
      <c r="K52" s="45">
        <f>[1]节奏总纲!K52</f>
        <v>1.1499999999999999</v>
      </c>
      <c r="N52" s="45">
        <f>[1]节奏总纲!N52</f>
        <v>59</v>
      </c>
      <c r="O52" s="45">
        <v>49</v>
      </c>
      <c r="P52" s="45">
        <f>[1]节奏总纲!P52</f>
        <v>28.857055729177837</v>
      </c>
      <c r="Q52" s="45">
        <f>[1]节奏总纲!Q52</f>
        <v>25.166238301415991</v>
      </c>
      <c r="R52" s="45">
        <f>[1]节奏总纲!R52</f>
        <v>20.719366013549685</v>
      </c>
      <c r="S52" s="45">
        <f>[1]节奏总纲!S52</f>
        <v>15.268268186307994</v>
      </c>
      <c r="T52" s="45">
        <f>[1]节奏总纲!T52</f>
        <v>8.5474599069824766</v>
      </c>
      <c r="V52" s="45">
        <v>49</v>
      </c>
      <c r="W52" s="45">
        <f>[1]节奏总纲!W52</f>
        <v>1.9994377037018651</v>
      </c>
      <c r="X52" s="45">
        <f>[1]节奏总纲!X52</f>
        <v>1.7410238595958489</v>
      </c>
      <c r="Y52" s="45">
        <f>[1]节奏总纲!Y52</f>
        <v>1.389938320614629</v>
      </c>
      <c r="Z52" s="45">
        <f>[1]节奏总纲!Z52</f>
        <v>0.99881572937261076</v>
      </c>
      <c r="AA52" s="45">
        <f>[1]节奏总纲!AA52</f>
        <v>0.58686192423139882</v>
      </c>
      <c r="AC52" s="45">
        <v>49</v>
      </c>
      <c r="AD52" s="45">
        <f>[1]节奏总纲!AD52</f>
        <v>56.430041330048923</v>
      </c>
      <c r="AE52" s="45">
        <f>[1]节奏总纲!AE52</f>
        <v>58.442483247955479</v>
      </c>
      <c r="AF52" s="45">
        <f>[1]节奏总纲!AF52</f>
        <v>61.289495211956165</v>
      </c>
      <c r="AG52" s="45">
        <f>[1]节奏总纲!AG52</f>
        <v>65.640268938313284</v>
      </c>
      <c r="AH52" s="45">
        <f>[1]节奏总纲!AH52</f>
        <v>74.231558509323534</v>
      </c>
      <c r="AL52" s="45">
        <v>49</v>
      </c>
      <c r="AM52" s="45">
        <f>[1]节奏总纲!AM52</f>
        <v>507.55295278468168</v>
      </c>
      <c r="AN52" s="45">
        <f>[1]节奏总纲!AN52</f>
        <v>406.04236222774534</v>
      </c>
      <c r="AO52" s="45">
        <f>[1]节奏总纲!AO52</f>
        <v>304.53177167080901</v>
      </c>
      <c r="AP52" s="45">
        <f>[1]节奏总纲!AP52</f>
        <v>203.02118111387267</v>
      </c>
      <c r="AQ52" s="45">
        <f>[1]节奏总纲!AQ52</f>
        <v>101.51059055693634</v>
      </c>
      <c r="AS52" s="45">
        <v>49</v>
      </c>
      <c r="AT52" s="45">
        <f>[1]节奏总纲!AT52</f>
        <v>69.651464424553808</v>
      </c>
      <c r="AU52" s="45">
        <f>[1]节奏总纲!AU52</f>
        <v>55.721171539643024</v>
      </c>
      <c r="AV52" s="45">
        <f>[1]节奏总纲!AV52</f>
        <v>41.790878654732296</v>
      </c>
      <c r="AW52" s="45">
        <f>[1]节奏总纲!AW52</f>
        <v>27.860585769821512</v>
      </c>
      <c r="AX52" s="45">
        <f>[1]节奏总纲!AX52</f>
        <v>13.930292884910756</v>
      </c>
      <c r="AY52" s="45"/>
      <c r="AZ52" s="45">
        <v>49</v>
      </c>
      <c r="BA52" s="45">
        <f>[1]节奏总纲!BA52</f>
        <v>33.363371207175248</v>
      </c>
      <c r="BB52" s="45">
        <f>[1]节奏总纲!BB52</f>
        <v>34.760359618289606</v>
      </c>
      <c r="BC52" s="45">
        <f>[1]节奏总纲!BC52</f>
        <v>36.666615757473956</v>
      </c>
      <c r="BD52" s="45">
        <f>[1]节奏总纲!BD52</f>
        <v>39.385377961140485</v>
      </c>
      <c r="BE52" s="45">
        <f>[1]节奏总纲!BE52</f>
        <v>44.067911160744309</v>
      </c>
      <c r="BI52" s="49">
        <v>49</v>
      </c>
      <c r="BJ52" s="45">
        <f>[1]节奏总纲!BJ52</f>
        <v>2.4666666666666681</v>
      </c>
      <c r="BK52" s="45">
        <f>[1]节奏总纲!BK52</f>
        <v>2.5160000000000013</v>
      </c>
      <c r="BL52" s="45">
        <f>[1]节奏总纲!BL52</f>
        <v>2.6146666666666682</v>
      </c>
      <c r="BM52" s="45">
        <f>[1]节奏总纲!BM52</f>
        <v>2.8120000000000016</v>
      </c>
      <c r="BN52" s="45">
        <f>[1]节奏总纲!BN52</f>
        <v>3.4533333333333354</v>
      </c>
    </row>
    <row r="53" spans="6:66" x14ac:dyDescent="0.15">
      <c r="F53" s="45">
        <f>[1]节奏总纲!F53</f>
        <v>51</v>
      </c>
      <c r="G53" s="45">
        <f>[1]节奏总纲!G53</f>
        <v>33.296750801161366</v>
      </c>
      <c r="K53" s="50"/>
      <c r="N53" s="45">
        <f>[1]节奏总纲!N53</f>
        <v>60</v>
      </c>
      <c r="O53" s="45">
        <v>50</v>
      </c>
      <c r="P53" s="45">
        <f>[1]节奏总纲!P53</f>
        <v>31</v>
      </c>
      <c r="Q53" s="45">
        <f>[1]节奏总纲!Q53</f>
        <v>27.0351</v>
      </c>
      <c r="R53" s="45">
        <f>[1]节奏总纲!R53</f>
        <v>22.205300000000001</v>
      </c>
      <c r="S53" s="45">
        <f>[1]节奏总纲!S53</f>
        <v>16.386599999999998</v>
      </c>
      <c r="T53" s="45">
        <f>[1]节奏总纲!T53</f>
        <v>9.1883999999999997</v>
      </c>
      <c r="V53" s="45">
        <v>50</v>
      </c>
      <c r="W53" s="45">
        <f>[1]节奏总纲!W53</f>
        <v>2.1429442708221629</v>
      </c>
      <c r="X53" s="45">
        <f>[1]节奏总纲!X53</f>
        <v>1.8688616985840092</v>
      </c>
      <c r="Y53" s="45">
        <f>[1]节奏总纲!Y53</f>
        <v>1.4859339864503163</v>
      </c>
      <c r="Z53" s="45">
        <f>[1]节奏总纲!Z53</f>
        <v>1.118331813692004</v>
      </c>
      <c r="AA53" s="45">
        <f>[1]节奏总纲!AA53</f>
        <v>0.64094009301752308</v>
      </c>
      <c r="AC53" s="45">
        <v>50</v>
      </c>
      <c r="AD53" s="45">
        <f>[1]节奏总纲!AD53</f>
        <v>56.717296680108156</v>
      </c>
      <c r="AE53" s="45">
        <f>[1]节奏总纲!AE53</f>
        <v>58.729809239508185</v>
      </c>
      <c r="AF53" s="45">
        <f>[1]节奏总纲!AF53</f>
        <v>61.572721891673297</v>
      </c>
      <c r="AG53" s="45">
        <f>[1]节奏总纲!AG53</f>
        <v>65.949565490519575</v>
      </c>
      <c r="AH53" s="45">
        <f>[1]节奏总纲!AH53</f>
        <v>74.51042804689898</v>
      </c>
      <c r="AL53" s="45">
        <v>50</v>
      </c>
      <c r="AM53" s="45">
        <f>[1]节奏总纲!AM53</f>
        <v>588.22499999999991</v>
      </c>
      <c r="AN53" s="45">
        <f>[1]节奏总纲!AN53</f>
        <v>470.57999999999993</v>
      </c>
      <c r="AO53" s="45">
        <f>[1]节奏总纲!AO53</f>
        <v>352.93499999999995</v>
      </c>
      <c r="AP53" s="45">
        <f>[1]节奏总纲!AP53</f>
        <v>235.28999999999996</v>
      </c>
      <c r="AQ53" s="45">
        <f>[1]节奏总纲!AQ53</f>
        <v>117.64499999999998</v>
      </c>
      <c r="AS53" s="45">
        <v>50</v>
      </c>
      <c r="AT53" s="45">
        <f>[1]节奏总纲!AT53</f>
        <v>80.67204721531823</v>
      </c>
      <c r="AU53" s="45">
        <f>[1]节奏总纲!AU53</f>
        <v>64.537637772254584</v>
      </c>
      <c r="AV53" s="45">
        <f>[1]节奏总纲!AV53</f>
        <v>48.403228329190938</v>
      </c>
      <c r="AW53" s="45">
        <f>[1]节奏总纲!AW53</f>
        <v>32.268818886127292</v>
      </c>
      <c r="AX53" s="45">
        <f>[1]节奏总纲!AX53</f>
        <v>16.134409443063646</v>
      </c>
      <c r="AY53" s="45"/>
      <c r="AZ53" s="45">
        <v>50</v>
      </c>
      <c r="BA53" s="45">
        <f>[1]节奏总纲!BA53</f>
        <v>33.487933395889513</v>
      </c>
      <c r="BB53" s="45">
        <f>[1]节奏总纲!BB53</f>
        <v>34.893493163684269</v>
      </c>
      <c r="BC53" s="45">
        <f>[1]节奏总纲!BC53</f>
        <v>36.806900305200131</v>
      </c>
      <c r="BD53" s="45">
        <f>[1]节奏总纲!BD53</f>
        <v>39.520459727922798</v>
      </c>
      <c r="BE53" s="45">
        <f>[1]节奏总纲!BE53</f>
        <v>44.197188392263818</v>
      </c>
      <c r="BI53" s="49">
        <v>50</v>
      </c>
      <c r="BJ53" s="45">
        <f>[1]节奏总纲!BJ53</f>
        <v>2.5000000000000013</v>
      </c>
      <c r="BK53" s="45">
        <f>[1]节奏总纲!BK53</f>
        <v>2.5500000000000016</v>
      </c>
      <c r="BL53" s="45">
        <f>[1]节奏总纲!BL53</f>
        <v>2.6500000000000017</v>
      </c>
      <c r="BM53" s="45">
        <f>[1]节奏总纲!BM53</f>
        <v>2.8500000000000014</v>
      </c>
      <c r="BN53" s="45">
        <f>[1]节奏总纲!BN53</f>
        <v>3.5000000000000018</v>
      </c>
    </row>
    <row r="54" spans="6:66" x14ac:dyDescent="0.15">
      <c r="F54" s="45">
        <f>[1]节奏总纲!F54</f>
        <v>52</v>
      </c>
      <c r="G54" s="45">
        <f>[1]节奏总纲!G54</f>
        <v>35.758347359905123</v>
      </c>
      <c r="K54" s="50"/>
      <c r="N54" s="45">
        <f>[1]节奏总纲!N54</f>
        <v>61</v>
      </c>
      <c r="O54" s="45">
        <v>51</v>
      </c>
      <c r="P54" s="45">
        <f>[1]节奏总纲!P54</f>
        <v>33.296750801161366</v>
      </c>
      <c r="Q54" s="45">
        <f>[1]节奏总纲!Q54</f>
        <v>28.928217096048996</v>
      </c>
      <c r="R54" s="45">
        <f>[1]节奏总纲!R54</f>
        <v>23.783869097269566</v>
      </c>
      <c r="S54" s="45">
        <f>[1]节奏总纲!S54</f>
        <v>17.587343773173433</v>
      </c>
      <c r="T54" s="45">
        <f>[1]节奏总纲!T54</f>
        <v>9.8458492119034169</v>
      </c>
      <c r="V54" s="45">
        <v>51</v>
      </c>
      <c r="W54" s="45">
        <f>[1]节奏总纲!W54</f>
        <v>2.296750801161366</v>
      </c>
      <c r="X54" s="45">
        <f>[1]节奏总纲!X54</f>
        <v>1.8931170960489965</v>
      </c>
      <c r="Y54" s="45">
        <f>[1]节奏总纲!Y54</f>
        <v>1.5785690972695647</v>
      </c>
      <c r="Z54" s="45">
        <f>[1]节奏总纲!Z54</f>
        <v>1.2007437731734356</v>
      </c>
      <c r="AA54" s="45">
        <f>[1]节奏总纲!AA54</f>
        <v>0.65744921190341721</v>
      </c>
      <c r="AC54" s="45">
        <v>51</v>
      </c>
      <c r="AD54" s="45">
        <f>[1]节奏总纲!AD54</f>
        <v>57.004247194324648</v>
      </c>
      <c r="AE54" s="45">
        <f>[1]节奏总纲!AE54</f>
        <v>59.016342740868758</v>
      </c>
      <c r="AF54" s="45">
        <f>[1]节奏总纲!AF54</f>
        <v>61.855948571390428</v>
      </c>
      <c r="AG54" s="45">
        <f>[1]节奏总纲!AG54</f>
        <v>66.241691764589476</v>
      </c>
      <c r="AH54" s="45">
        <f>[1]节奏总纲!AH54</f>
        <v>74.789297584474426</v>
      </c>
      <c r="AZ54" s="45">
        <v>51</v>
      </c>
      <c r="BA54" s="45">
        <f>[1]节奏总纲!BA54</f>
        <v>33.612495584603778</v>
      </c>
      <c r="BB54" s="45">
        <f>[1]节奏总纲!BB54</f>
        <v>35.024397713965918</v>
      </c>
      <c r="BC54" s="45">
        <f>[1]节奏总纲!BC54</f>
        <v>36.947184852926306</v>
      </c>
      <c r="BD54" s="45">
        <f>[1]节奏总纲!BD54</f>
        <v>39.655541494705105</v>
      </c>
      <c r="BE54" s="45">
        <f>[1]节奏总纲!BE54</f>
        <v>44.326465623783335</v>
      </c>
      <c r="BI54" s="49">
        <v>51</v>
      </c>
      <c r="BJ54" s="45">
        <f>[1]节奏总纲!BJ54</f>
        <v>2.5333333333333345</v>
      </c>
      <c r="BK54" s="45">
        <f>[1]节奏总纲!BK54</f>
        <v>2.5840000000000014</v>
      </c>
      <c r="BL54" s="45">
        <f>[1]节奏总纲!BL54</f>
        <v>2.6853333333333347</v>
      </c>
      <c r="BM54" s="45">
        <f>[1]节奏总纲!BM54</f>
        <v>2.8880000000000012</v>
      </c>
      <c r="BN54" s="45">
        <f>[1]节奏总纲!BN54</f>
        <v>3.5466666666666682</v>
      </c>
    </row>
    <row r="55" spans="6:66" x14ac:dyDescent="0.15">
      <c r="F55" s="45">
        <f>[1]节奏总纲!F55</f>
        <v>53</v>
      </c>
      <c r="G55" s="45">
        <f>[1]节奏总纲!G55</f>
        <v>38.396621227037308</v>
      </c>
      <c r="K55" s="50"/>
      <c r="N55" s="45">
        <f>[1]节奏总纲!N55</f>
        <v>62</v>
      </c>
      <c r="O55" s="45">
        <v>52</v>
      </c>
      <c r="P55" s="45">
        <f>[1]节奏总纲!P55</f>
        <v>35.758347359905123</v>
      </c>
      <c r="Q55" s="45">
        <f>[1]节奏总纲!Q55</f>
        <v>31.081155525229534</v>
      </c>
      <c r="R55" s="45">
        <f>[1]节奏总纲!R55</f>
        <v>25.606552544428059</v>
      </c>
      <c r="S55" s="45">
        <f>[1]节奏总纲!S55</f>
        <v>18.930469092333773</v>
      </c>
      <c r="T55" s="45">
        <f>[1]节奏总纲!T55</f>
        <v>10.570167479587953</v>
      </c>
      <c r="V55" s="45">
        <v>52</v>
      </c>
      <c r="W55" s="45">
        <f>[1]节奏总纲!W55</f>
        <v>2.4615965587437572</v>
      </c>
      <c r="X55" s="45">
        <f>[1]节奏总纲!X55</f>
        <v>2.1529384291805371</v>
      </c>
      <c r="Y55" s="45">
        <f>[1]节奏总纲!Y55</f>
        <v>1.822683447158493</v>
      </c>
      <c r="Z55" s="45">
        <f>[1]节奏总纲!Z55</f>
        <v>1.3431253191603396</v>
      </c>
      <c r="AA55" s="45">
        <f>[1]节奏总纲!AA55</f>
        <v>0.72431826768453611</v>
      </c>
      <c r="AC55" s="45">
        <v>52</v>
      </c>
      <c r="AD55" s="45">
        <f>[1]节奏总纲!AD55</f>
        <v>57.27226591292537</v>
      </c>
      <c r="AE55" s="45">
        <f>[1]节奏总纲!AE55</f>
        <v>59.290380144164828</v>
      </c>
      <c r="AF55" s="45">
        <f>[1]节奏总纲!AF55</f>
        <v>62.130298748930763</v>
      </c>
      <c r="AG55" s="45">
        <f>[1]节奏总纲!AG55</f>
        <v>66.530472725664353</v>
      </c>
      <c r="AH55" s="45">
        <f>[1]节奏总纲!AH55</f>
        <v>75.062532510920803</v>
      </c>
      <c r="AZ55" s="45">
        <v>52</v>
      </c>
      <c r="BA55" s="45">
        <f>[1]节奏总纲!BA55</f>
        <v>33.737057773318043</v>
      </c>
      <c r="BB55" s="45">
        <f>[1]节奏总纲!BB55</f>
        <v>35.146386283795508</v>
      </c>
      <c r="BC55" s="45">
        <f>[1]节奏总纲!BC55</f>
        <v>37.075448197698059</v>
      </c>
      <c r="BD55" s="45">
        <f>[1]节奏总纲!BD55</f>
        <v>39.790623261487418</v>
      </c>
      <c r="BE55" s="45">
        <f>[1]节奏总纲!BE55</f>
        <v>44.455742855302844</v>
      </c>
      <c r="BI55" s="49">
        <v>52</v>
      </c>
      <c r="BJ55" s="45">
        <f>[1]节奏总纲!BJ55</f>
        <v>2.5666666666666678</v>
      </c>
      <c r="BK55" s="45">
        <f>[1]节奏总纲!BK55</f>
        <v>2.6180000000000012</v>
      </c>
      <c r="BL55" s="45">
        <f>[1]节奏总纲!BL55</f>
        <v>2.7206666666666681</v>
      </c>
      <c r="BM55" s="45">
        <f>[1]节奏总纲!BM55</f>
        <v>2.926000000000001</v>
      </c>
      <c r="BN55" s="45">
        <f>[1]节奏总纲!BN55</f>
        <v>3.5933333333333346</v>
      </c>
    </row>
    <row r="56" spans="6:66" x14ac:dyDescent="0.15">
      <c r="F56" s="45">
        <f>[1]节奏总纲!F56</f>
        <v>54</v>
      </c>
      <c r="G56" s="45">
        <f>[1]节奏总纲!G56</f>
        <v>41.224253144732614</v>
      </c>
      <c r="K56" s="50"/>
      <c r="N56" s="45">
        <f>[1]节奏总纲!N56</f>
        <v>63</v>
      </c>
      <c r="O56" s="45">
        <v>53</v>
      </c>
      <c r="P56" s="45">
        <f>[1]节奏总纲!P56</f>
        <v>38.396621227037308</v>
      </c>
      <c r="Q56" s="45">
        <f>[1]节奏总纲!Q56</f>
        <v>33.42809844025868</v>
      </c>
      <c r="R56" s="45">
        <f>[1]节奏总纲!R56</f>
        <v>27.5802930273809</v>
      </c>
      <c r="S56" s="45">
        <f>[1]节奏总纲!S56</f>
        <v>20.319491953348145</v>
      </c>
      <c r="T56" s="45">
        <f>[1]节奏总纲!T56</f>
        <v>11.338522248344118</v>
      </c>
      <c r="V56" s="45">
        <v>53</v>
      </c>
      <c r="W56" s="45">
        <f>[1]节奏总纲!W56</f>
        <v>2.6382738671321846</v>
      </c>
      <c r="X56" s="45">
        <f>[1]节奏总纲!X56</f>
        <v>2.3469429150291461</v>
      </c>
      <c r="Y56" s="45">
        <f>[1]节奏总纲!Y56</f>
        <v>1.9737404829528415</v>
      </c>
      <c r="Z56" s="45">
        <f>[1]节奏总纲!Z56</f>
        <v>1.3890228610143716</v>
      </c>
      <c r="AA56" s="45">
        <f>[1]节奏总纲!AA56</f>
        <v>0.76835476875616493</v>
      </c>
      <c r="AC56" s="45">
        <v>53</v>
      </c>
      <c r="AD56" s="45">
        <f>[1]节奏总纲!AD56</f>
        <v>57.540284631526099</v>
      </c>
      <c r="AE56" s="45">
        <f>[1]节奏总纲!AE56</f>
        <v>59.564417547460899</v>
      </c>
      <c r="AF56" s="45">
        <f>[1]节奏总纲!AF56</f>
        <v>62.395461425033538</v>
      </c>
      <c r="AG56" s="45">
        <f>[1]节奏总纲!AG56</f>
        <v>66.819253686739231</v>
      </c>
      <c r="AH56" s="45">
        <f>[1]节奏总纲!AH56</f>
        <v>75.318351032805268</v>
      </c>
      <c r="AZ56" s="45">
        <v>53</v>
      </c>
      <c r="BA56" s="45">
        <f>[1]节奏总纲!BA56</f>
        <v>33.861619962032307</v>
      </c>
      <c r="BB56" s="45">
        <f>[1]节奏总纲!BB56</f>
        <v>35.268374853625097</v>
      </c>
      <c r="BC56" s="45">
        <f>[1]节奏总纲!BC56</f>
        <v>37.196452985793947</v>
      </c>
      <c r="BD56" s="45">
        <f>[1]节奏总纲!BD56</f>
        <v>39.925705028269732</v>
      </c>
      <c r="BE56" s="45">
        <f>[1]节奏总纲!BE56</f>
        <v>44.585020086822361</v>
      </c>
      <c r="BI56" s="49">
        <v>53</v>
      </c>
      <c r="BJ56" s="45">
        <f>[1]节奏总纲!BJ56</f>
        <v>2.600000000000001</v>
      </c>
      <c r="BK56" s="45">
        <f>[1]节奏总纲!BK56</f>
        <v>2.652000000000001</v>
      </c>
      <c r="BL56" s="45">
        <f>[1]节奏总纲!BL56</f>
        <v>2.7560000000000011</v>
      </c>
      <c r="BM56" s="45">
        <f>[1]节奏总纲!BM56</f>
        <v>2.9640000000000009</v>
      </c>
      <c r="BN56" s="45">
        <f>[1]节奏总纲!BN56</f>
        <v>3.640000000000001</v>
      </c>
    </row>
    <row r="57" spans="6:66" x14ac:dyDescent="0.15">
      <c r="F57" s="45">
        <f>[1]节奏总纲!F57</f>
        <v>55</v>
      </c>
      <c r="G57" s="45">
        <f>[1]节奏总纲!G57</f>
        <v>44.254833995939045</v>
      </c>
      <c r="K57" s="50"/>
      <c r="N57" s="45">
        <f>[1]节奏总纲!N57</f>
        <v>64</v>
      </c>
      <c r="O57" s="45">
        <v>54</v>
      </c>
      <c r="P57" s="45">
        <f>[1]节奏总纲!P57</f>
        <v>41.224253144732614</v>
      </c>
      <c r="Q57" s="45">
        <f>[1]节奏总纲!Q57</f>
        <v>35.947548742206841</v>
      </c>
      <c r="R57" s="45">
        <f>[1]节奏总纲!R57</f>
        <v>29.553667079458812</v>
      </c>
      <c r="S57" s="45">
        <f>[1]节奏总纲!S57</f>
        <v>21.762283235104348</v>
      </c>
      <c r="T57" s="45">
        <f>[1]节奏总纲!T57</f>
        <v>12.111685573922442</v>
      </c>
      <c r="V57" s="45">
        <v>54</v>
      </c>
      <c r="W57" s="45">
        <f>[1]节奏总纲!W57</f>
        <v>2.8276319176953066</v>
      </c>
      <c r="X57" s="45">
        <f>[1]节奏总纲!X57</f>
        <v>2.5194503019481616</v>
      </c>
      <c r="Y57" s="45">
        <f>[1]节奏总纲!Y57</f>
        <v>1.9733740520779115</v>
      </c>
      <c r="Z57" s="45">
        <f>[1]节奏总纲!Z57</f>
        <v>1.4427912817562039</v>
      </c>
      <c r="AA57" s="45">
        <f>[1]节奏总纲!AA57</f>
        <v>0.77316332557832368</v>
      </c>
      <c r="AC57" s="45">
        <v>54</v>
      </c>
      <c r="AD57" s="45">
        <f>[1]节奏总纲!AD57</f>
        <v>57.80830335012682</v>
      </c>
      <c r="AE57" s="45">
        <f>[1]节奏总纲!AE57</f>
        <v>59.838454950756969</v>
      </c>
      <c r="AF57" s="45">
        <f>[1]节奏总纲!AF57</f>
        <v>62.660624101136307</v>
      </c>
      <c r="AG57" s="45">
        <f>[1]节奏总纲!AG57</f>
        <v>67.098789255934349</v>
      </c>
      <c r="AH57" s="45">
        <f>[1]节奏总纲!AH57</f>
        <v>75.574169554689718</v>
      </c>
      <c r="AZ57" s="45">
        <v>54</v>
      </c>
      <c r="BA57" s="45">
        <f>[1]节奏总纲!BA57</f>
        <v>33.986182150746572</v>
      </c>
      <c r="BB57" s="45">
        <f>[1]节奏总纲!BB57</f>
        <v>35.390363423454687</v>
      </c>
      <c r="BC57" s="45">
        <f>[1]节奏总纲!BC57</f>
        <v>37.317457773889828</v>
      </c>
      <c r="BD57" s="45">
        <f>[1]节奏总纲!BD57</f>
        <v>40.052446592012309</v>
      </c>
      <c r="BE57" s="45">
        <f>[1]节奏总纲!BE57</f>
        <v>44.71429731834187</v>
      </c>
      <c r="BI57" s="49">
        <v>54</v>
      </c>
      <c r="BJ57" s="45">
        <f>[1]节奏总纲!BJ57</f>
        <v>2.6333333333333342</v>
      </c>
      <c r="BK57" s="45">
        <f>[1]节奏总纲!BK57</f>
        <v>2.6860000000000008</v>
      </c>
      <c r="BL57" s="45">
        <f>[1]节奏总纲!BL57</f>
        <v>2.7913333333333346</v>
      </c>
      <c r="BM57" s="45">
        <f>[1]节奏总纲!BM57</f>
        <v>3.0020000000000007</v>
      </c>
      <c r="BN57" s="45">
        <f>[1]节奏总纲!BN57</f>
        <v>3.6866666666666674</v>
      </c>
    </row>
    <row r="58" spans="6:66" x14ac:dyDescent="0.15">
      <c r="F58" s="45">
        <f>[1]节奏总纲!F58</f>
        <v>56</v>
      </c>
      <c r="G58" s="45">
        <f>[1]节奏总纲!G58</f>
        <v>47.502930128332721</v>
      </c>
      <c r="K58" s="50"/>
      <c r="N58" s="45">
        <f>[1]节奏总纲!N58</f>
        <v>65</v>
      </c>
      <c r="O58" s="45">
        <v>55</v>
      </c>
      <c r="P58" s="45">
        <f>[1]节奏总纲!P58</f>
        <v>44.254833995939045</v>
      </c>
      <c r="Q58" s="45">
        <f>[1]节奏总纲!Q58</f>
        <v>38.53268396026413</v>
      </c>
      <c r="R58" s="45">
        <f>[1]节奏总纲!R58</f>
        <v>31.642206307096416</v>
      </c>
      <c r="S58" s="45">
        <f>[1]节奏总纲!S58</f>
        <v>23.282468165263531</v>
      </c>
      <c r="T58" s="45">
        <f>[1]节奏总纲!T58</f>
        <v>12.944538943812169</v>
      </c>
      <c r="V58" s="45">
        <v>55</v>
      </c>
      <c r="W58" s="45">
        <f>[1]节奏总纲!W58</f>
        <v>3.0305808512064303</v>
      </c>
      <c r="X58" s="45">
        <f>[1]节奏总纲!X58</f>
        <v>2.5851352180572889</v>
      </c>
      <c r="Y58" s="45">
        <f>[1]节奏总纲!Y58</f>
        <v>2.0885392276376038</v>
      </c>
      <c r="Z58" s="45">
        <f>[1]节奏总纲!Z58</f>
        <v>1.5201849301591821</v>
      </c>
      <c r="AA58" s="45">
        <f>[1]节奏总纲!AA58</f>
        <v>0.8328533698897278</v>
      </c>
      <c r="AC58" s="45">
        <v>55</v>
      </c>
      <c r="AD58" s="45">
        <f>[1]节奏总纲!AD58</f>
        <v>58.071211008105138</v>
      </c>
      <c r="AE58" s="45">
        <f>[1]节奏总纲!AE58</f>
        <v>60.102437883401088</v>
      </c>
      <c r="AF58" s="45">
        <f>[1]节奏总纲!AF58</f>
        <v>62.925786777239075</v>
      </c>
      <c r="AG58" s="45">
        <f>[1]节奏总纲!AG58</f>
        <v>67.36285691246691</v>
      </c>
      <c r="AH58" s="45">
        <f>[1]节奏总纲!AH58</f>
        <v>75.829988076574182</v>
      </c>
      <c r="AZ58" s="45">
        <v>55</v>
      </c>
      <c r="BA58" s="45">
        <f>[1]节奏总纲!BA58</f>
        <v>34.09469189131628</v>
      </c>
      <c r="BB58" s="45">
        <f>[1]节奏总纲!BB58</f>
        <v>35.512351993284277</v>
      </c>
      <c r="BC58" s="45">
        <f>[1]节奏总纲!BC58</f>
        <v>37.438462561985709</v>
      </c>
      <c r="BD58" s="45">
        <f>[1]节奏总纲!BD58</f>
        <v>40.168994574261895</v>
      </c>
      <c r="BE58" s="45">
        <f>[1]节奏总纲!BE58</f>
        <v>44.843574549861387</v>
      </c>
      <c r="BI58" s="49">
        <v>55</v>
      </c>
      <c r="BJ58" s="45">
        <f>[1]节奏总纲!BJ58</f>
        <v>2.6666666666666674</v>
      </c>
      <c r="BK58" s="45">
        <f>[1]节奏总纲!BK58</f>
        <v>2.7200000000000006</v>
      </c>
      <c r="BL58" s="45">
        <f>[1]节奏总纲!BL58</f>
        <v>2.8266666666666675</v>
      </c>
      <c r="BM58" s="45">
        <f>[1]节奏总纲!BM58</f>
        <v>3.0400000000000005</v>
      </c>
      <c r="BN58" s="45">
        <f>[1]节奏总纲!BN58</f>
        <v>3.7333333333333343</v>
      </c>
    </row>
    <row r="59" spans="6:66" x14ac:dyDescent="0.15">
      <c r="F59" s="45">
        <f>[1]节奏总纲!F59</f>
        <v>57</v>
      </c>
      <c r="G59" s="45">
        <f>[1]节奏总纲!G59</f>
        <v>50.984153366799077</v>
      </c>
      <c r="K59" s="50"/>
      <c r="N59" s="45">
        <f>[1]节奏总纲!N59</f>
        <v>66</v>
      </c>
      <c r="O59" s="45">
        <v>56</v>
      </c>
      <c r="P59" s="45">
        <f>[1]节奏总纲!P59</f>
        <v>47.502930128332721</v>
      </c>
      <c r="Q59" s="45">
        <f>[1]节奏总纲!Q59</f>
        <v>41.275295988508304</v>
      </c>
      <c r="R59" s="45">
        <f>[1]节奏总纲!R59</f>
        <v>33.888590353552566</v>
      </c>
      <c r="S59" s="45">
        <f>[1]节奏总纲!S59</f>
        <v>24.910536559297679</v>
      </c>
      <c r="T59" s="45">
        <f>[1]节奏总纲!T59</f>
        <v>13.837603546383322</v>
      </c>
      <c r="V59" s="45">
        <v>56</v>
      </c>
      <c r="W59" s="45">
        <f>[1]节奏总纲!W59</f>
        <v>3.2480961323936768</v>
      </c>
      <c r="X59" s="45">
        <f>[1]节奏总纲!X59</f>
        <v>2.7426120282441744</v>
      </c>
      <c r="Y59" s="45">
        <f>[1]节奏总纲!Y59</f>
        <v>2.24638404645615</v>
      </c>
      <c r="Z59" s="45">
        <f>[1]节奏总纲!Z59</f>
        <v>1.6280683940341483</v>
      </c>
      <c r="AA59" s="45">
        <f>[1]节奏总纲!AA59</f>
        <v>0.89306460257115283</v>
      </c>
      <c r="AC59" s="45">
        <v>56</v>
      </c>
      <c r="AD59" s="45">
        <f>[1]节奏总纲!AD59</f>
        <v>58.321281314909029</v>
      </c>
      <c r="AE59" s="45">
        <f>[1]节奏总纲!AE59</f>
        <v>60.351982057337977</v>
      </c>
      <c r="AF59" s="45">
        <f>[1]节奏总纲!AF59</f>
        <v>63.17626763611517</v>
      </c>
      <c r="AG59" s="45">
        <f>[1]节奏总纲!AG59</f>
        <v>67.626924568999456</v>
      </c>
      <c r="AH59" s="45">
        <f>[1]节奏总纲!AH59</f>
        <v>76.086647524934079</v>
      </c>
      <c r="AZ59" s="45">
        <v>56</v>
      </c>
      <c r="BA59" s="45">
        <f>[1]节奏总纲!BA59</f>
        <v>34.201198727632011</v>
      </c>
      <c r="BB59" s="45">
        <f>[1]节奏总纲!BB59</f>
        <v>35.634340563113874</v>
      </c>
      <c r="BC59" s="45">
        <f>[1]节奏总纲!BC59</f>
        <v>37.55946735008159</v>
      </c>
      <c r="BD59" s="45">
        <f>[1]节奏总纲!BD59</f>
        <v>40.28554255651148</v>
      </c>
      <c r="BE59" s="45">
        <f>[1]节奏总纲!BE59</f>
        <v>44.972851781380903</v>
      </c>
      <c r="BI59" s="49">
        <v>56</v>
      </c>
      <c r="BJ59" s="45">
        <f>[1]节奏总纲!BJ59</f>
        <v>2.7000000000000006</v>
      </c>
      <c r="BK59" s="45">
        <f>[1]节奏总纲!BK59</f>
        <v>2.7540000000000009</v>
      </c>
      <c r="BL59" s="45">
        <f>[1]节奏总纲!BL59</f>
        <v>2.862000000000001</v>
      </c>
      <c r="BM59" s="45">
        <f>[1]节奏总纲!BM59</f>
        <v>3.0780000000000003</v>
      </c>
      <c r="BN59" s="45">
        <f>[1]节奏总纲!BN59</f>
        <v>3.7800000000000007</v>
      </c>
    </row>
    <row r="60" spans="6:66" x14ac:dyDescent="0.15">
      <c r="F60" s="45">
        <f>[1]节奏总纲!F60</f>
        <v>58</v>
      </c>
      <c r="G60" s="45">
        <f>[1]节奏总纲!G60</f>
        <v>54.715236050951923</v>
      </c>
      <c r="K60" s="50"/>
      <c r="N60" s="45">
        <f>[1]节奏总纲!N60</f>
        <v>67</v>
      </c>
      <c r="O60" s="45">
        <v>57</v>
      </c>
      <c r="P60" s="45">
        <f>[1]节奏总纲!P60</f>
        <v>50.984153366799077</v>
      </c>
      <c r="Q60" s="45">
        <f>[1]节奏总纲!Q60</f>
        <v>44.310327691085078</v>
      </c>
      <c r="R60" s="45">
        <f>[1]节奏总纲!R60</f>
        <v>36.316012443170983</v>
      </c>
      <c r="S60" s="45">
        <f>[1]节奏总纲!S60</f>
        <v>26.664712210835919</v>
      </c>
      <c r="T60" s="45">
        <f>[1]节奏总纲!T60</f>
        <v>14.815994968391813</v>
      </c>
      <c r="V60" s="45">
        <v>57</v>
      </c>
      <c r="W60" s="45">
        <f>[1]节奏总纲!W60</f>
        <v>3.481223238466356</v>
      </c>
      <c r="X60" s="45">
        <f>[1]节奏总纲!X60</f>
        <v>3.0350317025767737</v>
      </c>
      <c r="Y60" s="45">
        <f>[1]节奏总纲!Y60</f>
        <v>2.4274220896184175</v>
      </c>
      <c r="Z60" s="45">
        <f>[1]节奏总纲!Z60</f>
        <v>1.7541756515382403</v>
      </c>
      <c r="AA60" s="45">
        <f>[1]节奏总纲!AA60</f>
        <v>0.97839142200849061</v>
      </c>
      <c r="AC60" s="45">
        <v>57</v>
      </c>
      <c r="AD60" s="45">
        <f>[1]节奏总纲!AD60</f>
        <v>58.571351621712921</v>
      </c>
      <c r="AE60" s="45">
        <f>[1]节奏总纲!AE60</f>
        <v>60.60152623127486</v>
      </c>
      <c r="AF60" s="45">
        <f>[1]节奏总纲!AF60</f>
        <v>63.421042351541736</v>
      </c>
      <c r="AG60" s="45">
        <f>[1]节奏总纲!AG60</f>
        <v>67.890992225532017</v>
      </c>
      <c r="AH60" s="45">
        <f>[1]节奏总纲!AH60</f>
        <v>76.344973133357612</v>
      </c>
      <c r="AZ60" s="45">
        <v>57</v>
      </c>
      <c r="BA60" s="45">
        <f>[1]节奏总纲!BA60</f>
        <v>34.307705563947749</v>
      </c>
      <c r="BB60" s="45">
        <f>[1]节奏总纲!BB60</f>
        <v>35.756329132943463</v>
      </c>
      <c r="BC60" s="45">
        <f>[1]节奏总纲!BC60</f>
        <v>37.680472138177478</v>
      </c>
      <c r="BD60" s="45">
        <f>[1]节奏总纲!BD60</f>
        <v>40.402090538761065</v>
      </c>
      <c r="BE60" s="45">
        <f>[1]节奏总纲!BE60</f>
        <v>45.088151688727308</v>
      </c>
      <c r="BI60" s="49">
        <v>57</v>
      </c>
      <c r="BJ60" s="45">
        <f>[1]节奏总纲!BJ60</f>
        <v>2.7333333333333338</v>
      </c>
      <c r="BK60" s="45">
        <f>[1]节奏总纲!BK60</f>
        <v>2.7880000000000007</v>
      </c>
      <c r="BL60" s="45">
        <f>[1]节奏总纲!BL60</f>
        <v>2.897333333333334</v>
      </c>
      <c r="BM60" s="45">
        <f>[1]节奏总纲!BM60</f>
        <v>3.1160000000000001</v>
      </c>
      <c r="BN60" s="45">
        <f>[1]节奏总纲!BN60</f>
        <v>3.8266666666666671</v>
      </c>
    </row>
    <row r="61" spans="6:66" x14ac:dyDescent="0.15">
      <c r="F61" s="45">
        <f>[1]节奏总纲!F61</f>
        <v>59</v>
      </c>
      <c r="G61" s="45">
        <f>[1]节奏总纲!G61</f>
        <v>58.714111458355703</v>
      </c>
      <c r="K61" s="50"/>
      <c r="N61" s="45">
        <f>[1]节奏总纲!N61</f>
        <v>68</v>
      </c>
      <c r="O61" s="45">
        <v>58</v>
      </c>
      <c r="P61" s="45">
        <f>[1]节奏总纲!P61</f>
        <v>54.715236050951923</v>
      </c>
      <c r="Q61" s="45">
        <f>[1]节奏总纲!Q61</f>
        <v>47.459995750595695</v>
      </c>
      <c r="R61" s="45">
        <f>[1]节奏总纲!R61</f>
        <v>38.913475879437009</v>
      </c>
      <c r="S61" s="45">
        <f>[1]节奏总纲!S61</f>
        <v>28.572296265807093</v>
      </c>
      <c r="T61" s="45">
        <f>[1]节奏总纲!T61</f>
        <v>15.856475407565867</v>
      </c>
      <c r="V61" s="45">
        <v>58</v>
      </c>
      <c r="W61" s="45">
        <f>[1]节奏总纲!W61</f>
        <v>3.7310826841528453</v>
      </c>
      <c r="X61" s="45">
        <f>[1]节奏总纲!X61</f>
        <v>3.149668059510617</v>
      </c>
      <c r="Y61" s="45">
        <f>[1]节奏总纲!Y61</f>
        <v>2.5974634362660254</v>
      </c>
      <c r="Z61" s="45">
        <f>[1]节奏总纲!Z61</f>
        <v>1.9075840549711742</v>
      </c>
      <c r="AA61" s="45">
        <f>[1]节奏总纲!AA61</f>
        <v>1.0404804391740541</v>
      </c>
      <c r="AC61" s="45">
        <v>58</v>
      </c>
      <c r="AD61" s="45">
        <f>[1]节奏总纲!AD61</f>
        <v>58.821421928516813</v>
      </c>
      <c r="AE61" s="45">
        <f>[1]节奏总纲!AE61</f>
        <v>60.851070405211743</v>
      </c>
      <c r="AF61" s="45">
        <f>[1]节奏总纲!AF61</f>
        <v>63.665817066968295</v>
      </c>
      <c r="AG61" s="45">
        <f>[1]节奏总纲!AG61</f>
        <v>68.142437172458173</v>
      </c>
      <c r="AH61" s="45">
        <f>[1]节奏总纲!AH61</f>
        <v>76.60329874178116</v>
      </c>
      <c r="AZ61" s="45">
        <v>58</v>
      </c>
      <c r="BA61" s="45">
        <f>[1]节奏总纲!BA61</f>
        <v>34.41421240026348</v>
      </c>
      <c r="BB61" s="45">
        <f>[1]节奏总纲!BB61</f>
        <v>35.878317702773053</v>
      </c>
      <c r="BC61" s="45">
        <f>[1]节奏总纲!BC61</f>
        <v>37.801476926273359</v>
      </c>
      <c r="BD61" s="45">
        <f>[1]节奏总纲!BD61</f>
        <v>40.518638521010644</v>
      </c>
      <c r="BE61" s="45">
        <f>[1]节奏总纲!BE61</f>
        <v>45.199736104837825</v>
      </c>
      <c r="BI61" s="49">
        <v>58</v>
      </c>
      <c r="BJ61" s="45">
        <f>[1]节奏总纲!BJ61</f>
        <v>2.7666666666666671</v>
      </c>
      <c r="BK61" s="45">
        <f>[1]节奏总纲!BK61</f>
        <v>2.8220000000000005</v>
      </c>
      <c r="BL61" s="45">
        <f>[1]节奏总纲!BL61</f>
        <v>2.9326666666666674</v>
      </c>
      <c r="BM61" s="45">
        <f>[1]节奏总纲!BM61</f>
        <v>3.1540000000000004</v>
      </c>
      <c r="BN61" s="45">
        <f>[1]节奏总纲!BN61</f>
        <v>3.8733333333333335</v>
      </c>
    </row>
    <row r="62" spans="6:66" x14ac:dyDescent="0.15">
      <c r="F62" s="45">
        <f>[1]节奏总纲!F62</f>
        <v>60</v>
      </c>
      <c r="G62" s="45">
        <f>[1]节奏总纲!G62</f>
        <v>63</v>
      </c>
      <c r="K62" s="50"/>
      <c r="N62" s="45">
        <f>[1]节奏总纲!N62</f>
        <v>69</v>
      </c>
      <c r="O62" s="45">
        <v>59</v>
      </c>
      <c r="P62" s="45">
        <f>[1]节奏总纲!P62</f>
        <v>58.714111458355703</v>
      </c>
      <c r="Q62" s="45">
        <f>[1]节奏总纲!Q62</f>
        <v>50.940363101269412</v>
      </c>
      <c r="R62" s="45">
        <f>[1]节奏总纲!R62</f>
        <v>41.728119013453394</v>
      </c>
      <c r="S62" s="45">
        <f>[1]节奏总纲!S62</f>
        <v>30.607666303240826</v>
      </c>
      <c r="T62" s="45">
        <f>[1]节奏总纲!T62</f>
        <v>17.003606678339814</v>
      </c>
      <c r="V62" s="45">
        <v>59</v>
      </c>
      <c r="W62" s="45">
        <f>[1]节奏总纲!W62</f>
        <v>3.99887540740378</v>
      </c>
      <c r="X62" s="45">
        <f>[1]节奏总纲!X62</f>
        <v>3.4803673506737169</v>
      </c>
      <c r="Y62" s="45">
        <f>[1]节奏总纲!Y62</f>
        <v>2.8146431340163858</v>
      </c>
      <c r="Z62" s="45">
        <f>[1]节奏总纲!Z62</f>
        <v>2.0353700374337329</v>
      </c>
      <c r="AA62" s="45">
        <f>[1]节奏总纲!AA62</f>
        <v>1.1471312707739472</v>
      </c>
      <c r="AC62" s="45">
        <v>59</v>
      </c>
      <c r="AD62" s="45">
        <f>[1]节奏总纲!AD62</f>
        <v>59.066704614192936</v>
      </c>
      <c r="AE62" s="45">
        <f>[1]节奏总纲!AE62</f>
        <v>61.094954819415335</v>
      </c>
      <c r="AF62" s="45">
        <f>[1]节奏总纲!AF62</f>
        <v>63.91059178239486</v>
      </c>
      <c r="AG62" s="45">
        <f>[1]节奏总纲!AG62</f>
        <v>68.385008299388929</v>
      </c>
      <c r="AH62" s="45">
        <f>[1]节奏总纲!AH62</f>
        <v>76.861624350204693</v>
      </c>
      <c r="AZ62" s="45">
        <v>59</v>
      </c>
      <c r="BA62" s="45">
        <f>[1]节奏总纲!BA62</f>
        <v>34.520719236579211</v>
      </c>
      <c r="BB62" s="45">
        <f>[1]节奏总纲!BB62</f>
        <v>36.000264155774609</v>
      </c>
      <c r="BC62" s="45">
        <f>[1]节奏总纲!BC62</f>
        <v>37.922481714369241</v>
      </c>
      <c r="BD62" s="45">
        <f>[1]节奏总纲!BD62</f>
        <v>40.635186503260229</v>
      </c>
      <c r="BE62" s="45">
        <f>[1]节奏总纲!BE62</f>
        <v>45.31132052094835</v>
      </c>
      <c r="BI62" s="49">
        <v>59</v>
      </c>
      <c r="BJ62" s="45">
        <f>[1]节奏总纲!BJ62</f>
        <v>2.8000000000000003</v>
      </c>
      <c r="BK62" s="45">
        <f>[1]节奏总纲!BK62</f>
        <v>2.8560000000000003</v>
      </c>
      <c r="BL62" s="45">
        <f>[1]节奏总纲!BL62</f>
        <v>2.9680000000000004</v>
      </c>
      <c r="BM62" s="45">
        <f>[1]节奏总纲!BM62</f>
        <v>3.1920000000000002</v>
      </c>
      <c r="BN62" s="45">
        <f>[1]节奏总纲!BN62</f>
        <v>3.92</v>
      </c>
    </row>
    <row r="63" spans="6:66" x14ac:dyDescent="0.15">
      <c r="F63" s="45">
        <f>[1]节奏总纲!F63</f>
        <v>61</v>
      </c>
      <c r="G63" s="45">
        <f>[1]节奏总纲!G63</f>
        <v>67.593501602322732</v>
      </c>
      <c r="N63" s="45">
        <f>[1]节奏总纲!N63</f>
        <v>70</v>
      </c>
      <c r="O63" s="45">
        <v>60</v>
      </c>
      <c r="P63" s="45">
        <f>[1]节奏总纲!P63</f>
        <v>63</v>
      </c>
      <c r="Q63" s="45">
        <f>[1]节奏总纲!Q63</f>
        <v>54.589500000000001</v>
      </c>
      <c r="R63" s="45">
        <f>[1]节奏总纲!R63</f>
        <v>44.717399999999998</v>
      </c>
      <c r="S63" s="45">
        <f>[1]节奏总纲!S63</f>
        <v>32.810400000000001</v>
      </c>
      <c r="T63" s="45">
        <f>[1]节奏总纲!T63</f>
        <v>18.276300000000003</v>
      </c>
      <c r="V63" s="45">
        <v>60</v>
      </c>
      <c r="W63" s="45">
        <f>[1]节奏总纲!W63</f>
        <v>4.2858885416442973</v>
      </c>
      <c r="X63" s="45">
        <f>[1]节奏总纲!X63</f>
        <v>3.649136898730589</v>
      </c>
      <c r="Y63" s="45">
        <f>[1]节奏总纲!Y63</f>
        <v>2.9892809865466035</v>
      </c>
      <c r="Z63" s="45">
        <f>[1]节奏总纲!Z63</f>
        <v>2.2027336967591751</v>
      </c>
      <c r="AA63" s="45">
        <f>[1]节奏总纲!AA63</f>
        <v>1.2726933216601886</v>
      </c>
      <c r="AC63" s="45">
        <v>60</v>
      </c>
      <c r="AD63" s="45">
        <f>[1]节奏总纲!AD63</f>
        <v>59.300028460644697</v>
      </c>
      <c r="AE63" s="45">
        <f>[1]节奏总纲!AE63</f>
        <v>61.330461663183208</v>
      </c>
      <c r="AF63" s="45">
        <f>[1]节奏总纲!AF63</f>
        <v>64.14304723627319</v>
      </c>
      <c r="AG63" s="45">
        <f>[1]节奏总纲!AG63</f>
        <v>68.627579426319684</v>
      </c>
      <c r="AH63" s="45">
        <f>[1]节奏总纲!AH63</f>
        <v>77.112805903056142</v>
      </c>
      <c r="AZ63" s="45">
        <v>60</v>
      </c>
      <c r="BA63" s="45">
        <f>[1]节奏总纲!BA63</f>
        <v>34.627226072894942</v>
      </c>
      <c r="BB63" s="45">
        <f>[1]节奏总纲!BB63</f>
        <v>36.105477566569242</v>
      </c>
      <c r="BC63" s="45">
        <f>[1]节奏总纲!BC63</f>
        <v>38.037513426486328</v>
      </c>
      <c r="BD63" s="45">
        <f>[1]节奏总纲!BD63</f>
        <v>40.751734485509814</v>
      </c>
      <c r="BE63" s="45">
        <f>[1]节奏总纲!BE63</f>
        <v>45.422904937058867</v>
      </c>
      <c r="BI63" s="49">
        <v>60</v>
      </c>
      <c r="BJ63" s="45">
        <f>[1]节奏总纲!BJ63</f>
        <v>2.8333333333333335</v>
      </c>
      <c r="BK63" s="45">
        <f>[1]节奏总纲!BK63</f>
        <v>2.89</v>
      </c>
      <c r="BL63" s="45">
        <f>[1]节奏总纲!BL63</f>
        <v>3.0033333333333339</v>
      </c>
      <c r="BM63" s="45">
        <f>[1]节奏总纲!BM63</f>
        <v>3.23</v>
      </c>
      <c r="BN63" s="45">
        <f>[1]节奏总纲!BN63</f>
        <v>3.9666666666666668</v>
      </c>
    </row>
    <row r="64" spans="6:66" x14ac:dyDescent="0.15">
      <c r="F64" s="45">
        <f>[1]节奏总纲!F64</f>
        <v>62</v>
      </c>
      <c r="G64" s="45">
        <f>[1]节奏总纲!G64</f>
        <v>72.516694719810218</v>
      </c>
      <c r="N64" s="45">
        <f>[1]节奏总纲!N64</f>
        <v>71</v>
      </c>
      <c r="O64" s="45">
        <v>61</v>
      </c>
      <c r="P64" s="45">
        <f>[1]节奏总纲!P64</f>
        <v>67.593501602322732</v>
      </c>
      <c r="Q64" s="45">
        <f>[1]节奏总纲!Q64</f>
        <v>58.596806539053574</v>
      </c>
      <c r="R64" s="45">
        <f>[1]节奏总纲!R64</f>
        <v>47.977867437328676</v>
      </c>
      <c r="S64" s="45">
        <f>[1]节奏总纲!S64</f>
        <v>35.229733035130607</v>
      </c>
      <c r="T64" s="45">
        <f>[1]节奏总纲!T64</f>
        <v>19.602115464673592</v>
      </c>
      <c r="V64" s="45">
        <v>61</v>
      </c>
      <c r="W64" s="45">
        <f>[1]节奏总纲!W64</f>
        <v>4.593501602322732</v>
      </c>
      <c r="X64" s="45">
        <f>[1]节奏总纲!X64</f>
        <v>4.0073065390535731</v>
      </c>
      <c r="Y64" s="45">
        <f>[1]节奏总纲!Y64</f>
        <v>3.2604674373286784</v>
      </c>
      <c r="Z64" s="45">
        <f>[1]节奏总纲!Z64</f>
        <v>2.4193330351306059</v>
      </c>
      <c r="AA64" s="45">
        <f>[1]节奏总纲!AA64</f>
        <v>1.3258154646735889</v>
      </c>
      <c r="AC64" s="45">
        <v>61</v>
      </c>
      <c r="AD64" s="45">
        <f>[1]节奏总纲!AD64</f>
        <v>59.533352307096465</v>
      </c>
      <c r="AE64" s="45">
        <f>[1]节奏总纲!AE64</f>
        <v>61.56596850695108</v>
      </c>
      <c r="AF64" s="45">
        <f>[1]节奏总纲!AF64</f>
        <v>64.368413367596901</v>
      </c>
      <c r="AG64" s="45">
        <f>[1]节奏总纲!AG64</f>
        <v>68.870150553250454</v>
      </c>
      <c r="AH64" s="45">
        <f>[1]节奏总纲!AH64</f>
        <v>77.355745991356301</v>
      </c>
      <c r="AZ64" s="45">
        <v>61</v>
      </c>
      <c r="BA64" s="45">
        <f>[1]节奏总纲!BA64</f>
        <v>34.733732909210673</v>
      </c>
      <c r="BB64" s="45">
        <f>[1]节奏总纲!BB64</f>
        <v>36.210690977363875</v>
      </c>
      <c r="BC64" s="45">
        <f>[1]节奏总纲!BC64</f>
        <v>38.14189763688286</v>
      </c>
      <c r="BD64" s="45">
        <f>[1]节奏总纲!BD64</f>
        <v>40.8682824677594</v>
      </c>
      <c r="BE64" s="45">
        <f>[1]节奏总纲!BE64</f>
        <v>45.534489353169384</v>
      </c>
      <c r="BI64" s="49">
        <v>61</v>
      </c>
      <c r="BJ64" s="45">
        <f>[1]节奏总纲!BJ64</f>
        <v>2.8666666666666667</v>
      </c>
      <c r="BK64" s="45">
        <f>[1]节奏总纲!BK64</f>
        <v>2.9239999999999999</v>
      </c>
      <c r="BL64" s="45">
        <f>[1]节奏总纲!BL64</f>
        <v>3.0386666666666668</v>
      </c>
      <c r="BM64" s="45">
        <f>[1]节奏总纲!BM64</f>
        <v>3.2679999999999998</v>
      </c>
      <c r="BN64" s="45">
        <f>[1]节奏总纲!BN64</f>
        <v>4.0133333333333328</v>
      </c>
    </row>
    <row r="65" spans="6:66" x14ac:dyDescent="0.15">
      <c r="F65" s="45">
        <f>[1]节奏总纲!F65</f>
        <v>63</v>
      </c>
      <c r="G65" s="45">
        <f>[1]节奏总纲!G65</f>
        <v>77.793242454074615</v>
      </c>
      <c r="N65" s="45">
        <f>[1]节奏总纲!N65</f>
        <v>72</v>
      </c>
      <c r="O65" s="45">
        <v>62</v>
      </c>
      <c r="P65" s="45">
        <f>[1]节奏总纲!P65</f>
        <v>72.516694719810218</v>
      </c>
      <c r="Q65" s="45">
        <f>[1]节奏总纲!Q65</f>
        <v>62.842967644187539</v>
      </c>
      <c r="R65" s="45">
        <f>[1]节奏总纲!R65</f>
        <v>51.5086082594812</v>
      </c>
      <c r="S65" s="45">
        <f>[1]节奏总纲!S65</f>
        <v>37.846462974268952</v>
      </c>
      <c r="T65" s="45">
        <f>[1]节奏总纲!T65</f>
        <v>21.124113171880715</v>
      </c>
      <c r="V65" s="45">
        <v>62</v>
      </c>
      <c r="W65" s="45">
        <f>[1]节奏总纲!W65</f>
        <v>4.9231931174874859</v>
      </c>
      <c r="X65" s="45">
        <f>[1]节奏总纲!X65</f>
        <v>4.2461611051339645</v>
      </c>
      <c r="Y65" s="45">
        <f>[1]节奏总纲!Y65</f>
        <v>3.5307408221525236</v>
      </c>
      <c r="Z65" s="45">
        <f>[1]节奏总纲!Z65</f>
        <v>2.6167299391383452</v>
      </c>
      <c r="AA65" s="45">
        <f>[1]节奏总纲!AA65</f>
        <v>1.5219977072071238</v>
      </c>
      <c r="AC65" s="45">
        <v>62</v>
      </c>
      <c r="AD65" s="45">
        <f>[1]节奏总纲!AD65</f>
        <v>59.766676153548232</v>
      </c>
      <c r="AE65" s="45">
        <f>[1]节奏总纲!AE65</f>
        <v>61.801475350718952</v>
      </c>
      <c r="AF65" s="45">
        <f>[1]节奏总纲!AF65</f>
        <v>64.593779498920611</v>
      </c>
      <c r="AG65" s="45">
        <f>[1]节奏总纲!AG65</f>
        <v>69.105843627521551</v>
      </c>
      <c r="AH65" s="45">
        <f>[1]节奏总纲!AH65</f>
        <v>77.59868607965646</v>
      </c>
      <c r="AZ65" s="45">
        <v>62</v>
      </c>
      <c r="BA65" s="45">
        <f>[1]节奏总纲!BA65</f>
        <v>34.840239745526404</v>
      </c>
      <c r="BB65" s="45">
        <f>[1]节奏总纲!BB65</f>
        <v>36.315904388158508</v>
      </c>
      <c r="BC65" s="45">
        <f>[1]节奏总纲!BC65</f>
        <v>38.246281847279398</v>
      </c>
      <c r="BD65" s="45">
        <f>[1]节奏总纲!BD65</f>
        <v>40.984830450008978</v>
      </c>
      <c r="BE65" s="45">
        <f>[1]节奏总纲!BE65</f>
        <v>45.646073769279901</v>
      </c>
      <c r="BI65" s="49">
        <v>62</v>
      </c>
      <c r="BJ65" s="45">
        <f>[1]节奏总纲!BJ65</f>
        <v>2.9</v>
      </c>
      <c r="BK65" s="45">
        <f>[1]节奏总纲!BK65</f>
        <v>2.9579999999999997</v>
      </c>
      <c r="BL65" s="45">
        <f>[1]节奏总纲!BL65</f>
        <v>3.0739999999999998</v>
      </c>
      <c r="BM65" s="45">
        <f>[1]节奏总纲!BM65</f>
        <v>3.3059999999999996</v>
      </c>
      <c r="BN65" s="45">
        <f>[1]节奏总纲!BN65</f>
        <v>4.0599999999999996</v>
      </c>
    </row>
    <row r="66" spans="6:66" x14ac:dyDescent="0.15">
      <c r="F66" s="45">
        <f>[1]节奏总纲!F66</f>
        <v>64</v>
      </c>
      <c r="G66" s="45">
        <f>[1]节奏总纲!G66</f>
        <v>83.4485062894652</v>
      </c>
      <c r="N66" s="45">
        <f>[1]节奏总纲!N66</f>
        <v>73</v>
      </c>
      <c r="O66" s="45">
        <v>63</v>
      </c>
      <c r="P66" s="45">
        <f>[1]节奏总纲!P66</f>
        <v>77.793242454074615</v>
      </c>
      <c r="Q66" s="45">
        <f>[1]节奏总纲!Q66</f>
        <v>67.470079180418907</v>
      </c>
      <c r="R66" s="45">
        <f>[1]节奏总纲!R66</f>
        <v>55.27987808786542</v>
      </c>
      <c r="S66" s="45">
        <f>[1]节奏总纲!S66</f>
        <v>40.678086479235617</v>
      </c>
      <c r="T66" s="45">
        <f>[1]节奏总纲!T66</f>
        <v>22.700068148098975</v>
      </c>
      <c r="V66" s="45">
        <v>63</v>
      </c>
      <c r="W66" s="45">
        <f>[1]节奏总纲!W66</f>
        <v>5.2765477342643976</v>
      </c>
      <c r="X66" s="45">
        <f>[1]节奏总纲!X66</f>
        <v>4.6271115362313679</v>
      </c>
      <c r="Y66" s="45">
        <f>[1]节奏总纲!Y66</f>
        <v>3.7712698283842201</v>
      </c>
      <c r="Z66" s="45">
        <f>[1]节奏总纲!Z66</f>
        <v>2.8316235049666645</v>
      </c>
      <c r="AA66" s="45">
        <f>[1]节奏总纲!AA66</f>
        <v>1.5759549762182594</v>
      </c>
      <c r="AC66" s="45">
        <v>63</v>
      </c>
      <c r="AD66" s="45">
        <f>[1]节奏总纲!AD66</f>
        <v>60</v>
      </c>
      <c r="AE66" s="45">
        <f>[1]节奏总纲!AE66</f>
        <v>62.033937447710706</v>
      </c>
      <c r="AF66" s="45">
        <f>[1]节奏总纲!AF66</f>
        <v>64.819145630244321</v>
      </c>
      <c r="AG66" s="45">
        <f>[1]节奏总纲!AG66</f>
        <v>69.333613546893503</v>
      </c>
      <c r="AH66" s="45">
        <f>[1]节奏总纲!AH66</f>
        <v>77.841626167956619</v>
      </c>
      <c r="AZ66" s="45">
        <v>63</v>
      </c>
      <c r="BA66" s="45">
        <f>[1]节奏总纲!BA66</f>
        <v>34.946746581842135</v>
      </c>
      <c r="BB66" s="45">
        <f>[1]节奏总纲!BB66</f>
        <v>36.421117798953141</v>
      </c>
      <c r="BC66" s="45">
        <f>[1]节奏总纲!BC66</f>
        <v>38.35066605767593</v>
      </c>
      <c r="BD66" s="45">
        <f>[1]节奏总纲!BD66</f>
        <v>41.087476216725996</v>
      </c>
      <c r="BE66" s="45">
        <f>[1]节奏总纲!BE66</f>
        <v>45.757658185390426</v>
      </c>
      <c r="BI66" s="49">
        <v>63</v>
      </c>
      <c r="BJ66" s="45">
        <f>[1]节奏总纲!BJ66</f>
        <v>2.9333333333333331</v>
      </c>
      <c r="BK66" s="45">
        <f>[1]节奏总纲!BK66</f>
        <v>2.992</v>
      </c>
      <c r="BL66" s="45">
        <f>[1]节奏总纲!BL66</f>
        <v>3.1093333333333333</v>
      </c>
      <c r="BM66" s="45">
        <f>[1]节奏总纲!BM66</f>
        <v>3.3439999999999994</v>
      </c>
      <c r="BN66" s="45">
        <f>[1]节奏总纲!BN66</f>
        <v>4.1066666666666665</v>
      </c>
    </row>
    <row r="67" spans="6:66" x14ac:dyDescent="0.15">
      <c r="F67" s="45">
        <f>[1]节奏总纲!F67</f>
        <v>65</v>
      </c>
      <c r="G67" s="45">
        <f>[1]节奏总纲!G67</f>
        <v>89.509667991878061</v>
      </c>
      <c r="N67" s="45">
        <f>[1]节奏总纲!N67</f>
        <v>74</v>
      </c>
      <c r="O67" s="45">
        <v>64</v>
      </c>
      <c r="P67" s="45">
        <f>[1]节奏总纲!P67</f>
        <v>83.4485062894652</v>
      </c>
      <c r="Q67" s="45">
        <f>[1]节奏总纲!Q67</f>
        <v>72.399924056740005</v>
      </c>
      <c r="R67" s="45">
        <f>[1]节奏总纲!R67</f>
        <v>59.365267374325548</v>
      </c>
      <c r="S67" s="45">
        <f>[1]节奏总纲!S67</f>
        <v>43.718672445050821</v>
      </c>
      <c r="T67" s="45">
        <f>[1]节奏总纲!T67</f>
        <v>24.341929284637001</v>
      </c>
      <c r="V67" s="45">
        <v>64</v>
      </c>
      <c r="W67" s="45">
        <f>[1]节奏总纲!W67</f>
        <v>5.6552638353905849</v>
      </c>
      <c r="X67" s="45">
        <f>[1]节奏总纲!X67</f>
        <v>4.9298448763210985</v>
      </c>
      <c r="Y67" s="45">
        <f>[1]节奏总纲!Y67</f>
        <v>4.0853892864601278</v>
      </c>
      <c r="Z67" s="45">
        <f>[1]节奏总纲!Z67</f>
        <v>3.0405859658152039</v>
      </c>
      <c r="AA67" s="45">
        <f>[1]节奏总纲!AA67</f>
        <v>1.6418611365380258</v>
      </c>
      <c r="AC67" s="45">
        <v>64</v>
      </c>
      <c r="AD67" s="45">
        <f>[1]节奏总纲!AD67</f>
        <v>60.217698846451768</v>
      </c>
      <c r="AE67" s="45">
        <f>[1]节奏总纲!AE67</f>
        <v>62.250054995811666</v>
      </c>
      <c r="AF67" s="45">
        <f>[1]节奏总纲!AF67</f>
        <v>65.042129882798193</v>
      </c>
      <c r="AG67" s="45">
        <f>[1]节奏总纲!AG67</f>
        <v>69.56138346626544</v>
      </c>
      <c r="AH67" s="45">
        <f>[1]节奏总纲!AH67</f>
        <v>78.077870469399883</v>
      </c>
      <c r="AZ67" s="45">
        <v>64</v>
      </c>
      <c r="BA67" s="45">
        <f>[1]节奏总纲!BA67</f>
        <v>35.048795427931836</v>
      </c>
      <c r="BB67" s="45">
        <f>[1]节奏总纲!BB67</f>
        <v>36.526331209747774</v>
      </c>
      <c r="BC67" s="45">
        <f>[1]节奏总纲!BC67</f>
        <v>38.455050268072462</v>
      </c>
      <c r="BD67" s="45">
        <f>[1]节奏总纲!BD67</f>
        <v>41.188041754455355</v>
      </c>
      <c r="BE67" s="45">
        <f>[1]节奏总纲!BE67</f>
        <v>45.869242601500943</v>
      </c>
      <c r="BI67" s="49">
        <v>64</v>
      </c>
      <c r="BJ67" s="45">
        <f>[1]节奏总纲!BJ67</f>
        <v>2.9666666666666663</v>
      </c>
      <c r="BK67" s="45">
        <f>[1]节奏总纲!BK67</f>
        <v>3.0259999999999998</v>
      </c>
      <c r="BL67" s="45">
        <f>[1]节奏总纲!BL67</f>
        <v>3.1446666666666663</v>
      </c>
      <c r="BM67" s="45">
        <f>[1]节奏总纲!BM67</f>
        <v>3.3819999999999992</v>
      </c>
      <c r="BN67" s="45">
        <f>[1]节奏总纲!BN67</f>
        <v>4.1533333333333324</v>
      </c>
    </row>
    <row r="68" spans="6:66" x14ac:dyDescent="0.15">
      <c r="F68" s="45">
        <f>[1]节奏总纲!F68</f>
        <v>66</v>
      </c>
      <c r="G68" s="45">
        <f>[1]节奏总纲!G68</f>
        <v>96.005860256665443</v>
      </c>
      <c r="N68" s="45">
        <f>[1]节奏总纲!N68</f>
        <v>75</v>
      </c>
      <c r="O68" s="45">
        <v>65</v>
      </c>
      <c r="P68" s="45">
        <f>[1]节奏总纲!P68</f>
        <v>89.509667991878061</v>
      </c>
      <c r="Q68" s="45">
        <f>[1]节奏总纲!Q68</f>
        <v>77.64963698295422</v>
      </c>
      <c r="R68" s="45">
        <f>[1]节奏总纲!R68</f>
        <v>63.802491344610679</v>
      </c>
      <c r="S68" s="45">
        <f>[1]节奏总纲!S68</f>
        <v>46.929918928141667</v>
      </c>
      <c r="T68" s="45">
        <f>[1]节奏总纲!T68</f>
        <v>25.993607584841389</v>
      </c>
      <c r="V68" s="45">
        <v>65</v>
      </c>
      <c r="W68" s="45">
        <f>[1]节奏总纲!W68</f>
        <v>6.0611617024128606</v>
      </c>
      <c r="X68" s="45">
        <f>[1]节奏总纲!X68</f>
        <v>5.2497129262142153</v>
      </c>
      <c r="Y68" s="45">
        <f>[1]节奏总纲!Y68</f>
        <v>4.4372239702851317</v>
      </c>
      <c r="Z68" s="45">
        <f>[1]节奏总纲!Z68</f>
        <v>3.2112464830908465</v>
      </c>
      <c r="AA68" s="45">
        <f>[1]节奏总纲!AA68</f>
        <v>1.651678300204388</v>
      </c>
      <c r="AC68" s="45">
        <v>65</v>
      </c>
      <c r="AD68" s="45">
        <f>[1]节奏总纲!AD68</f>
        <v>60.435397692903535</v>
      </c>
      <c r="AE68" s="45">
        <f>[1]节奏总纲!AE68</f>
        <v>62.466172543912634</v>
      </c>
      <c r="AF68" s="45">
        <f>[1]节奏总纲!AF68</f>
        <v>65.255436396961542</v>
      </c>
      <c r="AG68" s="45">
        <f>[1]节奏总纲!AG68</f>
        <v>69.789153385637391</v>
      </c>
      <c r="AH68" s="45">
        <f>[1]节奏总纲!AH68</f>
        <v>78.301575047908599</v>
      </c>
      <c r="AZ68" s="45">
        <v>65</v>
      </c>
      <c r="BA68" s="45">
        <f>[1]节奏总纲!BA68</f>
        <v>35.146386283795508</v>
      </c>
      <c r="BB68" s="45">
        <f>[1]节奏总纲!BB68</f>
        <v>36.631544620542407</v>
      </c>
      <c r="BC68" s="45">
        <f>[1]节奏总纲!BC68</f>
        <v>38.559434478468994</v>
      </c>
      <c r="BD68" s="45">
        <f>[1]节奏总纲!BD68</f>
        <v>41.288607292184714</v>
      </c>
      <c r="BE68" s="45">
        <f>[1]节奏总纲!BE68</f>
        <v>45.98082701761146</v>
      </c>
      <c r="BI68" s="49">
        <v>65</v>
      </c>
      <c r="BJ68" s="45">
        <f>[1]节奏总纲!BJ68</f>
        <v>2.9999999999999996</v>
      </c>
      <c r="BK68" s="45">
        <f>[1]节奏总纲!BK68</f>
        <v>3.0599999999999996</v>
      </c>
      <c r="BL68" s="45">
        <f>[1]节奏总纲!BL68</f>
        <v>3.1799999999999997</v>
      </c>
      <c r="BM68" s="45">
        <f>[1]节奏总纲!BM68</f>
        <v>3.419999999999999</v>
      </c>
      <c r="BN68" s="45">
        <f>[1]节奏总纲!BN68</f>
        <v>4.1999999999999993</v>
      </c>
    </row>
    <row r="69" spans="6:66" x14ac:dyDescent="0.15">
      <c r="F69" s="45">
        <f>[1]节奏总纲!F69</f>
        <v>67</v>
      </c>
      <c r="G69" s="45">
        <f>[1]节奏总纲!G69</f>
        <v>102.96830673359811</v>
      </c>
      <c r="N69" s="45">
        <f>[1]节奏总纲!N69</f>
        <v>76</v>
      </c>
      <c r="O69" s="45">
        <v>66</v>
      </c>
      <c r="P69" s="45">
        <f>[1]节奏总纲!P69</f>
        <v>96.005860256665443</v>
      </c>
      <c r="Q69" s="45">
        <f>[1]节奏总纲!Q69</f>
        <v>83.352287874836932</v>
      </c>
      <c r="R69" s="45">
        <f>[1]节奏总纲!R69</f>
        <v>68.490580707105124</v>
      </c>
      <c r="S69" s="45">
        <f>[1]节奏总纲!S69</f>
        <v>50.163061984107692</v>
      </c>
      <c r="T69" s="45">
        <f>[1]节奏总纲!T69</f>
        <v>27.851300060458648</v>
      </c>
      <c r="V69" s="45">
        <v>66</v>
      </c>
      <c r="W69" s="45">
        <f>[1]节奏总纲!W69</f>
        <v>6.496192264787382</v>
      </c>
      <c r="X69" s="45">
        <f>[1]节奏总纲!X69</f>
        <v>5.7026508918827119</v>
      </c>
      <c r="Y69" s="45">
        <f>[1]节奏总纲!Y69</f>
        <v>4.6880893624944449</v>
      </c>
      <c r="Z69" s="45">
        <f>[1]节奏总纲!Z69</f>
        <v>3.2331430559660248</v>
      </c>
      <c r="AA69" s="45">
        <f>[1]节奏总纲!AA69</f>
        <v>1.8576924756172595</v>
      </c>
      <c r="AC69" s="45">
        <v>66</v>
      </c>
      <c r="AD69" s="45">
        <f>[1]节奏总纲!AD69</f>
        <v>60.653096539355303</v>
      </c>
      <c r="AE69" s="45">
        <f>[1]节奏总纲!AE69</f>
        <v>62.682290092013595</v>
      </c>
      <c r="AF69" s="45">
        <f>[1]节奏总纲!AF69</f>
        <v>65.468742911124906</v>
      </c>
      <c r="AG69" s="45">
        <f>[1]节奏总纲!AG69</f>
        <v>70.015851474333999</v>
      </c>
      <c r="AH69" s="45">
        <f>[1]节奏总纲!AH69</f>
        <v>78.525279626417301</v>
      </c>
      <c r="AZ69" s="45">
        <v>66</v>
      </c>
      <c r="BA69" s="45">
        <f>[1]节奏总纲!BA69</f>
        <v>35.243977139659179</v>
      </c>
      <c r="BB69" s="45">
        <f>[1]节奏总纲!BB69</f>
        <v>36.73675803133704</v>
      </c>
      <c r="BC69" s="45">
        <f>[1]节奏总纲!BC69</f>
        <v>38.663818688865533</v>
      </c>
      <c r="BD69" s="45">
        <f>[1]节奏总纲!BD69</f>
        <v>41.389172829914081</v>
      </c>
      <c r="BE69" s="45">
        <f>[1]节奏总纲!BE69</f>
        <v>46.079770001861057</v>
      </c>
      <c r="BI69" s="49">
        <v>66</v>
      </c>
      <c r="BJ69" s="45">
        <f>[1]节奏总纲!BJ69</f>
        <v>3.0333333333333328</v>
      </c>
      <c r="BK69" s="45">
        <f>[1]节奏总纲!BK69</f>
        <v>3.0939999999999994</v>
      </c>
      <c r="BL69" s="45">
        <f>[1]节奏总纲!BL69</f>
        <v>3.2153333333333327</v>
      </c>
      <c r="BM69" s="45">
        <f>[1]节奏总纲!BM69</f>
        <v>3.4579999999999989</v>
      </c>
      <c r="BN69" s="45">
        <f>[1]节奏总纲!BN69</f>
        <v>4.2466666666666653</v>
      </c>
    </row>
    <row r="70" spans="6:66" x14ac:dyDescent="0.15">
      <c r="F70" s="45">
        <f>[1]节奏总纲!F70</f>
        <v>68</v>
      </c>
      <c r="G70" s="45">
        <f>[1]节奏总纲!G70</f>
        <v>110.43047210190386</v>
      </c>
      <c r="N70" s="45">
        <f>[1]节奏总纲!N70</f>
        <v>77</v>
      </c>
      <c r="O70" s="45">
        <v>67</v>
      </c>
      <c r="P70" s="45">
        <f>[1]节奏总纲!P70</f>
        <v>102.96830673359811</v>
      </c>
      <c r="Q70" s="45">
        <f>[1]节奏总纲!Q70</f>
        <v>89.469161720823394</v>
      </c>
      <c r="R70" s="45">
        <f>[1]节奏总纲!R70</f>
        <v>73.292840732975137</v>
      </c>
      <c r="S70" s="45">
        <f>[1]节奏总纲!S70</f>
        <v>53.625894146857902</v>
      </c>
      <c r="T70" s="45">
        <f>[1]节奏总纲!T70</f>
        <v>29.799027968703292</v>
      </c>
      <c r="V70" s="45">
        <v>67</v>
      </c>
      <c r="W70" s="45">
        <f>[1]节奏总纲!W70</f>
        <v>6.9624464769326693</v>
      </c>
      <c r="X70" s="45">
        <f>[1]节奏总纲!X70</f>
        <v>6.1168738459864613</v>
      </c>
      <c r="Y70" s="45">
        <f>[1]节奏总纲!Y70</f>
        <v>4.8022600258700123</v>
      </c>
      <c r="Z70" s="45">
        <f>[1]节奏总纲!Z70</f>
        <v>3.4628321627502103</v>
      </c>
      <c r="AA70" s="45">
        <f>[1]节奏总纲!AA70</f>
        <v>1.9477279082446444</v>
      </c>
      <c r="AC70" s="45">
        <v>67</v>
      </c>
      <c r="AD70" s="45">
        <f>[1]节奏总纲!AD70</f>
        <v>60.870795385807064</v>
      </c>
      <c r="AE70" s="45">
        <f>[1]节奏总纲!AE70</f>
        <v>62.898407640114556</v>
      </c>
      <c r="AF70" s="45">
        <f>[1]节奏总纲!AF70</f>
        <v>65.682049425288255</v>
      </c>
      <c r="AG70" s="45">
        <f>[1]节奏总纲!AG70</f>
        <v>70.229195678021767</v>
      </c>
      <c r="AH70" s="45">
        <f>[1]节奏总纲!AH70</f>
        <v>78.748984204926018</v>
      </c>
      <c r="AZ70" s="45">
        <v>67</v>
      </c>
      <c r="BA70" s="45">
        <f>[1]节奏总纲!BA70</f>
        <v>35.341567995522851</v>
      </c>
      <c r="BB70" s="45">
        <f>[1]节奏总纲!BB70</f>
        <v>36.841971442131673</v>
      </c>
      <c r="BC70" s="45">
        <f>[1]节奏总纲!BC70</f>
        <v>38.768202899262064</v>
      </c>
      <c r="BD70" s="45">
        <f>[1]节奏总纲!BD70</f>
        <v>41.48973836764344</v>
      </c>
      <c r="BE70" s="45">
        <f>[1]节奏总纲!BE70</f>
        <v>46.176090215954694</v>
      </c>
      <c r="BI70" s="49">
        <v>67</v>
      </c>
      <c r="BJ70" s="45">
        <f>[1]节奏总纲!BJ70</f>
        <v>3.066666666666666</v>
      </c>
      <c r="BK70" s="45">
        <f>[1]节奏总纲!BK70</f>
        <v>3.1279999999999992</v>
      </c>
      <c r="BL70" s="45">
        <f>[1]节奏总纲!BL70</f>
        <v>3.2506666666666661</v>
      </c>
      <c r="BM70" s="45">
        <f>[1]节奏总纲!BM70</f>
        <v>3.4959999999999991</v>
      </c>
      <c r="BN70" s="45">
        <f>[1]节奏总纲!BN70</f>
        <v>4.2933333333333321</v>
      </c>
    </row>
    <row r="71" spans="6:66" x14ac:dyDescent="0.15">
      <c r="F71" s="45">
        <f>[1]节奏总纲!F71</f>
        <v>69</v>
      </c>
      <c r="G71" s="45">
        <f>[1]节奏总纲!G71</f>
        <v>118.42822291671132</v>
      </c>
      <c r="N71" s="45">
        <f>[1]节奏总纲!N71</f>
        <v>78</v>
      </c>
      <c r="O71" s="45">
        <v>68</v>
      </c>
      <c r="P71" s="45">
        <f>[1]节奏总纲!P71</f>
        <v>110.43047210190386</v>
      </c>
      <c r="Q71" s="45">
        <f>[1]节奏总纲!Q71</f>
        <v>95.831563690032169</v>
      </c>
      <c r="R71" s="45">
        <f>[1]节奏总纲!R71</f>
        <v>78.251032531409081</v>
      </c>
      <c r="S71" s="45">
        <f>[1]节奏总纲!S71</f>
        <v>57.412802445779818</v>
      </c>
      <c r="T71" s="45">
        <f>[1]节奏总纲!T71</f>
        <v>31.859191201399263</v>
      </c>
      <c r="V71" s="45">
        <v>68</v>
      </c>
      <c r="W71" s="45">
        <f>[1]节奏总纲!W71</f>
        <v>7.4621653683057474</v>
      </c>
      <c r="X71" s="45">
        <f>[1]节奏总纲!X71</f>
        <v>6.3624019692087757</v>
      </c>
      <c r="Y71" s="45">
        <f>[1]节奏总纲!Y71</f>
        <v>4.9581917984339441</v>
      </c>
      <c r="Z71" s="45">
        <f>[1]节奏总纲!Z71</f>
        <v>3.7869082989219152</v>
      </c>
      <c r="AA71" s="45">
        <f>[1]节奏总纲!AA71</f>
        <v>2.0601632326959702</v>
      </c>
      <c r="AC71" s="45">
        <v>68</v>
      </c>
      <c r="AD71" s="45">
        <f>[1]节奏总纲!AD71</f>
        <v>61.082568038258209</v>
      </c>
      <c r="AE71" s="45">
        <f>[1]节奏总纲!AE71</f>
        <v>63.107492392331935</v>
      </c>
      <c r="AF71" s="45">
        <f>[1]节奏总纲!AF71</f>
        <v>65.895355939451605</v>
      </c>
      <c r="AG71" s="45">
        <f>[1]节奏总纲!AG71</f>
        <v>70.442539881709536</v>
      </c>
      <c r="AH71" s="45">
        <f>[1]节奏总纲!AH71</f>
        <v>78.972688783434734</v>
      </c>
      <c r="AZ71" s="45">
        <v>68</v>
      </c>
      <c r="BA71" s="45">
        <f>[1]节奏总纲!BA71</f>
        <v>35.439158851386523</v>
      </c>
      <c r="BB71" s="45">
        <f>[1]节奏总纲!BB71</f>
        <v>36.947184852926306</v>
      </c>
      <c r="BC71" s="45">
        <f>[1]节奏总纲!BC71</f>
        <v>38.872587109658596</v>
      </c>
      <c r="BD71" s="45">
        <f>[1]节奏总纲!BD71</f>
        <v>41.590303905372799</v>
      </c>
      <c r="BE71" s="45">
        <f>[1]节奏总纲!BE71</f>
        <v>46.272410430048332</v>
      </c>
      <c r="BI71" s="49">
        <v>68</v>
      </c>
      <c r="BJ71" s="45">
        <f>[1]节奏总纲!BJ71</f>
        <v>3.0999999999999992</v>
      </c>
      <c r="BK71" s="45">
        <f>[1]节奏总纲!BK71</f>
        <v>3.161999999999999</v>
      </c>
      <c r="BL71" s="45">
        <f>[1]节奏总纲!BL71</f>
        <v>3.2859999999999991</v>
      </c>
      <c r="BM71" s="45">
        <f>[1]节奏总纲!BM71</f>
        <v>3.5339999999999989</v>
      </c>
      <c r="BN71" s="45">
        <f>[1]节奏总纲!BN71</f>
        <v>4.339999999999999</v>
      </c>
    </row>
    <row r="72" spans="6:66" x14ac:dyDescent="0.15">
      <c r="F72" s="45">
        <f>[1]节奏总纲!F72</f>
        <v>70</v>
      </c>
      <c r="G72" s="45">
        <f>[1]节奏总纲!G72</f>
        <v>127</v>
      </c>
      <c r="N72" s="45">
        <f>[1]节奏总纲!N72</f>
        <v>79</v>
      </c>
      <c r="O72" s="45">
        <v>69</v>
      </c>
      <c r="P72" s="45">
        <f>[1]节奏总纲!P72</f>
        <v>118.42822291671132</v>
      </c>
      <c r="Q72" s="45">
        <f>[1]节奏总纲!Q72</f>
        <v>102.51146975670532</v>
      </c>
      <c r="R72" s="45">
        <f>[1]节奏总纲!R72</f>
        <v>83.894553114198303</v>
      </c>
      <c r="S72" s="45">
        <f>[1]节奏总纲!S72</f>
        <v>61.535304627523196</v>
      </c>
      <c r="T72" s="45">
        <f>[1]节奏总纲!T72</f>
        <v>34.059956910846175</v>
      </c>
      <c r="V72" s="45">
        <v>69</v>
      </c>
      <c r="W72" s="45">
        <f>[1]节奏总纲!W72</f>
        <v>7.9977508148074605</v>
      </c>
      <c r="X72" s="45">
        <f>[1]节奏总纲!X72</f>
        <v>6.6799060666731549</v>
      </c>
      <c r="Y72" s="45">
        <f>[1]节奏总纲!Y72</f>
        <v>5.6435205827892219</v>
      </c>
      <c r="Z72" s="45">
        <f>[1]节奏总纲!Z72</f>
        <v>4.1225021817433785</v>
      </c>
      <c r="AA72" s="45">
        <f>[1]节奏总纲!AA72</f>
        <v>2.2007657094469124</v>
      </c>
      <c r="AC72" s="45">
        <v>69</v>
      </c>
      <c r="AD72" s="45">
        <f>[1]节奏总纲!AD72</f>
        <v>61.285688244217212</v>
      </c>
      <c r="AE72" s="45">
        <f>[1]节奏总纲!AE72</f>
        <v>63.310338531528565</v>
      </c>
      <c r="AF72" s="45">
        <f>[1]节奏总纲!AF72</f>
        <v>66.106079073217742</v>
      </c>
      <c r="AG72" s="45">
        <f>[1]节奏总纲!AG72</f>
        <v>70.655884085397304</v>
      </c>
      <c r="AH72" s="45">
        <f>[1]节奏总纲!AH72</f>
        <v>79.188599387584361</v>
      </c>
      <c r="AZ72" s="45">
        <v>69</v>
      </c>
      <c r="BA72" s="45">
        <f>[1]节奏总纲!BA72</f>
        <v>35.536749707250202</v>
      </c>
      <c r="BB72" s="45">
        <f>[1]节奏总纲!BB72</f>
        <v>37.045197000674086</v>
      </c>
      <c r="BC72" s="45">
        <f>[1]节奏总纲!BC72</f>
        <v>38.976971320055128</v>
      </c>
      <c r="BD72" s="45">
        <f>[1]节奏总纲!BD72</f>
        <v>41.690869443102159</v>
      </c>
      <c r="BE72" s="45">
        <f>[1]节奏总纲!BE72</f>
        <v>46.368730644141969</v>
      </c>
      <c r="BI72" s="49">
        <v>69</v>
      </c>
      <c r="BJ72" s="45">
        <f>[1]节奏总纲!BJ72</f>
        <v>3.1333333333333324</v>
      </c>
      <c r="BK72" s="45">
        <f>[1]节奏总纲!BK72</f>
        <v>3.1959999999999993</v>
      </c>
      <c r="BL72" s="45">
        <f>[1]节奏总纲!BL72</f>
        <v>3.3213333333333326</v>
      </c>
      <c r="BM72" s="45">
        <f>[1]节奏总纲!BM72</f>
        <v>3.5719999999999987</v>
      </c>
      <c r="BN72" s="45">
        <f>[1]节奏总纲!BN72</f>
        <v>4.3866666666666649</v>
      </c>
    </row>
    <row r="73" spans="6:66" x14ac:dyDescent="0.15">
      <c r="F73" s="45">
        <f>[1]节奏总纲!F73</f>
        <v>71</v>
      </c>
      <c r="G73" s="45">
        <f>[1]节奏总纲!G73</f>
        <v>136.18700320464549</v>
      </c>
      <c r="N73" s="45">
        <f>[1]节奏总纲!N73</f>
        <v>80</v>
      </c>
      <c r="O73" s="45">
        <v>70</v>
      </c>
      <c r="P73" s="45">
        <f>[1]节奏总纲!P73</f>
        <v>127</v>
      </c>
      <c r="Q73" s="45">
        <f>[1]节奏总纲!Q73</f>
        <v>109.9693</v>
      </c>
      <c r="R73" s="45">
        <f>[1]节奏总纲!R73</f>
        <v>90.106499999999997</v>
      </c>
      <c r="S73" s="45">
        <f>[1]节奏总纲!S73</f>
        <v>65.925700000000006</v>
      </c>
      <c r="T73" s="45">
        <f>[1]节奏总纲!T73</f>
        <v>36.4998</v>
      </c>
      <c r="V73" s="45">
        <v>70</v>
      </c>
      <c r="W73" s="45">
        <f>[1]节奏总纲!W73</f>
        <v>8.5717770832886799</v>
      </c>
      <c r="X73" s="45">
        <f>[1]节奏总纲!X73</f>
        <v>7.4578302432946799</v>
      </c>
      <c r="Y73" s="45">
        <f>[1]节奏总纲!Y73</f>
        <v>6.2119468858016944</v>
      </c>
      <c r="Z73" s="45">
        <f>[1]节奏总纲!Z73</f>
        <v>4.3903953724768101</v>
      </c>
      <c r="AA73" s="45">
        <f>[1]节奏总纲!AA73</f>
        <v>2.4398430891538254</v>
      </c>
      <c r="AC73" s="45">
        <v>70</v>
      </c>
      <c r="AD73" s="45">
        <f>[1]节奏总纲!AD73</f>
        <v>61.488808450176215</v>
      </c>
      <c r="AE73" s="45">
        <f>[1]节奏总纲!AE73</f>
        <v>63.513184670725188</v>
      </c>
      <c r="AF73" s="45">
        <f>[1]节奏总纲!AF73</f>
        <v>66.314314361313961</v>
      </c>
      <c r="AG73" s="45">
        <f>[1]节奏总纲!AG73</f>
        <v>70.869228289085072</v>
      </c>
      <c r="AH73" s="45">
        <f>[1]节奏总纲!AH73</f>
        <v>79.403426131671111</v>
      </c>
      <c r="AZ73" s="45">
        <v>70</v>
      </c>
      <c r="BA73" s="45">
        <f>[1]节奏总纲!BA73</f>
        <v>35.634340563113874</v>
      </c>
      <c r="BB73" s="45">
        <f>[1]节奏总纲!BB73</f>
        <v>37.135950591746003</v>
      </c>
      <c r="BC73" s="45">
        <f>[1]节奏总纲!BC73</f>
        <v>39.070187171981765</v>
      </c>
      <c r="BD73" s="45">
        <f>[1]节奏总纲!BD73</f>
        <v>41.791434980831518</v>
      </c>
      <c r="BE73" s="45">
        <f>[1]节奏总纲!BE73</f>
        <v>46.465050858235607</v>
      </c>
      <c r="BI73" s="49">
        <v>70</v>
      </c>
      <c r="BJ73" s="45">
        <f>[1]节奏总纲!BJ73</f>
        <v>3.1666666666666656</v>
      </c>
      <c r="BK73" s="45">
        <f>[1]节奏总纲!BK73</f>
        <v>3.2299999999999991</v>
      </c>
      <c r="BL73" s="45">
        <f>[1]节奏总纲!BL73</f>
        <v>3.3566666666666656</v>
      </c>
      <c r="BM73" s="45">
        <f>[1]节奏总纲!BM73</f>
        <v>3.6099999999999985</v>
      </c>
      <c r="BN73" s="45">
        <f>[1]节奏总纲!BN73</f>
        <v>4.4333333333333318</v>
      </c>
    </row>
    <row r="74" spans="6:66" x14ac:dyDescent="0.15">
      <c r="F74" s="45">
        <f>[1]节奏总纲!F74</f>
        <v>72</v>
      </c>
      <c r="G74" s="45">
        <f>[1]节奏总纲!G74</f>
        <v>146.03338943962044</v>
      </c>
      <c r="N74" s="45">
        <f>[1]节奏总纲!N74</f>
        <v>81</v>
      </c>
      <c r="O74" s="45">
        <v>71</v>
      </c>
      <c r="P74" s="45">
        <f>[1]节奏总纲!P74</f>
        <v>136.18700320464549</v>
      </c>
      <c r="Q74" s="45">
        <f>[1]节奏总纲!Q74</f>
        <v>118.03327567746625</v>
      </c>
      <c r="R74" s="45">
        <f>[1]节奏总纲!R74</f>
        <v>96.583822672734584</v>
      </c>
      <c r="S74" s="45">
        <f>[1]节奏总纲!S74</f>
        <v>70.612961161608681</v>
      </c>
      <c r="T74" s="45">
        <f>[1]节奏总纲!T74</f>
        <v>39.126526020694648</v>
      </c>
      <c r="V74" s="45">
        <v>71</v>
      </c>
      <c r="W74" s="45">
        <f>[1]节奏总纲!W74</f>
        <v>9.1870032046454924</v>
      </c>
      <c r="X74" s="45">
        <f>[1]节奏总纲!X74</f>
        <v>8.0639756774662459</v>
      </c>
      <c r="Y74" s="45">
        <f>[1]节奏总纲!Y74</f>
        <v>6.4773226727345872</v>
      </c>
      <c r="Z74" s="45">
        <f>[1]节奏总纲!Z74</f>
        <v>4.6872611616086743</v>
      </c>
      <c r="AA74" s="45">
        <f>[1]节奏总纲!AA74</f>
        <v>2.6267260206946474</v>
      </c>
      <c r="AC74" s="45">
        <v>71</v>
      </c>
      <c r="AD74" s="45">
        <f>[1]节奏总纲!AD74</f>
        <v>61.691928656135218</v>
      </c>
      <c r="AE74" s="45">
        <f>[1]节奏总纲!AE74</f>
        <v>63.716030809921811</v>
      </c>
      <c r="AF74" s="45">
        <f>[1]节奏总纲!AF74</f>
        <v>66.52254964941018</v>
      </c>
      <c r="AG74" s="45">
        <f>[1]节奏总纲!AG74</f>
        <v>71.07781362467729</v>
      </c>
      <c r="AH74" s="45">
        <f>[1]节奏总纲!AH74</f>
        <v>79.618252875757847</v>
      </c>
      <c r="AZ74" s="45">
        <v>71</v>
      </c>
      <c r="BA74" s="45">
        <f>[1]节奏总纲!BA74</f>
        <v>35.731931418977545</v>
      </c>
      <c r="BB74" s="45">
        <f>[1]节奏总纲!BB74</f>
        <v>37.226704182817912</v>
      </c>
      <c r="BC74" s="45">
        <f>[1]节奏总纲!BC74</f>
        <v>39.160241683169971</v>
      </c>
      <c r="BD74" s="45">
        <f>[1]节奏总纲!BD74</f>
        <v>41.892000518560877</v>
      </c>
      <c r="BE74" s="45">
        <f>[1]节奏总纲!BE74</f>
        <v>46.561371072329244</v>
      </c>
      <c r="BI74" s="49">
        <v>71</v>
      </c>
      <c r="BJ74" s="45">
        <f>[1]节奏总纲!BJ74</f>
        <v>3.1999999999999988</v>
      </c>
      <c r="BK74" s="45">
        <f>[1]节奏总纲!BK74</f>
        <v>3.2639999999999989</v>
      </c>
      <c r="BL74" s="45">
        <f>[1]节奏总纲!BL74</f>
        <v>3.391999999999999</v>
      </c>
      <c r="BM74" s="45">
        <f>[1]节奏总纲!BM74</f>
        <v>3.6479999999999984</v>
      </c>
      <c r="BN74" s="45">
        <f>[1]节奏总纲!BN74</f>
        <v>4.4799999999999978</v>
      </c>
    </row>
    <row r="75" spans="6:66" x14ac:dyDescent="0.15">
      <c r="F75" s="45">
        <f>[1]节奏总纲!F75</f>
        <v>73</v>
      </c>
      <c r="G75" s="45">
        <f>[1]节奏总纲!G75</f>
        <v>156.58648490814926</v>
      </c>
      <c r="N75" s="45">
        <f>[1]节奏总纲!N75</f>
        <v>82</v>
      </c>
      <c r="O75" s="45">
        <v>72</v>
      </c>
      <c r="P75" s="45">
        <f>[1]节奏总纲!P75</f>
        <v>146.03338943962044</v>
      </c>
      <c r="Q75" s="45">
        <f>[1]节奏总纲!Q75</f>
        <v>126.581741966263</v>
      </c>
      <c r="R75" s="45">
        <f>[1]节奏总纲!R75</f>
        <v>103.31862302853146</v>
      </c>
      <c r="S75" s="45">
        <f>[1]节奏总纲!S75</f>
        <v>75.586882373947532</v>
      </c>
      <c r="T75" s="45">
        <f>[1]节奏总纲!T75</f>
        <v>41.896979430227098</v>
      </c>
      <c r="V75" s="45">
        <v>72</v>
      </c>
      <c r="W75" s="45">
        <f>[1]节奏总纲!W75</f>
        <v>9.8463862349749434</v>
      </c>
      <c r="X75" s="45">
        <f>[1]节奏总纲!X75</f>
        <v>8.548466288796746</v>
      </c>
      <c r="Y75" s="45">
        <f>[1]节奏总纲!Y75</f>
        <v>6.7348003557968781</v>
      </c>
      <c r="Z75" s="45">
        <f>[1]节奏总纲!Z75</f>
        <v>4.9739212123388512</v>
      </c>
      <c r="AA75" s="45">
        <f>[1]节奏总纲!AA75</f>
        <v>2.7704534095324505</v>
      </c>
      <c r="AC75" s="45">
        <v>72</v>
      </c>
      <c r="AD75" s="45">
        <f>[1]节奏总纲!AD75</f>
        <v>61.895048862094221</v>
      </c>
      <c r="AE75" s="45">
        <f>[1]节奏总纲!AE75</f>
        <v>63.918876949118435</v>
      </c>
      <c r="AF75" s="45">
        <f>[1]节奏总纲!AF75</f>
        <v>66.7307849375064</v>
      </c>
      <c r="AG75" s="45">
        <f>[1]节奏总纲!AG75</f>
        <v>71.278862245535876</v>
      </c>
      <c r="AH75" s="45">
        <f>[1]节奏总纲!AH75</f>
        <v>79.833079619844597</v>
      </c>
      <c r="AZ75" s="45">
        <v>72</v>
      </c>
      <c r="BA75" s="45">
        <f>[1]节奏总纲!BA75</f>
        <v>35.829522274841217</v>
      </c>
      <c r="BB75" s="45">
        <f>[1]节奏总纲!BB75</f>
        <v>37.317457773889828</v>
      </c>
      <c r="BC75" s="45">
        <f>[1]节奏总纲!BC75</f>
        <v>39.250296194358178</v>
      </c>
      <c r="BD75" s="45">
        <f>[1]节奏总纲!BD75</f>
        <v>41.992566056290244</v>
      </c>
      <c r="BE75" s="45">
        <f>[1]节奏总纲!BE75</f>
        <v>46.657691286422882</v>
      </c>
      <c r="BI75" s="49">
        <v>72</v>
      </c>
      <c r="BJ75" s="45">
        <f>[1]节奏总纲!BJ75</f>
        <v>3.2333333333333321</v>
      </c>
      <c r="BK75" s="45">
        <f>[1]节奏总纲!BK75</f>
        <v>3.2979999999999987</v>
      </c>
      <c r="BL75" s="45">
        <f>[1]节奏总纲!BL75</f>
        <v>3.427333333333332</v>
      </c>
      <c r="BM75" s="45">
        <f>[1]节奏总纲!BM75</f>
        <v>3.6859999999999982</v>
      </c>
      <c r="BN75" s="45">
        <f>[1]节奏总纲!BN75</f>
        <v>4.5266666666666646</v>
      </c>
    </row>
    <row r="76" spans="6:66" x14ac:dyDescent="0.15">
      <c r="F76" s="45">
        <f>[1]节奏总纲!F76</f>
        <v>74</v>
      </c>
      <c r="G76" s="45">
        <f>[1]节奏总纲!G76</f>
        <v>167.89701257893043</v>
      </c>
      <c r="N76" s="45">
        <f>[1]节奏总纲!N76</f>
        <v>83</v>
      </c>
      <c r="O76" s="45">
        <v>73</v>
      </c>
      <c r="P76" s="45">
        <f>[1]节奏总纲!P76</f>
        <v>156.58648490814926</v>
      </c>
      <c r="Q76" s="45">
        <f>[1]节奏总纲!Q76</f>
        <v>135.41599214856748</v>
      </c>
      <c r="R76" s="45">
        <f>[1]节奏总纲!R76</f>
        <v>110.58137564213501</v>
      </c>
      <c r="S76" s="45">
        <f>[1]节奏总纲!S76</f>
        <v>80.955212697513176</v>
      </c>
      <c r="T76" s="45">
        <f>[1]节奏总纲!T76</f>
        <v>44.877686574675579</v>
      </c>
      <c r="V76" s="45">
        <v>73</v>
      </c>
      <c r="W76" s="45">
        <f>[1]节奏总纲!W76</f>
        <v>10.553095468528824</v>
      </c>
      <c r="X76" s="45">
        <f>[1]节奏总纲!X76</f>
        <v>8.834250182304487</v>
      </c>
      <c r="Y76" s="45">
        <f>[1]节奏总纲!Y76</f>
        <v>7.2627526136035527</v>
      </c>
      <c r="Z76" s="45">
        <f>[1]节奏总纲!Z76</f>
        <v>5.3683303235656439</v>
      </c>
      <c r="AA76" s="45">
        <f>[1]节奏总纲!AA76</f>
        <v>2.9807071444484805</v>
      </c>
      <c r="AC76" s="45">
        <v>73</v>
      </c>
      <c r="AD76" s="45">
        <f>[1]节奏总纲!AD76</f>
        <v>62.091594979242075</v>
      </c>
      <c r="AE76" s="45">
        <f>[1]节奏总纲!AE76</f>
        <v>64.114306430026588</v>
      </c>
      <c r="AF76" s="45">
        <f>[1]节奏总纲!AF76</f>
        <v>66.939020225602619</v>
      </c>
      <c r="AG76" s="45">
        <f>[1]节奏总纲!AG76</f>
        <v>71.479910866394462</v>
      </c>
      <c r="AH76" s="45">
        <f>[1]节奏总纲!AH76</f>
        <v>80.043898354812981</v>
      </c>
      <c r="AZ76" s="45">
        <v>73</v>
      </c>
      <c r="BA76" s="45">
        <f>[1]节奏总纲!BA76</f>
        <v>35.927113130704889</v>
      </c>
      <c r="BB76" s="45">
        <f>[1]节奏总纲!BB76</f>
        <v>37.408211364961737</v>
      </c>
      <c r="BC76" s="45">
        <f>[1]节奏总纲!BC76</f>
        <v>39.340350705546385</v>
      </c>
      <c r="BD76" s="45">
        <f>[1]节奏总纲!BD76</f>
        <v>42.080366850119908</v>
      </c>
      <c r="BE76" s="45">
        <f>[1]节奏总纲!BE76</f>
        <v>46.754011500516519</v>
      </c>
      <c r="BI76" s="49">
        <v>73</v>
      </c>
      <c r="BJ76" s="45">
        <f>[1]节奏总纲!BJ76</f>
        <v>3.2666666666666653</v>
      </c>
      <c r="BK76" s="45">
        <f>[1]节奏总纲!BK76</f>
        <v>3.3319999999999985</v>
      </c>
      <c r="BL76" s="45">
        <f>[1]节奏总纲!BL76</f>
        <v>3.4626666666666654</v>
      </c>
      <c r="BM76" s="45">
        <f>[1]节奏总纲!BM76</f>
        <v>3.723999999999998</v>
      </c>
      <c r="BN76" s="45">
        <f>[1]节奏总纲!BN76</f>
        <v>4.5733333333333315</v>
      </c>
    </row>
    <row r="77" spans="6:66" x14ac:dyDescent="0.15">
      <c r="F77" s="45">
        <f>[1]节奏总纲!F77</f>
        <v>75</v>
      </c>
      <c r="G77" s="45">
        <f>[1]节奏总纲!G77</f>
        <v>180.01933598375612</v>
      </c>
      <c r="N77" s="45">
        <f>[1]节奏总纲!N77</f>
        <v>84</v>
      </c>
      <c r="O77" s="45">
        <v>74</v>
      </c>
      <c r="P77" s="45">
        <f>[1]节奏总纲!P77</f>
        <v>167.89701257893043</v>
      </c>
      <c r="Q77" s="45">
        <f>[1]节奏总纲!Q77</f>
        <v>145.16375707574326</v>
      </c>
      <c r="R77" s="45">
        <f>[1]节奏总纲!R77</f>
        <v>118.70318789330381</v>
      </c>
      <c r="S77" s="45">
        <f>[1]节奏总纲!S77</f>
        <v>86.869914308338593</v>
      </c>
      <c r="T77" s="45">
        <f>[1]节奏总纲!T77</f>
        <v>48.169652908895138</v>
      </c>
      <c r="V77" s="45">
        <v>74</v>
      </c>
      <c r="W77" s="45">
        <f>[1]节奏总纲!W77</f>
        <v>11.31052767078117</v>
      </c>
      <c r="X77" s="45">
        <f>[1]节奏总纲!X77</f>
        <v>9.7477649271757798</v>
      </c>
      <c r="Y77" s="45">
        <f>[1]节奏总纲!Y77</f>
        <v>8.1218122511687909</v>
      </c>
      <c r="Z77" s="45">
        <f>[1]节奏总纲!Z77</f>
        <v>5.9147016108254178</v>
      </c>
      <c r="AA77" s="45">
        <f>[1]节奏总纲!AA77</f>
        <v>3.2919663342195591</v>
      </c>
      <c r="AC77" s="45">
        <v>74</v>
      </c>
      <c r="AD77" s="45">
        <f>[1]节奏总纲!AD77</f>
        <v>62.281112832649576</v>
      </c>
      <c r="AE77" s="45">
        <f>[1]节奏总纲!AE77</f>
        <v>64.304793036447776</v>
      </c>
      <c r="AF77" s="45">
        <f>[1]节奏总纲!AF77</f>
        <v>67.14262442756818</v>
      </c>
      <c r="AG77" s="45">
        <f>[1]节奏总纲!AG77</f>
        <v>71.680959487253048</v>
      </c>
      <c r="AH77" s="45">
        <f>[1]节奏总纲!AH77</f>
        <v>80.24075196383977</v>
      </c>
      <c r="AZ77" s="45">
        <v>74</v>
      </c>
      <c r="BA77" s="45">
        <f>[1]节奏总纲!BA77</f>
        <v>36.021306837933537</v>
      </c>
      <c r="BB77" s="45">
        <f>[1]节奏总纲!BB77</f>
        <v>37.498964956033646</v>
      </c>
      <c r="BC77" s="45">
        <f>[1]节奏总纲!BC77</f>
        <v>39.430405216734592</v>
      </c>
      <c r="BD77" s="45">
        <f>[1]节奏总纲!BD77</f>
        <v>42.167148737437564</v>
      </c>
      <c r="BE77" s="45">
        <f>[1]节奏总纲!BE77</f>
        <v>46.850331714610157</v>
      </c>
      <c r="BI77" s="49">
        <v>74</v>
      </c>
      <c r="BJ77" s="45">
        <f>[1]节奏总纲!BJ77</f>
        <v>3.2999999999999985</v>
      </c>
      <c r="BK77" s="45">
        <f>[1]节奏总纲!BK77</f>
        <v>3.3659999999999983</v>
      </c>
      <c r="BL77" s="45">
        <f>[1]节奏总纲!BL77</f>
        <v>3.4979999999999984</v>
      </c>
      <c r="BM77" s="45">
        <f>[1]节奏总纲!BM77</f>
        <v>3.7619999999999978</v>
      </c>
      <c r="BN77" s="45">
        <f>[1]节奏总纲!BN77</f>
        <v>4.6199999999999974</v>
      </c>
    </row>
    <row r="78" spans="6:66" x14ac:dyDescent="0.15">
      <c r="F78" s="45">
        <f>[1]节奏总纲!F78</f>
        <v>76</v>
      </c>
      <c r="G78" s="45">
        <f>[1]节奏总纲!G78</f>
        <v>193.01172051333091</v>
      </c>
      <c r="N78" s="45">
        <f>[1]节奏总纲!N78</f>
        <v>85</v>
      </c>
      <c r="O78" s="45">
        <v>75</v>
      </c>
      <c r="P78" s="45">
        <f>[1]节奏总纲!P78</f>
        <v>180.01933598375612</v>
      </c>
      <c r="Q78" s="45">
        <f>[1]节奏总纲!Q78</f>
        <v>155.75272949314578</v>
      </c>
      <c r="R78" s="45">
        <f>[1]节奏总纲!R78</f>
        <v>127.38168214210583</v>
      </c>
      <c r="S78" s="45">
        <f>[1]节奏总纲!S78</f>
        <v>93.214012172388934</v>
      </c>
      <c r="T78" s="45">
        <f>[1]节奏总纲!T78</f>
        <v>51.755559095329879</v>
      </c>
      <c r="V78" s="45">
        <v>75</v>
      </c>
      <c r="W78" s="45">
        <f>[1]节奏总纲!W78</f>
        <v>12.122323404825693</v>
      </c>
      <c r="X78" s="45">
        <f>[1]节奏总纲!X78</f>
        <v>10.588972417402516</v>
      </c>
      <c r="Y78" s="45">
        <f>[1]节奏总纲!Y78</f>
        <v>8.6784942488020249</v>
      </c>
      <c r="Z78" s="45">
        <f>[1]节奏总纲!Z78</f>
        <v>6.3440978640503403</v>
      </c>
      <c r="AA78" s="45">
        <f>[1]节奏总纲!AA78</f>
        <v>3.585906186434741</v>
      </c>
      <c r="AC78" s="45">
        <v>75</v>
      </c>
      <c r="AD78" s="45">
        <f>[1]节奏总纲!AD78</f>
        <v>62.470630686057078</v>
      </c>
      <c r="AE78" s="45">
        <f>[1]节奏总纲!AE78</f>
        <v>64.495279642868965</v>
      </c>
      <c r="AF78" s="45">
        <f>[1]节奏总纲!AF78</f>
        <v>67.344310856946692</v>
      </c>
      <c r="AG78" s="45">
        <f>[1]节奏总纲!AG78</f>
        <v>71.882008108111634</v>
      </c>
      <c r="AH78" s="45">
        <f>[1]节奏总纲!AH78</f>
        <v>80.437605572866573</v>
      </c>
      <c r="AZ78" s="45">
        <v>75</v>
      </c>
      <c r="BA78" s="45">
        <f>[1]节奏总纲!BA78</f>
        <v>36.105477566569242</v>
      </c>
      <c r="BB78" s="45">
        <f>[1]节奏总纲!BB78</f>
        <v>37.589718547105562</v>
      </c>
      <c r="BC78" s="45">
        <f>[1]节奏总纲!BC78</f>
        <v>39.520459727922798</v>
      </c>
      <c r="BD78" s="45">
        <f>[1]节奏总纲!BD78</f>
        <v>42.253930624755228</v>
      </c>
      <c r="BE78" s="45">
        <f>[1]节奏总纲!BE78</f>
        <v>46.946651928703787</v>
      </c>
      <c r="BI78" s="49">
        <v>75</v>
      </c>
      <c r="BJ78" s="45">
        <f>[1]节奏总纲!BJ78</f>
        <v>3.3333333333333317</v>
      </c>
      <c r="BK78" s="45">
        <f>[1]节奏总纲!BK78</f>
        <v>3.3999999999999986</v>
      </c>
      <c r="BL78" s="45">
        <f>[1]节奏总纲!BL78</f>
        <v>3.5333333333333319</v>
      </c>
      <c r="BM78" s="45">
        <f>[1]节奏总纲!BM78</f>
        <v>3.7999999999999976</v>
      </c>
      <c r="BN78" s="45">
        <f>[1]节奏总纲!BN78</f>
        <v>4.6666666666666643</v>
      </c>
    </row>
    <row r="79" spans="6:66" x14ac:dyDescent="0.15">
      <c r="F79" s="45">
        <f>[1]节奏总纲!F79</f>
        <v>77</v>
      </c>
      <c r="G79" s="45">
        <f>[1]节奏总纲!G79</f>
        <v>206.93661346719625</v>
      </c>
      <c r="N79" s="45">
        <f>[1]节奏总纲!N79</f>
        <v>86</v>
      </c>
      <c r="O79" s="45">
        <v>76</v>
      </c>
      <c r="P79" s="45">
        <f>[1]节奏总纲!P79</f>
        <v>193.01172051333091</v>
      </c>
      <c r="Q79" s="45">
        <f>[1]节奏总纲!Q79</f>
        <v>166.97443941608256</v>
      </c>
      <c r="R79" s="45">
        <f>[1]节奏总纲!R79</f>
        <v>136.51718991907896</v>
      </c>
      <c r="S79" s="45">
        <f>[1]节奏总纲!S79</f>
        <v>100.0379747420594</v>
      </c>
      <c r="T79" s="45">
        <f>[1]节奏总纲!T79</f>
        <v>55.664580196044632</v>
      </c>
      <c r="V79" s="45">
        <v>76</v>
      </c>
      <c r="W79" s="45">
        <f>[1]节奏总纲!W79</f>
        <v>12.992384529574792</v>
      </c>
      <c r="X79" s="45">
        <f>[1]节奏总纲!X79</f>
        <v>11.221709922936782</v>
      </c>
      <c r="Y79" s="45">
        <f>[1]节奏总纲!Y79</f>
        <v>9.1355077769731281</v>
      </c>
      <c r="Z79" s="45">
        <f>[1]节奏总纲!Z79</f>
        <v>6.8239625696704707</v>
      </c>
      <c r="AA79" s="45">
        <f>[1]节奏总纲!AA79</f>
        <v>3.9090211007147531</v>
      </c>
      <c r="AC79" s="45">
        <v>76</v>
      </c>
      <c r="AD79" s="45">
        <f>[1]节奏总纲!AD79</f>
        <v>62.660148539464579</v>
      </c>
      <c r="AE79" s="45">
        <f>[1]节奏总纲!AE79</f>
        <v>64.685766249290154</v>
      </c>
      <c r="AF79" s="45">
        <f>[1]节奏总纲!AF79</f>
        <v>67.545997286325218</v>
      </c>
      <c r="AG79" s="45">
        <f>[1]节奏总纲!AG79</f>
        <v>72.076954583856178</v>
      </c>
      <c r="AH79" s="45">
        <f>[1]节奏总纲!AH79</f>
        <v>80.634459181893376</v>
      </c>
      <c r="AZ79" s="45">
        <v>76</v>
      </c>
      <c r="BA79" s="45">
        <f>[1]节奏总纲!BA79</f>
        <v>36.189648295204947</v>
      </c>
      <c r="BB79" s="45">
        <f>[1]节奏总纲!BB79</f>
        <v>37.680472138177471</v>
      </c>
      <c r="BC79" s="45">
        <f>[1]节奏总纲!BC79</f>
        <v>39.610514239111005</v>
      </c>
      <c r="BD79" s="45">
        <f>[1]节奏总纲!BD79</f>
        <v>42.340712512072891</v>
      </c>
      <c r="BE79" s="45">
        <f>[1]节奏总纲!BE79</f>
        <v>47.037096473408994</v>
      </c>
      <c r="BI79" s="49">
        <v>76</v>
      </c>
      <c r="BJ79" s="45">
        <f>[1]节奏总纲!BJ79</f>
        <v>3.3666666666666649</v>
      </c>
      <c r="BK79" s="45">
        <f>[1]节奏总纲!BK79</f>
        <v>3.4339999999999984</v>
      </c>
      <c r="BL79" s="45">
        <f>[1]节奏总纲!BL79</f>
        <v>3.5686666666666649</v>
      </c>
      <c r="BM79" s="45">
        <f>[1]节奏总纲!BM79</f>
        <v>3.8379999999999979</v>
      </c>
      <c r="BN79" s="45">
        <f>[1]节奏总纲!BN79</f>
        <v>4.7133333333333303</v>
      </c>
    </row>
    <row r="80" spans="6:66" x14ac:dyDescent="0.15">
      <c r="F80" s="45">
        <f>[1]节奏总纲!F80</f>
        <v>78</v>
      </c>
      <c r="G80" s="45">
        <f>[1]节奏总纲!G80</f>
        <v>221.86094420380775</v>
      </c>
      <c r="N80" s="45">
        <f>[1]节奏总纲!N80</f>
        <v>87</v>
      </c>
      <c r="O80" s="45">
        <v>77</v>
      </c>
      <c r="P80" s="45">
        <f>[1]节奏总纲!P80</f>
        <v>206.93661346719625</v>
      </c>
      <c r="Q80" s="45">
        <f>[1]节奏总纲!Q80</f>
        <v>179.12433261720508</v>
      </c>
      <c r="R80" s="45">
        <f>[1]节奏总纲!R80</f>
        <v>146.53181599612165</v>
      </c>
      <c r="S80" s="45">
        <f>[1]节奏总纲!S80</f>
        <v>107.42079605082158</v>
      </c>
      <c r="T80" s="45">
        <f>[1]节奏总纲!T80</f>
        <v>59.535663694512365</v>
      </c>
      <c r="V80" s="45">
        <v>77</v>
      </c>
      <c r="W80" s="45">
        <f>[1]节奏总纲!W80</f>
        <v>13.924892953865339</v>
      </c>
      <c r="X80" s="45">
        <f>[1]节奏总纲!X80</f>
        <v>12.149893201122524</v>
      </c>
      <c r="Y80" s="45">
        <f>[1]节奏总纲!Y80</f>
        <v>10.014626077042692</v>
      </c>
      <c r="Z80" s="45">
        <f>[1]节奏总纲!Z80</f>
        <v>7.3828213087621748</v>
      </c>
      <c r="AA80" s="45">
        <f>[1]节奏总纲!AA80</f>
        <v>3.8710834984677334</v>
      </c>
      <c r="AC80" s="45">
        <v>77</v>
      </c>
      <c r="AD80" s="45">
        <f>[1]节奏总纲!AD80</f>
        <v>62.849666392872081</v>
      </c>
      <c r="AE80" s="45">
        <f>[1]节奏总纲!AE80</f>
        <v>64.876252855711357</v>
      </c>
      <c r="AF80" s="45">
        <f>[1]节奏总纲!AF80</f>
        <v>67.747683715703729</v>
      </c>
      <c r="AG80" s="45">
        <f>[1]节奏总纲!AG80</f>
        <v>72.263232241847945</v>
      </c>
      <c r="AH80" s="45">
        <f>[1]节奏总纲!AH80</f>
        <v>80.83131279092018</v>
      </c>
      <c r="AZ80" s="45">
        <v>77</v>
      </c>
      <c r="BA80" s="45">
        <f>[1]节奏总纲!BA80</f>
        <v>36.273819023840659</v>
      </c>
      <c r="BB80" s="45">
        <f>[1]节奏总纲!BB80</f>
        <v>37.771225729249387</v>
      </c>
      <c r="BC80" s="45">
        <f>[1]节奏总纲!BC80</f>
        <v>39.700568750299212</v>
      </c>
      <c r="BD80" s="45">
        <f>[1]节奏总纲!BD80</f>
        <v>42.427494399390554</v>
      </c>
      <c r="BE80" s="45">
        <f>[1]节奏总纲!BE80</f>
        <v>47.12024662670057</v>
      </c>
      <c r="BI80" s="49">
        <v>77</v>
      </c>
      <c r="BJ80" s="45">
        <f>[1]节奏总纲!BJ80</f>
        <v>3.3999999999999981</v>
      </c>
      <c r="BK80" s="45">
        <f>[1]节奏总纲!BK80</f>
        <v>3.4679999999999982</v>
      </c>
      <c r="BL80" s="45">
        <f>[1]节奏总纲!BL80</f>
        <v>3.6039999999999983</v>
      </c>
      <c r="BM80" s="45">
        <f>[1]节奏总纲!BM80</f>
        <v>3.8759999999999977</v>
      </c>
      <c r="BN80" s="45">
        <f>[1]节奏总纲!BN80</f>
        <v>4.7599999999999971</v>
      </c>
    </row>
    <row r="81" spans="6:66" x14ac:dyDescent="0.15">
      <c r="F81" s="45">
        <f>[1]节奏总纲!F81</f>
        <v>79</v>
      </c>
      <c r="G81" s="45">
        <f>[1]节奏总纲!G81</f>
        <v>237.85644583342264</v>
      </c>
      <c r="N81" s="45">
        <f>[1]节奏总纲!N81</f>
        <v>88</v>
      </c>
      <c r="O81" s="45">
        <v>78</v>
      </c>
      <c r="P81" s="45">
        <f>[1]节奏总纲!P81</f>
        <v>221.86094420380775</v>
      </c>
      <c r="Q81" s="45">
        <f>[1]节奏总纲!Q81</f>
        <v>192.04283330281601</v>
      </c>
      <c r="R81" s="45">
        <f>[1]节奏总纲!R81</f>
        <v>157.23285115723854</v>
      </c>
      <c r="S81" s="45">
        <f>[1]节奏总纲!S81</f>
        <v>115.1680161361966</v>
      </c>
      <c r="T81" s="45">
        <f>[1]节奏总纲!T81</f>
        <v>63.651904892072437</v>
      </c>
      <c r="V81" s="45">
        <v>78</v>
      </c>
      <c r="W81" s="45">
        <f>[1]节奏总纲!W81</f>
        <v>14.924330736611495</v>
      </c>
      <c r="X81" s="45">
        <f>[1]节奏总纲!X81</f>
        <v>12.918500685610923</v>
      </c>
      <c r="Y81" s="45">
        <f>[1]节奏总纲!Y81</f>
        <v>10.701035161116891</v>
      </c>
      <c r="Z81" s="45">
        <f>[1]节奏总纲!Z81</f>
        <v>7.7472200853750195</v>
      </c>
      <c r="AA81" s="45">
        <f>[1]节奏总纲!AA81</f>
        <v>4.1162411975600719</v>
      </c>
      <c r="AC81" s="45">
        <v>78</v>
      </c>
      <c r="AD81" s="45">
        <f>[1]节奏总纲!AD81</f>
        <v>63.036560194527354</v>
      </c>
      <c r="AE81" s="45">
        <f>[1]节奏总纲!AE81</f>
        <v>65.061438622789353</v>
      </c>
      <c r="AF81" s="45">
        <f>[1]节奏总纲!AF81</f>
        <v>67.949370145082256</v>
      </c>
      <c r="AG81" s="45">
        <f>[1]节奏总纲!AG81</f>
        <v>72.449509899839711</v>
      </c>
      <c r="AH81" s="45">
        <f>[1]节奏总纲!AH81</f>
        <v>81.026624803116562</v>
      </c>
      <c r="AZ81" s="45">
        <v>78</v>
      </c>
      <c r="BA81" s="45">
        <f>[1]节奏总纲!BA81</f>
        <v>36.357989752476364</v>
      </c>
      <c r="BB81" s="45">
        <f>[1]节奏总纲!BB81</f>
        <v>37.861979320321296</v>
      </c>
      <c r="BC81" s="45">
        <f>[1]节奏总纲!BC81</f>
        <v>39.790623261487418</v>
      </c>
      <c r="BD81" s="45">
        <f>[1]节奏总纲!BD81</f>
        <v>42.51427628670821</v>
      </c>
      <c r="BE81" s="45">
        <f>[1]节奏总纲!BE81</f>
        <v>47.203396779992147</v>
      </c>
      <c r="BI81" s="49">
        <v>78</v>
      </c>
      <c r="BJ81" s="45">
        <f>[1]节奏总纲!BJ81</f>
        <v>3.4333333333333313</v>
      </c>
      <c r="BK81" s="45">
        <f>[1]节奏总纲!BK81</f>
        <v>3.501999999999998</v>
      </c>
      <c r="BL81" s="45">
        <f>[1]节奏总纲!BL81</f>
        <v>3.6393333333333313</v>
      </c>
      <c r="BM81" s="45">
        <f>[1]节奏总纲!BM81</f>
        <v>3.9139999999999975</v>
      </c>
      <c r="BN81" s="45">
        <f>[1]节奏总纲!BN81</f>
        <v>4.806666666666664</v>
      </c>
    </row>
    <row r="82" spans="6:66" x14ac:dyDescent="0.15">
      <c r="F82" s="45">
        <f>[1]节奏总纲!F82</f>
        <v>80</v>
      </c>
      <c r="G82" s="45">
        <f>[1]节奏总纲!G82</f>
        <v>255</v>
      </c>
      <c r="N82" s="45">
        <f>[1]节奏总纲!N82</f>
        <v>89</v>
      </c>
      <c r="O82" s="45">
        <v>79</v>
      </c>
      <c r="P82" s="45">
        <f>[1]节奏总纲!P82</f>
        <v>237.85644583342264</v>
      </c>
      <c r="Q82" s="45">
        <f>[1]节奏总纲!Q82</f>
        <v>206.07882467007735</v>
      </c>
      <c r="R82" s="45">
        <f>[1]节奏总纲!R82</f>
        <v>168.73536267423003</v>
      </c>
      <c r="S82" s="45">
        <f>[1]节奏总纲!S82</f>
        <v>123.11449636337954</v>
      </c>
      <c r="T82" s="45">
        <f>[1]节奏总纲!T82</f>
        <v>68.122086086692235</v>
      </c>
      <c r="V82" s="45">
        <v>79</v>
      </c>
      <c r="W82" s="45">
        <f>[1]节奏总纲!W82</f>
        <v>15.995501629614893</v>
      </c>
      <c r="X82" s="45">
        <f>[1]节奏总纲!X82</f>
        <v>14.035991367261346</v>
      </c>
      <c r="Y82" s="45">
        <f>[1]节奏总纲!Y82</f>
        <v>11.50251151699149</v>
      </c>
      <c r="Z82" s="45">
        <f>[1]节奏总纲!Z82</f>
        <v>7.9464802271829456</v>
      </c>
      <c r="AA82" s="45">
        <f>[1]节奏总纲!AA82</f>
        <v>4.4701811946197978</v>
      </c>
      <c r="AC82" s="45">
        <v>79</v>
      </c>
      <c r="AD82" s="45">
        <f>[1]节奏总纲!AD82</f>
        <v>63.213386604241791</v>
      </c>
      <c r="AE82" s="45">
        <f>[1]节奏总纲!AE82</f>
        <v>65.23679566619937</v>
      </c>
      <c r="AF82" s="45">
        <f>[1]节奏总纲!AF82</f>
        <v>68.132712808893615</v>
      </c>
      <c r="AG82" s="45">
        <f>[1]节奏总纲!AG82</f>
        <v>72.635787557831478</v>
      </c>
      <c r="AH82" s="45">
        <f>[1]节奏总纲!AH82</f>
        <v>81.212704266341873</v>
      </c>
      <c r="AZ82" s="45">
        <v>79</v>
      </c>
      <c r="BA82" s="45">
        <f>[1]节奏总纲!BA82</f>
        <v>36.442160481112069</v>
      </c>
      <c r="BB82" s="45">
        <f>[1]节奏总纲!BB82</f>
        <v>37.952732911393213</v>
      </c>
      <c r="BC82" s="45">
        <f>[1]节奏总纲!BC82</f>
        <v>39.880677772675625</v>
      </c>
      <c r="BD82" s="45">
        <f>[1]节奏总纲!BD82</f>
        <v>42.601058174025873</v>
      </c>
      <c r="BE82" s="45">
        <f>[1]节奏总纲!BE82</f>
        <v>47.286546933283724</v>
      </c>
      <c r="BI82" s="49">
        <v>79</v>
      </c>
      <c r="BJ82" s="45">
        <f>[1]节奏总纲!BJ82</f>
        <v>3.4666666666666646</v>
      </c>
      <c r="BK82" s="45">
        <f>[1]节奏总纲!BK82</f>
        <v>3.5359999999999978</v>
      </c>
      <c r="BL82" s="45">
        <f>[1]节奏总纲!BL82</f>
        <v>3.6746666666666647</v>
      </c>
      <c r="BM82" s="45">
        <f>[1]节奏总纲!BM82</f>
        <v>3.9519999999999973</v>
      </c>
      <c r="BN82" s="45">
        <f>[1]节奏总纲!BN82</f>
        <v>4.8533333333333299</v>
      </c>
    </row>
    <row r="83" spans="6:66" x14ac:dyDescent="0.15">
      <c r="F83" s="45">
        <f>[1]节奏总纲!F83</f>
        <v>81</v>
      </c>
      <c r="G83" s="45">
        <f>[1]节奏总纲!G83</f>
        <v>273.37400640929098</v>
      </c>
      <c r="N83" s="45">
        <f>[1]节奏总纲!N83</f>
        <v>90</v>
      </c>
      <c r="O83" s="45">
        <v>80</v>
      </c>
      <c r="P83" s="45">
        <f>[1]节奏总纲!P83</f>
        <v>255</v>
      </c>
      <c r="Q83" s="45">
        <f>[1]节奏总纲!Q83</f>
        <v>221.08500000000001</v>
      </c>
      <c r="R83" s="45">
        <f>[1]节奏总纲!R83</f>
        <v>180.33600000000001</v>
      </c>
      <c r="S83" s="45">
        <f>[1]节奏总纲!S83</f>
        <v>131.58000000000001</v>
      </c>
      <c r="T83" s="45">
        <f>[1]节奏总纲!T83</f>
        <v>72.777000000000001</v>
      </c>
      <c r="V83" s="45">
        <v>80</v>
      </c>
      <c r="W83" s="45">
        <f>[1]节奏总纲!W83</f>
        <v>17.14355416657736</v>
      </c>
      <c r="X83" s="45">
        <f>[1]节奏总纲!X83</f>
        <v>15.006175329922655</v>
      </c>
      <c r="Y83" s="45">
        <f>[1]节奏总纲!Y83</f>
        <v>11.600637325769981</v>
      </c>
      <c r="Z83" s="45">
        <f>[1]节奏总纲!Z83</f>
        <v>8.4655036366204683</v>
      </c>
      <c r="AA83" s="45">
        <f>[1]节奏总纲!AA83</f>
        <v>4.6549139133077659</v>
      </c>
      <c r="AC83" s="45">
        <v>80</v>
      </c>
      <c r="AD83" s="45">
        <f>[1]节奏总纲!AD83</f>
        <v>63.39021301395622</v>
      </c>
      <c r="AE83" s="45">
        <f>[1]节奏总纲!AE83</f>
        <v>65.412152709609373</v>
      </c>
      <c r="AF83" s="45">
        <f>[1]节奏总纲!AF83</f>
        <v>68.309907165737044</v>
      </c>
      <c r="AG83" s="45">
        <f>[1]节奏总纲!AG83</f>
        <v>72.822065215823244</v>
      </c>
      <c r="AH83" s="45">
        <f>[1]节奏总纲!AH83</f>
        <v>81.398783729567185</v>
      </c>
      <c r="AZ83" s="45">
        <v>80</v>
      </c>
      <c r="BA83" s="45">
        <f>[1]节奏总纲!BA83</f>
        <v>36.526331209747774</v>
      </c>
      <c r="BB83" s="45">
        <f>[1]节奏总纲!BB83</f>
        <v>38.037513426486328</v>
      </c>
      <c r="BC83" s="45">
        <f>[1]节奏总纲!BC83</f>
        <v>39.970732283863832</v>
      </c>
      <c r="BD83" s="45">
        <f>[1]节奏总纲!BD83</f>
        <v>42.687840061343536</v>
      </c>
      <c r="BE83" s="45">
        <f>[1]节奏总纲!BE83</f>
        <v>47.3696970865753</v>
      </c>
      <c r="BI83" s="51">
        <v>80</v>
      </c>
      <c r="BJ83" s="45">
        <f>[1]节奏总纲!BJ83</f>
        <v>3.4999999999999978</v>
      </c>
      <c r="BK83" s="45">
        <f>[1]节奏总纲!BK83</f>
        <v>3.5699999999999976</v>
      </c>
      <c r="BL83" s="45">
        <f>[1]节奏总纲!BL83</f>
        <v>3.7099999999999977</v>
      </c>
      <c r="BM83" s="45">
        <f>[1]节奏总纲!BM83</f>
        <v>3.9899999999999971</v>
      </c>
      <c r="BN83" s="45">
        <f>[1]节奏总纲!BN83</f>
        <v>4.8999999999999968</v>
      </c>
    </row>
    <row r="84" spans="6:66" x14ac:dyDescent="0.15">
      <c r="F84" s="45">
        <f>[1]节奏总纲!F84</f>
        <v>82</v>
      </c>
      <c r="G84" s="45">
        <f>[1]节奏总纲!G84</f>
        <v>293.06677887924064</v>
      </c>
      <c r="N84" s="45">
        <f>[1]节奏总纲!N84</f>
        <v>91</v>
      </c>
      <c r="O84" s="45">
        <v>81</v>
      </c>
      <c r="P84" s="45">
        <f>[1]节奏总纲!P84</f>
        <v>273.37400640929098</v>
      </c>
      <c r="Q84" s="45">
        <f>[1]节奏总纲!Q84</f>
        <v>236.35916594147301</v>
      </c>
      <c r="R84" s="45">
        <f>[1]节奏总纲!R84</f>
        <v>192.67399971726829</v>
      </c>
      <c r="S84" s="45">
        <f>[1]节奏总纲!S84</f>
        <v>140.76027590014394</v>
      </c>
      <c r="T84" s="45">
        <f>[1]节奏总纲!T84</f>
        <v>77.856917025366073</v>
      </c>
      <c r="V84" s="45">
        <v>81</v>
      </c>
      <c r="W84" s="45">
        <f>[1]节奏总纲!W84</f>
        <v>18.374006409290985</v>
      </c>
      <c r="X84" s="45">
        <f>[1]节奏总纲!X84</f>
        <v>15.274165941473001</v>
      </c>
      <c r="Y84" s="45">
        <f>[1]节奏总纲!Y84</f>
        <v>12.337999717268275</v>
      </c>
      <c r="Z84" s="45">
        <f>[1]节奏总纲!Z84</f>
        <v>9.1802759001439256</v>
      </c>
      <c r="AA84" s="45">
        <f>[1]节奏总纲!AA84</f>
        <v>5.0799170253660719</v>
      </c>
      <c r="AC84" s="45">
        <v>81</v>
      </c>
      <c r="AD84" s="45">
        <f>[1]节奏总纲!AD84</f>
        <v>63.567039423670657</v>
      </c>
      <c r="AE84" s="45">
        <f>[1]节奏总纲!AE84</f>
        <v>65.58750975301939</v>
      </c>
      <c r="AF84" s="45">
        <f>[1]节奏总纲!AF84</f>
        <v>68.487101522580488</v>
      </c>
      <c r="AG84" s="45">
        <f>[1]节奏总纲!AG84</f>
        <v>73.007572199822363</v>
      </c>
      <c r="AH84" s="45">
        <f>[1]节奏总纲!AH84</f>
        <v>81.584863192792497</v>
      </c>
      <c r="AZ84" s="45">
        <v>81</v>
      </c>
      <c r="BA84" s="45">
        <f>[1]节奏总纲!BA84</f>
        <v>36.610501938383479</v>
      </c>
      <c r="BB84" s="45">
        <f>[1]节奏总纲!BB84</f>
        <v>38.11580158428373</v>
      </c>
      <c r="BC84" s="45">
        <f>[1]节奏总纲!BC84</f>
        <v>40.052446592012309</v>
      </c>
      <c r="BD84" s="45">
        <f>[1]节奏总纲!BD84</f>
        <v>42.774621948661192</v>
      </c>
      <c r="BE84" s="45">
        <f>[1]节奏总纲!BE84</f>
        <v>47.452847239866877</v>
      </c>
      <c r="BI84" s="49">
        <v>81</v>
      </c>
      <c r="BJ84" s="45">
        <f>[1]节奏总纲!BJ84</f>
        <v>3.4999999999999978</v>
      </c>
      <c r="BK84" s="45">
        <f>[1]节奏总纲!BK84</f>
        <v>3.5699999999999976</v>
      </c>
      <c r="BL84" s="45">
        <f>[1]节奏总纲!BL84</f>
        <v>3.7099999999999977</v>
      </c>
      <c r="BM84" s="45">
        <f>[1]节奏总纲!BM84</f>
        <v>3.9899999999999971</v>
      </c>
      <c r="BN84" s="45">
        <f>[1]节奏总纲!BN84</f>
        <v>4.8999999999999968</v>
      </c>
    </row>
    <row r="85" spans="6:66" x14ac:dyDescent="0.15">
      <c r="F85" s="45">
        <f>[1]节奏总纲!F85</f>
        <v>83</v>
      </c>
      <c r="G85" s="45">
        <f>[1]节奏总纲!G85</f>
        <v>314.1729698162988</v>
      </c>
      <c r="N85" s="45">
        <f>[1]节奏总纲!N85</f>
        <v>92</v>
      </c>
      <c r="O85" s="45">
        <v>82</v>
      </c>
      <c r="P85" s="45">
        <f>[1]节奏总纲!P85</f>
        <v>293.06677887924064</v>
      </c>
      <c r="Q85" s="45">
        <f>[1]节奏总纲!Q85</f>
        <v>253.15108359588808</v>
      </c>
      <c r="R85" s="45">
        <f>[1]节奏总纲!R85</f>
        <v>206.37762568676126</v>
      </c>
      <c r="S85" s="45">
        <f>[1]节奏总纲!S85</f>
        <v>150.81216441125721</v>
      </c>
      <c r="T85" s="45">
        <f>[1]节奏总纲!T85</f>
        <v>83.230965201704336</v>
      </c>
      <c r="V85" s="45">
        <v>82</v>
      </c>
      <c r="W85" s="45">
        <f>[1]节奏总纲!W85</f>
        <v>19.692772469949659</v>
      </c>
      <c r="X85" s="45">
        <f>[1]节奏总纲!X85</f>
        <v>16.791917654415073</v>
      </c>
      <c r="Y85" s="45">
        <f>[1]节奏总纲!Y85</f>
        <v>13.703625969492975</v>
      </c>
      <c r="Z85" s="45">
        <f>[1]节奏总纲!Z85</f>
        <v>10.051888511113276</v>
      </c>
      <c r="AA85" s="45">
        <f>[1]节奏总纲!AA85</f>
        <v>5.3740481763382633</v>
      </c>
      <c r="AC85" s="45">
        <v>82</v>
      </c>
      <c r="AD85" s="45">
        <f>[1]节奏总纲!AD85</f>
        <v>63.743865833385094</v>
      </c>
      <c r="AE85" s="45">
        <f>[1]节奏总纲!AE85</f>
        <v>65.762866796429392</v>
      </c>
      <c r="AF85" s="45">
        <f>[1]节奏总纲!AF85</f>
        <v>68.664295879423918</v>
      </c>
      <c r="AG85" s="45">
        <f>[1]节奏总纲!AG85</f>
        <v>73.176642436293761</v>
      </c>
      <c r="AH85" s="45">
        <f>[1]节奏总纲!AH85</f>
        <v>81.770942656017823</v>
      </c>
      <c r="AZ85" s="45">
        <v>82</v>
      </c>
      <c r="BA85" s="45">
        <f>[1]节奏总纲!BA85</f>
        <v>36.694672667019191</v>
      </c>
      <c r="BB85" s="45">
        <f>[1]节奏总纲!BB85</f>
        <v>38.194089742081125</v>
      </c>
      <c r="BC85" s="45">
        <f>[1]节奏总纲!BC85</f>
        <v>40.130145246845366</v>
      </c>
      <c r="BD85" s="45">
        <f>[1]节奏总纲!BD85</f>
        <v>42.861403835978855</v>
      </c>
      <c r="BE85" s="45">
        <f>[1]节奏总纲!BE85</f>
        <v>47.535997393158453</v>
      </c>
      <c r="BI85" s="49">
        <v>82</v>
      </c>
      <c r="BJ85" s="45">
        <f>[1]节奏总纲!BJ85</f>
        <v>3.4999999999999978</v>
      </c>
      <c r="BK85" s="45">
        <f>[1]节奏总纲!BK85</f>
        <v>3.5699999999999976</v>
      </c>
      <c r="BL85" s="45">
        <f>[1]节奏总纲!BL85</f>
        <v>3.7099999999999977</v>
      </c>
      <c r="BM85" s="45">
        <f>[1]节奏总纲!BM85</f>
        <v>3.9899999999999971</v>
      </c>
      <c r="BN85" s="45">
        <f>[1]节奏总纲!BN85</f>
        <v>4.8999999999999968</v>
      </c>
    </row>
    <row r="86" spans="6:66" x14ac:dyDescent="0.15">
      <c r="F86" s="45">
        <f>[1]节奏总纲!F86</f>
        <v>84</v>
      </c>
      <c r="G86" s="45">
        <f>[1]节奏总纲!G86</f>
        <v>336.79402515786086</v>
      </c>
      <c r="N86" s="45">
        <f>[1]节奏总纲!N86</f>
        <v>93</v>
      </c>
      <c r="O86" s="45">
        <v>83</v>
      </c>
      <c r="P86" s="45">
        <f>[1]节奏总纲!P86</f>
        <v>314.1729698162988</v>
      </c>
      <c r="Q86" s="45">
        <f>[1]节奏总纲!Q86</f>
        <v>271.53969781222702</v>
      </c>
      <c r="R86" s="45">
        <f>[1]节奏总纲!R86</f>
        <v>221.55477831445393</v>
      </c>
      <c r="S86" s="45">
        <f>[1]节奏总纲!S86</f>
        <v>161.57915837652246</v>
      </c>
      <c r="T86" s="45">
        <f>[1]节奏总纲!T86</f>
        <v>89.193706130847232</v>
      </c>
      <c r="V86" s="45">
        <v>83</v>
      </c>
      <c r="W86" s="45">
        <f>[1]节奏总纲!W86</f>
        <v>21.106190937058159</v>
      </c>
      <c r="X86" s="45">
        <f>[1]节奏总纲!X86</f>
        <v>18.388614216338937</v>
      </c>
      <c r="Y86" s="45">
        <f>[1]节奏总纲!Y86</f>
        <v>15.177152627692664</v>
      </c>
      <c r="Z86" s="45">
        <f>[1]节奏总纲!Z86</f>
        <v>10.766993965265243</v>
      </c>
      <c r="AA86" s="45">
        <f>[1]节奏总纲!AA86</f>
        <v>5.9627409291428961</v>
      </c>
      <c r="AC86" s="45">
        <v>83</v>
      </c>
      <c r="AD86" s="45">
        <f>[1]节奏总纲!AD86</f>
        <v>63.920692243099523</v>
      </c>
      <c r="AE86" s="45">
        <f>[1]节奏总纲!AE86</f>
        <v>65.938223839839395</v>
      </c>
      <c r="AF86" s="45">
        <f>[1]节奏总纲!AF86</f>
        <v>68.841490236267347</v>
      </c>
      <c r="AG86" s="45">
        <f>[1]节奏总纲!AG86</f>
        <v>73.34571267276516</v>
      </c>
      <c r="AH86" s="45">
        <f>[1]节奏总纲!AH86</f>
        <v>81.957022119243135</v>
      </c>
      <c r="AZ86" s="45">
        <v>83</v>
      </c>
      <c r="BA86" s="45">
        <f>[1]节奏总纲!BA86</f>
        <v>36.778843395654896</v>
      </c>
      <c r="BB86" s="45">
        <f>[1]节奏总纲!BB86</f>
        <v>38.272377899878528</v>
      </c>
      <c r="BC86" s="45">
        <f>[1]节奏总纲!BC86</f>
        <v>40.207843901678423</v>
      </c>
      <c r="BD86" s="45">
        <f>[1]节奏总纲!BD86</f>
        <v>42.948185723296518</v>
      </c>
      <c r="BE86" s="45">
        <f>[1]节奏总纲!BE86</f>
        <v>47.619147546450023</v>
      </c>
      <c r="BI86" s="49">
        <v>83</v>
      </c>
      <c r="BJ86" s="45">
        <f>[1]节奏总纲!BJ86</f>
        <v>3.4999999999999978</v>
      </c>
      <c r="BK86" s="45">
        <f>[1]节奏总纲!BK86</f>
        <v>3.5699999999999976</v>
      </c>
      <c r="BL86" s="45">
        <f>[1]节奏总纲!BL86</f>
        <v>3.7099999999999977</v>
      </c>
      <c r="BM86" s="45">
        <f>[1]节奏总纲!BM86</f>
        <v>3.9899999999999971</v>
      </c>
      <c r="BN86" s="45">
        <f>[1]节奏总纲!BN86</f>
        <v>4.8999999999999968</v>
      </c>
    </row>
    <row r="87" spans="6:66" x14ac:dyDescent="0.15">
      <c r="F87" s="45">
        <f>[1]节奏总纲!F87</f>
        <v>85</v>
      </c>
      <c r="G87" s="45">
        <f>[1]节奏总纲!G87</f>
        <v>361.0386719675123</v>
      </c>
      <c r="N87" s="45">
        <f>[1]节奏总纲!N87</f>
        <v>94</v>
      </c>
      <c r="O87" s="45">
        <v>84</v>
      </c>
      <c r="P87" s="45">
        <f>[1]节奏总纲!P87</f>
        <v>336.79402515786086</v>
      </c>
      <c r="Q87" s="45">
        <f>[1]节奏总纲!Q87</f>
        <v>291.2594729565181</v>
      </c>
      <c r="R87" s="45">
        <f>[1]节奏总纲!R87</f>
        <v>237.27139072371298</v>
      </c>
      <c r="S87" s="45">
        <f>[1]节奏总纲!S87</f>
        <v>172.97741132107731</v>
      </c>
      <c r="T87" s="45">
        <f>[1]节奏总纲!T87</f>
        <v>95.64950314483248</v>
      </c>
      <c r="V87" s="45">
        <v>84</v>
      </c>
      <c r="W87" s="45">
        <f>[1]节奏总纲!W87</f>
        <v>22.621055341562055</v>
      </c>
      <c r="X87" s="45">
        <f>[1]节奏总纲!X87</f>
        <v>19.719775144291077</v>
      </c>
      <c r="Y87" s="45">
        <f>[1]节奏总纲!Y87</f>
        <v>15.716612409259056</v>
      </c>
      <c r="Z87" s="45">
        <f>[1]节奏总纲!Z87</f>
        <v>11.398252944554855</v>
      </c>
      <c r="AA87" s="45">
        <f>[1]节奏总纲!AA87</f>
        <v>6.4557970139852472</v>
      </c>
      <c r="AC87" s="45">
        <v>84</v>
      </c>
      <c r="AD87" s="45">
        <f>[1]节奏总纲!AD87</f>
        <v>64.090988120365651</v>
      </c>
      <c r="AE87" s="45">
        <f>[1]节奏总纲!AE87</f>
        <v>66.105889403880397</v>
      </c>
      <c r="AF87" s="45">
        <f>[1]节奏总纲!AF87</f>
        <v>69.01697485309198</v>
      </c>
      <c r="AG87" s="45">
        <f>[1]节奏总纲!AG87</f>
        <v>73.514782909236544</v>
      </c>
      <c r="AH87" s="45">
        <f>[1]节奏总纲!AH87</f>
        <v>82.128973371044353</v>
      </c>
      <c r="AZ87" s="45">
        <v>84</v>
      </c>
      <c r="BA87" s="45">
        <f>[1]节奏总纲!BA87</f>
        <v>36.863014124290601</v>
      </c>
      <c r="BB87" s="45">
        <f>[1]节奏总纲!BB87</f>
        <v>38.35066605767593</v>
      </c>
      <c r="BC87" s="45">
        <f>[1]节奏总纲!BC87</f>
        <v>40.28554255651148</v>
      </c>
      <c r="BD87" s="45">
        <f>[1]节奏总纲!BD87</f>
        <v>43.030177309109042</v>
      </c>
      <c r="BE87" s="45">
        <f>[1]节奏总纲!BE87</f>
        <v>47.7022976997416</v>
      </c>
      <c r="BI87" s="49">
        <v>84</v>
      </c>
      <c r="BJ87" s="45">
        <f>[1]节奏总纲!BJ87</f>
        <v>3.4999999999999978</v>
      </c>
      <c r="BK87" s="45">
        <f>[1]节奏总纲!BK87</f>
        <v>3.5699999999999976</v>
      </c>
      <c r="BL87" s="45">
        <f>[1]节奏总纲!BL87</f>
        <v>3.7099999999999977</v>
      </c>
      <c r="BM87" s="45">
        <f>[1]节奏总纲!BM87</f>
        <v>3.9899999999999971</v>
      </c>
      <c r="BN87" s="45">
        <f>[1]节奏总纲!BN87</f>
        <v>4.8999999999999968</v>
      </c>
    </row>
    <row r="88" spans="6:66" x14ac:dyDescent="0.15">
      <c r="F88" s="45">
        <f>[1]节奏总纲!F88</f>
        <v>86</v>
      </c>
      <c r="G88" s="45">
        <f>[1]节奏总纲!G88</f>
        <v>387.02344102666189</v>
      </c>
      <c r="N88" s="45">
        <f>[1]节奏总纲!N88</f>
        <v>95</v>
      </c>
      <c r="O88" s="45">
        <v>85</v>
      </c>
      <c r="P88" s="45">
        <f>[1]节奏总纲!P88</f>
        <v>361.0386719675123</v>
      </c>
      <c r="Q88" s="45">
        <f>[1]节奏总纲!Q88</f>
        <v>311.72078937675008</v>
      </c>
      <c r="R88" s="45">
        <f>[1]节奏总纲!R88</f>
        <v>253.91849799475142</v>
      </c>
      <c r="S88" s="45">
        <f>[1]节奏总纲!S88</f>
        <v>185.57387739130132</v>
      </c>
      <c r="T88" s="45">
        <f>[1]节奏总纲!T88</f>
        <v>102.53498283877349</v>
      </c>
      <c r="V88" s="45">
        <v>85</v>
      </c>
      <c r="W88" s="45">
        <f>[1]节奏总纲!W88</f>
        <v>24.244646809651442</v>
      </c>
      <c r="X88" s="45">
        <f>[1]节奏总纲!X88</f>
        <v>20.461316420231981</v>
      </c>
      <c r="Y88" s="45">
        <f>[1]节奏总纲!Y88</f>
        <v>16.647107271038436</v>
      </c>
      <c r="Z88" s="45">
        <f>[1]节奏总纲!Z88</f>
        <v>12.596466070224011</v>
      </c>
      <c r="AA88" s="45">
        <f>[1]节奏总纲!AA88</f>
        <v>6.8854796939410079</v>
      </c>
      <c r="AC88" s="45">
        <v>85</v>
      </c>
      <c r="AD88" s="45">
        <f>[1]节奏总纲!AD88</f>
        <v>64.255972994404218</v>
      </c>
      <c r="AE88" s="45">
        <f>[1]节奏总纲!AE88</f>
        <v>66.269371604948859</v>
      </c>
      <c r="AF88" s="45">
        <f>[1]节奏总纲!AF88</f>
        <v>69.17795498031839</v>
      </c>
      <c r="AG88" s="45">
        <f>[1]节奏总纲!AG88</f>
        <v>73.683853145707943</v>
      </c>
      <c r="AH88" s="45">
        <f>[1]节奏总纲!AH88</f>
        <v>82.296681479091191</v>
      </c>
      <c r="AZ88" s="45">
        <v>85</v>
      </c>
      <c r="BA88" s="45">
        <f>[1]节奏总纲!BA88</f>
        <v>36.947184852926306</v>
      </c>
      <c r="BB88" s="45">
        <f>[1]节奏总纲!BB88</f>
        <v>38.428954215473325</v>
      </c>
      <c r="BC88" s="45">
        <f>[1]节奏总纲!BC88</f>
        <v>40.363241211344537</v>
      </c>
      <c r="BD88" s="45">
        <f>[1]节奏总纲!BD88</f>
        <v>43.105070725978337</v>
      </c>
      <c r="BE88" s="45">
        <f>[1]节奏总纲!BE88</f>
        <v>47.785447853033176</v>
      </c>
      <c r="BI88" s="49">
        <v>85</v>
      </c>
      <c r="BJ88" s="45">
        <f>[1]节奏总纲!BJ88</f>
        <v>3.4999999999999978</v>
      </c>
      <c r="BK88" s="45">
        <f>[1]节奏总纲!BK88</f>
        <v>3.5699999999999976</v>
      </c>
      <c r="BL88" s="45">
        <f>[1]节奏总纲!BL88</f>
        <v>3.7099999999999977</v>
      </c>
      <c r="BM88" s="45">
        <f>[1]节奏总纲!BM88</f>
        <v>3.9899999999999971</v>
      </c>
      <c r="BN88" s="45">
        <f>[1]节奏总纲!BN88</f>
        <v>4.8999999999999968</v>
      </c>
    </row>
    <row r="89" spans="6:66" x14ac:dyDescent="0.15">
      <c r="F89" s="45">
        <f>[1]节奏总纲!F89</f>
        <v>87</v>
      </c>
      <c r="G89" s="45">
        <f>[1]节奏总纲!G89</f>
        <v>414.87322693439216</v>
      </c>
      <c r="N89" s="45">
        <f>[1]节奏总纲!N89</f>
        <v>96</v>
      </c>
      <c r="O89" s="45">
        <v>86</v>
      </c>
      <c r="P89" s="45">
        <f>[1]节奏总纲!P89</f>
        <v>387.02344102666189</v>
      </c>
      <c r="Q89" s="45">
        <f>[1]节奏总纲!Q89</f>
        <v>334.00122960600919</v>
      </c>
      <c r="R89" s="45">
        <f>[1]节奏总纲!R89</f>
        <v>272.23228841815398</v>
      </c>
      <c r="S89" s="45">
        <f>[1]节奏总纲!S89</f>
        <v>199.39447681693619</v>
      </c>
      <c r="T89" s="45">
        <f>[1]节奏总纲!T89</f>
        <v>108.94709864900531</v>
      </c>
      <c r="V89" s="45">
        <v>86</v>
      </c>
      <c r="W89" s="45">
        <f>[1]节奏总纲!W89</f>
        <v>25.984769059149585</v>
      </c>
      <c r="X89" s="45">
        <f>[1]节奏总纲!X89</f>
        <v>22.280440229259113</v>
      </c>
      <c r="Y89" s="45">
        <f>[1]节奏总纲!Y89</f>
        <v>18.313790423402565</v>
      </c>
      <c r="Z89" s="45">
        <f>[1]节奏总纲!Z89</f>
        <v>13.820599425634867</v>
      </c>
      <c r="AA89" s="45">
        <f>[1]节奏总纲!AA89</f>
        <v>6.4121158102318248</v>
      </c>
      <c r="AC89" s="45">
        <v>86</v>
      </c>
      <c r="AD89" s="45">
        <f>[1]节奏总纲!AD89</f>
        <v>64.420957868442798</v>
      </c>
      <c r="AE89" s="45">
        <f>[1]节奏总纲!AE89</f>
        <v>66.43285380601732</v>
      </c>
      <c r="AF89" s="45">
        <f>[1]节奏总纲!AF89</f>
        <v>69.338935107544785</v>
      </c>
      <c r="AG89" s="45">
        <f>[1]节奏总纲!AG89</f>
        <v>73.852923382179341</v>
      </c>
      <c r="AH89" s="45">
        <f>[1]节奏总纲!AH89</f>
        <v>82.464389587138029</v>
      </c>
      <c r="AZ89" s="45">
        <v>86</v>
      </c>
      <c r="BA89" s="45">
        <f>[1]节奏总纲!BA89</f>
        <v>37.027046282459708</v>
      </c>
      <c r="BB89" s="45">
        <f>[1]节奏总纲!BB89</f>
        <v>38.507242373270728</v>
      </c>
      <c r="BC89" s="45">
        <f>[1]节奏总纲!BC89</f>
        <v>40.440939866177594</v>
      </c>
      <c r="BD89" s="45">
        <f>[1]节奏总纲!BD89</f>
        <v>43.179964142847631</v>
      </c>
      <c r="BE89" s="45">
        <f>[1]节奏总纲!BE89</f>
        <v>47.868598006324753</v>
      </c>
      <c r="BI89" s="49">
        <v>86</v>
      </c>
      <c r="BJ89" s="45">
        <f>[1]节奏总纲!BJ89</f>
        <v>3.4999999999999978</v>
      </c>
      <c r="BK89" s="45">
        <f>[1]节奏总纲!BK89</f>
        <v>3.5699999999999976</v>
      </c>
      <c r="BL89" s="45">
        <f>[1]节奏总纲!BL89</f>
        <v>3.7099999999999977</v>
      </c>
      <c r="BM89" s="45">
        <f>[1]节奏总纲!BM89</f>
        <v>3.9899999999999971</v>
      </c>
      <c r="BN89" s="45">
        <f>[1]节奏总纲!BN89</f>
        <v>4.8999999999999968</v>
      </c>
    </row>
    <row r="90" spans="6:66" x14ac:dyDescent="0.15">
      <c r="F90" s="45">
        <f>[1]节奏总纲!F90</f>
        <v>88</v>
      </c>
      <c r="G90" s="45">
        <f>[1]节奏总纲!G90</f>
        <v>444.72188840761549</v>
      </c>
      <c r="N90" s="45">
        <f>[1]节奏总纲!N90</f>
        <v>97</v>
      </c>
      <c r="O90" s="45">
        <v>87</v>
      </c>
      <c r="P90" s="45">
        <f>[1]节奏总纲!P90</f>
        <v>414.87322693439216</v>
      </c>
      <c r="Q90" s="45">
        <f>[1]节奏总纲!Q90</f>
        <v>358.28451878054108</v>
      </c>
      <c r="R90" s="45">
        <f>[1]节奏总纲!R90</f>
        <v>292.4026503433596</v>
      </c>
      <c r="S90" s="45">
        <f>[1]节奏总纲!S90</f>
        <v>212.58104148118252</v>
      </c>
      <c r="T90" s="45">
        <f>[1]节奏总纲!T90</f>
        <v>115.74963031469542</v>
      </c>
      <c r="V90" s="45">
        <v>87</v>
      </c>
      <c r="W90" s="45">
        <f>[1]节奏总纲!W90</f>
        <v>27.849785907730279</v>
      </c>
      <c r="X90" s="45">
        <f>[1]节奏总纲!X90</f>
        <v>24.283289174531888</v>
      </c>
      <c r="Y90" s="45">
        <f>[1]节奏总纲!Y90</f>
        <v>20.170361925205611</v>
      </c>
      <c r="Z90" s="45">
        <f>[1]节奏总纲!Z90</f>
        <v>13.186564664246333</v>
      </c>
      <c r="AA90" s="45">
        <f>[1]节奏总纲!AA90</f>
        <v>6.8025316656901111</v>
      </c>
      <c r="AC90" s="45">
        <v>87</v>
      </c>
      <c r="AD90" s="45">
        <f>[1]节奏总纲!AD90</f>
        <v>64.585942742481365</v>
      </c>
      <c r="AE90" s="45">
        <f>[1]节奏总纲!AE90</f>
        <v>66.596336007085796</v>
      </c>
      <c r="AF90" s="45">
        <f>[1]节奏总纲!AF90</f>
        <v>69.49991523477118</v>
      </c>
      <c r="AG90" s="45">
        <f>[1]节奏总纲!AG90</f>
        <v>74.02050499447661</v>
      </c>
      <c r="AH90" s="45">
        <f>[1]节奏总纲!AH90</f>
        <v>82.632097695184868</v>
      </c>
      <c r="AZ90" s="45">
        <v>87</v>
      </c>
      <c r="BA90" s="45">
        <f>[1]节奏总纲!BA90</f>
        <v>37.099649155317238</v>
      </c>
      <c r="BB90" s="45">
        <f>[1]节奏总纲!BB90</f>
        <v>38.58553053106813</v>
      </c>
      <c r="BC90" s="45">
        <f>[1]节奏总纲!BC90</f>
        <v>40.518638521010651</v>
      </c>
      <c r="BD90" s="45">
        <f>[1]节奏总纲!BD90</f>
        <v>43.254857559716925</v>
      </c>
      <c r="BE90" s="45">
        <f>[1]节奏总纲!BE90</f>
        <v>47.951748159616329</v>
      </c>
      <c r="BI90" s="49">
        <v>87</v>
      </c>
      <c r="BJ90" s="45">
        <f>[1]节奏总纲!BJ90</f>
        <v>3.4999999999999978</v>
      </c>
      <c r="BK90" s="45">
        <f>[1]节奏总纲!BK90</f>
        <v>3.5699999999999976</v>
      </c>
      <c r="BL90" s="45">
        <f>[1]节奏总纲!BL90</f>
        <v>3.7099999999999977</v>
      </c>
      <c r="BM90" s="45">
        <f>[1]节奏总纲!BM90</f>
        <v>3.9899999999999971</v>
      </c>
      <c r="BN90" s="45">
        <f>[1]节奏总纲!BN90</f>
        <v>4.8999999999999968</v>
      </c>
    </row>
    <row r="91" spans="6:66" x14ac:dyDescent="0.15">
      <c r="F91" s="45">
        <f>[1]节奏总纲!F91</f>
        <v>89</v>
      </c>
      <c r="G91" s="45">
        <f>[1]节奏总纲!G91</f>
        <v>476.71289166684534</v>
      </c>
      <c r="N91" s="45">
        <f>[1]节奏总纲!N91</f>
        <v>98</v>
      </c>
      <c r="O91" s="45">
        <v>88</v>
      </c>
      <c r="P91" s="45">
        <f>[1]节奏总纲!P91</f>
        <v>444.72188840761549</v>
      </c>
      <c r="Q91" s="45">
        <f>[1]节奏总纲!Q91</f>
        <v>384.7733778502689</v>
      </c>
      <c r="R91" s="45">
        <f>[1]节奏总纲!R91</f>
        <v>312.90632068359827</v>
      </c>
      <c r="S91" s="45">
        <f>[1]节奏总纲!S91</f>
        <v>226.0076636887502</v>
      </c>
      <c r="T91" s="45">
        <f>[1]节奏总纲!T91</f>
        <v>123.1879630889095</v>
      </c>
      <c r="V91" s="45">
        <v>88</v>
      </c>
      <c r="W91" s="45">
        <f>[1]节奏总纲!W91</f>
        <v>29.848661473223331</v>
      </c>
      <c r="X91" s="45">
        <f>[1]节奏总纲!X91</f>
        <v>26.488859069727823</v>
      </c>
      <c r="Y91" s="45">
        <f>[1]节奏总纲!Y91</f>
        <v>20.503670340238671</v>
      </c>
      <c r="Z91" s="45">
        <f>[1]节奏总纲!Z91</f>
        <v>13.426622207567675</v>
      </c>
      <c r="AA91" s="45">
        <f>[1]节奏总纲!AA91</f>
        <v>7.438332774214075</v>
      </c>
      <c r="AC91" s="45">
        <v>88</v>
      </c>
      <c r="AD91" s="45">
        <f>[1]节奏总纲!AD91</f>
        <v>64.750927616519931</v>
      </c>
      <c r="AE91" s="45">
        <f>[1]节奏总纲!AE91</f>
        <v>66.759818208154257</v>
      </c>
      <c r="AF91" s="45">
        <f>[1]节奏总纲!AF91</f>
        <v>69.660895361997589</v>
      </c>
      <c r="AG91" s="45">
        <f>[1]节奏总纲!AG91</f>
        <v>74.178131818877702</v>
      </c>
      <c r="AH91" s="45">
        <f>[1]节奏总纲!AH91</f>
        <v>82.799805803231706</v>
      </c>
      <c r="AZ91" s="45">
        <v>88</v>
      </c>
      <c r="BA91" s="45">
        <f>[1]节奏总纲!BA91</f>
        <v>37.172252028174768</v>
      </c>
      <c r="BB91" s="45">
        <f>[1]节奏总纲!BB91</f>
        <v>38.663818688865533</v>
      </c>
      <c r="BC91" s="45">
        <f>[1]节奏总纲!BC91</f>
        <v>40.596337175843701</v>
      </c>
      <c r="BD91" s="45">
        <f>[1]节奏总纲!BD91</f>
        <v>43.329750976586219</v>
      </c>
      <c r="BE91" s="45">
        <f>[1]节奏总纲!BE91</f>
        <v>48.030128751164234</v>
      </c>
      <c r="BI91" s="49">
        <v>88</v>
      </c>
      <c r="BJ91" s="45">
        <f>[1]节奏总纲!BJ91</f>
        <v>3.4999999999999978</v>
      </c>
      <c r="BK91" s="45">
        <f>[1]节奏总纲!BK91</f>
        <v>3.5699999999999976</v>
      </c>
      <c r="BL91" s="45">
        <f>[1]节奏总纲!BL91</f>
        <v>3.7099999999999977</v>
      </c>
      <c r="BM91" s="45">
        <f>[1]节奏总纲!BM91</f>
        <v>3.9899999999999971</v>
      </c>
      <c r="BN91" s="45">
        <f>[1]节奏总纲!BN91</f>
        <v>4.8999999999999968</v>
      </c>
    </row>
    <row r="92" spans="6:66" x14ac:dyDescent="0.15">
      <c r="F92" s="45">
        <f>[1]节奏总纲!F92</f>
        <v>90</v>
      </c>
      <c r="G92" s="45">
        <f>[1]节奏总纲!G92</f>
        <v>511</v>
      </c>
      <c r="N92" s="45">
        <f>[1]节奏总纲!N92</f>
        <v>99</v>
      </c>
      <c r="O92" s="45">
        <v>89</v>
      </c>
      <c r="P92" s="45">
        <f>[1]节奏总纲!P92</f>
        <v>476.71289166684534</v>
      </c>
      <c r="Q92" s="45">
        <f>[1]节奏总纲!Q92</f>
        <v>411.78459582182103</v>
      </c>
      <c r="R92" s="45">
        <f>[1]节奏总纲!R92</f>
        <v>332.60258451595797</v>
      </c>
      <c r="S92" s="45">
        <f>[1]节奏总纲!S92</f>
        <v>240.31096868925673</v>
      </c>
      <c r="T92" s="45">
        <f>[1]节奏总纲!T92</f>
        <v>130.61933231671563</v>
      </c>
      <c r="V92" s="45">
        <v>89</v>
      </c>
      <c r="W92" s="45">
        <f>[1]节奏总纲!W92</f>
        <v>31.991003259229842</v>
      </c>
      <c r="X92" s="45">
        <f>[1]节奏总纲!X92</f>
        <v>27.011217971552128</v>
      </c>
      <c r="Y92" s="45">
        <f>[1]节奏总纲!Y92</f>
        <v>19.696263832359705</v>
      </c>
      <c r="Z92" s="45">
        <f>[1]节奏总纲!Z92</f>
        <v>14.303305000506526</v>
      </c>
      <c r="AA92" s="45">
        <f>[1]节奏总纲!AA92</f>
        <v>7.4313692278061296</v>
      </c>
      <c r="AC92" s="45">
        <v>89</v>
      </c>
      <c r="AD92" s="45">
        <f>[1]节奏总纲!AD92</f>
        <v>64.915912490558512</v>
      </c>
      <c r="AE92" s="45">
        <f>[1]节奏总纲!AE92</f>
        <v>66.923300409222719</v>
      </c>
      <c r="AF92" s="45">
        <f>[1]节奏总纲!AF92</f>
        <v>69.821875489223984</v>
      </c>
      <c r="AG92" s="45">
        <f>[1]节奏总纲!AG92</f>
        <v>74.335758643278794</v>
      </c>
      <c r="AH92" s="45">
        <f>[1]节奏总纲!AH92</f>
        <v>82.967513911278544</v>
      </c>
      <c r="AZ92" s="45">
        <v>89</v>
      </c>
      <c r="BA92" s="45">
        <f>[1]节奏总纲!BA92</f>
        <v>37.244854901032298</v>
      </c>
      <c r="BB92" s="45">
        <f>[1]节奏总纲!BB92</f>
        <v>38.742106846662928</v>
      </c>
      <c r="BC92" s="45">
        <f>[1]节奏总纲!BC92</f>
        <v>40.674035830676758</v>
      </c>
      <c r="BD92" s="45">
        <f>[1]节奏总纲!BD92</f>
        <v>43.404644393455513</v>
      </c>
      <c r="BE92" s="45">
        <f>[1]节奏总纲!BE92</f>
        <v>48.101914750802706</v>
      </c>
      <c r="BI92" s="49">
        <v>89</v>
      </c>
      <c r="BJ92" s="45">
        <f>[1]节奏总纲!BJ92</f>
        <v>3.4999999999999978</v>
      </c>
      <c r="BK92" s="45">
        <f>[1]节奏总纲!BK92</f>
        <v>3.5699999999999976</v>
      </c>
      <c r="BL92" s="45">
        <f>[1]节奏总纲!BL92</f>
        <v>3.7099999999999977</v>
      </c>
      <c r="BM92" s="45">
        <f>[1]节奏总纲!BM92</f>
        <v>3.9899999999999971</v>
      </c>
      <c r="BN92" s="45">
        <f>[1]节奏总纲!BN92</f>
        <v>4.8999999999999968</v>
      </c>
    </row>
    <row r="93" spans="6:66" x14ac:dyDescent="0.15">
      <c r="F93" s="45">
        <f>[1]节奏总纲!F93</f>
        <v>91</v>
      </c>
      <c r="G93" s="45">
        <f>[1]节奏总纲!G93</f>
        <v>547.74801281858208</v>
      </c>
      <c r="N93" s="45">
        <f>[1]节奏总纲!N93</f>
        <v>100</v>
      </c>
      <c r="O93" s="45">
        <v>90</v>
      </c>
      <c r="P93" s="45">
        <f>[1]节奏总纲!P93</f>
        <v>511</v>
      </c>
      <c r="Q93" s="45">
        <f>[1]节奏总纲!Q93</f>
        <v>438.13140000000004</v>
      </c>
      <c r="R93" s="45">
        <f>[1]节奏总纲!R93</f>
        <v>354.12299999999999</v>
      </c>
      <c r="S93" s="45">
        <f>[1]节奏总纲!S93</f>
        <v>254.88680000000002</v>
      </c>
      <c r="T93" s="45">
        <f>[1]节奏总纲!T93</f>
        <v>138.48100000000002</v>
      </c>
      <c r="V93" s="45">
        <v>90</v>
      </c>
      <c r="W93" s="45">
        <f>[1]节奏总纲!W93</f>
        <v>34.287108333154663</v>
      </c>
      <c r="X93" s="45">
        <f>[1]节奏总纲!X93</f>
        <v>26.346804178179013</v>
      </c>
      <c r="Y93" s="45">
        <f>[1]节奏总纲!Y93</f>
        <v>21.520415484042019</v>
      </c>
      <c r="Z93" s="45">
        <f>[1]节奏总纲!Z93</f>
        <v>14.575831310743297</v>
      </c>
      <c r="AA93" s="45">
        <f>[1]节奏总纲!AA93</f>
        <v>7.861667683284395</v>
      </c>
      <c r="AC93" s="45">
        <v>90</v>
      </c>
      <c r="AD93" s="45">
        <f>[1]节奏总纲!AD93</f>
        <v>65.075479910097457</v>
      </c>
      <c r="AE93" s="45">
        <f>[1]节奏总纲!AE93</f>
        <v>67.083433628014333</v>
      </c>
      <c r="AF93" s="45">
        <f>[1]节奏总纲!AF93</f>
        <v>69.982855616450394</v>
      </c>
      <c r="AG93" s="45">
        <f>[1]节奏总纲!AG93</f>
        <v>74.493385467679886</v>
      </c>
      <c r="AH93" s="45">
        <f>[1]节奏总纲!AH93</f>
        <v>83.124894550960335</v>
      </c>
      <c r="AZ93" s="45">
        <v>90</v>
      </c>
      <c r="BA93" s="45">
        <f>[1]节奏总纲!BA93</f>
        <v>37.317457773889828</v>
      </c>
      <c r="BB93" s="45">
        <f>[1]节奏总纲!BB93</f>
        <v>38.82039500446033</v>
      </c>
      <c r="BC93" s="45">
        <f>[1]节奏总纲!BC93</f>
        <v>40.751734485509814</v>
      </c>
      <c r="BD93" s="45">
        <f>[1]节奏总纲!BD93</f>
        <v>43.479537810324807</v>
      </c>
      <c r="BE93" s="45">
        <f>[1]节奏总纲!BE93</f>
        <v>48.173700750441178</v>
      </c>
      <c r="BI93" s="49">
        <v>90</v>
      </c>
      <c r="BJ93" s="45">
        <f>[1]节奏总纲!BJ93</f>
        <v>3.4999999999999978</v>
      </c>
      <c r="BK93" s="45">
        <f>[1]节奏总纲!BK93</f>
        <v>3.5699999999999976</v>
      </c>
      <c r="BL93" s="45">
        <f>[1]节奏总纲!BL93</f>
        <v>3.7099999999999977</v>
      </c>
      <c r="BM93" s="45">
        <f>[1]节奏总纲!BM93</f>
        <v>3.9899999999999971</v>
      </c>
      <c r="BN93" s="45">
        <f>[1]节奏总纲!BN93</f>
        <v>4.8999999999999968</v>
      </c>
    </row>
    <row r="94" spans="6:66" x14ac:dyDescent="0.15">
      <c r="F94" s="45">
        <f>[1]节奏总纲!F94</f>
        <v>92</v>
      </c>
      <c r="G94" s="45">
        <f>[1]节奏总纲!G94</f>
        <v>587.1335577584814</v>
      </c>
      <c r="N94" s="45">
        <f>[1]节奏总纲!N94</f>
        <v>101</v>
      </c>
      <c r="O94" s="45">
        <v>91</v>
      </c>
      <c r="P94" s="45">
        <f>[1]节奏总纲!P94</f>
        <v>547.74801281858208</v>
      </c>
      <c r="Q94" s="45">
        <f>[1]节奏总纲!Q94</f>
        <v>469.6391461906523</v>
      </c>
      <c r="R94" s="45">
        <f>[1]节奏总纲!R94</f>
        <v>378.43910205635837</v>
      </c>
      <c r="S94" s="45">
        <f>[1]节奏总纲!S94</f>
        <v>272.61418597980827</v>
      </c>
      <c r="T94" s="45">
        <f>[1]节奏总纲!T94</f>
        <v>147.89196346101718</v>
      </c>
      <c r="V94" s="45">
        <v>91</v>
      </c>
      <c r="W94" s="45">
        <f>[1]节奏总纲!W94</f>
        <v>36.748012818582083</v>
      </c>
      <c r="X94" s="45">
        <f>[1]节奏总纲!X94</f>
        <v>31.507746190652256</v>
      </c>
      <c r="Y94" s="45">
        <f>[1]节奏总纲!Y94</f>
        <v>24.316102056358375</v>
      </c>
      <c r="Z94" s="45">
        <f>[1]节奏总纲!Z94</f>
        <v>17.727385979808247</v>
      </c>
      <c r="AA94" s="45">
        <f>[1]节奏总纲!AA94</f>
        <v>9.4109634610171611</v>
      </c>
      <c r="AC94" s="45">
        <v>91</v>
      </c>
      <c r="AD94" s="45">
        <f>[1]节奏总纲!AD94</f>
        <v>65.229416240679981</v>
      </c>
      <c r="AE94" s="45">
        <f>[1]节奏总纲!AE94</f>
        <v>67.240606973055961</v>
      </c>
      <c r="AF94" s="45">
        <f>[1]节奏总纲!AF94</f>
        <v>70.137942795989005</v>
      </c>
      <c r="AG94" s="45">
        <f>[1]节奏总纲!AG94</f>
        <v>74.651012292080978</v>
      </c>
      <c r="AH94" s="45">
        <f>[1]节奏总纲!AH94</f>
        <v>83.279794092850153</v>
      </c>
      <c r="AZ94" s="45">
        <v>91</v>
      </c>
      <c r="BA94" s="45">
        <f>[1]节奏总纲!BA94</f>
        <v>37.390060646747358</v>
      </c>
      <c r="BB94" s="45">
        <f>[1]节奏总纲!BB94</f>
        <v>38.898683162257733</v>
      </c>
      <c r="BC94" s="45">
        <f>[1]节奏总纲!BC94</f>
        <v>40.829433140342871</v>
      </c>
      <c r="BD94" s="45">
        <f>[1]节奏总纲!BD94</f>
        <v>43.554431227194108</v>
      </c>
      <c r="BE94" s="45">
        <f>[1]节奏总纲!BE94</f>
        <v>48.24548675007965</v>
      </c>
      <c r="BI94" s="49">
        <v>91</v>
      </c>
      <c r="BJ94" s="45">
        <f>[1]节奏总纲!BJ94</f>
        <v>3.4999999999999978</v>
      </c>
      <c r="BK94" s="45">
        <f>[1]节奏总纲!BK94</f>
        <v>3.5699999999999976</v>
      </c>
      <c r="BL94" s="45">
        <f>[1]节奏总纲!BL94</f>
        <v>3.7099999999999977</v>
      </c>
      <c r="BM94" s="45">
        <f>[1]节奏总纲!BM94</f>
        <v>3.9899999999999971</v>
      </c>
      <c r="BN94" s="45">
        <f>[1]节奏总纲!BN94</f>
        <v>4.8999999999999968</v>
      </c>
    </row>
    <row r="95" spans="6:66" x14ac:dyDescent="0.15">
      <c r="F95" s="45">
        <f>[1]节奏总纲!F95</f>
        <v>93</v>
      </c>
      <c r="G95" s="45">
        <f>[1]节奏总纲!G95</f>
        <v>629.34593963259704</v>
      </c>
      <c r="N95" s="45">
        <f>[1]节奏总纲!N95</f>
        <v>102</v>
      </c>
      <c r="O95" s="45">
        <v>92</v>
      </c>
      <c r="P95" s="45">
        <f>[1]节奏总纲!P95</f>
        <v>587.1335577584814</v>
      </c>
      <c r="Q95" s="45">
        <f>[1]节奏总纲!Q95</f>
        <v>502.29275866238083</v>
      </c>
      <c r="R95" s="45">
        <f>[1]节奏总纲!R95</f>
        <v>405.12215485335213</v>
      </c>
      <c r="S95" s="45">
        <f>[1]节奏总纲!S95</f>
        <v>291.57052478286187</v>
      </c>
      <c r="T95" s="45">
        <f>[1]节奏总纲!T95</f>
        <v>157.64536025815227</v>
      </c>
      <c r="V95" s="45">
        <v>92</v>
      </c>
      <c r="W95" s="45">
        <f>[1]节奏总纲!W95</f>
        <v>39.385544939899319</v>
      </c>
      <c r="X95" s="45">
        <f>[1]节奏总纲!X95</f>
        <v>32.653612471728536</v>
      </c>
      <c r="Y95" s="45">
        <f>[1]节奏总纲!Y95</f>
        <v>26.683052796993763</v>
      </c>
      <c r="Z95" s="45">
        <f>[1]节奏总纲!Z95</f>
        <v>18.956338803053598</v>
      </c>
      <c r="AA95" s="45">
        <f>[1]节奏总纲!AA95</f>
        <v>9.7533967971350819</v>
      </c>
      <c r="AC95" s="45">
        <v>92</v>
      </c>
      <c r="AD95" s="45">
        <f>[1]节奏总纲!AD95</f>
        <v>65.38335257126252</v>
      </c>
      <c r="AE95" s="45">
        <f>[1]节奏总纲!AE95</f>
        <v>67.397780318097588</v>
      </c>
      <c r="AF95" s="45">
        <f>[1]节奏总纲!AF95</f>
        <v>70.292327570459079</v>
      </c>
      <c r="AG95" s="45">
        <f>[1]节奏总纲!AG95</f>
        <v>74.808639116482055</v>
      </c>
      <c r="AH95" s="45">
        <f>[1]节奏总纲!AH95</f>
        <v>83.434693634739986</v>
      </c>
      <c r="AZ95" s="45">
        <v>92</v>
      </c>
      <c r="BA95" s="45">
        <f>[1]节奏总纲!BA95</f>
        <v>37.462663519604888</v>
      </c>
      <c r="BB95" s="45">
        <f>[1]节奏总纲!BB95</f>
        <v>38.976971320055128</v>
      </c>
      <c r="BC95" s="45">
        <f>[1]节奏总纲!BC95</f>
        <v>40.907131795175928</v>
      </c>
      <c r="BD95" s="45">
        <f>[1]节奏总纲!BD95</f>
        <v>43.629324644063402</v>
      </c>
      <c r="BE95" s="45">
        <f>[1]节奏总纲!BE95</f>
        <v>48.317272749718121</v>
      </c>
      <c r="BI95" s="49">
        <v>92</v>
      </c>
      <c r="BJ95" s="45">
        <f>[1]节奏总纲!BJ95</f>
        <v>3.4999999999999978</v>
      </c>
      <c r="BK95" s="45">
        <f>[1]节奏总纲!BK95</f>
        <v>3.5699999999999976</v>
      </c>
      <c r="BL95" s="45">
        <f>[1]节奏总纲!BL95</f>
        <v>3.7099999999999977</v>
      </c>
      <c r="BM95" s="45">
        <f>[1]节奏总纲!BM95</f>
        <v>3.9899999999999971</v>
      </c>
      <c r="BN95" s="45">
        <f>[1]节奏总纲!BN95</f>
        <v>4.8999999999999968</v>
      </c>
    </row>
    <row r="96" spans="6:66" x14ac:dyDescent="0.15">
      <c r="F96" s="45">
        <f>[1]节奏总纲!F96</f>
        <v>94</v>
      </c>
      <c r="G96" s="45">
        <f>[1]节奏总纲!G96</f>
        <v>674.58805031572183</v>
      </c>
      <c r="N96" s="45">
        <f>[1]节奏总纲!N96</f>
        <v>103</v>
      </c>
      <c r="O96" s="45">
        <v>93</v>
      </c>
      <c r="P96" s="45">
        <f>[1]节奏总纲!P96</f>
        <v>629.34593963259704</v>
      </c>
      <c r="Q96" s="45">
        <f>[1]节奏总纲!Q96</f>
        <v>538.34251676172357</v>
      </c>
      <c r="R96" s="45">
        <f>[1]节奏总纲!R96</f>
        <v>433.68228700082267</v>
      </c>
      <c r="S96" s="45">
        <f>[1]节奏总纲!S96</f>
        <v>311.52624011813555</v>
      </c>
      <c r="T96" s="45">
        <f>[1]节奏总纲!T96</f>
        <v>168.35003885171972</v>
      </c>
      <c r="V96" s="45">
        <v>93</v>
      </c>
      <c r="W96" s="45">
        <f>[1]节奏总纲!W96</f>
        <v>42.212381874115636</v>
      </c>
      <c r="X96" s="45">
        <f>[1]节奏总纲!X96</f>
        <v>36.049758099342739</v>
      </c>
      <c r="Y96" s="45">
        <f>[1]节奏总纲!Y96</f>
        <v>28.56013214747054</v>
      </c>
      <c r="Z96" s="45">
        <f>[1]节奏总纲!Z96</f>
        <v>19.95571533527368</v>
      </c>
      <c r="AA96" s="45">
        <f>[1]节奏总纲!AA96</f>
        <v>10.704678593567451</v>
      </c>
      <c r="AC96" s="45">
        <v>93</v>
      </c>
      <c r="AD96" s="45">
        <f>[1]节奏总纲!AD96</f>
        <v>65.537288901845059</v>
      </c>
      <c r="AE96" s="45">
        <f>[1]节奏总纲!AE96</f>
        <v>67.554953663139216</v>
      </c>
      <c r="AF96" s="45">
        <f>[1]节奏总纲!AF96</f>
        <v>70.446712344929153</v>
      </c>
      <c r="AG96" s="45">
        <f>[1]节奏总纲!AG96</f>
        <v>74.966265940883147</v>
      </c>
      <c r="AH96" s="45">
        <f>[1]节奏总纲!AH96</f>
        <v>83.589593176629805</v>
      </c>
      <c r="AZ96" s="45">
        <v>93</v>
      </c>
      <c r="BA96" s="45">
        <f>[1]节奏总纲!BA96</f>
        <v>37.535266392462418</v>
      </c>
      <c r="BB96" s="45">
        <f>[1]节奏总纲!BB96</f>
        <v>39.047673544184711</v>
      </c>
      <c r="BC96" s="45">
        <f>[1]节奏总纲!BC96</f>
        <v>40.984830450008985</v>
      </c>
      <c r="BD96" s="45">
        <f>[1]节奏总纲!BD96</f>
        <v>43.704218060932696</v>
      </c>
      <c r="BE96" s="45">
        <f>[1]节奏总纲!BE96</f>
        <v>48.389058749356593</v>
      </c>
      <c r="BI96" s="49">
        <v>93</v>
      </c>
      <c r="BJ96" s="45">
        <f>[1]节奏总纲!BJ96</f>
        <v>3.4999999999999978</v>
      </c>
      <c r="BK96" s="45">
        <f>[1]节奏总纲!BK96</f>
        <v>3.5699999999999976</v>
      </c>
      <c r="BL96" s="45">
        <f>[1]节奏总纲!BL96</f>
        <v>3.7099999999999977</v>
      </c>
      <c r="BM96" s="45">
        <f>[1]节奏总纲!BM96</f>
        <v>3.9899999999999971</v>
      </c>
      <c r="BN96" s="45">
        <f>[1]节奏总纲!BN96</f>
        <v>4.8999999999999968</v>
      </c>
    </row>
    <row r="97" spans="6:66" x14ac:dyDescent="0.15">
      <c r="F97" s="45">
        <f>[1]节奏总纲!F97</f>
        <v>95</v>
      </c>
      <c r="G97" s="45">
        <f>[1]节奏总纲!G97</f>
        <v>723.0773439350246</v>
      </c>
      <c r="N97" s="45">
        <f>[1]节奏总纲!N97</f>
        <v>104</v>
      </c>
      <c r="O97" s="45">
        <v>94</v>
      </c>
      <c r="P97" s="45">
        <f>[1]节奏总纲!P97</f>
        <v>674.58805031572183</v>
      </c>
      <c r="Q97" s="45">
        <f>[1]节奏总纲!Q97</f>
        <v>576.30057138472114</v>
      </c>
      <c r="R97" s="45">
        <f>[1]节奏总纲!R97</f>
        <v>464.04911981218504</v>
      </c>
      <c r="S97" s="45">
        <f>[1]节奏总纲!S97</f>
        <v>332.70682641571403</v>
      </c>
      <c r="T97" s="45">
        <f>[1]节奏总纲!T97</f>
        <v>179.6427977990767</v>
      </c>
      <c r="V97" s="45">
        <v>94</v>
      </c>
      <c r="W97" s="45">
        <f>[1]节奏总纲!W97</f>
        <v>45.242110683124793</v>
      </c>
      <c r="X97" s="45">
        <f>[1]节奏总纲!X97</f>
        <v>37.958054622997565</v>
      </c>
      <c r="Y97" s="45">
        <f>[1]节奏总纲!Y97</f>
        <v>30.366832811362372</v>
      </c>
      <c r="Z97" s="45">
        <f>[1]节奏总纲!Z97</f>
        <v>21.180586297578486</v>
      </c>
      <c r="AA97" s="45">
        <f>[1]节奏总纲!AA97</f>
        <v>11.292758947356987</v>
      </c>
      <c r="AC97" s="45">
        <v>94</v>
      </c>
      <c r="AD97" s="45">
        <f>[1]节奏总纲!AD97</f>
        <v>65.691225232427584</v>
      </c>
      <c r="AE97" s="45">
        <f>[1]节奏总纲!AE97</f>
        <v>67.712127008180858</v>
      </c>
      <c r="AF97" s="45">
        <f>[1]节奏总纲!AF97</f>
        <v>70.601097119399213</v>
      </c>
      <c r="AG97" s="45">
        <f>[1]节奏总纲!AG97</f>
        <v>75.115180559621535</v>
      </c>
      <c r="AH97" s="45">
        <f>[1]节奏总纲!AH97</f>
        <v>83.744492718519624</v>
      </c>
      <c r="AZ97" s="45">
        <v>94</v>
      </c>
      <c r="BA97" s="45">
        <f>[1]节奏总纲!BA97</f>
        <v>37.607869265319941</v>
      </c>
      <c r="BB97" s="45">
        <f>[1]节奏总纲!BB97</f>
        <v>39.115214427575864</v>
      </c>
      <c r="BC97" s="45">
        <f>[1]节奏总纲!BC97</f>
        <v>41.053954370816207</v>
      </c>
      <c r="BD97" s="45">
        <f>[1]节奏总纲!BD97</f>
        <v>43.77911147780199</v>
      </c>
      <c r="BE97" s="45">
        <f>[1]节奏总纲!BE97</f>
        <v>48.460844748995065</v>
      </c>
      <c r="BI97" s="49">
        <v>94</v>
      </c>
      <c r="BJ97" s="45">
        <f>[1]节奏总纲!BJ97</f>
        <v>3.4999999999999978</v>
      </c>
      <c r="BK97" s="45">
        <f>[1]节奏总纲!BK97</f>
        <v>3.5699999999999976</v>
      </c>
      <c r="BL97" s="45">
        <f>[1]节奏总纲!BL97</f>
        <v>3.7099999999999977</v>
      </c>
      <c r="BM97" s="45">
        <f>[1]节奏总纲!BM97</f>
        <v>3.9899999999999971</v>
      </c>
      <c r="BN97" s="45">
        <f>[1]节奏总纲!BN97</f>
        <v>4.8999999999999968</v>
      </c>
    </row>
    <row r="98" spans="6:66" x14ac:dyDescent="0.15">
      <c r="F98" s="45">
        <f>[1]节奏总纲!F98</f>
        <v>96</v>
      </c>
      <c r="G98" s="45">
        <f>[1]节奏总纲!G98</f>
        <v>775.04688205332377</v>
      </c>
      <c r="N98" s="45">
        <f>[1]节奏总纲!N98</f>
        <v>105</v>
      </c>
      <c r="O98" s="45">
        <v>95</v>
      </c>
      <c r="P98" s="45">
        <f>[1]节奏总纲!P98</f>
        <v>723.0773439350246</v>
      </c>
      <c r="Q98" s="45">
        <f>[1]节奏总纲!Q98</f>
        <v>618.15882133005255</v>
      </c>
      <c r="R98" s="45">
        <f>[1]节奏总纲!R98</f>
        <v>495.95875020503337</v>
      </c>
      <c r="S98" s="45">
        <f>[1]节奏总纲!S98</f>
        <v>355.39251454406457</v>
      </c>
      <c r="T98" s="45">
        <f>[1]节奏总纲!T98</f>
        <v>192.84472762747106</v>
      </c>
      <c r="V98" s="45">
        <v>95</v>
      </c>
      <c r="W98" s="45">
        <f>[1]节奏总纲!W98</f>
        <v>48.489293619302771</v>
      </c>
      <c r="X98" s="45">
        <f>[1]节奏总纲!X98</f>
        <v>41.858249945331409</v>
      </c>
      <c r="Y98" s="45">
        <f>[1]节奏总纲!Y98</f>
        <v>31.909630392848328</v>
      </c>
      <c r="Z98" s="45">
        <f>[1]节奏总纲!Z98</f>
        <v>22.685688128350534</v>
      </c>
      <c r="AA98" s="45">
        <f>[1]节奏总纲!AA98</f>
        <v>13.201929828394356</v>
      </c>
      <c r="AC98" s="45">
        <v>95</v>
      </c>
      <c r="AD98" s="45">
        <f>[1]节奏总纲!AD98</f>
        <v>65.845161563010123</v>
      </c>
      <c r="AE98" s="45">
        <f>[1]节奏总纲!AE98</f>
        <v>67.869300353222485</v>
      </c>
      <c r="AF98" s="45">
        <f>[1]节奏总纲!AF98</f>
        <v>70.755481893869288</v>
      </c>
      <c r="AG98" s="45">
        <f>[1]节奏总纲!AG98</f>
        <v>75.261722981240993</v>
      </c>
      <c r="AH98" s="45">
        <f>[1]节奏总纲!AH98</f>
        <v>83.899392260409456</v>
      </c>
      <c r="AZ98" s="45">
        <v>95</v>
      </c>
      <c r="BA98" s="45">
        <f>[1]节奏总纲!BA98</f>
        <v>37.680472138177471</v>
      </c>
      <c r="BB98" s="45">
        <f>[1]节奏总纲!BB98</f>
        <v>39.182755310967018</v>
      </c>
      <c r="BC98" s="45">
        <f>[1]节奏总纲!BC98</f>
        <v>41.120998062635785</v>
      </c>
      <c r="BD98" s="45">
        <f>[1]节奏总纲!BD98</f>
        <v>43.854004894671284</v>
      </c>
      <c r="BE98" s="45">
        <f>[1]节奏总纲!BE98</f>
        <v>48.532630748633537</v>
      </c>
      <c r="BI98" s="49">
        <v>95</v>
      </c>
      <c r="BJ98" s="45">
        <f>[1]节奏总纲!BJ98</f>
        <v>3.4999999999999978</v>
      </c>
      <c r="BK98" s="45">
        <f>[1]节奏总纲!BK98</f>
        <v>3.5699999999999976</v>
      </c>
      <c r="BL98" s="45">
        <f>[1]节奏总纲!BL98</f>
        <v>3.7099999999999977</v>
      </c>
      <c r="BM98" s="45">
        <f>[1]节奏总纲!BM98</f>
        <v>3.9899999999999971</v>
      </c>
      <c r="BN98" s="45">
        <f>[1]节奏总纲!BN98</f>
        <v>4.8999999999999968</v>
      </c>
    </row>
    <row r="99" spans="6:66" x14ac:dyDescent="0.15">
      <c r="F99" s="45">
        <f>[1]节奏总纲!F99</f>
        <v>97</v>
      </c>
      <c r="G99" s="45">
        <f>[1]节奏总纲!G99</f>
        <v>830.74645386878444</v>
      </c>
      <c r="N99" s="45">
        <f>[1]节奏总纲!N99</f>
        <v>106</v>
      </c>
      <c r="O99" s="45">
        <v>96</v>
      </c>
      <c r="P99" s="45">
        <f>[1]节奏总纲!P99</f>
        <v>775.04688205332377</v>
      </c>
      <c r="Q99" s="45">
        <f>[1]节奏总纲!Q99</f>
        <v>661.0374857032798</v>
      </c>
      <c r="R99" s="45">
        <f>[1]节奏总纲!R99</f>
        <v>529.97705794806279</v>
      </c>
      <c r="S99" s="45">
        <f>[1]节奏总纲!S99</f>
        <v>380.70302846459265</v>
      </c>
      <c r="T99" s="45">
        <f>[1]节奏总纲!T99</f>
        <v>206.86001282003213</v>
      </c>
      <c r="V99" s="45">
        <v>96</v>
      </c>
      <c r="W99" s="45">
        <f>[1]节奏总纲!W99</f>
        <v>51.96953811829917</v>
      </c>
      <c r="X99" s="45">
        <f>[1]节奏总纲!X99</f>
        <v>42.878664373227252</v>
      </c>
      <c r="Y99" s="45">
        <f>[1]节奏总纲!Y99</f>
        <v>34.018307743029425</v>
      </c>
      <c r="Z99" s="45">
        <f>[1]节奏总纲!Z99</f>
        <v>25.310513920528081</v>
      </c>
      <c r="AA99" s="45">
        <f>[1]节奏总纲!AA99</f>
        <v>14.015285192561066</v>
      </c>
      <c r="AC99" s="45">
        <v>96</v>
      </c>
      <c r="AD99" s="45">
        <f>[1]节奏总纲!AD99</f>
        <v>65.999097893592648</v>
      </c>
      <c r="AE99" s="45">
        <f>[1]节奏总纲!AE99</f>
        <v>68.025215371037646</v>
      </c>
      <c r="AF99" s="45">
        <f>[1]节奏总纲!AF99</f>
        <v>70.909866668339362</v>
      </c>
      <c r="AG99" s="45">
        <f>[1]节奏总纲!AG99</f>
        <v>75.408265402860437</v>
      </c>
      <c r="AH99" s="45">
        <f>[1]节奏总纲!AH99</f>
        <v>84.050903767166133</v>
      </c>
      <c r="AZ99" s="45">
        <v>96</v>
      </c>
      <c r="BA99" s="45">
        <f>[1]节奏总纲!BA99</f>
        <v>37.753075011035001</v>
      </c>
      <c r="BB99" s="45">
        <f>[1]节奏总纲!BB99</f>
        <v>39.250296194358178</v>
      </c>
      <c r="BC99" s="45">
        <f>[1]节奏总纲!BC99</f>
        <v>41.188041754455355</v>
      </c>
      <c r="BD99" s="45">
        <f>[1]节奏总纲!BD99</f>
        <v>43.928898311540578</v>
      </c>
      <c r="BE99" s="45">
        <f>[1]节奏总纲!BE99</f>
        <v>48.604416748272008</v>
      </c>
      <c r="BI99" s="49">
        <v>96</v>
      </c>
      <c r="BJ99" s="45">
        <f>[1]节奏总纲!BJ99</f>
        <v>3.4999999999999978</v>
      </c>
      <c r="BK99" s="45">
        <f>[1]节奏总纲!BK99</f>
        <v>3.5699999999999976</v>
      </c>
      <c r="BL99" s="45">
        <f>[1]节奏总纲!BL99</f>
        <v>3.7099999999999977</v>
      </c>
      <c r="BM99" s="45">
        <f>[1]节奏总纲!BM99</f>
        <v>3.9899999999999971</v>
      </c>
      <c r="BN99" s="45">
        <f>[1]节奏总纲!BN99</f>
        <v>4.8999999999999968</v>
      </c>
    </row>
    <row r="100" spans="6:66" x14ac:dyDescent="0.15">
      <c r="F100" s="45">
        <f>[1]节奏总纲!F100</f>
        <v>98</v>
      </c>
      <c r="G100" s="45">
        <f>[1]节奏总纲!G100</f>
        <v>890.4437768152311</v>
      </c>
      <c r="N100" s="45">
        <f>[1]节奏总纲!N100</f>
        <v>107</v>
      </c>
      <c r="O100" s="45">
        <v>97</v>
      </c>
      <c r="P100" s="45">
        <f>[1]节奏总纲!P100</f>
        <v>830.74645386878444</v>
      </c>
      <c r="Q100" s="45">
        <f>[1]节奏总纲!Q100</f>
        <v>707.71290405081743</v>
      </c>
      <c r="R100" s="45">
        <f>[1]节奏总纲!R100</f>
        <v>569.31054483627804</v>
      </c>
      <c r="S100" s="45">
        <f>[1]节奏总纲!S100</f>
        <v>409.80722569347137</v>
      </c>
      <c r="T100" s="45">
        <f>[1]节奏总纲!T100</f>
        <v>223.30464679992923</v>
      </c>
      <c r="V100" s="45">
        <v>97</v>
      </c>
      <c r="W100" s="45">
        <f>[1]节奏总纲!W100</f>
        <v>55.699571815460672</v>
      </c>
      <c r="X100" s="45">
        <f>[1]节奏总纲!X100</f>
        <v>46.675418347537629</v>
      </c>
      <c r="Y100" s="45">
        <f>[1]节奏总纲!Y100</f>
        <v>39.333486888215248</v>
      </c>
      <c r="Z100" s="45">
        <f>[1]节奏总纲!Z100</f>
        <v>29.104197228878718</v>
      </c>
      <c r="AA100" s="45">
        <f>[1]节奏总纲!AA100</f>
        <v>16.444633979897105</v>
      </c>
      <c r="AC100" s="45">
        <v>97</v>
      </c>
      <c r="AD100" s="45">
        <f>[1]节奏总纲!AD100</f>
        <v>66.142785979989682</v>
      </c>
      <c r="AE100" s="45">
        <f>[1]节奏总纲!AE100</f>
        <v>68.174918074940805</v>
      </c>
      <c r="AF100" s="45">
        <f>[1]节奏总纲!AF100</f>
        <v>71.061795050376986</v>
      </c>
      <c r="AG100" s="45">
        <f>[1]节奏总纲!AG100</f>
        <v>75.554807824479894</v>
      </c>
      <c r="AH100" s="45">
        <f>[1]节奏总纲!AH100</f>
        <v>84.196136930932482</v>
      </c>
      <c r="AZ100" s="45">
        <v>97</v>
      </c>
      <c r="BA100" s="45">
        <f>[1]节奏总纲!BA100</f>
        <v>37.825677883892531</v>
      </c>
      <c r="BB100" s="45">
        <f>[1]节奏总纲!BB100</f>
        <v>39.317837077749331</v>
      </c>
      <c r="BC100" s="45">
        <f>[1]节奏总纲!BC100</f>
        <v>41.255085446274933</v>
      </c>
      <c r="BD100" s="45">
        <f>[1]节奏总纲!BD100</f>
        <v>44.003272544984547</v>
      </c>
      <c r="BE100" s="45">
        <f>[1]节奏总纲!BE100</f>
        <v>48.67620274791048</v>
      </c>
      <c r="BI100" s="49">
        <v>97</v>
      </c>
      <c r="BJ100" s="45">
        <f>[1]节奏总纲!BJ100</f>
        <v>3.4999999999999978</v>
      </c>
      <c r="BK100" s="45">
        <f>[1]节奏总纲!BK100</f>
        <v>3.5699999999999976</v>
      </c>
      <c r="BL100" s="45">
        <f>[1]节奏总纲!BL100</f>
        <v>3.7099999999999977</v>
      </c>
      <c r="BM100" s="45">
        <f>[1]节奏总纲!BM100</f>
        <v>3.9899999999999971</v>
      </c>
      <c r="BN100" s="45">
        <f>[1]节奏总纲!BN100</f>
        <v>4.8999999999999968</v>
      </c>
    </row>
    <row r="101" spans="6:66" x14ac:dyDescent="0.15">
      <c r="F101" s="45">
        <f>[1]节奏总纲!F101</f>
        <v>99</v>
      </c>
      <c r="G101" s="45">
        <f>[1]节奏总纲!G101</f>
        <v>954.42578333369079</v>
      </c>
      <c r="N101" s="45">
        <f>[1]节奏总纲!N101</f>
        <v>108</v>
      </c>
      <c r="O101" s="45">
        <v>98</v>
      </c>
      <c r="P101" s="45">
        <f>[1]节奏总纲!P101</f>
        <v>890.4437768152311</v>
      </c>
      <c r="Q101" s="45">
        <f>[1]节奏总纲!Q101</f>
        <v>760.34994102252585</v>
      </c>
      <c r="R101" s="45">
        <f>[1]节奏总纲!R101</f>
        <v>612.98149595960513</v>
      </c>
      <c r="S101" s="45">
        <f>[1]节奏总纲!S101</f>
        <v>441.9272464333992</v>
      </c>
      <c r="T101" s="45">
        <f>[1]节奏总纲!T101</f>
        <v>240.77599725083846</v>
      </c>
      <c r="V101" s="45">
        <v>98</v>
      </c>
      <c r="W101" s="45">
        <f>[1]节奏总纲!W101</f>
        <v>59.697322946446661</v>
      </c>
      <c r="X101" s="45">
        <f>[1]节奏总纲!X101</f>
        <v>52.637036971708426</v>
      </c>
      <c r="Y101" s="45">
        <f>[1]节奏总纲!Y101</f>
        <v>43.670951123327086</v>
      </c>
      <c r="Z101" s="45">
        <f>[1]节奏总纲!Z101</f>
        <v>32.120020739927838</v>
      </c>
      <c r="AA101" s="45">
        <f>[1]节奏总纲!AA101</f>
        <v>17.471350450909227</v>
      </c>
      <c r="AC101" s="45">
        <v>98</v>
      </c>
      <c r="AD101" s="45">
        <f>[1]节奏总纲!AD101</f>
        <v>66.286413655019302</v>
      </c>
      <c r="AE101" s="45">
        <f>[1]节奏总纲!AE101</f>
        <v>68.324620778843951</v>
      </c>
      <c r="AF101" s="45">
        <f>[1]节奏总纲!AF101</f>
        <v>71.210277551293188</v>
      </c>
      <c r="AG101" s="45">
        <f>[1]节奏总纲!AG101</f>
        <v>75.701350246099338</v>
      </c>
      <c r="AH101" s="45">
        <f>[1]节奏总纲!AH101</f>
        <v>84.341370094698831</v>
      </c>
      <c r="AZ101" s="45">
        <v>98</v>
      </c>
      <c r="BA101" s="45">
        <f>[1]节奏总纲!BA101</f>
        <v>37.898280756750061</v>
      </c>
      <c r="BB101" s="45">
        <f>[1]节奏总纲!BB101</f>
        <v>39.385377961140485</v>
      </c>
      <c r="BC101" s="45">
        <f>[1]节奏总纲!BC101</f>
        <v>41.322129138094503</v>
      </c>
      <c r="BD101" s="45">
        <f>[1]节奏总纲!BD101</f>
        <v>44.067911160744309</v>
      </c>
      <c r="BE101" s="45">
        <f>[1]节奏总纲!BE101</f>
        <v>48.747988747548945</v>
      </c>
      <c r="BI101" s="49">
        <v>98</v>
      </c>
      <c r="BJ101" s="45">
        <f>[1]节奏总纲!BJ101</f>
        <v>3.4999999999999978</v>
      </c>
      <c r="BK101" s="45">
        <f>[1]节奏总纲!BK101</f>
        <v>3.5699999999999976</v>
      </c>
      <c r="BL101" s="45">
        <f>[1]节奏总纲!BL101</f>
        <v>3.7099999999999977</v>
      </c>
      <c r="BM101" s="45">
        <f>[1]节奏总纲!BM101</f>
        <v>3.9899999999999971</v>
      </c>
      <c r="BN101" s="45">
        <f>[1]节奏总纲!BN101</f>
        <v>4.8999999999999968</v>
      </c>
    </row>
    <row r="102" spans="6:66" x14ac:dyDescent="0.15">
      <c r="F102" s="45">
        <f>[1]节奏总纲!F102</f>
        <v>100</v>
      </c>
      <c r="G102" s="45">
        <f>[1]节奏总纲!G102</f>
        <v>1023</v>
      </c>
      <c r="N102" s="45">
        <f>[1]节奏总纲!N102</f>
        <v>109</v>
      </c>
      <c r="O102" s="45">
        <v>99</v>
      </c>
      <c r="P102" s="45">
        <f>[1]节奏总纲!P102</f>
        <v>954.42578333369079</v>
      </c>
      <c r="Q102" s="45">
        <f>[1]节奏总纲!Q102</f>
        <v>816.51125764197252</v>
      </c>
      <c r="R102" s="45">
        <f>[1]节奏总纲!R102</f>
        <v>658.6492330785801</v>
      </c>
      <c r="S102" s="45">
        <f>[1]节奏总纲!S102</f>
        <v>475.39948267851139</v>
      </c>
      <c r="T102" s="45">
        <f>[1]节奏总纲!T102</f>
        <v>257.59951892176309</v>
      </c>
      <c r="V102" s="45">
        <v>99</v>
      </c>
      <c r="W102" s="45">
        <f>[1]节奏总纲!W102</f>
        <v>63.982006518459684</v>
      </c>
      <c r="X102" s="45">
        <f>[1]节奏总纲!X102</f>
        <v>56.161316619446666</v>
      </c>
      <c r="Y102" s="45">
        <f>[1]节奏总纲!Y102</f>
        <v>45.667737118974969</v>
      </c>
      <c r="Z102" s="45">
        <f>[1]节奏总纲!Z102</f>
        <v>33.472236245112185</v>
      </c>
      <c r="AA102" s="45">
        <f>[1]节奏总纲!AA102</f>
        <v>16.823521670924634</v>
      </c>
      <c r="AC102" s="45">
        <v>99</v>
      </c>
      <c r="AD102" s="45">
        <f>[1]节奏总纲!AD102</f>
        <v>66.430041330048923</v>
      </c>
      <c r="AE102" s="45">
        <f>[1]节奏总纲!AE102</f>
        <v>68.474323482747096</v>
      </c>
      <c r="AF102" s="45">
        <f>[1]节奏总纲!AF102</f>
        <v>71.358760052209377</v>
      </c>
      <c r="AG102" s="45">
        <f>[1]节奏总纲!AG102</f>
        <v>75.847892667718796</v>
      </c>
      <c r="AH102" s="45">
        <f>[1]节奏总纲!AH102</f>
        <v>84.48660325846518</v>
      </c>
      <c r="AZ102" s="45">
        <v>99</v>
      </c>
      <c r="BA102" s="45">
        <f>[1]节奏总纲!BA102</f>
        <v>37.970883629607592</v>
      </c>
      <c r="BB102" s="45">
        <f>[1]节奏总纲!BB102</f>
        <v>39.452918844531645</v>
      </c>
      <c r="BC102" s="45">
        <f>[1]节奏总纲!BC102</f>
        <v>41.389172829914081</v>
      </c>
      <c r="BD102" s="45">
        <f>[1]节奏总纲!BD102</f>
        <v>44.132549776504064</v>
      </c>
      <c r="BE102" s="45">
        <f>[1]节奏总纲!BE102</f>
        <v>48.819774747187417</v>
      </c>
      <c r="BI102" s="49">
        <v>99</v>
      </c>
      <c r="BJ102" s="45">
        <f>[1]节奏总纲!BJ102</f>
        <v>3.4999999999999978</v>
      </c>
      <c r="BK102" s="45">
        <f>[1]节奏总纲!BK102</f>
        <v>3.5699999999999976</v>
      </c>
      <c r="BL102" s="45">
        <f>[1]节奏总纲!BL102</f>
        <v>3.7099999999999977</v>
      </c>
      <c r="BM102" s="45">
        <f>[1]节奏总纲!BM102</f>
        <v>3.9899999999999971</v>
      </c>
      <c r="BN102" s="45">
        <f>[1]节奏总纲!BN102</f>
        <v>4.8999999999999968</v>
      </c>
    </row>
    <row r="103" spans="6:66" x14ac:dyDescent="0.15">
      <c r="F103" s="45">
        <f>[1]节奏总纲!F103</f>
        <v>101</v>
      </c>
      <c r="G103" s="45">
        <f>[1]节奏总纲!G103</f>
        <v>1096.4960256371633</v>
      </c>
      <c r="N103" s="45">
        <f>[1]节奏总纲!N103</f>
        <v>110</v>
      </c>
      <c r="O103" s="45">
        <v>100</v>
      </c>
      <c r="P103" s="45">
        <f>[1]节奏总纲!P103</f>
        <v>1023</v>
      </c>
      <c r="Q103" s="45">
        <f>[1]节奏总纲!Q103</f>
        <v>875.38110000000006</v>
      </c>
      <c r="R103" s="45">
        <f>[1]节奏总纲!R103</f>
        <v>706.6884</v>
      </c>
      <c r="S103" s="45">
        <f>[1]节奏总纲!S103</f>
        <v>508.22640000000001</v>
      </c>
      <c r="T103" s="45">
        <f>[1]节奏总纲!T103</f>
        <v>274.77780000000001</v>
      </c>
      <c r="V103" s="45">
        <v>100</v>
      </c>
      <c r="W103" s="45">
        <f>[1]节奏总纲!W103</f>
        <v>68.574216666309212</v>
      </c>
      <c r="X103" s="45">
        <f>[1]节奏总纲!X103</f>
        <v>58.86984235802754</v>
      </c>
      <c r="Y103" s="45">
        <f>[1]节奏总纲!Y103</f>
        <v>48.039166921419906</v>
      </c>
      <c r="Z103" s="45">
        <f>[1]节奏总纲!Z103</f>
        <v>32.826917321488622</v>
      </c>
      <c r="AA103" s="45">
        <f>[1]节奏总纲!AA103</f>
        <v>17.178281078236921</v>
      </c>
      <c r="AC103" s="45">
        <v>100</v>
      </c>
      <c r="AD103" s="45">
        <f>[1]节奏总纲!AD103</f>
        <v>66.573669005078543</v>
      </c>
      <c r="AE103" s="45">
        <f>[1]节奏总纲!AE103</f>
        <v>68.624026186650241</v>
      </c>
      <c r="AF103" s="45">
        <f>[1]节奏总纲!AF103</f>
        <v>71.507242553125565</v>
      </c>
      <c r="AG103" s="45">
        <f>[1]节奏总纲!AG103</f>
        <v>75.994435089338239</v>
      </c>
      <c r="AH103" s="45">
        <f>[1]节奏总纲!AH103</f>
        <v>84.63183642223153</v>
      </c>
      <c r="AZ103" s="45">
        <v>100</v>
      </c>
      <c r="BA103" s="45">
        <f>[1]节奏总纲!BA103</f>
        <v>38.037513426486328</v>
      </c>
      <c r="BB103" s="45">
        <f>[1]节奏总纲!BB103</f>
        <v>39.520459727922798</v>
      </c>
      <c r="BC103" s="45">
        <f>[1]节奏总纲!BC103</f>
        <v>41.456216521733651</v>
      </c>
      <c r="BD103" s="45">
        <f>[1]节奏总纲!BD103</f>
        <v>44.197188392263818</v>
      </c>
      <c r="BE103" s="45">
        <f>[1]节奏总纲!BE103</f>
        <v>48.891560746825888</v>
      </c>
      <c r="BI103" s="49">
        <v>100</v>
      </c>
      <c r="BJ103" s="45">
        <f>[1]节奏总纲!BJ103</f>
        <v>3.4999999999999978</v>
      </c>
      <c r="BK103" s="45">
        <f>[1]节奏总纲!BK103</f>
        <v>3.5699999999999976</v>
      </c>
      <c r="BL103" s="45">
        <f>[1]节奏总纲!BL103</f>
        <v>3.7099999999999977</v>
      </c>
      <c r="BM103" s="45">
        <f>[1]节奏总纲!BM103</f>
        <v>3.9899999999999971</v>
      </c>
      <c r="BN103" s="45">
        <f>[1]节奏总纲!BN103</f>
        <v>4.8999999999999968</v>
      </c>
    </row>
    <row r="104" spans="6:66" x14ac:dyDescent="0.15">
      <c r="F104" s="45">
        <f>[1]节奏总纲!F104</f>
        <v>102</v>
      </c>
      <c r="G104" s="45">
        <f>[1]节奏总纲!G104</f>
        <v>1175.2671155169628</v>
      </c>
      <c r="N104" s="45">
        <f>[1]节奏总纲!N104</f>
        <v>111</v>
      </c>
      <c r="O104" s="45">
        <v>101</v>
      </c>
      <c r="P104" s="45">
        <f>[1]节奏总纲!P104</f>
        <v>1096.4960256371633</v>
      </c>
      <c r="Q104" s="45">
        <f>[1]节奏总纲!Q104</f>
        <v>939.14884595823037</v>
      </c>
      <c r="R104" s="45">
        <f>[1]节奏总纲!R104</f>
        <v>756.25330888195151</v>
      </c>
      <c r="S104" s="45">
        <f>[1]节奏总纲!S104</f>
        <v>541.99798547244984</v>
      </c>
      <c r="T104" s="45">
        <f>[1]节奏总纲!T104</f>
        <v>293.42233646050488</v>
      </c>
      <c r="V104" s="45">
        <v>101</v>
      </c>
      <c r="W104" s="45">
        <f>[1]节奏总纲!W104</f>
        <v>73.496025637163257</v>
      </c>
      <c r="X104" s="45">
        <f>[1]节奏总纲!X104</f>
        <v>63.767745958230307</v>
      </c>
      <c r="Y104" s="45">
        <f>[1]节奏总纲!Y104</f>
        <v>49.56490888195151</v>
      </c>
      <c r="Z104" s="45">
        <f>[1]节奏总纲!Z104</f>
        <v>33.771585472449829</v>
      </c>
      <c r="AA104" s="45">
        <f>[1]节奏总纲!AA104</f>
        <v>18.644536460504867</v>
      </c>
      <c r="AC104" s="45">
        <v>101</v>
      </c>
      <c r="AD104" s="45">
        <f>[1]节奏总纲!AD104</f>
        <v>66.717296680108163</v>
      </c>
      <c r="AE104" s="45">
        <f>[1]节奏总纲!AE104</f>
        <v>68.773728890553386</v>
      </c>
      <c r="AF104" s="45">
        <f>[1]节奏总纲!AF104</f>
        <v>71.655725054041767</v>
      </c>
      <c r="AG104" s="45">
        <f>[1]节奏总纲!AG104</f>
        <v>76.130305911210229</v>
      </c>
      <c r="AH104" s="45">
        <f>[1]节奏总纲!AH104</f>
        <v>84.777069585997879</v>
      </c>
      <c r="AZ104" s="45">
        <v>101</v>
      </c>
      <c r="BA104" s="45">
        <f>[1]节奏总纲!BA104</f>
        <v>38.100143952724252</v>
      </c>
      <c r="BB104" s="45">
        <f>[1]节奏总纲!BB104</f>
        <v>39.588000611313952</v>
      </c>
      <c r="BC104" s="45">
        <f>[1]节奏总纲!BC104</f>
        <v>41.523260213553229</v>
      </c>
      <c r="BD104" s="45">
        <f>[1]节奏总纲!BD104</f>
        <v>44.261827008023573</v>
      </c>
      <c r="BE104" s="45">
        <f>[1]节奏总纲!BE104</f>
        <v>48.96334674646436</v>
      </c>
      <c r="BN104" s="52"/>
    </row>
    <row r="105" spans="6:66" x14ac:dyDescent="0.15">
      <c r="F105" s="45">
        <f>[1]节奏总纲!F105</f>
        <v>103</v>
      </c>
      <c r="G105" s="45">
        <f>[1]节奏总纲!G105</f>
        <v>1259.6918792651943</v>
      </c>
      <c r="N105" s="45">
        <f>[1]节奏总纲!N105</f>
        <v>112</v>
      </c>
      <c r="O105" s="45">
        <v>102</v>
      </c>
      <c r="P105" s="45">
        <f>[1]节奏总纲!P105</f>
        <v>1175.2671155169628</v>
      </c>
      <c r="Q105" s="45">
        <f>[1]节奏总纲!Q105</f>
        <v>1004.2657502092447</v>
      </c>
      <c r="R105" s="45">
        <f>[1]节奏总纲!R105</f>
        <v>806.23324124463659</v>
      </c>
      <c r="S105" s="45">
        <f>[1]节奏总纲!S105</f>
        <v>577.99636741124232</v>
      </c>
      <c r="T105" s="45">
        <f>[1]节奏总纲!T105</f>
        <v>313.56126641992563</v>
      </c>
      <c r="V105" s="45">
        <v>102</v>
      </c>
      <c r="W105" s="45">
        <f>[1]节奏总纲!W105</f>
        <v>78.771089879799547</v>
      </c>
      <c r="X105" s="45">
        <f>[1]节奏总纲!X105</f>
        <v>65.116904251014375</v>
      </c>
      <c r="Y105" s="45">
        <f>[1]节奏总纲!Y105</f>
        <v>49.979932362685076</v>
      </c>
      <c r="Z105" s="45">
        <f>[1]节奏总纲!Z105</f>
        <v>35.998381938792477</v>
      </c>
      <c r="AA105" s="45">
        <f>[1]节奏总纲!AA105</f>
        <v>20.13892995942075</v>
      </c>
      <c r="AC105" s="45">
        <v>102</v>
      </c>
      <c r="AD105" s="45">
        <f>[1]节奏总纲!AD105</f>
        <v>66.860924355137783</v>
      </c>
      <c r="AE105" s="45">
        <f>[1]节奏总纲!AE105</f>
        <v>68.923431594456531</v>
      </c>
      <c r="AF105" s="45">
        <f>[1]节奏总纲!AF105</f>
        <v>71.804207554957955</v>
      </c>
      <c r="AG105" s="45">
        <f>[1]节奏总纲!AG105</f>
        <v>76.265755485049056</v>
      </c>
      <c r="AH105" s="45">
        <f>[1]节奏总纲!AH105</f>
        <v>84.922302749764228</v>
      </c>
      <c r="AZ105" s="45">
        <v>102</v>
      </c>
      <c r="BA105" s="45">
        <f>[1]节奏总纲!BA105</f>
        <v>38.16277447896217</v>
      </c>
      <c r="BB105" s="45">
        <f>[1]节奏总纲!BB105</f>
        <v>39.655541494705105</v>
      </c>
      <c r="BC105" s="45">
        <f>[1]节奏总纲!BC105</f>
        <v>41.590303905372799</v>
      </c>
      <c r="BD105" s="45">
        <f>[1]节奏总纲!BD105</f>
        <v>44.326465623783335</v>
      </c>
      <c r="BE105" s="45">
        <f>[1]节奏总纲!BE105</f>
        <v>49.030333272797542</v>
      </c>
      <c r="BN105" s="52"/>
    </row>
    <row r="106" spans="6:66" x14ac:dyDescent="0.15">
      <c r="F106" s="45">
        <f>[1]节奏总纲!F106</f>
        <v>104</v>
      </c>
      <c r="G106" s="45">
        <f>[1]节奏总纲!G106</f>
        <v>1350.1761006314437</v>
      </c>
      <c r="N106" s="45">
        <f>[1]节奏总纲!N106</f>
        <v>113</v>
      </c>
      <c r="O106" s="45">
        <v>103</v>
      </c>
      <c r="P106" s="45">
        <f>[1]节奏总纲!P106</f>
        <v>1259.6918792651943</v>
      </c>
      <c r="Q106" s="45">
        <f>[1]节奏总纲!Q106</f>
        <v>1073.383450321872</v>
      </c>
      <c r="R106" s="45">
        <f>[1]节奏总纲!R106</f>
        <v>861.50327622946634</v>
      </c>
      <c r="S106" s="45">
        <f>[1]节奏总纲!S106</f>
        <v>619.01258947091651</v>
      </c>
      <c r="T106" s="45">
        <f>[1]节奏总纲!T106</f>
        <v>335.8338550121008</v>
      </c>
      <c r="V106" s="45">
        <v>103</v>
      </c>
      <c r="W106" s="45">
        <f>[1]节奏总纲!W106</f>
        <v>84.424763748231499</v>
      </c>
      <c r="X106" s="45">
        <f>[1]节奏总纲!X106</f>
        <v>69.11770011262729</v>
      </c>
      <c r="Y106" s="45">
        <f>[1]节奏总纲!Y106</f>
        <v>55.270034984829749</v>
      </c>
      <c r="Z106" s="45">
        <f>[1]节奏总纲!Z106</f>
        <v>41.016222059674192</v>
      </c>
      <c r="AA106" s="45">
        <f>[1]节奏总纲!AA106</f>
        <v>22.272588592175168</v>
      </c>
      <c r="AC106" s="45">
        <v>103</v>
      </c>
      <c r="AD106" s="45">
        <f>[1]节奏总纲!AD106</f>
        <v>67.004247194324648</v>
      </c>
      <c r="AE106" s="45">
        <f>[1]节奏总纲!AE106</f>
        <v>69.0655056802525</v>
      </c>
      <c r="AF106" s="45">
        <f>[1]节奏总纲!AF106</f>
        <v>71.952690055874157</v>
      </c>
      <c r="AG106" s="45">
        <f>[1]节奏总纲!AG106</f>
        <v>76.401205058887882</v>
      </c>
      <c r="AH106" s="45">
        <f>[1]节奏总纲!AH106</f>
        <v>85.072521641060263</v>
      </c>
      <c r="AZ106" s="45">
        <v>103</v>
      </c>
      <c r="BA106" s="45">
        <f>[1]节奏总纲!BA106</f>
        <v>38.225405005200088</v>
      </c>
      <c r="BB106" s="45">
        <f>[1]节奏总纲!BB106</f>
        <v>39.723082378096265</v>
      </c>
      <c r="BC106" s="45">
        <f>[1]节奏总纲!BC106</f>
        <v>41.657347597192377</v>
      </c>
      <c r="BD106" s="45">
        <f>[1]节奏总纲!BD106</f>
        <v>44.39110423954309</v>
      </c>
      <c r="BE106" s="45">
        <f>[1]节奏总纲!BE106</f>
        <v>49.09231260978715</v>
      </c>
      <c r="BN106" s="52"/>
    </row>
    <row r="107" spans="6:66" x14ac:dyDescent="0.15">
      <c r="F107" s="45">
        <f>[1]节奏总纲!F107</f>
        <v>105</v>
      </c>
      <c r="G107" s="45">
        <f>[1]节奏总纲!G107</f>
        <v>1447.1546878700494</v>
      </c>
      <c r="N107" s="45">
        <f>[1]节奏总纲!N107</f>
        <v>114</v>
      </c>
      <c r="O107" s="45">
        <v>104</v>
      </c>
      <c r="P107" s="45">
        <f>[1]节奏总纲!P107</f>
        <v>1350.1761006314437</v>
      </c>
      <c r="Q107" s="45">
        <f>[1]节奏总纲!Q107</f>
        <v>1150.7550905681794</v>
      </c>
      <c r="R107" s="45">
        <f>[1]节奏总纲!R107</f>
        <v>925.41069937279144</v>
      </c>
      <c r="S107" s="45">
        <f>[1]节奏总纲!S107</f>
        <v>665.09674717104917</v>
      </c>
      <c r="T107" s="45">
        <f>[1]节奏总纲!T107</f>
        <v>360.49701886859549</v>
      </c>
      <c r="V107" s="45">
        <v>104</v>
      </c>
      <c r="W107" s="45">
        <f>[1]节奏总纲!W107</f>
        <v>90.484221366249358</v>
      </c>
      <c r="X107" s="45">
        <f>[1]节奏总纲!X107</f>
        <v>77.371640246307379</v>
      </c>
      <c r="Y107" s="45">
        <f>[1]节奏总纲!Y107</f>
        <v>63.907423143325104</v>
      </c>
      <c r="Z107" s="45">
        <f>[1]节奏总纲!Z107</f>
        <v>46.084157700132664</v>
      </c>
      <c r="AA107" s="45">
        <f>[1]节奏总纲!AA107</f>
        <v>24.663163856494691</v>
      </c>
      <c r="AC107" s="45">
        <v>104</v>
      </c>
      <c r="AD107" s="45">
        <f>[1]节奏总纲!AD107</f>
        <v>67.138256553625013</v>
      </c>
      <c r="AE107" s="45">
        <f>[1]节奏总纲!AE107</f>
        <v>69.199592937186125</v>
      </c>
      <c r="AF107" s="45">
        <f>[1]节奏总纲!AF107</f>
        <v>72.093818006439079</v>
      </c>
      <c r="AG107" s="45">
        <f>[1]节奏总纲!AG107</f>
        <v>76.536654632726695</v>
      </c>
      <c r="AH107" s="45">
        <f>[1]节奏总纲!AH107</f>
        <v>85.228476403824274</v>
      </c>
      <c r="AZ107" s="45">
        <v>104</v>
      </c>
      <c r="BA107" s="45">
        <f>[1]节奏总纲!BA107</f>
        <v>38.288035531438013</v>
      </c>
      <c r="BB107" s="45">
        <f>[1]节奏总纲!BB107</f>
        <v>39.790623261487418</v>
      </c>
      <c r="BC107" s="45">
        <f>[1]节奏总纲!BC107</f>
        <v>41.724391289011947</v>
      </c>
      <c r="BD107" s="45">
        <f>[1]节奏总纲!BD107</f>
        <v>44.455742855302844</v>
      </c>
      <c r="BE107" s="45">
        <f>[1]节奏总纲!BE107</f>
        <v>49.154291946776759</v>
      </c>
      <c r="BN107" s="52"/>
    </row>
    <row r="108" spans="6:66" x14ac:dyDescent="0.15">
      <c r="F108" s="45">
        <f>[1]节奏总纲!F108</f>
        <v>106</v>
      </c>
      <c r="G108" s="45">
        <f>[1]节奏总纲!G108</f>
        <v>1551.0937641066464</v>
      </c>
      <c r="N108" s="45">
        <f>[1]节奏总纲!N108</f>
        <v>115</v>
      </c>
      <c r="O108" s="45">
        <v>105</v>
      </c>
      <c r="P108" s="45">
        <f>[1]节奏总纲!P108</f>
        <v>1447.1546878700494</v>
      </c>
      <c r="Q108" s="45">
        <f>[1]节奏总纲!Q108</f>
        <v>1234.8570951595132</v>
      </c>
      <c r="R108" s="45">
        <f>[1]节奏总纲!R108</f>
        <v>993.18226228521496</v>
      </c>
      <c r="S108" s="45">
        <f>[1]节奏总纲!S108</f>
        <v>713.59197658872131</v>
      </c>
      <c r="T108" s="45">
        <f>[1]节奏总纲!T108</f>
        <v>386.39030166130323</v>
      </c>
      <c r="V108" s="45">
        <v>105</v>
      </c>
      <c r="W108" s="45">
        <f>[1]节奏总纲!W108</f>
        <v>96.978587238605769</v>
      </c>
      <c r="X108" s="45">
        <f>[1]节奏总纲!X108</f>
        <v>84.102004591333753</v>
      </c>
      <c r="Y108" s="45">
        <f>[1]节奏总纲!Y108</f>
        <v>67.771562912423519</v>
      </c>
      <c r="Z108" s="45">
        <f>[1]节奏总纲!Z108</f>
        <v>48.495229417672135</v>
      </c>
      <c r="AA108" s="45">
        <f>[1]节奏总纲!AA108</f>
        <v>25.893282792707737</v>
      </c>
      <c r="AC108" s="45">
        <v>105</v>
      </c>
      <c r="AD108" s="45">
        <f>[1]节奏总纲!AD108</f>
        <v>67.272265912925377</v>
      </c>
      <c r="AE108" s="45">
        <f>[1]节奏总纲!AE108</f>
        <v>69.333680194119751</v>
      </c>
      <c r="AF108" s="45">
        <f>[1]节奏总纲!AF108</f>
        <v>72.23150684883845</v>
      </c>
      <c r="AG108" s="45">
        <f>[1]节奏总纲!AG108</f>
        <v>76.672104206565521</v>
      </c>
      <c r="AH108" s="45">
        <f>[1]节奏总纲!AH108</f>
        <v>85.384431166588271</v>
      </c>
      <c r="AZ108" s="45">
        <v>105</v>
      </c>
      <c r="BA108" s="45">
        <f>[1]节奏总纲!BA108</f>
        <v>38.35066605767593</v>
      </c>
      <c r="BB108" s="45">
        <f>[1]节奏总纲!BB108</f>
        <v>39.858164144878572</v>
      </c>
      <c r="BC108" s="45">
        <f>[1]节奏总纲!BC108</f>
        <v>41.791434980831518</v>
      </c>
      <c r="BD108" s="45">
        <f>[1]节奏总纲!BD108</f>
        <v>44.520381471062606</v>
      </c>
      <c r="BE108" s="45">
        <f>[1]节奏总纲!BE108</f>
        <v>49.216271283766375</v>
      </c>
      <c r="BN108" s="52"/>
    </row>
    <row r="109" spans="6:66" x14ac:dyDescent="0.15">
      <c r="F109" s="45">
        <f>[1]节奏总纲!F109</f>
        <v>107</v>
      </c>
      <c r="G109" s="45">
        <f>[1]节奏总纲!G109</f>
        <v>1662.4929077375689</v>
      </c>
      <c r="N109" s="45">
        <f>[1]节奏总纲!N109</f>
        <v>116</v>
      </c>
      <c r="O109" s="45">
        <v>106</v>
      </c>
      <c r="P109" s="45">
        <f>[1]节奏总纲!P109</f>
        <v>1551.0937641066464</v>
      </c>
      <c r="Q109" s="45">
        <f>[1]节奏总纲!Q109</f>
        <v>1324.4789651706653</v>
      </c>
      <c r="R109" s="45">
        <f>[1]节奏总纲!R109</f>
        <v>1064.6707596828021</v>
      </c>
      <c r="S109" s="45">
        <f>[1]节奏总纲!S109</f>
        <v>764.3790069517554</v>
      </c>
      <c r="T109" s="45">
        <f>[1]节奏总纲!T109</f>
        <v>412.59094125236794</v>
      </c>
      <c r="V109" s="45">
        <v>106</v>
      </c>
      <c r="W109" s="45">
        <f>[1]节奏总纲!W109</f>
        <v>103.93907623659697</v>
      </c>
      <c r="X109" s="45">
        <f>[1]节奏总纲!X109</f>
        <v>89.621870011152168</v>
      </c>
      <c r="Y109" s="45">
        <f>[1]节奏总纲!Y109</f>
        <v>71.488497397587139</v>
      </c>
      <c r="Z109" s="45">
        <f>[1]节奏总纲!Z109</f>
        <v>50.787030363034091</v>
      </c>
      <c r="AA109" s="45">
        <f>[1]节奏总纲!AA109</f>
        <v>26.200639591064714</v>
      </c>
      <c r="AC109" s="45">
        <v>106</v>
      </c>
      <c r="AD109" s="45">
        <f>[1]节奏总纲!AD109</f>
        <v>67.406275272225741</v>
      </c>
      <c r="AE109" s="45">
        <f>[1]节奏总纲!AE109</f>
        <v>69.467767451053362</v>
      </c>
      <c r="AF109" s="45">
        <f>[1]节奏总纲!AF109</f>
        <v>72.369195691237806</v>
      </c>
      <c r="AG109" s="45">
        <f>[1]节奏总纲!AG109</f>
        <v>76.807553780404334</v>
      </c>
      <c r="AH109" s="45">
        <f>[1]节奏总纲!AH109</f>
        <v>85.540385929352269</v>
      </c>
      <c r="AZ109" s="45">
        <v>106</v>
      </c>
      <c r="BA109" s="45">
        <f>[1]节奏总纲!BA109</f>
        <v>38.413296583913848</v>
      </c>
      <c r="BB109" s="45">
        <f>[1]节奏总纲!BB109</f>
        <v>39.925705028269732</v>
      </c>
      <c r="BC109" s="45">
        <f>[1]节奏总纲!BC109</f>
        <v>41.858478672651096</v>
      </c>
      <c r="BD109" s="45">
        <f>[1]节奏总纲!BD109</f>
        <v>44.585020086822361</v>
      </c>
      <c r="BE109" s="45">
        <f>[1]节奏总纲!BE109</f>
        <v>49.278250620755983</v>
      </c>
      <c r="BN109" s="52"/>
    </row>
    <row r="110" spans="6:66" x14ac:dyDescent="0.15">
      <c r="F110" s="45">
        <f>[1]节奏总纲!F110</f>
        <v>108</v>
      </c>
      <c r="G110" s="45">
        <f>[1]节奏总纲!G110</f>
        <v>1781.8875536304624</v>
      </c>
      <c r="N110" s="45">
        <f>[1]节奏总纲!N110</f>
        <v>117</v>
      </c>
      <c r="O110" s="45">
        <v>107</v>
      </c>
      <c r="P110" s="45">
        <f>[1]节奏总纲!P110</f>
        <v>1662.4929077375689</v>
      </c>
      <c r="Q110" s="45">
        <f>[1]节奏总纲!Q110</f>
        <v>1418.9376967540152</v>
      </c>
      <c r="R110" s="45">
        <f>[1]节奏总纲!R110</f>
        <v>1141.6338797433884</v>
      </c>
      <c r="S110" s="45">
        <f>[1]节奏总纲!S110</f>
        <v>816.11776840837263</v>
      </c>
      <c r="T110" s="45">
        <f>[1]节奏总纲!T110</f>
        <v>440.22812196890823</v>
      </c>
      <c r="V110" s="45">
        <v>107</v>
      </c>
      <c r="W110" s="45">
        <f>[1]节奏总纲!W110</f>
        <v>111.39914363092248</v>
      </c>
      <c r="X110" s="45">
        <f>[1]节奏总纲!X110</f>
        <v>94.458731583349845</v>
      </c>
      <c r="Y110" s="45">
        <f>[1]节奏总纲!Y110</f>
        <v>76.963120060586334</v>
      </c>
      <c r="Z110" s="45">
        <f>[1]节奏总纲!Z110</f>
        <v>51.738761456617226</v>
      </c>
      <c r="AA110" s="45">
        <f>[1]节奏总纲!AA110</f>
        <v>27.637180716540286</v>
      </c>
      <c r="AC110" s="45">
        <v>107</v>
      </c>
      <c r="AD110" s="45">
        <f>[1]节奏总纲!AD110</f>
        <v>67.540284631526106</v>
      </c>
      <c r="AE110" s="45">
        <f>[1]节奏总纲!AE110</f>
        <v>69.601854707986988</v>
      </c>
      <c r="AF110" s="45">
        <f>[1]节奏总纲!AF110</f>
        <v>72.506884533637162</v>
      </c>
      <c r="AG110" s="45">
        <f>[1]节奏总纲!AG110</f>
        <v>76.94300335424316</v>
      </c>
      <c r="AH110" s="45">
        <f>[1]节奏总纲!AH110</f>
        <v>85.696340692116266</v>
      </c>
      <c r="AZ110" s="45">
        <v>107</v>
      </c>
      <c r="BA110" s="45">
        <f>[1]节奏总纲!BA110</f>
        <v>38.475927110151773</v>
      </c>
      <c r="BB110" s="45">
        <f>[1]节奏总纲!BB110</f>
        <v>39.993245911660885</v>
      </c>
      <c r="BC110" s="45">
        <f>[1]节奏总纲!BC110</f>
        <v>41.925522364470666</v>
      </c>
      <c r="BD110" s="45">
        <f>[1]节奏总纲!BD110</f>
        <v>44.649658702582116</v>
      </c>
      <c r="BE110" s="45">
        <f>[1]节奏总纲!BE110</f>
        <v>49.340229957745592</v>
      </c>
      <c r="BN110" s="52"/>
    </row>
    <row r="111" spans="6:66" x14ac:dyDescent="0.15">
      <c r="F111" s="45">
        <f>[1]节奏总纲!F111</f>
        <v>109</v>
      </c>
      <c r="G111" s="45">
        <f>[1]节奏总纲!G111</f>
        <v>1909.8515666673818</v>
      </c>
      <c r="N111" s="45">
        <f>[1]节奏总纲!N111</f>
        <v>118</v>
      </c>
      <c r="O111" s="45">
        <v>108</v>
      </c>
      <c r="P111" s="45">
        <f>[1]节奏总纲!P111</f>
        <v>1781.8875536304624</v>
      </c>
      <c r="Q111" s="45">
        <f>[1]节奏总纲!Q111</f>
        <v>1520.8410270235997</v>
      </c>
      <c r="R111" s="45">
        <f>[1]节奏总纲!R111</f>
        <v>1218.0983316617842</v>
      </c>
      <c r="S111" s="45">
        <f>[1]节奏总纲!S111</f>
        <v>871.69939123602228</v>
      </c>
      <c r="T111" s="45">
        <f>[1]节奏总纲!T111</f>
        <v>471.13106917989433</v>
      </c>
      <c r="V111" s="45">
        <v>108</v>
      </c>
      <c r="W111" s="45">
        <f>[1]节奏总纲!W111</f>
        <v>119.39464589289355</v>
      </c>
      <c r="X111" s="45">
        <f>[1]节奏总纲!X111</f>
        <v>101.90333026958456</v>
      </c>
      <c r="Y111" s="45">
        <f>[1]节奏总纲!Y111</f>
        <v>76.464451918395753</v>
      </c>
      <c r="Z111" s="45">
        <f>[1]节奏总纲!Z111</f>
        <v>55.581622827649653</v>
      </c>
      <c r="AA111" s="45">
        <f>[1]节奏总纲!AA111</f>
        <v>30.902947210986099</v>
      </c>
      <c r="AC111" s="45">
        <v>108</v>
      </c>
      <c r="AD111" s="45">
        <f>[1]节奏总纲!AD111</f>
        <v>67.674293990826456</v>
      </c>
      <c r="AE111" s="45">
        <f>[1]节奏总纲!AE111</f>
        <v>69.735941964920613</v>
      </c>
      <c r="AF111" s="45">
        <f>[1]节奏总纲!AF111</f>
        <v>72.644573376036519</v>
      </c>
      <c r="AG111" s="45">
        <f>[1]节奏总纲!AG111</f>
        <v>77.074762810762508</v>
      </c>
      <c r="AH111" s="45">
        <f>[1]节奏总纲!AH111</f>
        <v>85.852295454880277</v>
      </c>
      <c r="AZ111" s="45">
        <v>108</v>
      </c>
      <c r="BA111" s="45">
        <f>[1]节奏总纲!BA111</f>
        <v>38.53855763638969</v>
      </c>
      <c r="BB111" s="45">
        <f>[1]节奏总纲!BB111</f>
        <v>40.052446592012309</v>
      </c>
      <c r="BC111" s="45">
        <f>[1]节奏总纲!BC111</f>
        <v>41.992566056290244</v>
      </c>
      <c r="BD111" s="45">
        <f>[1]节奏总纲!BD111</f>
        <v>44.71429731834187</v>
      </c>
      <c r="BE111" s="45">
        <f>[1]节奏总纲!BE111</f>
        <v>49.402209294735208</v>
      </c>
      <c r="BN111" s="52"/>
    </row>
    <row r="112" spans="6:66" x14ac:dyDescent="0.15">
      <c r="F112" s="45">
        <f>[1]节奏总纲!F112</f>
        <v>110</v>
      </c>
      <c r="G112" s="45">
        <f>[1]节奏总纲!G112</f>
        <v>2047</v>
      </c>
      <c r="N112" s="45">
        <f>[1]节奏总纲!N112</f>
        <v>119</v>
      </c>
      <c r="O112" s="45">
        <v>109</v>
      </c>
      <c r="P112" s="45">
        <f>[1]节奏总纲!P112</f>
        <v>1909.8515666673818</v>
      </c>
      <c r="Q112" s="45">
        <f>[1]节奏总纲!Q112</f>
        <v>1624.7107277639418</v>
      </c>
      <c r="R112" s="45">
        <f>[1]节奏总纲!R112</f>
        <v>1301.5638426838207</v>
      </c>
      <c r="S112" s="45">
        <f>[1]节奏总纲!S112</f>
        <v>931.81657937701561</v>
      </c>
      <c r="T112" s="45">
        <f>[1]节奏总纲!T112</f>
        <v>504.58278391352223</v>
      </c>
      <c r="V112" s="45">
        <v>109</v>
      </c>
      <c r="W112" s="45">
        <f>[1]节奏总纲!W112</f>
        <v>127.96401303691937</v>
      </c>
      <c r="X112" s="45">
        <f>[1]节奏总纲!X112</f>
        <v>103.86970074034207</v>
      </c>
      <c r="Y112" s="45">
        <f>[1]节奏总纲!Y112</f>
        <v>83.46551102203648</v>
      </c>
      <c r="Z112" s="45">
        <f>[1]节奏总纲!Z112</f>
        <v>60.117188140993335</v>
      </c>
      <c r="AA112" s="45">
        <f>[1]节奏总纲!AA112</f>
        <v>33.451714733627909</v>
      </c>
      <c r="AC112" s="45">
        <v>109</v>
      </c>
      <c r="AD112" s="45">
        <f>[1]节奏总纲!AD112</f>
        <v>67.80830335012682</v>
      </c>
      <c r="AE112" s="45">
        <f>[1]节奏总纲!AE112</f>
        <v>69.870029221854239</v>
      </c>
      <c r="AF112" s="45">
        <f>[1]节奏总纲!AF112</f>
        <v>72.782262218435889</v>
      </c>
      <c r="AG112" s="45">
        <f>[1]节奏总纲!AG112</f>
        <v>77.203841369133116</v>
      </c>
      <c r="AH112" s="45">
        <f>[1]节奏总纲!AH112</f>
        <v>86.007776715139968</v>
      </c>
      <c r="AZ112" s="45">
        <v>109</v>
      </c>
      <c r="BA112" s="45">
        <f>[1]节奏总纲!BA112</f>
        <v>38.601188162627608</v>
      </c>
      <c r="BB112" s="45">
        <f>[1]节奏总纲!BB112</f>
        <v>40.110720583137102</v>
      </c>
      <c r="BC112" s="45">
        <f>[1]节奏总纲!BC112</f>
        <v>42.051439554347354</v>
      </c>
      <c r="BD112" s="45">
        <f>[1]节奏总纲!BD112</f>
        <v>44.778935934101632</v>
      </c>
      <c r="BE112" s="45">
        <f>[1]节奏总纲!BE112</f>
        <v>49.464188631724817</v>
      </c>
      <c r="BN112" s="52"/>
    </row>
    <row r="113" spans="6:66" x14ac:dyDescent="0.15">
      <c r="F113" s="45">
        <f>[1]节奏总纲!F113</f>
        <v>111</v>
      </c>
      <c r="G113" s="45">
        <f>[1]节奏总纲!G113</f>
        <v>2193.9920512743265</v>
      </c>
      <c r="N113" s="45">
        <f>[1]节奏总纲!N113</f>
        <v>120</v>
      </c>
      <c r="O113" s="45">
        <v>110</v>
      </c>
      <c r="P113" s="45">
        <f>[1]节奏总纲!P113</f>
        <v>2047</v>
      </c>
      <c r="Q113" s="45">
        <f>[1]节奏总纲!Q113</f>
        <v>1741.3829000000001</v>
      </c>
      <c r="R113" s="45">
        <f>[1]节奏总纲!R113</f>
        <v>1397.2821999999999</v>
      </c>
      <c r="S113" s="45">
        <f>[1]节奏总纲!S113</f>
        <v>1001.3924000000001</v>
      </c>
      <c r="T113" s="45">
        <f>[1]节奏总纲!T113</f>
        <v>542.04559999999992</v>
      </c>
      <c r="V113" s="45">
        <v>110</v>
      </c>
      <c r="W113" s="45">
        <f>[1]节奏总纲!W113</f>
        <v>137.1484333326182</v>
      </c>
      <c r="X113" s="45">
        <f>[1]节奏总纲!X113</f>
        <v>116.67217223605826</v>
      </c>
      <c r="Y113" s="45">
        <f>[1]节奏总纲!Y113</f>
        <v>95.718357316179208</v>
      </c>
      <c r="Z113" s="45">
        <f>[1]节奏总纲!Z113</f>
        <v>69.575820622984452</v>
      </c>
      <c r="AA113" s="45">
        <f>[1]节奏总纲!AA113</f>
        <v>37.462816086477687</v>
      </c>
      <c r="AC113" s="45">
        <v>110</v>
      </c>
      <c r="AD113" s="45">
        <f>[1]节奏总纲!AD113</f>
        <v>67.942312709427185</v>
      </c>
      <c r="AE113" s="45">
        <f>[1]节奏总纲!AE113</f>
        <v>70.003807055133578</v>
      </c>
      <c r="AF113" s="45">
        <f>[1]节奏总纲!AF113</f>
        <v>72.919951060835245</v>
      </c>
      <c r="AG113" s="45">
        <f>[1]节奏总纲!AG113</f>
        <v>77.332919927503724</v>
      </c>
      <c r="AH113" s="45">
        <f>[1]节奏总纲!AH113</f>
        <v>86.154780808490045</v>
      </c>
      <c r="AZ113" s="45">
        <v>110</v>
      </c>
      <c r="BA113" s="45">
        <f>[1]节奏总纲!BA113</f>
        <v>38.663818688865533</v>
      </c>
      <c r="BB113" s="45">
        <f>[1]节奏总纲!BB113</f>
        <v>40.168994574261895</v>
      </c>
      <c r="BC113" s="45">
        <f>[1]节奏总纲!BC113</f>
        <v>42.109294145892463</v>
      </c>
      <c r="BD113" s="45">
        <f>[1]节奏总纲!BD113</f>
        <v>44.843574549861387</v>
      </c>
      <c r="BE113" s="45">
        <f>[1]节奏总纲!BE113</f>
        <v>49.526167968714425</v>
      </c>
      <c r="BN113" s="52"/>
    </row>
    <row r="114" spans="6:66" x14ac:dyDescent="0.15">
      <c r="F114" s="45">
        <f>[1]节奏总纲!F114</f>
        <v>112</v>
      </c>
      <c r="G114" s="45">
        <f>[1]节奏总纲!G114</f>
        <v>2351.5342310339256</v>
      </c>
      <c r="N114" s="45">
        <f>[1]节奏总纲!N114</f>
        <v>121</v>
      </c>
      <c r="O114" s="45">
        <v>111</v>
      </c>
      <c r="P114" s="45">
        <f>[1]节奏总纲!P114</f>
        <v>2193.9920512743265</v>
      </c>
      <c r="Q114" s="45">
        <f>[1]节奏总纲!Q114</f>
        <v>1869.0618284805987</v>
      </c>
      <c r="R114" s="45">
        <f>[1]节奏总纲!R114</f>
        <v>1500.4711638665117</v>
      </c>
      <c r="S114" s="45">
        <f>[1]节奏总纲!S114</f>
        <v>1076.5918995603122</v>
      </c>
      <c r="T114" s="45">
        <f>[1]节奏总纲!T114</f>
        <v>583.16308722871599</v>
      </c>
      <c r="V114" s="45">
        <v>111</v>
      </c>
      <c r="W114" s="45">
        <f>[1]节奏总纲!W114</f>
        <v>146.99205127432651</v>
      </c>
      <c r="X114" s="45">
        <f>[1]节奏总纲!X114</f>
        <v>127.67892848059864</v>
      </c>
      <c r="Y114" s="45">
        <f>[1]节奏总纲!Y114</f>
        <v>103.18896386651181</v>
      </c>
      <c r="Z114" s="45">
        <f>[1]节奏总纲!Z114</f>
        <v>75.19949956031212</v>
      </c>
      <c r="AA114" s="45">
        <f>[1]节奏总纲!AA114</f>
        <v>41.117487228716072</v>
      </c>
      <c r="AC114" s="45">
        <v>111</v>
      </c>
      <c r="AD114" s="45">
        <f>[1]节奏总纲!AD114</f>
        <v>68.071211008105138</v>
      </c>
      <c r="AE114" s="45">
        <f>[1]节奏总纲!AE114</f>
        <v>70.127815365673797</v>
      </c>
      <c r="AF114" s="45">
        <f>[1]节奏总纲!AF114</f>
        <v>73.051543220271398</v>
      </c>
      <c r="AG114" s="45">
        <f>[1]节奏总纲!AG114</f>
        <v>77.461998485874332</v>
      </c>
      <c r="AH114" s="45">
        <f>[1]节奏总纲!AH114</f>
        <v>86.301784901840136</v>
      </c>
      <c r="AZ114" s="45">
        <v>111</v>
      </c>
      <c r="BA114" s="45">
        <f>[1]节奏总纲!BA114</f>
        <v>38.72644921510345</v>
      </c>
      <c r="BB114" s="45">
        <f>[1]节奏总纲!BB114</f>
        <v>40.227268565386687</v>
      </c>
      <c r="BC114" s="45">
        <f>[1]节奏总纲!BC114</f>
        <v>42.167148737437572</v>
      </c>
      <c r="BD114" s="45">
        <f>[1]节奏总纲!BD114</f>
        <v>44.908213165621142</v>
      </c>
      <c r="BE114" s="45">
        <f>[1]节奏总纲!BE114</f>
        <v>49.588147305704041</v>
      </c>
      <c r="BN114" s="52"/>
    </row>
    <row r="115" spans="6:66" x14ac:dyDescent="0.15">
      <c r="F115" s="45">
        <f>[1]节奏总纲!F115</f>
        <v>113</v>
      </c>
      <c r="G115" s="45">
        <f>[1]节奏总纲!G115</f>
        <v>2520.3837585303886</v>
      </c>
      <c r="N115" s="45">
        <f>[1]节奏总纲!N115</f>
        <v>122</v>
      </c>
      <c r="O115" s="45">
        <v>112</v>
      </c>
      <c r="P115" s="45">
        <f>[1]节奏总纲!P115</f>
        <v>2351.5342310339256</v>
      </c>
      <c r="Q115" s="45">
        <f>[1]节奏总纲!Q115</f>
        <v>2004.6829319564217</v>
      </c>
      <c r="R115" s="45">
        <f>[1]节奏总纲!R115</f>
        <v>1609.3900277196187</v>
      </c>
      <c r="S115" s="45">
        <f>[1]节奏总纲!S115</f>
        <v>1155.3087677069677</v>
      </c>
      <c r="T115" s="45">
        <f>[1]节奏总纲!T115</f>
        <v>623.15657122399034</v>
      </c>
      <c r="V115" s="45">
        <v>112</v>
      </c>
      <c r="W115" s="45">
        <f>[1]节奏总纲!W115</f>
        <v>157.54217975959909</v>
      </c>
      <c r="X115" s="45">
        <f>[1]节奏总纲!X115</f>
        <v>135.62110347582302</v>
      </c>
      <c r="Y115" s="45">
        <f>[1]节奏总纲!Y115</f>
        <v>108.91886385310704</v>
      </c>
      <c r="Z115" s="45">
        <f>[1]节奏总纲!Z115</f>
        <v>78.716868146655543</v>
      </c>
      <c r="AA115" s="45">
        <f>[1]节奏总纲!AA115</f>
        <v>39.993483995274346</v>
      </c>
      <c r="AC115" s="45">
        <v>112</v>
      </c>
      <c r="AD115" s="45">
        <f>[1]节奏总纲!AD115</f>
        <v>68.196246161507091</v>
      </c>
      <c r="AE115" s="45">
        <f>[1]节奏总纲!AE115</f>
        <v>70.251823676214016</v>
      </c>
      <c r="AF115" s="45">
        <f>[1]节奏总纲!AF115</f>
        <v>73.174668450093861</v>
      </c>
      <c r="AG115" s="45">
        <f>[1]节奏总纲!AG115</f>
        <v>77.591077044244926</v>
      </c>
      <c r="AH115" s="45">
        <f>[1]节奏总纲!AH115</f>
        <v>86.448788995190213</v>
      </c>
      <c r="AZ115" s="45">
        <v>112</v>
      </c>
      <c r="BA115" s="45">
        <f>[1]节奏总纲!BA115</f>
        <v>38.789079741341368</v>
      </c>
      <c r="BB115" s="45">
        <f>[1]节奏总纲!BB115</f>
        <v>40.28554255651148</v>
      </c>
      <c r="BC115" s="45">
        <f>[1]节奏总纲!BC115</f>
        <v>42.225003328982673</v>
      </c>
      <c r="BD115" s="45">
        <f>[1]节奏总纲!BD115</f>
        <v>44.972851781380903</v>
      </c>
      <c r="BE115" s="45">
        <f>[1]节奏总纲!BE115</f>
        <v>49.65012664269365</v>
      </c>
      <c r="BN115" s="52"/>
    </row>
    <row r="116" spans="6:66" x14ac:dyDescent="0.15">
      <c r="F116" s="45">
        <f>[1]节奏总纲!F116</f>
        <v>114</v>
      </c>
      <c r="G116" s="45">
        <f>[1]节奏总纲!G116</f>
        <v>2701.3522012628878</v>
      </c>
      <c r="N116" s="45">
        <f>[1]节奏总纲!N116</f>
        <v>123</v>
      </c>
      <c r="O116" s="45">
        <v>113</v>
      </c>
      <c r="P116" s="45">
        <f>[1]节奏总纲!P116</f>
        <v>2520.3837585303886</v>
      </c>
      <c r="Q116" s="45">
        <f>[1]节奏总纲!Q116</f>
        <v>2149.6353076505684</v>
      </c>
      <c r="R116" s="45">
        <f>[1]节奏总纲!R116</f>
        <v>1726.7149129691693</v>
      </c>
      <c r="S116" s="45">
        <f>[1]节奏总纲!S116</f>
        <v>1235.7441568074496</v>
      </c>
      <c r="T116" s="45">
        <f>[1]节奏总纲!T116</f>
        <v>665.63335062787564</v>
      </c>
      <c r="V116" s="45">
        <v>113</v>
      </c>
      <c r="W116" s="45">
        <f>[1]节奏总纲!W116</f>
        <v>168.849527496463</v>
      </c>
      <c r="X116" s="45">
        <f>[1]节奏总纲!X116</f>
        <v>144.95237569414667</v>
      </c>
      <c r="Y116" s="45">
        <f>[1]节奏总纲!Y116</f>
        <v>117.32488524955056</v>
      </c>
      <c r="Z116" s="45">
        <f>[1]节奏总纲!Z116</f>
        <v>80.435389100481871</v>
      </c>
      <c r="AA116" s="45">
        <f>[1]节奏总纲!AA116</f>
        <v>42.476779403885303</v>
      </c>
      <c r="AC116" s="45">
        <v>113</v>
      </c>
      <c r="AD116" s="45">
        <f>[1]节奏总纲!AD116</f>
        <v>68.321281314909029</v>
      </c>
      <c r="AE116" s="45">
        <f>[1]节奏总纲!AE116</f>
        <v>70.375831986754235</v>
      </c>
      <c r="AF116" s="45">
        <f>[1]节奏总纲!AF116</f>
        <v>73.297793679916325</v>
      </c>
      <c r="AG116" s="45">
        <f>[1]节奏总纲!AG116</f>
        <v>77.720155602615534</v>
      </c>
      <c r="AH116" s="45">
        <f>[1]节奏总纲!AH116</f>
        <v>86.595793088540304</v>
      </c>
      <c r="AZ116" s="45">
        <v>113</v>
      </c>
      <c r="BA116" s="45">
        <f>[1]节奏总纲!BA116</f>
        <v>38.851710267579293</v>
      </c>
      <c r="BB116" s="45">
        <f>[1]节奏总纲!BB116</f>
        <v>40.343816547636273</v>
      </c>
      <c r="BC116" s="45">
        <f>[1]节奏总纲!BC116</f>
        <v>42.282857920527782</v>
      </c>
      <c r="BD116" s="45">
        <f>[1]节奏总纲!BD116</f>
        <v>45.032359480672049</v>
      </c>
      <c r="BE116" s="45">
        <f>[1]节奏总纲!BE116</f>
        <v>49.712105979683258</v>
      </c>
      <c r="BN116" s="52"/>
    </row>
    <row r="117" spans="6:66" x14ac:dyDescent="0.15">
      <c r="F117" s="45">
        <f>[1]节奏总纲!F117</f>
        <v>115</v>
      </c>
      <c r="G117" s="45">
        <f>[1]节奏总纲!G117</f>
        <v>2895.3093757400989</v>
      </c>
      <c r="N117" s="45">
        <f>[1]节奏总纲!N117</f>
        <v>124</v>
      </c>
      <c r="O117" s="45">
        <v>114</v>
      </c>
      <c r="P117" s="45">
        <f>[1]节奏总纲!P117</f>
        <v>2701.3522012628878</v>
      </c>
      <c r="Q117" s="45">
        <f>[1]节奏总纲!Q117</f>
        <v>2304.5235628973696</v>
      </c>
      <c r="R117" s="45">
        <f>[1]节奏总纲!R117</f>
        <v>1846.3742295631837</v>
      </c>
      <c r="S117" s="45">
        <f>[1]节奏总纲!S117</f>
        <v>1319.3404150967945</v>
      </c>
      <c r="T117" s="45">
        <f>[1]节奏总纲!T117</f>
        <v>710.99589937239205</v>
      </c>
      <c r="V117" s="45">
        <v>114</v>
      </c>
      <c r="W117" s="45">
        <f>[1]节奏总纲!W117</f>
        <v>180.96844273249917</v>
      </c>
      <c r="X117" s="45">
        <f>[1]节奏总纲!X117</f>
        <v>154.88825524680124</v>
      </c>
      <c r="Y117" s="45">
        <f>[1]节奏总纲!Y117</f>
        <v>119.6593165940144</v>
      </c>
      <c r="Z117" s="45">
        <f>[1]节奏总纲!Z117</f>
        <v>83.59625828934486</v>
      </c>
      <c r="AA117" s="45">
        <f>[1]节奏总纲!AA117</f>
        <v>45.362548744516403</v>
      </c>
      <c r="AC117" s="45">
        <v>114</v>
      </c>
      <c r="AD117" s="45">
        <f>[1]节奏总纲!AD117</f>
        <v>68.446316468310982</v>
      </c>
      <c r="AE117" s="45">
        <f>[1]节奏总纲!AE117</f>
        <v>70.499840297294455</v>
      </c>
      <c r="AF117" s="45">
        <f>[1]节奏总纲!AF117</f>
        <v>73.420918909738774</v>
      </c>
      <c r="AG117" s="45">
        <f>[1]节奏总纲!AG117</f>
        <v>77.849234160986143</v>
      </c>
      <c r="AH117" s="45">
        <f>[1]节奏总纲!AH117</f>
        <v>86.742797181890381</v>
      </c>
      <c r="AZ117" s="45">
        <v>114</v>
      </c>
      <c r="BA117" s="45">
        <f>[1]节奏总纲!BA117</f>
        <v>38.91434079381721</v>
      </c>
      <c r="BB117" s="45">
        <f>[1]节奏总纲!BB117</f>
        <v>40.402090538761065</v>
      </c>
      <c r="BC117" s="45">
        <f>[1]节奏总纲!BC117</f>
        <v>42.340712512072891</v>
      </c>
      <c r="BD117" s="45">
        <f>[1]节奏总纲!BD117</f>
        <v>45.088151688727308</v>
      </c>
      <c r="BE117" s="45">
        <f>[1]节奏总纲!BE117</f>
        <v>49.774085316672867</v>
      </c>
      <c r="BN117" s="52"/>
    </row>
    <row r="118" spans="6:66" x14ac:dyDescent="0.15">
      <c r="F118" s="45">
        <f>[1]节奏总纲!F118</f>
        <v>116</v>
      </c>
      <c r="G118" s="45">
        <f>[1]节奏总纲!G118</f>
        <v>3103.1875282132928</v>
      </c>
      <c r="N118" s="45">
        <f>[1]节奏总纲!N118</f>
        <v>125</v>
      </c>
      <c r="O118" s="45">
        <v>115</v>
      </c>
      <c r="P118" s="45">
        <f>[1]节奏总纲!P118</f>
        <v>2895.3093757400989</v>
      </c>
      <c r="Q118" s="45">
        <f>[1]节奏总纲!Q118</f>
        <v>2463.0396859421021</v>
      </c>
      <c r="R118" s="45">
        <f>[1]节奏总纲!R118</f>
        <v>1969.9684992535633</v>
      </c>
      <c r="S118" s="45">
        <f>[1]节奏总纲!S118</f>
        <v>1407.1203566096881</v>
      </c>
      <c r="T118" s="45">
        <f>[1]节奏总纲!T118</f>
        <v>758.86058738147995</v>
      </c>
      <c r="V118" s="45">
        <v>115</v>
      </c>
      <c r="W118" s="45">
        <f>[1]节奏总纲!W118</f>
        <v>193.95717447721108</v>
      </c>
      <c r="X118" s="45">
        <f>[1]节奏总纲!X118</f>
        <v>158.51612304473247</v>
      </c>
      <c r="Y118" s="45">
        <f>[1]节奏总纲!Y118</f>
        <v>123.59426969037963</v>
      </c>
      <c r="Z118" s="45">
        <f>[1]节奏总纲!Z118</f>
        <v>87.779941512893629</v>
      </c>
      <c r="AA118" s="45">
        <f>[1]节奏总纲!AA118</f>
        <v>47.864688009087899</v>
      </c>
      <c r="AC118" s="45">
        <v>115</v>
      </c>
      <c r="AD118" s="45">
        <f>[1]节奏总纲!AD118</f>
        <v>68.571351621712935</v>
      </c>
      <c r="AE118" s="45">
        <f>[1]节奏总纲!AE118</f>
        <v>70.623848607834674</v>
      </c>
      <c r="AF118" s="45">
        <f>[1]节奏总纲!AF118</f>
        <v>73.544044139561237</v>
      </c>
      <c r="AG118" s="45">
        <f>[1]节奏总纲!AG118</f>
        <v>77.978312719356751</v>
      </c>
      <c r="AH118" s="45">
        <f>[1]节奏总纲!AH118</f>
        <v>86.889801275240458</v>
      </c>
      <c r="AZ118" s="45">
        <v>115</v>
      </c>
      <c r="BA118" s="45">
        <f>[1]节奏总纲!BA118</f>
        <v>38.976971320055128</v>
      </c>
      <c r="BB118" s="45">
        <f>[1]节奏总纲!BB118</f>
        <v>40.460364529885858</v>
      </c>
      <c r="BC118" s="45">
        <f>[1]节奏总纲!BC118</f>
        <v>42.398567103617999</v>
      </c>
      <c r="BD118" s="45">
        <f>[1]节奏总纲!BD118</f>
        <v>45.143943896782567</v>
      </c>
      <c r="BE118" s="45">
        <f>[1]节奏总纲!BE118</f>
        <v>49.836064653662483</v>
      </c>
      <c r="BN118" s="52"/>
    </row>
    <row r="119" spans="6:66" x14ac:dyDescent="0.15">
      <c r="F119" s="45">
        <f>[1]节奏总纲!F119</f>
        <v>117</v>
      </c>
      <c r="G119" s="45">
        <f>[1]节奏总纲!G119</f>
        <v>3325.985815475135</v>
      </c>
      <c r="N119" s="45">
        <f>[1]节奏总纲!N119</f>
        <v>126</v>
      </c>
      <c r="O119" s="45">
        <v>116</v>
      </c>
      <c r="P119" s="45">
        <f>[1]节奏总纲!P119</f>
        <v>3103.1875282132928</v>
      </c>
      <c r="Q119" s="45">
        <f>[1]节奏总纲!Q119</f>
        <v>2636.7784427228348</v>
      </c>
      <c r="R119" s="45">
        <f>[1]节奏总纲!R119</f>
        <v>2108.9262441737537</v>
      </c>
      <c r="S119" s="45">
        <f>[1]节奏总纲!S119</f>
        <v>1509.0800949701243</v>
      </c>
      <c r="T119" s="45">
        <f>[1]节奏总纲!T119</f>
        <v>813.34545114470404</v>
      </c>
      <c r="V119" s="45">
        <v>116</v>
      </c>
      <c r="W119" s="45">
        <f>[1]节奏总纲!W119</f>
        <v>207.87815247319395</v>
      </c>
      <c r="X119" s="45">
        <f>[1]节奏总纲!X119</f>
        <v>173.73875678073273</v>
      </c>
      <c r="Y119" s="45">
        <f>[1]节奏总纲!Y119</f>
        <v>138.95774492019041</v>
      </c>
      <c r="Z119" s="45">
        <f>[1]节奏总纲!Z119</f>
        <v>101.95973836043618</v>
      </c>
      <c r="AA119" s="45">
        <f>[1]节奏总纲!AA119</f>
        <v>54.484863763224098</v>
      </c>
      <c r="AC119" s="45">
        <v>116</v>
      </c>
      <c r="AD119" s="45">
        <f>[1]节奏总纲!AD119</f>
        <v>68.696386775114874</v>
      </c>
      <c r="AE119" s="45">
        <f>[1]节奏总纲!AE119</f>
        <v>70.747856918374893</v>
      </c>
      <c r="AF119" s="45">
        <f>[1]节奏总纲!AF119</f>
        <v>73.667169369383686</v>
      </c>
      <c r="AG119" s="45">
        <f>[1]节奏总纲!AG119</f>
        <v>78.10469841238104</v>
      </c>
      <c r="AH119" s="45">
        <f>[1]节奏总纲!AH119</f>
        <v>87.033659382136349</v>
      </c>
      <c r="AZ119" s="45">
        <v>116</v>
      </c>
      <c r="BA119" s="45">
        <f>[1]节奏总纲!BA119</f>
        <v>39.034165367506482</v>
      </c>
      <c r="BB119" s="45">
        <f>[1]节奏总纲!BB119</f>
        <v>40.518638521010644</v>
      </c>
      <c r="BC119" s="45">
        <f>[1]节奏总纲!BC119</f>
        <v>42.456421695163108</v>
      </c>
      <c r="BD119" s="45">
        <f>[1]节奏总纲!BD119</f>
        <v>45.199736104837825</v>
      </c>
      <c r="BE119" s="45">
        <f>[1]节奏总纲!BE119</f>
        <v>49.898043990652091</v>
      </c>
      <c r="BN119" s="52"/>
    </row>
    <row r="120" spans="6:66" x14ac:dyDescent="0.15">
      <c r="F120" s="45">
        <f>[1]节奏总纲!F120</f>
        <v>118</v>
      </c>
      <c r="G120" s="45">
        <f>[1]节奏总纲!G120</f>
        <v>3564.7751072609281</v>
      </c>
      <c r="N120" s="45">
        <f>[1]节奏总纲!N120</f>
        <v>127</v>
      </c>
      <c r="O120" s="45">
        <v>117</v>
      </c>
      <c r="P120" s="45">
        <f>[1]节奏总纲!P120</f>
        <v>3325.985815475135</v>
      </c>
      <c r="Q120" s="45">
        <f>[1]节奏总纲!Q120</f>
        <v>2826.7553445723174</v>
      </c>
      <c r="R120" s="45">
        <f>[1]节奏总纲!R120</f>
        <v>2262.6681502677343</v>
      </c>
      <c r="S120" s="45">
        <f>[1]节奏总纲!S120</f>
        <v>1618.0920992286531</v>
      </c>
      <c r="T120" s="45">
        <f>[1]节奏总纲!T120</f>
        <v>873.07127656222303</v>
      </c>
      <c r="V120" s="45">
        <v>117</v>
      </c>
      <c r="W120" s="45">
        <f>[1]节奏总纲!W120</f>
        <v>222.79828726184223</v>
      </c>
      <c r="X120" s="45">
        <f>[1]节奏总纲!X120</f>
        <v>189.9769018494826</v>
      </c>
      <c r="Y120" s="45">
        <f>[1]节奏总纲!Y120</f>
        <v>153.74190609398056</v>
      </c>
      <c r="Z120" s="45">
        <f>[1]节奏总纲!Z120</f>
        <v>109.0120042585288</v>
      </c>
      <c r="AA120" s="45">
        <f>[1]节奏总纲!AA120</f>
        <v>59.72582541751899</v>
      </c>
      <c r="AC120" s="45">
        <v>117</v>
      </c>
      <c r="AD120" s="45">
        <f>[1]节奏总纲!AD120</f>
        <v>68.821421928516827</v>
      </c>
      <c r="AE120" s="45">
        <f>[1]节奏总纲!AE120</f>
        <v>70.871865228915112</v>
      </c>
      <c r="AF120" s="45">
        <f>[1]节奏总纲!AF120</f>
        <v>73.790294599206149</v>
      </c>
      <c r="AG120" s="45">
        <f>[1]节奏总纲!AG120</f>
        <v>78.230540290975199</v>
      </c>
      <c r="AH120" s="45">
        <f>[1]节奏总纲!AH120</f>
        <v>87.168098110592624</v>
      </c>
      <c r="AZ120" s="45">
        <v>117</v>
      </c>
      <c r="BA120" s="45">
        <f>[1]节奏总纲!BA120</f>
        <v>39.088198074219406</v>
      </c>
      <c r="BB120" s="45">
        <f>[1]节奏总纲!BB120</f>
        <v>40.576912512135436</v>
      </c>
      <c r="BC120" s="45">
        <f>[1]节奏总纲!BC120</f>
        <v>42.51427628670821</v>
      </c>
      <c r="BD120" s="45">
        <f>[1]节奏总纲!BD120</f>
        <v>45.255528312893091</v>
      </c>
      <c r="BE120" s="45">
        <f>[1]节奏总纲!BE120</f>
        <v>49.9600233276417</v>
      </c>
      <c r="BN120" s="52"/>
    </row>
    <row r="121" spans="6:66" x14ac:dyDescent="0.15">
      <c r="F121" s="45">
        <f>[1]节奏总纲!F121</f>
        <v>119</v>
      </c>
      <c r="G121" s="45">
        <f>[1]节奏总纲!G121</f>
        <v>3820.7031333347636</v>
      </c>
      <c r="N121" s="45">
        <f>[1]节奏总纲!N121</f>
        <v>128</v>
      </c>
      <c r="O121" s="45">
        <v>118</v>
      </c>
      <c r="P121" s="45">
        <f>[1]节奏总纲!P121</f>
        <v>3564.7751072609281</v>
      </c>
      <c r="Q121" s="45">
        <f>[1]节奏总纲!Q121</f>
        <v>3030.4153186825147</v>
      </c>
      <c r="R121" s="45">
        <f>[1]节奏总纲!R121</f>
        <v>2426.1859380017877</v>
      </c>
      <c r="S121" s="45">
        <f>[1]节奏总纲!S121</f>
        <v>1737.4713872789764</v>
      </c>
      <c r="T121" s="45">
        <f>[1]节奏总纲!T121</f>
        <v>936.10994316671975</v>
      </c>
      <c r="V121" s="45">
        <v>118</v>
      </c>
      <c r="W121" s="45">
        <f>[1]节奏总纲!W121</f>
        <v>238.78929178579301</v>
      </c>
      <c r="X121" s="45">
        <f>[1]节奏总纲!X121</f>
        <v>203.65997411019725</v>
      </c>
      <c r="Y121" s="45">
        <f>[1]节奏总纲!Y121</f>
        <v>163.5177877340534</v>
      </c>
      <c r="Z121" s="45">
        <f>[1]节奏总纲!Z121</f>
        <v>119.37928805032334</v>
      </c>
      <c r="AA121" s="45">
        <f>[1]节奏总纲!AA121</f>
        <v>63.038666604496711</v>
      </c>
      <c r="AC121" s="45">
        <v>118</v>
      </c>
      <c r="AD121" s="45">
        <f>[1]节奏总纲!AD121</f>
        <v>68.946457081918766</v>
      </c>
      <c r="AE121" s="45">
        <f>[1]节奏总纲!AE121</f>
        <v>70.995873539455332</v>
      </c>
      <c r="AF121" s="45">
        <f>[1]节奏总纲!AF121</f>
        <v>73.913419829028598</v>
      </c>
      <c r="AG121" s="45">
        <f>[1]节奏总纲!AG121</f>
        <v>78.356382169569343</v>
      </c>
      <c r="AH121" s="45">
        <f>[1]节奏总纲!AH121</f>
        <v>87.302536839048898</v>
      </c>
      <c r="AZ121" s="45">
        <v>118</v>
      </c>
      <c r="BA121" s="45">
        <f>[1]节奏总纲!BA121</f>
        <v>39.14223078093233</v>
      </c>
      <c r="BB121" s="45">
        <f>[1]节奏总纲!BB121</f>
        <v>40.635186503260229</v>
      </c>
      <c r="BC121" s="45">
        <f>[1]节奏总纲!BC121</f>
        <v>42.572130878253319</v>
      </c>
      <c r="BD121" s="45">
        <f>[1]节奏总纲!BD121</f>
        <v>45.31132052094835</v>
      </c>
      <c r="BE121" s="45">
        <f>[1]节奏总纲!BE121</f>
        <v>50.018998195299922</v>
      </c>
      <c r="BN121" s="52"/>
    </row>
    <row r="122" spans="6:66" x14ac:dyDescent="0.15">
      <c r="F122" s="45">
        <f>[1]节奏总纲!F122</f>
        <v>120</v>
      </c>
      <c r="G122" s="45">
        <f>[1]节奏总纲!G122</f>
        <v>4095</v>
      </c>
      <c r="N122" s="45">
        <f>[1]节奏总纲!N122</f>
        <v>129</v>
      </c>
      <c r="O122" s="45">
        <v>119</v>
      </c>
      <c r="P122" s="45">
        <f>[1]节奏总纲!P122</f>
        <v>3820.7031333347636</v>
      </c>
      <c r="Q122" s="45">
        <f>[1]节奏总纲!Q122</f>
        <v>3250.2721555278836</v>
      </c>
      <c r="R122" s="45">
        <f>[1]节奏总纲!R122</f>
        <v>2604.5733259943081</v>
      </c>
      <c r="S122" s="45">
        <f>[1]节奏总纲!S122</f>
        <v>1863.3569181273642</v>
      </c>
      <c r="T122" s="45">
        <f>[1]节奏总纲!T122</f>
        <v>1000.260080307041</v>
      </c>
      <c r="V122" s="45">
        <v>119</v>
      </c>
      <c r="W122" s="45">
        <f>[1]节奏总纲!W122</f>
        <v>255.92802607383555</v>
      </c>
      <c r="X122" s="45">
        <f>[1]节奏总纲!X122</f>
        <v>219.85683684536889</v>
      </c>
      <c r="Y122" s="45">
        <f>[1]节奏总纲!Y122</f>
        <v>178.38738799252042</v>
      </c>
      <c r="Z122" s="45">
        <f>[1]节奏总纲!Z122</f>
        <v>125.88553084838782</v>
      </c>
      <c r="AA122" s="45">
        <f>[1]节奏总纲!AA122</f>
        <v>64.150137140321249</v>
      </c>
      <c r="AC122" s="45">
        <v>119</v>
      </c>
      <c r="AD122" s="45">
        <f>[1]节奏总纲!AD122</f>
        <v>69.066704614192943</v>
      </c>
      <c r="AE122" s="45">
        <f>[1]节奏总纲!AE122</f>
        <v>71.113087458015798</v>
      </c>
      <c r="AF122" s="45">
        <f>[1]节奏总纲!AF122</f>
        <v>74.034200876118248</v>
      </c>
      <c r="AG122" s="45">
        <f>[1]节奏总纲!AG122</f>
        <v>78.482224048163502</v>
      </c>
      <c r="AH122" s="45">
        <f>[1]节奏总纲!AH122</f>
        <v>87.436975567505186</v>
      </c>
      <c r="AZ122" s="45">
        <v>119</v>
      </c>
      <c r="BA122" s="45">
        <f>[1]节奏总纲!BA122</f>
        <v>39.196263487645254</v>
      </c>
      <c r="BB122" s="45">
        <f>[1]节奏总纲!BB122</f>
        <v>40.693460494385022</v>
      </c>
      <c r="BC122" s="45">
        <f>[1]节奏总纲!BC122</f>
        <v>42.629985469798427</v>
      </c>
      <c r="BD122" s="45">
        <f>[1]节奏总纲!BD122</f>
        <v>45.367112729003608</v>
      </c>
      <c r="BE122" s="45">
        <f>[1]节奏总纲!BE122</f>
        <v>50.072514238398277</v>
      </c>
      <c r="BN122" s="52"/>
    </row>
    <row r="123" spans="6:66" x14ac:dyDescent="0.15">
      <c r="F123" s="45">
        <f>[1]节奏总纲!F123</f>
        <v>121</v>
      </c>
      <c r="G123" s="45">
        <f>[1]节奏总纲!G123</f>
        <v>4388.9841025486576</v>
      </c>
      <c r="N123" s="45">
        <f>[1]节奏总纲!N123</f>
        <v>130</v>
      </c>
      <c r="O123" s="45">
        <v>120</v>
      </c>
      <c r="P123" s="45">
        <f>[1]节奏总纲!P123</f>
        <v>4095</v>
      </c>
      <c r="Q123" s="45">
        <f>[1]节奏总纲!Q123</f>
        <v>3486.0735</v>
      </c>
      <c r="R123" s="45">
        <f>[1]节奏总纲!R123</f>
        <v>2791.971</v>
      </c>
      <c r="S123" s="45">
        <f>[1]节奏总纲!S123</f>
        <v>1988.5319999999999</v>
      </c>
      <c r="T123" s="45">
        <f>[1]节奏总纲!T123</f>
        <v>1067.9759999999999</v>
      </c>
      <c r="V123" s="45">
        <v>120</v>
      </c>
      <c r="W123" s="45">
        <f>[1]节奏总纲!W123</f>
        <v>274.29686666523639</v>
      </c>
      <c r="X123" s="45">
        <f>[1]节奏总纲!X123</f>
        <v>235.8013444721164</v>
      </c>
      <c r="Y123" s="45">
        <f>[1]节奏总纲!Y123</f>
        <v>187.3976740056919</v>
      </c>
      <c r="Z123" s="45">
        <f>[1]节奏总纲!Z123</f>
        <v>125.1750818726357</v>
      </c>
      <c r="AA123" s="45">
        <f>[1]节奏总纲!AA123</f>
        <v>67.715919692958892</v>
      </c>
      <c r="AC123" s="45">
        <v>120</v>
      </c>
      <c r="AD123" s="45">
        <f>[1]节奏总纲!AD123</f>
        <v>69.18336653741882</v>
      </c>
      <c r="AE123" s="45">
        <f>[1]节奏总纲!AE123</f>
        <v>71.230067506391322</v>
      </c>
      <c r="AF123" s="45">
        <f>[1]节奏总纲!AF123</f>
        <v>74.149428238300118</v>
      </c>
      <c r="AG123" s="45">
        <f>[1]节奏总纲!AG123</f>
        <v>78.608065926757661</v>
      </c>
      <c r="AH123" s="45">
        <f>[1]节奏总纲!AH123</f>
        <v>87.571414295961461</v>
      </c>
      <c r="AZ123" s="45">
        <v>120</v>
      </c>
      <c r="BA123" s="45">
        <f>[1]节奏总纲!BA123</f>
        <v>39.250296194358178</v>
      </c>
      <c r="BB123" s="45">
        <f>[1]节奏总纲!BB123</f>
        <v>40.751734485509814</v>
      </c>
      <c r="BC123" s="45">
        <f>[1]节奏总纲!BC123</f>
        <v>42.687840061343536</v>
      </c>
      <c r="BD123" s="45">
        <f>[1]节奏总纲!BD123</f>
        <v>45.422904937058867</v>
      </c>
      <c r="BE123" s="45">
        <f>[1]节奏总纲!BE123</f>
        <v>50.126030281496639</v>
      </c>
      <c r="BN123" s="52"/>
    </row>
    <row r="124" spans="6:66" x14ac:dyDescent="0.15">
      <c r="F124" s="45">
        <f>[1]节奏总纲!F124</f>
        <v>122</v>
      </c>
      <c r="G124" s="45">
        <f>[1]节奏总纲!G124</f>
        <v>4704.0684620678521</v>
      </c>
      <c r="N124" s="45">
        <f>[1]节奏总纲!N124</f>
        <v>131</v>
      </c>
      <c r="O124" s="45">
        <v>121</v>
      </c>
      <c r="P124" s="45">
        <f>[1]节奏总纲!P124</f>
        <v>4388.9841025486576</v>
      </c>
      <c r="Q124" s="45">
        <f>[1]节奏总纲!Q124</f>
        <v>3731.5142839868686</v>
      </c>
      <c r="R124" s="45">
        <f>[1]节奏总纲!R124</f>
        <v>2978.8035103997736</v>
      </c>
      <c r="S124" s="45">
        <f>[1]节奏总纲!S124</f>
        <v>2122.0738135822758</v>
      </c>
      <c r="T124" s="45">
        <f>[1]节奏总纲!T124</f>
        <v>1143.3303587139253</v>
      </c>
      <c r="V124" s="45">
        <v>121</v>
      </c>
      <c r="W124" s="45">
        <f>[1]节奏总纲!W124</f>
        <v>293.98410254865757</v>
      </c>
      <c r="X124" s="45">
        <f>[1]节奏总纲!X124</f>
        <v>245.44078398686861</v>
      </c>
      <c r="Y124" s="45">
        <f>[1]节奏总纲!Y124</f>
        <v>186.83251039977358</v>
      </c>
      <c r="Z124" s="45">
        <f>[1]节奏总纲!Z124</f>
        <v>133.54181358227584</v>
      </c>
      <c r="AA124" s="45">
        <f>[1]节奏总纲!AA124</f>
        <v>75.354358713925421</v>
      </c>
      <c r="AC124" s="45">
        <v>121</v>
      </c>
      <c r="AD124" s="45">
        <f>[1]节奏总纲!AD124</f>
        <v>69.300028460644711</v>
      </c>
      <c r="AE124" s="45">
        <f>[1]节奏总纲!AE124</f>
        <v>71.347047554766846</v>
      </c>
      <c r="AF124" s="45">
        <f>[1]节奏总纲!AF124</f>
        <v>74.264655600481987</v>
      </c>
      <c r="AG124" s="45">
        <f>[1]节奏总纲!AG124</f>
        <v>78.733907805351805</v>
      </c>
      <c r="AH124" s="45">
        <f>[1]节奏总纲!AH124</f>
        <v>87.705853024417735</v>
      </c>
      <c r="AZ124" s="45">
        <v>121</v>
      </c>
      <c r="BA124" s="45">
        <f>[1]节奏总纲!BA124</f>
        <v>39.304328901071102</v>
      </c>
      <c r="BB124" s="45">
        <f>[1]节奏总纲!BB124</f>
        <v>40.810008476634607</v>
      </c>
      <c r="BC124" s="45">
        <f>[1]节奏总纲!BC124</f>
        <v>42.745694652888645</v>
      </c>
      <c r="BD124" s="45">
        <f>[1]节奏总纲!BD124</f>
        <v>45.478697145114126</v>
      </c>
      <c r="BE124" s="45">
        <f>[1]节奏总纲!BE124</f>
        <v>50.179546324595002</v>
      </c>
      <c r="BN124" s="52"/>
    </row>
    <row r="125" spans="6:66" x14ac:dyDescent="0.15">
      <c r="F125" s="45">
        <f>[1]节奏总纲!F125</f>
        <v>123</v>
      </c>
      <c r="G125" s="45">
        <f>[1]节奏总纲!G125</f>
        <v>5041.7675170607781</v>
      </c>
      <c r="N125" s="45">
        <f>[1]节奏总纲!N125</f>
        <v>132</v>
      </c>
      <c r="O125" s="45">
        <v>122</v>
      </c>
      <c r="P125" s="45">
        <f>[1]节奏总纲!P125</f>
        <v>4704.0684620678521</v>
      </c>
      <c r="Q125" s="45">
        <f>[1]节奏总纲!Q125</f>
        <v>3989.5204626797454</v>
      </c>
      <c r="R125" s="45">
        <f>[1]节奏总纲!R125</f>
        <v>3183.7135351275219</v>
      </c>
      <c r="S125" s="45">
        <f>[1]节奏总纲!S125</f>
        <v>2271.1242534863591</v>
      </c>
      <c r="T125" s="45">
        <f>[1]节奏总纲!T125</f>
        <v>1223.9986138300551</v>
      </c>
      <c r="V125" s="45">
        <v>122</v>
      </c>
      <c r="W125" s="45">
        <f>[1]节奏总纲!W125</f>
        <v>315.08435951919455</v>
      </c>
      <c r="X125" s="45">
        <f>[1]节奏总纲!X125</f>
        <v>258.0061786928768</v>
      </c>
      <c r="Y125" s="45">
        <f>[1]节奏总纲!Y125</f>
        <v>204.91002472774835</v>
      </c>
      <c r="Z125" s="45">
        <f>[1]节奏总纲!Z125</f>
        <v>149.05043990408331</v>
      </c>
      <c r="AA125" s="45">
        <f>[1]节奏总纲!AA125</f>
        <v>80.668255116129785</v>
      </c>
      <c r="AC125" s="45">
        <v>122</v>
      </c>
      <c r="AD125" s="45">
        <f>[1]节奏总纲!AD125</f>
        <v>69.416690383870588</v>
      </c>
      <c r="AE125" s="45">
        <f>[1]节奏总纲!AE125</f>
        <v>71.46402760314237</v>
      </c>
      <c r="AF125" s="45">
        <f>[1]节奏总纲!AF125</f>
        <v>74.379882962663856</v>
      </c>
      <c r="AG125" s="45">
        <f>[1]节奏总纲!AG125</f>
        <v>78.859749683945964</v>
      </c>
      <c r="AH125" s="45">
        <f>[1]节奏总纲!AH125</f>
        <v>87.840291752874009</v>
      </c>
      <c r="AZ125" s="45">
        <v>122</v>
      </c>
      <c r="BA125" s="45">
        <f>[1]节奏总纲!BA125</f>
        <v>39.358361607784026</v>
      </c>
      <c r="BB125" s="45">
        <f>[1]节奏总纲!BB125</f>
        <v>40.8682824677594</v>
      </c>
      <c r="BC125" s="45">
        <f>[1]节奏总纲!BC125</f>
        <v>42.803549244433754</v>
      </c>
      <c r="BD125" s="45">
        <f>[1]节奏总纲!BD125</f>
        <v>45.534489353169384</v>
      </c>
      <c r="BE125" s="45">
        <f>[1]节奏总纲!BE125</f>
        <v>50.233062367693357</v>
      </c>
      <c r="BN125" s="52"/>
    </row>
    <row r="126" spans="6:66" x14ac:dyDescent="0.15">
      <c r="F126" s="45">
        <f>[1]节奏总纲!F126</f>
        <v>124</v>
      </c>
      <c r="G126" s="45">
        <f>[1]节奏总纲!G126</f>
        <v>5403.704402525771</v>
      </c>
      <c r="N126" s="45">
        <f>[1]节奏总纲!N126</f>
        <v>133</v>
      </c>
      <c r="O126" s="45">
        <v>123</v>
      </c>
      <c r="P126" s="45">
        <f>[1]节奏总纲!P126</f>
        <v>5041.7675170607781</v>
      </c>
      <c r="Q126" s="45">
        <f>[1]节奏总纲!Q126</f>
        <v>4275.9230312192458</v>
      </c>
      <c r="R126" s="45">
        <f>[1]节奏总纲!R126</f>
        <v>3419.8309068223257</v>
      </c>
      <c r="S126" s="45">
        <f>[1]节奏总纲!S126</f>
        <v>2442.7363620159467</v>
      </c>
      <c r="T126" s="45">
        <f>[1]节奏总纲!T126</f>
        <v>1316.4054987045693</v>
      </c>
      <c r="V126" s="45">
        <v>123</v>
      </c>
      <c r="W126" s="45">
        <f>[1]节奏总纲!W126</f>
        <v>337.69905499292599</v>
      </c>
      <c r="X126" s="45">
        <f>[1]节奏总纲!X126</f>
        <v>286.40256853950041</v>
      </c>
      <c r="Y126" s="45">
        <f>[1]节奏总纲!Y126</f>
        <v>236.11737169480375</v>
      </c>
      <c r="Z126" s="45">
        <f>[1]节奏总纲!Z126</f>
        <v>171.61210852958766</v>
      </c>
      <c r="AA126" s="45">
        <f>[1]节奏总纲!AA126</f>
        <v>92.406884874514162</v>
      </c>
      <c r="AC126" s="45">
        <v>123</v>
      </c>
      <c r="AD126" s="45">
        <f>[1]节奏总纲!AD126</f>
        <v>69.533352307096465</v>
      </c>
      <c r="AE126" s="45">
        <f>[1]节奏总纲!AE126</f>
        <v>71.581007651517908</v>
      </c>
      <c r="AF126" s="45">
        <f>[1]节奏总纲!AF126</f>
        <v>74.495110324845726</v>
      </c>
      <c r="AG126" s="45">
        <f>[1]节奏总纲!AG126</f>
        <v>78.985591562540122</v>
      </c>
      <c r="AH126" s="45">
        <f>[1]节奏总纲!AH126</f>
        <v>87.974730481330297</v>
      </c>
      <c r="AZ126" s="45">
        <v>123</v>
      </c>
      <c r="BA126" s="45">
        <f>[1]节奏总纲!BA126</f>
        <v>39.41239431449695</v>
      </c>
      <c r="BB126" s="45">
        <f>[1]节奏总纲!BB126</f>
        <v>40.926556458884193</v>
      </c>
      <c r="BC126" s="45">
        <f>[1]节奏总纲!BC126</f>
        <v>42.861403835978855</v>
      </c>
      <c r="BD126" s="45">
        <f>[1]节奏总纲!BD126</f>
        <v>45.590281561224643</v>
      </c>
      <c r="BE126" s="45">
        <f>[1]节奏总纲!BE126</f>
        <v>50.286578410791719</v>
      </c>
      <c r="BN126" s="52"/>
    </row>
    <row r="127" spans="6:66" x14ac:dyDescent="0.15">
      <c r="F127" s="45">
        <f>[1]节奏总纲!F127</f>
        <v>125</v>
      </c>
      <c r="G127" s="45">
        <f>[1]节奏总纲!G127</f>
        <v>5791.6187514801986</v>
      </c>
      <c r="N127" s="45">
        <f>[1]节奏总纲!N127</f>
        <v>134</v>
      </c>
      <c r="O127" s="45">
        <v>124</v>
      </c>
      <c r="P127" s="45">
        <f>[1]节奏总纲!P127</f>
        <v>5403.704402525771</v>
      </c>
      <c r="Q127" s="45">
        <f>[1]节奏总纲!Q127</f>
        <v>4591.5276308261473</v>
      </c>
      <c r="R127" s="45">
        <f>[1]节奏总纲!R127</f>
        <v>3671.276771076009</v>
      </c>
      <c r="S127" s="45">
        <f>[1]节奏总纲!S127</f>
        <v>2624.0388578665143</v>
      </c>
      <c r="T127" s="45">
        <f>[1]节奏总纲!T127</f>
        <v>1415.7705534617521</v>
      </c>
      <c r="V127" s="45">
        <v>124</v>
      </c>
      <c r="W127" s="45">
        <f>[1]节奏总纲!W127</f>
        <v>361.93688546499288</v>
      </c>
      <c r="X127" s="45">
        <f>[1]节奏总纲!X127</f>
        <v>315.6045996069015</v>
      </c>
      <c r="Y127" s="45">
        <f>[1]节奏总纲!Y127</f>
        <v>251.44586425368334</v>
      </c>
      <c r="Z127" s="45">
        <f>[1]节奏总纲!Z127</f>
        <v>181.30249585056754</v>
      </c>
      <c r="AA127" s="45">
        <f>[1]节奏总纲!AA127</f>
        <v>99.365054757182861</v>
      </c>
      <c r="AC127" s="45">
        <v>124</v>
      </c>
      <c r="AD127" s="45">
        <f>[1]节奏总纲!AD127</f>
        <v>69.650014230322356</v>
      </c>
      <c r="AE127" s="45">
        <f>[1]节奏总纲!AE127</f>
        <v>71.697987699893432</v>
      </c>
      <c r="AF127" s="45">
        <f>[1]节奏总纲!AF127</f>
        <v>74.610337687027609</v>
      </c>
      <c r="AG127" s="45">
        <f>[1]节奏总纲!AG127</f>
        <v>79.104601412347151</v>
      </c>
      <c r="AH127" s="45">
        <f>[1]节奏总纲!AH127</f>
        <v>88.109271506528316</v>
      </c>
      <c r="AZ127" s="45">
        <v>124</v>
      </c>
      <c r="BA127" s="45">
        <f>[1]节奏总纲!BA127</f>
        <v>39.466427021209874</v>
      </c>
      <c r="BB127" s="45">
        <f>[1]节奏总纲!BB127</f>
        <v>40.984830450008978</v>
      </c>
      <c r="BC127" s="45">
        <f>[1]节奏总纲!BC127</f>
        <v>42.919258427523964</v>
      </c>
      <c r="BD127" s="45">
        <f>[1]节奏总纲!BD127</f>
        <v>45.646073769279901</v>
      </c>
      <c r="BE127" s="45">
        <f>[1]节奏总纲!BE127</f>
        <v>50.340094453890082</v>
      </c>
      <c r="BN127" s="52"/>
    </row>
    <row r="128" spans="6:66" x14ac:dyDescent="0.15">
      <c r="F128" s="45">
        <f>[1]节奏总纲!F128</f>
        <v>126</v>
      </c>
      <c r="G128" s="45">
        <f>[1]节奏总纲!G128</f>
        <v>6207.3750564265865</v>
      </c>
      <c r="N128" s="45">
        <f>[1]节奏总纲!N128</f>
        <v>135</v>
      </c>
      <c r="O128" s="45">
        <v>125</v>
      </c>
      <c r="P128" s="45">
        <f>[1]节奏总纲!P128</f>
        <v>5791.6187514801986</v>
      </c>
      <c r="Q128" s="45">
        <f>[1]节奏总纲!Q128</f>
        <v>4918.821805632133</v>
      </c>
      <c r="R128" s="45">
        <f>[1]节奏总纲!R128</f>
        <v>3940.0382366319791</v>
      </c>
      <c r="S128" s="45">
        <f>[1]节奏总纲!S128</f>
        <v>2816.4641988448207</v>
      </c>
      <c r="T128" s="45">
        <f>[1]节奏总纲!T128</f>
        <v>1509.8750085108877</v>
      </c>
      <c r="V128" s="45">
        <v>125</v>
      </c>
      <c r="W128" s="45">
        <f>[1]节奏总纲!W128</f>
        <v>387.91434895442762</v>
      </c>
      <c r="X128" s="45">
        <f>[1]节奏总纲!X128</f>
        <v>327.29417480598568</v>
      </c>
      <c r="Y128" s="45">
        <f>[1]节奏总纲!Y128</f>
        <v>268.76146555597006</v>
      </c>
      <c r="Z128" s="45">
        <f>[1]节奏总纲!Z128</f>
        <v>192.42534097830639</v>
      </c>
      <c r="AA128" s="45">
        <f>[1]节奏总纲!AA128</f>
        <v>94.104455049135595</v>
      </c>
      <c r="AC128" s="45">
        <v>125</v>
      </c>
      <c r="AD128" s="45">
        <f>[1]节奏总纲!AD128</f>
        <v>69.766676153548232</v>
      </c>
      <c r="AE128" s="45">
        <f>[1]节奏总纲!AE128</f>
        <v>71.814967748268955</v>
      </c>
      <c r="AF128" s="45">
        <f>[1]节奏总纲!AF128</f>
        <v>74.725565049209479</v>
      </c>
      <c r="AG128" s="45">
        <f>[1]节奏总纲!AG128</f>
        <v>79.222727875098187</v>
      </c>
      <c r="AH128" s="45">
        <f>[1]节奏总纲!AH128</f>
        <v>88.243836210467165</v>
      </c>
      <c r="AZ128" s="45">
        <v>125</v>
      </c>
      <c r="BA128" s="45">
        <f>[1]节奏总纲!BA128</f>
        <v>39.520459727922798</v>
      </c>
      <c r="BB128" s="45">
        <f>[1]节奏总纲!BB128</f>
        <v>41.037193447861313</v>
      </c>
      <c r="BC128" s="45">
        <f>[1]节奏总纲!BC128</f>
        <v>42.977113019069073</v>
      </c>
      <c r="BD128" s="45">
        <f>[1]节奏总纲!BD128</f>
        <v>45.701865977335167</v>
      </c>
      <c r="BE128" s="45">
        <f>[1]节奏总纲!BE128</f>
        <v>50.393610496988437</v>
      </c>
      <c r="BN128" s="52"/>
    </row>
    <row r="129" spans="6:66" x14ac:dyDescent="0.15">
      <c r="F129" s="45">
        <f>[1]节奏总纲!F129</f>
        <v>127</v>
      </c>
      <c r="G129" s="45">
        <f>[1]节奏总纲!G129</f>
        <v>6652.971630950271</v>
      </c>
      <c r="N129" s="45">
        <f>[1]节奏总纲!N129</f>
        <v>136</v>
      </c>
      <c r="O129" s="45">
        <v>126</v>
      </c>
      <c r="P129" s="45">
        <f>[1]节奏总纲!P129</f>
        <v>6207.3750564265865</v>
      </c>
      <c r="Q129" s="45">
        <f>[1]节奏总纲!Q129</f>
        <v>5279.3724854908123</v>
      </c>
      <c r="R129" s="45">
        <f>[1]节奏总纲!R129</f>
        <v>4225.9809384152195</v>
      </c>
      <c r="S129" s="45">
        <f>[1]节奏总纲!S129</f>
        <v>3006.8524773330387</v>
      </c>
      <c r="T129" s="45">
        <f>[1]节奏总纲!T129</f>
        <v>1610.1930896370566</v>
      </c>
      <c r="V129" s="45">
        <v>126</v>
      </c>
      <c r="W129" s="45">
        <f>[1]节奏总纲!W129</f>
        <v>415.7563049463879</v>
      </c>
      <c r="X129" s="45">
        <f>[1]节奏总纲!X129</f>
        <v>360.55067985867936</v>
      </c>
      <c r="Y129" s="45">
        <f>[1]节奏总纲!Y129</f>
        <v>285.94270178324041</v>
      </c>
      <c r="Z129" s="45">
        <f>[1]节奏总纲!Z129</f>
        <v>190.38827848821802</v>
      </c>
      <c r="AA129" s="45">
        <f>[1]节奏总纲!AA129</f>
        <v>100.31808112616886</v>
      </c>
      <c r="AC129" s="45">
        <v>126</v>
      </c>
      <c r="AD129" s="45">
        <f>[1]节奏总纲!AD129</f>
        <v>69.883338076774123</v>
      </c>
      <c r="AE129" s="45">
        <f>[1]节奏总纲!AE129</f>
        <v>71.931947796644479</v>
      </c>
      <c r="AF129" s="45">
        <f>[1]节奏总纲!AF129</f>
        <v>74.840792411391348</v>
      </c>
      <c r="AG129" s="45">
        <f>[1]节奏总纲!AG129</f>
        <v>79.340854337849223</v>
      </c>
      <c r="AH129" s="45">
        <f>[1]节奏总纲!AH129</f>
        <v>88.378400914406001</v>
      </c>
      <c r="AZ129" s="45">
        <v>126</v>
      </c>
      <c r="BA129" s="45">
        <f>[1]节奏总纲!BA129</f>
        <v>39.574492434635722</v>
      </c>
      <c r="BB129" s="45">
        <f>[1]节奏总纲!BB129</f>
        <v>41.087476216725996</v>
      </c>
      <c r="BC129" s="45">
        <f>[1]节奏总纲!BC129</f>
        <v>43.030177309109042</v>
      </c>
      <c r="BD129" s="45">
        <f>[1]节奏总纲!BD129</f>
        <v>45.757658185390426</v>
      </c>
      <c r="BE129" s="45">
        <f>[1]节奏总纲!BE129</f>
        <v>50.447126540086799</v>
      </c>
      <c r="BN129" s="52"/>
    </row>
    <row r="130" spans="6:66" x14ac:dyDescent="0.15">
      <c r="F130" s="45">
        <f>[1]节奏总纲!F130</f>
        <v>128</v>
      </c>
      <c r="G130" s="45">
        <f>[1]节奏总纲!G130</f>
        <v>7130.5502145218443</v>
      </c>
      <c r="N130" s="45">
        <f>[1]节奏总纲!N130</f>
        <v>137</v>
      </c>
      <c r="O130" s="45">
        <v>127</v>
      </c>
      <c r="P130" s="45">
        <f>[1]节奏总纲!P130</f>
        <v>6652.971630950271</v>
      </c>
      <c r="Q130" s="45">
        <f>[1]节奏总纲!Q130</f>
        <v>5658.3523721232059</v>
      </c>
      <c r="R130" s="45">
        <f>[1]节奏总纲!R130</f>
        <v>4508.7188742949984</v>
      </c>
      <c r="S130" s="45">
        <f>[1]节奏总纲!S130</f>
        <v>3203.4058403025556</v>
      </c>
      <c r="T130" s="45">
        <f>[1]节奏总纲!T130</f>
        <v>1719.793166600645</v>
      </c>
      <c r="V130" s="45">
        <v>127</v>
      </c>
      <c r="W130" s="45">
        <f>[1]节奏总纲!W130</f>
        <v>445.59657452368447</v>
      </c>
      <c r="X130" s="45">
        <f>[1]节奏总纲!X130</f>
        <v>378.97988663239357</v>
      </c>
      <c r="Y130" s="45">
        <f>[1]节奏总纲!Y130</f>
        <v>282.73793587977889</v>
      </c>
      <c r="Z130" s="45">
        <f>[1]节奏总纲!Z130</f>
        <v>196.55336296951691</v>
      </c>
      <c r="AA130" s="45">
        <f>[1]节奏总纲!AA130</f>
        <v>109.60007696358844</v>
      </c>
      <c r="AC130" s="45">
        <v>127</v>
      </c>
      <c r="AD130" s="45">
        <f>[1]节奏总纲!AD130</f>
        <v>70</v>
      </c>
      <c r="AE130" s="45">
        <f>[1]节奏总纲!AE130</f>
        <v>72.047345051940553</v>
      </c>
      <c r="AF130" s="45">
        <f>[1]节奏总纲!AF130</f>
        <v>74.956019773573217</v>
      </c>
      <c r="AG130" s="45">
        <f>[1]节奏总纲!AG130</f>
        <v>79.458980800600258</v>
      </c>
      <c r="AH130" s="45">
        <f>[1]节奏总纲!AH130</f>
        <v>88.51296561834485</v>
      </c>
      <c r="AZ130" s="45">
        <v>127</v>
      </c>
      <c r="BA130" s="45">
        <f>[1]节奏总纲!BA130</f>
        <v>39.628525141348646</v>
      </c>
      <c r="BB130" s="45">
        <f>[1]节奏总纲!BB130</f>
        <v>41.137758985590679</v>
      </c>
      <c r="BC130" s="45">
        <f>[1]节奏总纲!BC130</f>
        <v>43.080106253688569</v>
      </c>
      <c r="BD130" s="45">
        <f>[1]节奏总纲!BD130</f>
        <v>45.813450393445684</v>
      </c>
      <c r="BE130" s="45">
        <f>[1]节奏总纲!BE130</f>
        <v>50.500642583185162</v>
      </c>
      <c r="BN130" s="52"/>
    </row>
    <row r="131" spans="6:66" x14ac:dyDescent="0.15">
      <c r="F131" s="45">
        <f>[1]节奏总纲!F131</f>
        <v>129</v>
      </c>
      <c r="G131" s="45">
        <f>[1]节奏总纲!G131</f>
        <v>7642.4062666695281</v>
      </c>
      <c r="N131" s="45">
        <f>[1]节奏总纲!N131</f>
        <v>138</v>
      </c>
      <c r="O131" s="45">
        <v>128</v>
      </c>
      <c r="P131" s="45">
        <f>[1]节奏总纲!P131</f>
        <v>7130.5502145218443</v>
      </c>
      <c r="Q131" s="45">
        <f>[1]节奏总纲!Q131</f>
        <v>6036.010756592741</v>
      </c>
      <c r="R131" s="45">
        <f>[1]节奏总纲!R131</f>
        <v>4805.9908445877236</v>
      </c>
      <c r="S131" s="45">
        <f>[1]节奏总纲!S131</f>
        <v>3419.0988278632244</v>
      </c>
      <c r="T131" s="45">
        <f>[1]节奏总纲!T131</f>
        <v>1838.9689003251838</v>
      </c>
      <c r="V131" s="45">
        <v>128</v>
      </c>
      <c r="W131" s="45">
        <f>[1]节奏总纲!W131</f>
        <v>477.57858357157329</v>
      </c>
      <c r="X131" s="45">
        <f>[1]节奏总纲!X131</f>
        <v>377.65838446953512</v>
      </c>
      <c r="Y131" s="45">
        <f>[1]节奏总纲!Y131</f>
        <v>297.2719702927252</v>
      </c>
      <c r="Z131" s="45">
        <f>[1]节奏总纲!Z131</f>
        <v>215.69298756066883</v>
      </c>
      <c r="AA131" s="45">
        <f>[1]节奏总纲!AA131</f>
        <v>119.17573372453876</v>
      </c>
      <c r="AC131" s="45">
        <v>128</v>
      </c>
      <c r="AD131" s="45">
        <f>[1]节奏总纲!AD131</f>
        <v>70.108849423225877</v>
      </c>
      <c r="AE131" s="45">
        <f>[1]节奏总纲!AE131</f>
        <v>72.160540850040434</v>
      </c>
      <c r="AF131" s="45">
        <f>[1]节奏总纲!AF131</f>
        <v>75.067682921736733</v>
      </c>
      <c r="AG131" s="45">
        <f>[1]节奏总纲!AG131</f>
        <v>79.577107263351294</v>
      </c>
      <c r="AH131" s="45">
        <f>[1]节奏总纲!AH131</f>
        <v>88.6475303222837</v>
      </c>
      <c r="AZ131" s="45">
        <v>128</v>
      </c>
      <c r="BA131" s="45">
        <f>[1]节奏总纲!BA131</f>
        <v>39.68255784806157</v>
      </c>
      <c r="BB131" s="45">
        <f>[1]节奏总纲!BB131</f>
        <v>41.188041754455355</v>
      </c>
      <c r="BC131" s="45">
        <f>[1]节奏总纲!BC131</f>
        <v>43.130035198268104</v>
      </c>
      <c r="BD131" s="45">
        <f>[1]节奏总纲!BD131</f>
        <v>45.869242601500943</v>
      </c>
      <c r="BE131" s="45">
        <f>[1]节奏总纲!BE131</f>
        <v>50.554158626283517</v>
      </c>
      <c r="BN131" s="52"/>
    </row>
    <row r="132" spans="6:66" x14ac:dyDescent="0.15">
      <c r="F132" s="45">
        <f>[1]节奏总纲!F132</f>
        <v>130</v>
      </c>
      <c r="G132" s="45">
        <f>[1]节奏总纲!G132</f>
        <v>8191</v>
      </c>
      <c r="N132" s="45">
        <f>[1]节奏总纲!N132</f>
        <v>139</v>
      </c>
      <c r="O132" s="45">
        <v>129</v>
      </c>
      <c r="P132" s="45">
        <f>[1]节奏总纲!P132</f>
        <v>7642.4062666695281</v>
      </c>
      <c r="Q132" s="45">
        <f>[1]节奏总纲!Q132</f>
        <v>6469.2969047357556</v>
      </c>
      <c r="R132" s="45">
        <f>[1]节奏总纲!R132</f>
        <v>5159.388470628599</v>
      </c>
      <c r="S132" s="45">
        <f>[1]节奏总纲!S132</f>
        <v>3676.7616548947103</v>
      </c>
      <c r="T132" s="45">
        <f>[1]节奏总纲!T132</f>
        <v>1975.5620199340731</v>
      </c>
      <c r="V132" s="45">
        <v>129</v>
      </c>
      <c r="W132" s="45">
        <f>[1]节奏总纲!W132</f>
        <v>511.85605214768384</v>
      </c>
      <c r="X132" s="45">
        <f>[1]节奏总纲!X132</f>
        <v>433.28614814301454</v>
      </c>
      <c r="Y132" s="45">
        <f>[1]节奏总纲!Y132</f>
        <v>353.39762604087537</v>
      </c>
      <c r="Z132" s="45">
        <f>[1]节奏总纲!Z132</f>
        <v>257.6628270314859</v>
      </c>
      <c r="AA132" s="45">
        <f>[1]节奏总纲!AA132</f>
        <v>136.59311960888931</v>
      </c>
      <c r="AC132" s="45">
        <v>129</v>
      </c>
      <c r="AD132" s="45">
        <f>[1]节奏总纲!AD132</f>
        <v>70.217698846451768</v>
      </c>
      <c r="AE132" s="45">
        <f>[1]节奏总纲!AE132</f>
        <v>72.273736648140314</v>
      </c>
      <c r="AF132" s="45">
        <f>[1]节奏总纲!AF132</f>
        <v>75.177145912126889</v>
      </c>
      <c r="AG132" s="45">
        <f>[1]节奏总纲!AG132</f>
        <v>79.69523372610233</v>
      </c>
      <c r="AH132" s="45">
        <f>[1]节奏总纲!AH132</f>
        <v>88.782095026222549</v>
      </c>
      <c r="AZ132" s="45">
        <v>129</v>
      </c>
      <c r="BA132" s="45">
        <f>[1]节奏总纲!BA132</f>
        <v>39.736590554774494</v>
      </c>
      <c r="BB132" s="45">
        <f>[1]节奏总纲!BB132</f>
        <v>41.238324523320038</v>
      </c>
      <c r="BC132" s="45">
        <f>[1]节奏总纲!BC132</f>
        <v>43.179964142847631</v>
      </c>
      <c r="BD132" s="45">
        <f>[1]节奏总纲!BD132</f>
        <v>45.925034809556202</v>
      </c>
      <c r="BE132" s="45">
        <f>[1]节奏总纲!BE132</f>
        <v>50.607674669381879</v>
      </c>
      <c r="BN132" s="52"/>
    </row>
    <row r="133" spans="6:66" x14ac:dyDescent="0.15">
      <c r="F133" s="45">
        <f>[1]节奏总纲!F133</f>
        <v>131</v>
      </c>
      <c r="G133" s="45">
        <f>[1]节奏总纲!G133</f>
        <v>8778.9682050973151</v>
      </c>
      <c r="N133" s="45">
        <f>[1]节奏总纲!N133</f>
        <v>140</v>
      </c>
      <c r="O133" s="45">
        <v>130</v>
      </c>
      <c r="P133" s="45">
        <f>[1]节奏总纲!P133</f>
        <v>8191</v>
      </c>
      <c r="Q133" s="45">
        <f>[1]节奏总纲!Q133</f>
        <v>6941.8725000000004</v>
      </c>
      <c r="R133" s="45">
        <f>[1]节奏总纲!R133</f>
        <v>5542.0306</v>
      </c>
      <c r="S133" s="45">
        <f>[1]节奏总纲!S133</f>
        <v>3951.3384000000001</v>
      </c>
      <c r="T133" s="45">
        <f>[1]节奏总纲!T133</f>
        <v>2124.7454000000002</v>
      </c>
      <c r="V133" s="45">
        <v>130</v>
      </c>
      <c r="W133" s="45">
        <f>[1]节奏总纲!W133</f>
        <v>548.59373333047188</v>
      </c>
      <c r="X133" s="45">
        <f>[1]节奏总纲!X133</f>
        <v>472.57559526424484</v>
      </c>
      <c r="Y133" s="45">
        <f>[1]节奏总纲!Y133</f>
        <v>382.6421293714011</v>
      </c>
      <c r="Z133" s="45">
        <f>[1]节奏总纲!Z133</f>
        <v>274.57674510528977</v>
      </c>
      <c r="AA133" s="45">
        <f>[1]节奏总纲!AA133</f>
        <v>149.18338006592717</v>
      </c>
      <c r="AC133" s="45">
        <v>130</v>
      </c>
      <c r="AD133" s="45">
        <f>[1]节奏总纲!AD133</f>
        <v>70.326548269677644</v>
      </c>
      <c r="AE133" s="45">
        <f>[1]节奏总纲!AE133</f>
        <v>72.386932446240195</v>
      </c>
      <c r="AF133" s="45">
        <f>[1]节奏总纲!AF133</f>
        <v>75.286608902517045</v>
      </c>
      <c r="AG133" s="45">
        <f>[1]节奏总纲!AG133</f>
        <v>79.813360188853366</v>
      </c>
      <c r="AH133" s="45">
        <f>[1]节奏总纲!AH133</f>
        <v>88.916659730161399</v>
      </c>
      <c r="AZ133" s="45">
        <v>130</v>
      </c>
      <c r="BA133" s="45">
        <f>[1]节奏总纲!BA133</f>
        <v>39.790623261487418</v>
      </c>
      <c r="BB133" s="45">
        <f>[1]节奏总纲!BB133</f>
        <v>41.288607292184714</v>
      </c>
      <c r="BC133" s="45">
        <f>[1]节奏总纲!BC133</f>
        <v>43.229893087427158</v>
      </c>
      <c r="BD133" s="45">
        <f>[1]节奏总纲!BD133</f>
        <v>45.98082701761146</v>
      </c>
      <c r="BE133" s="45">
        <f>[1]节奏总纲!BE133</f>
        <v>50.661190712480241</v>
      </c>
      <c r="BN133" s="52"/>
    </row>
    <row r="134" spans="6:66" x14ac:dyDescent="0.15">
      <c r="F134" s="45">
        <f>[1]节奏总纲!F134</f>
        <v>132</v>
      </c>
      <c r="G134" s="45">
        <f>[1]节奏总纲!G134</f>
        <v>9409.1369241357042</v>
      </c>
      <c r="N134" s="45">
        <f>[1]节奏总纲!N134</f>
        <v>141</v>
      </c>
      <c r="O134" s="45">
        <v>131</v>
      </c>
      <c r="P134" s="45">
        <f>[1]节奏总纲!P134</f>
        <v>8778.9682050973151</v>
      </c>
      <c r="Q134" s="45">
        <f>[1]节奏总纲!Q134</f>
        <v>7443.6871411020138</v>
      </c>
      <c r="R134" s="45">
        <f>[1]节奏总纲!R134</f>
        <v>5945.117268491902</v>
      </c>
      <c r="S134" s="45">
        <f>[1]节奏总纲!S134</f>
        <v>4244.6311271645518</v>
      </c>
      <c r="T134" s="45">
        <f>[1]节奏总纲!T134</f>
        <v>2275.5085587612239</v>
      </c>
      <c r="V134" s="45">
        <v>131</v>
      </c>
      <c r="W134" s="45">
        <f>[1]节奏总纲!W134</f>
        <v>587.96820509731515</v>
      </c>
      <c r="X134" s="45">
        <f>[1]节奏总纲!X134</f>
        <v>501.81464110201341</v>
      </c>
      <c r="Y134" s="45">
        <f>[1]节奏总纲!Y134</f>
        <v>403.08666849190195</v>
      </c>
      <c r="Z134" s="45">
        <f>[1]节奏总纲!Z134</f>
        <v>293.29272716455171</v>
      </c>
      <c r="AA134" s="45">
        <f>[1]节奏总纲!AA134</f>
        <v>150.76315876122362</v>
      </c>
      <c r="AC134" s="45">
        <v>131</v>
      </c>
      <c r="AD134" s="45">
        <f>[1]节奏总纲!AD134</f>
        <v>70.435397692903535</v>
      </c>
      <c r="AE134" s="45">
        <f>[1]节奏总纲!AE134</f>
        <v>72.50012824434009</v>
      </c>
      <c r="AF134" s="45">
        <f>[1]节奏总纲!AF134</f>
        <v>75.396071892907202</v>
      </c>
      <c r="AG134" s="45">
        <f>[1]节奏总纲!AG134</f>
        <v>79.931486651604402</v>
      </c>
      <c r="AH134" s="45">
        <f>[1]节奏总纲!AH134</f>
        <v>89.048420729369383</v>
      </c>
      <c r="AZ134" s="45">
        <v>131</v>
      </c>
      <c r="BA134" s="45">
        <f>[1]节奏总纲!BA134</f>
        <v>39.844655968200342</v>
      </c>
      <c r="BB134" s="45">
        <f>[1]节奏总纲!BB134</f>
        <v>41.338890061049398</v>
      </c>
      <c r="BC134" s="45">
        <f>[1]节奏总纲!BC134</f>
        <v>43.279822032006692</v>
      </c>
      <c r="BD134" s="45">
        <f>[1]节奏总纲!BD134</f>
        <v>46.031609894814238</v>
      </c>
      <c r="BE134" s="45">
        <f>[1]节奏总纲!BE134</f>
        <v>50.714706755578604</v>
      </c>
      <c r="BN134" s="52"/>
    </row>
    <row r="135" spans="6:66" x14ac:dyDescent="0.15">
      <c r="F135" s="45">
        <f>[1]节奏总纲!F135</f>
        <v>133</v>
      </c>
      <c r="G135" s="45">
        <f>[1]节奏总纲!G135</f>
        <v>10084.535034121556</v>
      </c>
      <c r="N135" s="45">
        <f>[1]节奏总纲!N135</f>
        <v>142</v>
      </c>
      <c r="O135" s="45">
        <v>132</v>
      </c>
      <c r="P135" s="45">
        <f>[1]节奏总纲!P135</f>
        <v>9409.1369241357042</v>
      </c>
      <c r="Q135" s="45">
        <f>[1]节奏总纲!Q135</f>
        <v>7983.6526801291457</v>
      </c>
      <c r="R135" s="45">
        <f>[1]节奏总纲!R135</f>
        <v>6385.9812304109018</v>
      </c>
      <c r="S135" s="45">
        <f>[1]节奏总纲!S135</f>
        <v>4544.6131343575453</v>
      </c>
      <c r="T135" s="45">
        <f>[1]节奏总纲!T135</f>
        <v>2431.3209811966663</v>
      </c>
      <c r="V135" s="45">
        <v>132</v>
      </c>
      <c r="W135" s="45">
        <f>[1]节奏总纲!W135</f>
        <v>630.1687190383891</v>
      </c>
      <c r="X135" s="45">
        <f>[1]节奏总纲!X135</f>
        <v>539.96553902713185</v>
      </c>
      <c r="Y135" s="45">
        <f>[1]节奏总纲!Y135</f>
        <v>440.86396191899985</v>
      </c>
      <c r="Z135" s="45">
        <f>[1]节奏总纲!Z135</f>
        <v>299.98200719299348</v>
      </c>
      <c r="AA135" s="45">
        <f>[1]节奏总纲!AA135</f>
        <v>155.81242243544239</v>
      </c>
      <c r="AC135" s="45">
        <v>132</v>
      </c>
      <c r="AD135" s="45">
        <f>[1]节奏总纲!AD135</f>
        <v>70.544247116129412</v>
      </c>
      <c r="AE135" s="45">
        <f>[1]节奏总纲!AE135</f>
        <v>72.61332404243997</v>
      </c>
      <c r="AF135" s="45">
        <f>[1]节奏总纲!AF135</f>
        <v>75.505534883297358</v>
      </c>
      <c r="AG135" s="45">
        <f>[1]节奏总纲!AG135</f>
        <v>80.045750258986601</v>
      </c>
      <c r="AH135" s="45">
        <f>[1]节奏总纲!AH135</f>
        <v>89.175620204122851</v>
      </c>
      <c r="AZ135" s="45">
        <v>132</v>
      </c>
      <c r="BA135" s="45">
        <f>[1]节奏总纲!BA135</f>
        <v>39.898688674913267</v>
      </c>
      <c r="BB135" s="45">
        <f>[1]节奏总纲!BB135</f>
        <v>41.389172829914081</v>
      </c>
      <c r="BC135" s="45">
        <f>[1]节奏总纲!BC135</f>
        <v>43.329750976586219</v>
      </c>
      <c r="BD135" s="45">
        <f>[1]节奏总纲!BD135</f>
        <v>46.079770001861057</v>
      </c>
      <c r="BE135" s="45">
        <f>[1]节奏总纲!BE135</f>
        <v>50.768222798676959</v>
      </c>
      <c r="BN135" s="52"/>
    </row>
    <row r="136" spans="6:66" x14ac:dyDescent="0.15">
      <c r="F136" s="45">
        <f>[1]节奏总纲!F136</f>
        <v>134</v>
      </c>
      <c r="G136" s="45">
        <f>[1]节奏总纲!G136</f>
        <v>10808.408805051544</v>
      </c>
      <c r="N136" s="45">
        <f>[1]节奏总纲!N136</f>
        <v>143</v>
      </c>
      <c r="O136" s="45">
        <v>133</v>
      </c>
      <c r="P136" s="45">
        <f>[1]节奏总纲!P136</f>
        <v>10084.535034121556</v>
      </c>
      <c r="Q136" s="45">
        <f>[1]节奏总纲!Q136</f>
        <v>8562.7786974726132</v>
      </c>
      <c r="R136" s="45">
        <f>[1]节奏总纲!R136</f>
        <v>6827.2302181002942</v>
      </c>
      <c r="S136" s="45">
        <f>[1]节奏总纲!S136</f>
        <v>4847.6359909022322</v>
      </c>
      <c r="T136" s="45">
        <f>[1]节奏总纲!T136</f>
        <v>2595.759317782889</v>
      </c>
      <c r="V136" s="45">
        <v>133</v>
      </c>
      <c r="W136" s="45">
        <f>[1]节奏总纲!W136</f>
        <v>675.39810998585199</v>
      </c>
      <c r="X136" s="45">
        <f>[1]节奏总纲!X136</f>
        <v>579.12601734346754</v>
      </c>
      <c r="Y136" s="45">
        <f>[1]节奏总纲!Y136</f>
        <v>441.24898768939238</v>
      </c>
      <c r="Z136" s="45">
        <f>[1]节奏总纲!Z136</f>
        <v>303.02285654468687</v>
      </c>
      <c r="AA136" s="45">
        <f>[1]节奏总纲!AA136</f>
        <v>164.4383365862227</v>
      </c>
      <c r="AC136" s="45">
        <v>133</v>
      </c>
      <c r="AD136" s="45">
        <f>[1]节奏总纲!AD136</f>
        <v>70.653096539355303</v>
      </c>
      <c r="AE136" s="45">
        <f>[1]节奏总纲!AE136</f>
        <v>72.726519840539851</v>
      </c>
      <c r="AF136" s="45">
        <f>[1]节奏总纲!AF136</f>
        <v>75.614997873687514</v>
      </c>
      <c r="AG136" s="45">
        <f>[1]节奏总纲!AG136</f>
        <v>80.154679447049915</v>
      </c>
      <c r="AH136" s="45">
        <f>[1]节奏总纲!AH136</f>
        <v>89.302819678876304</v>
      </c>
      <c r="AZ136" s="45">
        <v>133</v>
      </c>
      <c r="BA136" s="45">
        <f>[1]节奏总纲!BA136</f>
        <v>39.952721381626191</v>
      </c>
      <c r="BB136" s="45">
        <f>[1]节奏总纲!BB136</f>
        <v>41.439455598778757</v>
      </c>
      <c r="BC136" s="45">
        <f>[1]节奏总纲!BC136</f>
        <v>43.379679921165753</v>
      </c>
      <c r="BD136" s="45">
        <f>[1]节奏总纲!BD136</f>
        <v>46.127930108907876</v>
      </c>
      <c r="BE136" s="45">
        <f>[1]节奏总纲!BE136</f>
        <v>50.821738841775321</v>
      </c>
      <c r="BN136" s="52"/>
    </row>
    <row r="137" spans="6:66" x14ac:dyDescent="0.15">
      <c r="F137" s="45">
        <f>[1]节奏总纲!F137</f>
        <v>135</v>
      </c>
      <c r="G137" s="45">
        <f>[1]节奏总纲!G137</f>
        <v>11584.237502960397</v>
      </c>
      <c r="N137" s="45">
        <f>[1]节奏总纲!N137</f>
        <v>144</v>
      </c>
      <c r="O137" s="45">
        <v>134</v>
      </c>
      <c r="P137" s="45">
        <f>[1]节奏总纲!P137</f>
        <v>10808.408805051544</v>
      </c>
      <c r="Q137" s="45">
        <f>[1]节奏总纲!Q137</f>
        <v>9151.4797352371424</v>
      </c>
      <c r="R137" s="45">
        <f>[1]节奏总纲!R137</f>
        <v>7283.7866937242361</v>
      </c>
      <c r="S137" s="45">
        <f>[1]节奏总纲!S137</f>
        <v>5175.0661358586794</v>
      </c>
      <c r="T137" s="45">
        <f>[1]节奏总纲!T137</f>
        <v>2775.5993811372364</v>
      </c>
      <c r="V137" s="45">
        <v>134</v>
      </c>
      <c r="W137" s="45">
        <f>[1]节奏总纲!W137</f>
        <v>723.87377092998759</v>
      </c>
      <c r="X137" s="45">
        <f>[1]节奏总纲!X137</f>
        <v>588.70103776452925</v>
      </c>
      <c r="Y137" s="45">
        <f>[1]节奏总纲!Y137</f>
        <v>456.55647562394188</v>
      </c>
      <c r="Z137" s="45">
        <f>[1]节奏总纲!Z137</f>
        <v>327.43014495644729</v>
      </c>
      <c r="AA137" s="45">
        <f>[1]节奏总纲!AA137</f>
        <v>179.84006335434742</v>
      </c>
      <c r="AC137" s="45">
        <v>134</v>
      </c>
      <c r="AD137" s="45">
        <f>[1]节奏总纲!AD137</f>
        <v>70.76194596258118</v>
      </c>
      <c r="AE137" s="45">
        <f>[1]节奏总纲!AE137</f>
        <v>72.839715638639731</v>
      </c>
      <c r="AF137" s="45">
        <f>[1]节奏总纲!AF137</f>
        <v>75.72446086407767</v>
      </c>
      <c r="AG137" s="45">
        <f>[1]节奏总纲!AG137</f>
        <v>80.263608635113243</v>
      </c>
      <c r="AH137" s="45">
        <f>[1]节奏总纲!AH137</f>
        <v>89.430019153629758</v>
      </c>
      <c r="AZ137" s="45">
        <v>134</v>
      </c>
      <c r="BA137" s="45">
        <f>[1]节奏总纲!BA137</f>
        <v>40.005827399112476</v>
      </c>
      <c r="BB137" s="45">
        <f>[1]节奏总纲!BB137</f>
        <v>41.48973836764344</v>
      </c>
      <c r="BC137" s="45">
        <f>[1]节奏总纲!BC137</f>
        <v>43.42960886574528</v>
      </c>
      <c r="BD137" s="45">
        <f>[1]节奏总纲!BD137</f>
        <v>46.176090215954694</v>
      </c>
      <c r="BE137" s="45">
        <f>[1]节奏总纲!BE137</f>
        <v>50.875254884873684</v>
      </c>
      <c r="BN137" s="52"/>
    </row>
    <row r="138" spans="6:66" x14ac:dyDescent="0.15">
      <c r="F138" s="45">
        <f>[1]节奏总纲!F138</f>
        <v>136</v>
      </c>
      <c r="G138" s="45">
        <f>[1]节奏总纲!G138</f>
        <v>12415.750112853173</v>
      </c>
      <c r="N138" s="45">
        <f>[1]节奏总纲!N138</f>
        <v>145</v>
      </c>
      <c r="O138" s="45">
        <v>135</v>
      </c>
      <c r="P138" s="45">
        <f>[1]节奏总纲!P138</f>
        <v>11584.237502960397</v>
      </c>
      <c r="Q138" s="45">
        <f>[1]节奏总纲!Q138</f>
        <v>9796.789656253608</v>
      </c>
      <c r="R138" s="45">
        <f>[1]节奏总纲!R138</f>
        <v>7796.1918394923478</v>
      </c>
      <c r="S138" s="45">
        <f>[1]节奏总纲!S138</f>
        <v>5548.8497639180305</v>
      </c>
      <c r="T138" s="45">
        <f>[1]节奏总纲!T138</f>
        <v>2979.465885761414</v>
      </c>
      <c r="V138" s="45">
        <v>135</v>
      </c>
      <c r="W138" s="45">
        <f>[1]节奏总纲!W138</f>
        <v>775.82869790885343</v>
      </c>
      <c r="X138" s="45">
        <f>[1]节奏总纲!X138</f>
        <v>645.30992101646552</v>
      </c>
      <c r="Y138" s="45">
        <f>[1]节奏总纲!Y138</f>
        <v>512.40514576811165</v>
      </c>
      <c r="Z138" s="45">
        <f>[1]节奏总纲!Z138</f>
        <v>373.78362805935103</v>
      </c>
      <c r="AA138" s="45">
        <f>[1]节奏总纲!AA138</f>
        <v>203.86650462417765</v>
      </c>
      <c r="AC138" s="45">
        <v>135</v>
      </c>
      <c r="AD138" s="45">
        <f>[1]节奏总纲!AD138</f>
        <v>70.870795385807057</v>
      </c>
      <c r="AE138" s="45">
        <f>[1]节奏总纲!AE138</f>
        <v>72.952911436739612</v>
      </c>
      <c r="AF138" s="45">
        <f>[1]节奏总纲!AF138</f>
        <v>75.833923854467812</v>
      </c>
      <c r="AG138" s="45">
        <f>[1]节奏总纲!AG138</f>
        <v>80.372537823176572</v>
      </c>
      <c r="AH138" s="45">
        <f>[1]节奏总纲!AH138</f>
        <v>89.557218628383211</v>
      </c>
      <c r="AZ138" s="45">
        <v>135</v>
      </c>
      <c r="BA138" s="45">
        <f>[1]节奏总纲!BA138</f>
        <v>40.052446592012309</v>
      </c>
      <c r="BB138" s="45">
        <f>[1]节奏总纲!BB138</f>
        <v>41.540021136508116</v>
      </c>
      <c r="BC138" s="45">
        <f>[1]节奏总纲!BC138</f>
        <v>43.479537810324814</v>
      </c>
      <c r="BD138" s="45">
        <f>[1]节奏总纲!BD138</f>
        <v>46.224250323001513</v>
      </c>
      <c r="BE138" s="45">
        <f>[1]节奏总纲!BE138</f>
        <v>50.928770927972039</v>
      </c>
      <c r="BN138" s="52"/>
    </row>
    <row r="139" spans="6:66" x14ac:dyDescent="0.15">
      <c r="F139" s="45">
        <f>[1]节奏总纲!F139</f>
        <v>137</v>
      </c>
      <c r="G139" s="45">
        <f>[1]节奏总纲!G139</f>
        <v>13306.943261900544</v>
      </c>
      <c r="N139" s="45">
        <f>[1]节奏总纲!N139</f>
        <v>146</v>
      </c>
      <c r="O139" s="45">
        <v>136</v>
      </c>
      <c r="P139" s="45">
        <f>[1]节奏总纲!P139</f>
        <v>12415.750112853173</v>
      </c>
      <c r="Q139" s="45">
        <f>[1]节奏总纲!Q139</f>
        <v>10507.449320507641</v>
      </c>
      <c r="R139" s="45">
        <f>[1]节奏总纲!R139</f>
        <v>8384.3560512097483</v>
      </c>
      <c r="S139" s="45">
        <f>[1]节奏总纲!S139</f>
        <v>5967.009504237235</v>
      </c>
      <c r="T139" s="45">
        <f>[1]节奏总纲!T139</f>
        <v>3204.5051041274041</v>
      </c>
      <c r="V139" s="45">
        <v>136</v>
      </c>
      <c r="W139" s="45">
        <f>[1]节奏总纲!W139</f>
        <v>831.5126098927758</v>
      </c>
      <c r="X139" s="45">
        <f>[1]节奏总纲!X139</f>
        <v>710.65966425403349</v>
      </c>
      <c r="Y139" s="45">
        <f>[1]节奏总纲!Y139</f>
        <v>588.16421171740058</v>
      </c>
      <c r="Z139" s="45">
        <f>[1]节奏总纲!Z139</f>
        <v>418.1597403192045</v>
      </c>
      <c r="AA139" s="45">
        <f>[1]节奏总纲!AA139</f>
        <v>225.03921836599011</v>
      </c>
      <c r="AC139" s="45">
        <v>136</v>
      </c>
      <c r="AD139" s="45">
        <f>[1]节奏总纲!AD139</f>
        <v>70.979644809032948</v>
      </c>
      <c r="AE139" s="45">
        <f>[1]节奏总纲!AE139</f>
        <v>73.059911975288244</v>
      </c>
      <c r="AF139" s="45">
        <f>[1]节奏总纲!AF139</f>
        <v>75.943386844857969</v>
      </c>
      <c r="AG139" s="45">
        <f>[1]节奏总纲!AG139</f>
        <v>80.4814670112399</v>
      </c>
      <c r="AH139" s="45">
        <f>[1]节奏总纲!AH139</f>
        <v>89.684418103136665</v>
      </c>
      <c r="AZ139" s="45">
        <v>136</v>
      </c>
      <c r="BA139" s="45">
        <f>[1]节奏总纲!BA139</f>
        <v>40.099065784912149</v>
      </c>
      <c r="BB139" s="45">
        <f>[1]节奏总纲!BB139</f>
        <v>41.590303905372799</v>
      </c>
      <c r="BC139" s="45">
        <f>[1]节奏总纲!BC139</f>
        <v>43.529466754904341</v>
      </c>
      <c r="BD139" s="45">
        <f>[1]节奏总纲!BD139</f>
        <v>46.272410430048332</v>
      </c>
      <c r="BE139" s="45">
        <f>[1]节奏总纲!BE139</f>
        <v>50.982286971070401</v>
      </c>
      <c r="BN139" s="52"/>
    </row>
    <row r="140" spans="6:66" x14ac:dyDescent="0.15">
      <c r="F140" s="45">
        <f>[1]节奏总纲!F140</f>
        <v>138</v>
      </c>
      <c r="G140" s="45">
        <f>[1]节奏总纲!G140</f>
        <v>14262.10042904369</v>
      </c>
      <c r="N140" s="45">
        <f>[1]节奏总纲!N140</f>
        <v>147</v>
      </c>
      <c r="O140" s="45">
        <v>137</v>
      </c>
      <c r="P140" s="45">
        <f>[1]节奏总纲!P140</f>
        <v>13306.943261900544</v>
      </c>
      <c r="Q140" s="45">
        <f>[1]节奏总纲!Q140</f>
        <v>11274.973025808331</v>
      </c>
      <c r="R140" s="45">
        <f>[1]节奏总纲!R140</f>
        <v>8995.4936450447676</v>
      </c>
      <c r="S140" s="45">
        <f>[1]节奏总纲!S140</f>
        <v>6407.293180605112</v>
      </c>
      <c r="T140" s="45">
        <f>[1]节奏总纲!T140</f>
        <v>3438.5141388751008</v>
      </c>
      <c r="V140" s="45">
        <v>137</v>
      </c>
      <c r="W140" s="45">
        <f>[1]节奏总纲!W140</f>
        <v>891.19314904737075</v>
      </c>
      <c r="X140" s="45">
        <f>[1]节奏总纲!X140</f>
        <v>767.52370530068947</v>
      </c>
      <c r="Y140" s="45">
        <f>[1]节奏总纲!Y140</f>
        <v>611.13759383501929</v>
      </c>
      <c r="Z140" s="45">
        <f>[1]节奏总纲!Z140</f>
        <v>440.28367636787698</v>
      </c>
      <c r="AA140" s="45">
        <f>[1]节奏总纲!AA140</f>
        <v>234.00903474769666</v>
      </c>
      <c r="AC140" s="45">
        <v>137</v>
      </c>
      <c r="AD140" s="45">
        <f>[1]节奏总纲!AD140</f>
        <v>71.082568038258202</v>
      </c>
      <c r="AE140" s="45">
        <f>[1]节奏总纲!AE140</f>
        <v>73.162499594857536</v>
      </c>
      <c r="AF140" s="45">
        <f>[1]节奏总纲!AF140</f>
        <v>76.048210495050611</v>
      </c>
      <c r="AG140" s="45">
        <f>[1]节奏总纲!AG140</f>
        <v>80.590396199303228</v>
      </c>
      <c r="AH140" s="45">
        <f>[1]节奏总纲!AH140</f>
        <v>89.811617577890132</v>
      </c>
      <c r="AZ140" s="45">
        <v>137</v>
      </c>
      <c r="BA140" s="45">
        <f>[1]节奏总纲!BA140</f>
        <v>40.145684977811982</v>
      </c>
      <c r="BB140" s="45">
        <f>[1]节奏总纲!BB140</f>
        <v>41.640586674237483</v>
      </c>
      <c r="BC140" s="45">
        <f>[1]节奏总纲!BC140</f>
        <v>43.579395699483875</v>
      </c>
      <c r="BD140" s="45">
        <f>[1]节奏总纲!BD140</f>
        <v>46.320570537095151</v>
      </c>
      <c r="BE140" s="45">
        <f>[1]节奏总纲!BE140</f>
        <v>51.030916192165336</v>
      </c>
      <c r="BN140" s="52"/>
    </row>
    <row r="141" spans="6:66" x14ac:dyDescent="0.15">
      <c r="F141" s="45">
        <f>[1]节奏总纲!F141</f>
        <v>139</v>
      </c>
      <c r="G141" s="45">
        <f>[1]节奏总纲!G141</f>
        <v>15285.812533339058</v>
      </c>
      <c r="N141" s="45">
        <f>[1]节奏总纲!N141</f>
        <v>148</v>
      </c>
      <c r="O141" s="45">
        <v>138</v>
      </c>
      <c r="P141" s="45">
        <f>[1]节奏总纲!P141</f>
        <v>14262.10042904369</v>
      </c>
      <c r="Q141" s="45">
        <f>[1]节奏总纲!Q141</f>
        <v>12084.27769352872</v>
      </c>
      <c r="R141" s="45">
        <f>[1]节奏总纲!R141</f>
        <v>9648.3109402480568</v>
      </c>
      <c r="S141" s="45">
        <f>[1]节奏总纲!S141</f>
        <v>6871.4799867132497</v>
      </c>
      <c r="T141" s="45">
        <f>[1]节奏总纲!T141</f>
        <v>3671.064650435846</v>
      </c>
      <c r="V141" s="45">
        <v>138</v>
      </c>
      <c r="W141" s="45">
        <f>[1]节奏总纲!W141</f>
        <v>955.15716714314658</v>
      </c>
      <c r="X141" s="45">
        <f>[1]节奏总纲!X141</f>
        <v>809.30466772038926</v>
      </c>
      <c r="Y141" s="45">
        <f>[1]节奏总纲!Y141</f>
        <v>652.81729520328918</v>
      </c>
      <c r="Z141" s="45">
        <f>[1]节奏总纲!Z141</f>
        <v>464.18680610813772</v>
      </c>
      <c r="AA141" s="45">
        <f>[1]节奏总纲!AA141</f>
        <v>232.55051156074524</v>
      </c>
      <c r="AC141" s="45">
        <v>138</v>
      </c>
      <c r="AD141" s="45">
        <f>[1]节奏总纲!AD141</f>
        <v>71.184128141237707</v>
      </c>
      <c r="AE141" s="45">
        <f>[1]节奏总纲!AE141</f>
        <v>73.265087214426828</v>
      </c>
      <c r="AF141" s="45">
        <f>[1]节奏总纲!AF141</f>
        <v>76.148064447889894</v>
      </c>
      <c r="AG141" s="45">
        <f>[1]节奏总纲!AG141</f>
        <v>80.699325387366557</v>
      </c>
      <c r="AH141" s="45">
        <f>[1]节奏总纲!AH141</f>
        <v>89.938817052643586</v>
      </c>
      <c r="AZ141" s="45">
        <v>138</v>
      </c>
      <c r="BA141" s="45">
        <f>[1]节奏总纲!BA141</f>
        <v>40.192304170711814</v>
      </c>
      <c r="BB141" s="45">
        <f>[1]节奏总纲!BB141</f>
        <v>41.690869443102159</v>
      </c>
      <c r="BC141" s="45">
        <f>[1]节奏总纲!BC141</f>
        <v>43.629324644063402</v>
      </c>
      <c r="BD141" s="45">
        <f>[1]节奏总纲!BD141</f>
        <v>46.368730644141969</v>
      </c>
      <c r="BE141" s="45">
        <f>[1]节奏总纲!BE141</f>
        <v>51.077127728003028</v>
      </c>
      <c r="BN141" s="52"/>
    </row>
    <row r="142" spans="6:66" x14ac:dyDescent="0.15">
      <c r="F142" s="45">
        <f>[1]节奏总纲!F142</f>
        <v>140</v>
      </c>
      <c r="G142" s="45">
        <f>[1]节奏总纲!G142</f>
        <v>16383</v>
      </c>
      <c r="N142" s="45">
        <f>[1]节奏总纲!N142</f>
        <v>149</v>
      </c>
      <c r="O142" s="45">
        <v>139</v>
      </c>
      <c r="P142" s="45">
        <f>[1]节奏总纲!P142</f>
        <v>15285.812533339058</v>
      </c>
      <c r="Q142" s="45">
        <f>[1]节奏总纲!Q142</f>
        <v>12957.783284511519</v>
      </c>
      <c r="R142" s="45">
        <f>[1]节奏总纲!R142</f>
        <v>10342.380760057207</v>
      </c>
      <c r="S142" s="45">
        <f>[1]节奏总纲!S142</f>
        <v>7335.6614347494142</v>
      </c>
      <c r="T142" s="45">
        <f>[1]节奏总纲!T142</f>
        <v>3920.8109148014687</v>
      </c>
      <c r="V142" s="45">
        <v>139</v>
      </c>
      <c r="W142" s="45">
        <f>[1]节奏总纲!W142</f>
        <v>1023.7121042953677</v>
      </c>
      <c r="X142" s="45">
        <f>[1]节奏总纲!X142</f>
        <v>873.50559098279882</v>
      </c>
      <c r="Y142" s="45">
        <f>[1]节奏总纲!Y142</f>
        <v>694.06981980915043</v>
      </c>
      <c r="Z142" s="45">
        <f>[1]节奏总纲!Z142</f>
        <v>464.18144803616451</v>
      </c>
      <c r="AA142" s="45">
        <f>[1]节奏总纲!AA142</f>
        <v>249.74626436562266</v>
      </c>
      <c r="AC142" s="45">
        <v>139</v>
      </c>
      <c r="AD142" s="45">
        <f>[1]节奏总纲!AD142</f>
        <v>71.285688244217212</v>
      </c>
      <c r="AE142" s="45">
        <f>[1]节奏总纲!AE142</f>
        <v>73.367674833996119</v>
      </c>
      <c r="AF142" s="45">
        <f>[1]节奏总纲!AF142</f>
        <v>76.247918400729162</v>
      </c>
      <c r="AG142" s="45">
        <f>[1]节奏总纲!AG142</f>
        <v>80.808254575429885</v>
      </c>
      <c r="AH142" s="45">
        <f>[1]节奏总纲!AH142</f>
        <v>90.055148444912135</v>
      </c>
      <c r="AZ142" s="45">
        <v>139</v>
      </c>
      <c r="BA142" s="45">
        <f>[1]节奏总纲!BA142</f>
        <v>40.238923363611647</v>
      </c>
      <c r="BB142" s="45">
        <f>[1]节奏总纲!BB142</f>
        <v>41.741152211966842</v>
      </c>
      <c r="BC142" s="45">
        <f>[1]节奏总纲!BC142</f>
        <v>43.679253588642929</v>
      </c>
      <c r="BD142" s="45">
        <f>[1]节奏总纲!BD142</f>
        <v>46.416890751188788</v>
      </c>
      <c r="BE142" s="45">
        <f>[1]节奏总纲!BE142</f>
        <v>51.12333926384072</v>
      </c>
      <c r="BN142" s="52"/>
    </row>
    <row r="143" spans="6:66" x14ac:dyDescent="0.15">
      <c r="F143" s="45">
        <f>[1]节奏总纲!F143</f>
        <v>141</v>
      </c>
      <c r="G143" s="45">
        <f>[1]节奏总纲!G143</f>
        <v>17558.936410194601</v>
      </c>
      <c r="N143" s="45">
        <f>[1]节奏总纲!N143</f>
        <v>150</v>
      </c>
      <c r="O143" s="45">
        <v>140</v>
      </c>
      <c r="P143" s="45">
        <f>[1]节奏总纲!P143</f>
        <v>16383</v>
      </c>
      <c r="Q143" s="45">
        <f>[1]节奏总纲!Q143</f>
        <v>13881.315900000001</v>
      </c>
      <c r="R143" s="45">
        <f>[1]节奏总纲!R143</f>
        <v>11037.2271</v>
      </c>
      <c r="S143" s="45">
        <f>[1]节奏总纲!S143</f>
        <v>7827.7974000000004</v>
      </c>
      <c r="T143" s="45">
        <f>[1]节奏总纲!T143</f>
        <v>4192.4097000000002</v>
      </c>
      <c r="V143" s="45">
        <v>140</v>
      </c>
      <c r="W143" s="45">
        <f>[1]节奏总纲!W143</f>
        <v>1097.1874666609419</v>
      </c>
      <c r="X143" s="45">
        <f>[1]节奏总纲!X143</f>
        <v>923.53261548848241</v>
      </c>
      <c r="Y143" s="45">
        <f>[1]节奏总纲!Y143</f>
        <v>694.84633994279284</v>
      </c>
      <c r="Z143" s="45">
        <f>[1]节奏总纲!Z143</f>
        <v>492.1359652505862</v>
      </c>
      <c r="AA143" s="45">
        <f>[1]节奏总纲!AA143</f>
        <v>271.59878519853146</v>
      </c>
      <c r="AC143" s="45">
        <v>140</v>
      </c>
      <c r="AD143" s="45">
        <f>[1]节奏总纲!AD143</f>
        <v>71.387248347196717</v>
      </c>
      <c r="AE143" s="45">
        <f>[1]节奏总纲!AE143</f>
        <v>73.470262453565411</v>
      </c>
      <c r="AF143" s="45">
        <f>[1]节奏总纲!AF143</f>
        <v>76.347772353568445</v>
      </c>
      <c r="AG143" s="45">
        <f>[1]节奏总纲!AG143</f>
        <v>80.917183763493213</v>
      </c>
      <c r="AH143" s="45">
        <f>[1]节奏总纲!AH143</f>
        <v>90.16140749098561</v>
      </c>
      <c r="AZ143" s="45">
        <v>140</v>
      </c>
      <c r="BA143" s="45">
        <f>[1]节奏总纲!BA143</f>
        <v>40.28554255651148</v>
      </c>
      <c r="BB143" s="45">
        <f>[1]节奏总纲!BB143</f>
        <v>41.791434980831518</v>
      </c>
      <c r="BC143" s="45">
        <f>[1]节奏总纲!BC143</f>
        <v>43.729182533222463</v>
      </c>
      <c r="BD143" s="45">
        <f>[1]节奏总纲!BD143</f>
        <v>46.465050858235607</v>
      </c>
      <c r="BE143" s="45">
        <f>[1]节奏总纲!BE143</f>
        <v>51.169550799678412</v>
      </c>
      <c r="BN143" s="52"/>
    </row>
    <row r="144" spans="6:66" x14ac:dyDescent="0.15">
      <c r="F144" s="45">
        <f>[1]节奏总纲!F144</f>
        <v>142</v>
      </c>
      <c r="G144" s="45">
        <f>[1]节奏总纲!G144</f>
        <v>18819.273848271412</v>
      </c>
      <c r="N144" s="45">
        <f>[1]节奏总纲!N144</f>
        <v>151</v>
      </c>
      <c r="O144" s="45">
        <v>141</v>
      </c>
      <c r="P144" s="45">
        <f>[1]节奏总纲!P144</f>
        <v>17558.936410194601</v>
      </c>
      <c r="Q144" s="45">
        <f>[1]节奏总纲!Q144</f>
        <v>14839.057160255457</v>
      </c>
      <c r="R144" s="45">
        <f>[1]节奏总纲!R144</f>
        <v>11789.069905804656</v>
      </c>
      <c r="S144" s="45">
        <f>[1]节奏总纲!S144</f>
        <v>8380.8803485858825</v>
      </c>
      <c r="T144" s="45">
        <f>[1]节奏总纲!T144</f>
        <v>4489.820040086759</v>
      </c>
      <c r="V144" s="45">
        <v>141</v>
      </c>
      <c r="W144" s="45">
        <f>[1]节奏总纲!W144</f>
        <v>1175.9364101946012</v>
      </c>
      <c r="X144" s="45">
        <f>[1]节奏总纲!X144</f>
        <v>957.74126025545593</v>
      </c>
      <c r="Y144" s="45">
        <f>[1]节奏总纲!Y144</f>
        <v>751.84280580465565</v>
      </c>
      <c r="Z144" s="45">
        <f>[1]节奏总纲!Z144</f>
        <v>553.08294858588215</v>
      </c>
      <c r="AA144" s="45">
        <f>[1]节奏总纲!AA144</f>
        <v>297.41034008675888</v>
      </c>
      <c r="AC144" s="45">
        <v>141</v>
      </c>
      <c r="AD144" s="45">
        <f>[1]节奏总纲!AD144</f>
        <v>71.488808450176208</v>
      </c>
      <c r="AE144" s="45">
        <f>[1]节奏总纲!AE144</f>
        <v>73.572850073134703</v>
      </c>
      <c r="AF144" s="45">
        <f>[1]节奏总纲!AF144</f>
        <v>76.447626306407713</v>
      </c>
      <c r="AG144" s="45">
        <f>[1]节奏总纲!AG144</f>
        <v>81.023848662825003</v>
      </c>
      <c r="AH144" s="45">
        <f>[1]节奏总纲!AH144</f>
        <v>90.267666537059071</v>
      </c>
      <c r="AZ144" s="45">
        <v>141</v>
      </c>
      <c r="BA144" s="45">
        <f>[1]节奏总纲!BA144</f>
        <v>40.332161749411313</v>
      </c>
      <c r="BB144" s="45">
        <f>[1]节奏总纲!BB144</f>
        <v>41.841717749696201</v>
      </c>
      <c r="BC144" s="45">
        <f>[1]节奏总纲!BC144</f>
        <v>43.77911147780199</v>
      </c>
      <c r="BD144" s="45">
        <f>[1]节奏总纲!BD144</f>
        <v>46.513210965282425</v>
      </c>
      <c r="BE144" s="45">
        <f>[1]节奏总纲!BE144</f>
        <v>51.215762335516104</v>
      </c>
    </row>
    <row r="145" spans="6:57" x14ac:dyDescent="0.15">
      <c r="F145" s="45">
        <f>[1]节奏总纲!F145</f>
        <v>143</v>
      </c>
      <c r="G145" s="45">
        <f>[1]节奏总纲!G145</f>
        <v>20170.070068243116</v>
      </c>
      <c r="N145" s="45">
        <f>[1]节奏总纲!N145</f>
        <v>152</v>
      </c>
      <c r="O145" s="45">
        <v>142</v>
      </c>
      <c r="P145" s="45">
        <f>[1]节奏总纲!P145</f>
        <v>18819.273848271412</v>
      </c>
      <c r="Q145" s="45">
        <f>[1]节奏总纲!Q145</f>
        <v>15904.16832917417</v>
      </c>
      <c r="R145" s="45">
        <f>[1]节奏总纲!R145</f>
        <v>12667.253227271489</v>
      </c>
      <c r="S145" s="45">
        <f>[1]节奏总纲!S145</f>
        <v>9003.140609013044</v>
      </c>
      <c r="T145" s="45">
        <f>[1]节奏总纲!T145</f>
        <v>4823.3798873119622</v>
      </c>
      <c r="V145" s="45">
        <v>142</v>
      </c>
      <c r="W145" s="45">
        <f>[1]节奏总纲!W145</f>
        <v>1260.3374380768109</v>
      </c>
      <c r="X145" s="45">
        <f>[1]节奏总纲!X145</f>
        <v>1065.1111689187128</v>
      </c>
      <c r="Y145" s="45">
        <f>[1]节奏总纲!Y145</f>
        <v>878.18332146683315</v>
      </c>
      <c r="Z145" s="45">
        <f>[1]节奏总纲!Z145</f>
        <v>622.26026042716148</v>
      </c>
      <c r="AA145" s="45">
        <f>[1]节奏总纲!AA145</f>
        <v>333.55984722520316</v>
      </c>
      <c r="AC145" s="45">
        <v>142</v>
      </c>
      <c r="AD145" s="45">
        <f>[1]节奏总纲!AD145</f>
        <v>71.590368553155713</v>
      </c>
      <c r="AE145" s="45">
        <f>[1]节奏总纲!AE145</f>
        <v>73.675437692703994</v>
      </c>
      <c r="AF145" s="45">
        <f>[1]节奏总纲!AF145</f>
        <v>76.547480259246996</v>
      </c>
      <c r="AG145" s="45">
        <f>[1]节奏总纲!AG145</f>
        <v>81.123332456233015</v>
      </c>
      <c r="AH145" s="45">
        <f>[1]节奏总纲!AH145</f>
        <v>90.373925583132547</v>
      </c>
      <c r="AZ145" s="45">
        <v>142</v>
      </c>
      <c r="BA145" s="45">
        <f>[1]节奏总纲!BA145</f>
        <v>40.378780942311145</v>
      </c>
      <c r="BB145" s="45">
        <f>[1]节奏总纲!BB145</f>
        <v>41.892000518560877</v>
      </c>
      <c r="BC145" s="45">
        <f>[1]节奏总纲!BC145</f>
        <v>43.829040422381524</v>
      </c>
      <c r="BD145" s="45">
        <f>[1]节奏总纲!BD145</f>
        <v>46.561371072329244</v>
      </c>
      <c r="BE145" s="45">
        <f>[1]节奏总纲!BE145</f>
        <v>51.261973871353796</v>
      </c>
    </row>
    <row r="146" spans="6:57" x14ac:dyDescent="0.15">
      <c r="F146" s="45">
        <f>[1]节奏总纲!F146</f>
        <v>144</v>
      </c>
      <c r="G146" s="45">
        <f>[1]节奏总纲!G146</f>
        <v>21617.817610103088</v>
      </c>
      <c r="N146" s="45">
        <f>[1]节奏总纲!N146</f>
        <v>153</v>
      </c>
      <c r="O146" s="45">
        <v>143</v>
      </c>
      <c r="P146" s="45">
        <f>[1]节奏总纲!P146</f>
        <v>20170.070068243116</v>
      </c>
      <c r="Q146" s="45">
        <f>[1]节奏总纲!Q146</f>
        <v>17065.896284740498</v>
      </c>
      <c r="R146" s="45">
        <f>[1]节奏总纲!R146</f>
        <v>13594.62722599586</v>
      </c>
      <c r="S146" s="45">
        <f>[1]节奏总纲!S146</f>
        <v>9669.5315907157492</v>
      </c>
      <c r="T146" s="45">
        <f>[1]节奏总纲!T146</f>
        <v>5185.7250145453054</v>
      </c>
      <c r="V146" s="45">
        <v>143</v>
      </c>
      <c r="W146" s="45">
        <f>[1]节奏总纲!W146</f>
        <v>1350.796219971704</v>
      </c>
      <c r="X146" s="45">
        <f>[1]节奏总纲!X146</f>
        <v>1161.7279555663281</v>
      </c>
      <c r="Y146" s="45">
        <f>[1]节奏总纲!Y146</f>
        <v>927.37399872437163</v>
      </c>
      <c r="Z146" s="45">
        <f>[1]节奏总纲!Z146</f>
        <v>666.39098170270518</v>
      </c>
      <c r="AA146" s="45">
        <f>[1]节奏总纲!AA146</f>
        <v>362.34512723334319</v>
      </c>
      <c r="AC146" s="45">
        <v>143</v>
      </c>
      <c r="AD146" s="45">
        <f>[1]节奏总纲!AD146</f>
        <v>71.691928656135218</v>
      </c>
      <c r="AE146" s="45">
        <f>[1]节奏总纲!AE146</f>
        <v>73.778025312273286</v>
      </c>
      <c r="AF146" s="45">
        <f>[1]节奏总纲!AF146</f>
        <v>76.647334212086264</v>
      </c>
      <c r="AG146" s="45">
        <f>[1]节奏总纲!AG146</f>
        <v>81.222816249641028</v>
      </c>
      <c r="AH146" s="45">
        <f>[1]节奏总纲!AH146</f>
        <v>90.480184629206022</v>
      </c>
      <c r="AZ146" s="45">
        <v>143</v>
      </c>
      <c r="BA146" s="45">
        <f>[1]节奏总纲!BA146</f>
        <v>40.425400135210978</v>
      </c>
      <c r="BB146" s="45">
        <f>[1]节奏总纲!BB146</f>
        <v>41.94228328742556</v>
      </c>
      <c r="BC146" s="45">
        <f>[1]节奏总纲!BC146</f>
        <v>43.878969366961051</v>
      </c>
      <c r="BD146" s="45">
        <f>[1]节奏总纲!BD146</f>
        <v>46.609531179376063</v>
      </c>
      <c r="BE146" s="45">
        <f>[1]节奏总纲!BE146</f>
        <v>51.308185407191495</v>
      </c>
    </row>
    <row r="147" spans="6:57" x14ac:dyDescent="0.15">
      <c r="F147" s="45">
        <f>[1]节奏总纲!F147</f>
        <v>145</v>
      </c>
      <c r="G147" s="45">
        <f>[1]节奏总纲!G147</f>
        <v>23169.475005920798</v>
      </c>
      <c r="N147" s="45">
        <f>[1]节奏总纲!N147</f>
        <v>154</v>
      </c>
      <c r="O147" s="45">
        <v>144</v>
      </c>
      <c r="P147" s="45">
        <f>[1]节奏总纲!P147</f>
        <v>21617.817610103088</v>
      </c>
      <c r="Q147" s="45">
        <f>[1]节奏总纲!Q147</f>
        <v>18290.835479908223</v>
      </c>
      <c r="R147" s="45">
        <f>[1]节奏总纲!R147</f>
        <v>14585.541541536553</v>
      </c>
      <c r="S147" s="45">
        <f>[1]节奏总纲!S147</f>
        <v>10380.876016371503</v>
      </c>
      <c r="T147" s="45">
        <f>[1]节奏总纲!T147</f>
        <v>5547.1319987524521</v>
      </c>
      <c r="V147" s="45">
        <v>144</v>
      </c>
      <c r="W147" s="45">
        <f>[1]节奏总纲!W147</f>
        <v>1447.7475418599715</v>
      </c>
      <c r="X147" s="45">
        <f>[1]节奏总纲!X147</f>
        <v>1224.9391951677244</v>
      </c>
      <c r="Y147" s="45">
        <f>[1]节奏总纲!Y147</f>
        <v>990.91431554069277</v>
      </c>
      <c r="Z147" s="45">
        <f>[1]节奏总纲!Z147</f>
        <v>711.34442565575409</v>
      </c>
      <c r="AA147" s="45">
        <f>[1]节奏总纲!AA147</f>
        <v>361.40698420714671</v>
      </c>
      <c r="AC147" s="45">
        <v>144</v>
      </c>
      <c r="AD147" s="45">
        <f>[1]节奏总纲!AD147</f>
        <v>71.793488759114723</v>
      </c>
      <c r="AE147" s="45">
        <f>[1]节奏总纲!AE147</f>
        <v>73.880612931842577</v>
      </c>
      <c r="AF147" s="45">
        <f>[1]节奏总纲!AF147</f>
        <v>76.747188164925547</v>
      </c>
      <c r="AG147" s="45">
        <f>[1]节奏总纲!AG147</f>
        <v>81.322300043049054</v>
      </c>
      <c r="AH147" s="45">
        <f>[1]节奏总纲!AH147</f>
        <v>90.586443675279497</v>
      </c>
      <c r="AZ147" s="45">
        <v>144</v>
      </c>
      <c r="BA147" s="45">
        <f>[1]节奏总纲!BA147</f>
        <v>40.472019328110811</v>
      </c>
      <c r="BB147" s="45">
        <f>[1]节奏总纲!BB147</f>
        <v>41.992566056290244</v>
      </c>
      <c r="BC147" s="45">
        <f>[1]节奏总纲!BC147</f>
        <v>43.928898311540586</v>
      </c>
      <c r="BD147" s="45">
        <f>[1]节奏总纲!BD147</f>
        <v>46.657691286422882</v>
      </c>
      <c r="BE147" s="45">
        <f>[1]节奏总纲!BE147</f>
        <v>51.354396943029187</v>
      </c>
    </row>
    <row r="148" spans="6:57" x14ac:dyDescent="0.15">
      <c r="F148" s="45">
        <f>[1]节奏总纲!F148</f>
        <v>146</v>
      </c>
      <c r="G148" s="45">
        <f>[1]节奏总纲!G148</f>
        <v>24832.50022570635</v>
      </c>
      <c r="N148" s="45">
        <f>[1]节奏总纲!N148</f>
        <v>155</v>
      </c>
      <c r="O148" s="45">
        <v>145</v>
      </c>
      <c r="P148" s="45">
        <f>[1]节奏总纲!P148</f>
        <v>23169.475005920798</v>
      </c>
      <c r="Q148" s="45">
        <f>[1]节奏总纲!Q148</f>
        <v>19631.496172516694</v>
      </c>
      <c r="R148" s="45">
        <f>[1]节奏总纲!R148</f>
        <v>15650.9803664995</v>
      </c>
      <c r="S148" s="45">
        <f>[1]节奏总纲!S148</f>
        <v>11105.129370337838</v>
      </c>
      <c r="T148" s="45">
        <f>[1]节奏总纲!T148</f>
        <v>5926.7517065145412</v>
      </c>
      <c r="V148" s="45">
        <v>145</v>
      </c>
      <c r="W148" s="45">
        <f>[1]节奏总纲!W148</f>
        <v>1551.6573958177105</v>
      </c>
      <c r="X148" s="45">
        <f>[1]节奏总纲!X148</f>
        <v>1340.6606926084714</v>
      </c>
      <c r="Y148" s="45">
        <f>[1]节奏总纲!Y148</f>
        <v>1065.4388249629465</v>
      </c>
      <c r="Z148" s="45">
        <f>[1]节奏总纲!Z148</f>
        <v>724.25335396633454</v>
      </c>
      <c r="AA148" s="45">
        <f>[1]节奏总纲!AA148</f>
        <v>379.61970776208909</v>
      </c>
      <c r="AC148" s="45">
        <v>145</v>
      </c>
      <c r="AD148" s="45">
        <f>[1]节奏总纲!AD148</f>
        <v>71.895048862094214</v>
      </c>
      <c r="AE148" s="45">
        <f>[1]节奏总纲!AE148</f>
        <v>73.983200551411869</v>
      </c>
      <c r="AF148" s="45">
        <f>[1]节奏总纲!AF148</f>
        <v>76.847042117764815</v>
      </c>
      <c r="AG148" s="45">
        <f>[1]节奏总纲!AG148</f>
        <v>81.421783836457067</v>
      </c>
      <c r="AH148" s="45">
        <f>[1]节奏总纲!AH148</f>
        <v>90.692702721352973</v>
      </c>
      <c r="AZ148" s="45">
        <v>145</v>
      </c>
      <c r="BA148" s="45">
        <f>[1]节奏总纲!BA148</f>
        <v>40.518638521010651</v>
      </c>
      <c r="BB148" s="45">
        <f>[1]节奏总纲!BB148</f>
        <v>42.036975906461073</v>
      </c>
      <c r="BC148" s="45">
        <f>[1]节奏总纲!BC148</f>
        <v>43.978827256120113</v>
      </c>
      <c r="BD148" s="45">
        <f>[1]节奏总纲!BD148</f>
        <v>46.7058513934697</v>
      </c>
      <c r="BE148" s="45">
        <f>[1]节奏总纲!BE148</f>
        <v>51.400608478866879</v>
      </c>
    </row>
    <row r="149" spans="6:57" x14ac:dyDescent="0.15">
      <c r="F149" s="45">
        <f>[1]节奏总纲!F149</f>
        <v>147</v>
      </c>
      <c r="G149" s="45">
        <f>[1]节奏总纲!G149</f>
        <v>26614.886523801088</v>
      </c>
      <c r="N149" s="45">
        <f>[1]节奏总纲!N149</f>
        <v>156</v>
      </c>
      <c r="O149" s="45">
        <v>146</v>
      </c>
      <c r="P149" s="45">
        <f>[1]节奏总纲!P149</f>
        <v>24832.50022570635</v>
      </c>
      <c r="Q149" s="45">
        <f>[1]节奏总纲!Q149</f>
        <v>21035.61094119585</v>
      </c>
      <c r="R149" s="45">
        <f>[1]节奏总纲!R149</f>
        <v>16719.722401968087</v>
      </c>
      <c r="S149" s="45">
        <f>[1]节奏总纲!S149</f>
        <v>11847.5858576845</v>
      </c>
      <c r="T149" s="45">
        <f>[1]节奏总纲!T149</f>
        <v>6324.8378074874072</v>
      </c>
      <c r="V149" s="45">
        <v>146</v>
      </c>
      <c r="W149" s="45">
        <f>[1]节奏总纲!W149</f>
        <v>1663.0252197855516</v>
      </c>
      <c r="X149" s="45">
        <f>[1]节奏总纲!X149</f>
        <v>1404.1147686791555</v>
      </c>
      <c r="Y149" s="45">
        <f>[1]节奏总纲!Y149</f>
        <v>1068.7420354685873</v>
      </c>
      <c r="Z149" s="45">
        <f>[1]节奏总纲!Z149</f>
        <v>742.45648734666247</v>
      </c>
      <c r="AA149" s="45">
        <f>[1]节奏总纲!AA149</f>
        <v>398.08610097286601</v>
      </c>
      <c r="AC149" s="45">
        <v>146</v>
      </c>
      <c r="AD149" s="45">
        <f>[1]节奏总纲!AD149</f>
        <v>71.996608965073719</v>
      </c>
      <c r="AE149" s="45">
        <f>[1]节奏总纲!AE149</f>
        <v>74.078973000522922</v>
      </c>
      <c r="AF149" s="45">
        <f>[1]节奏总纲!AF149</f>
        <v>76.946896070604097</v>
      </c>
      <c r="AG149" s="45">
        <f>[1]节奏总纲!AG149</f>
        <v>81.521267629865079</v>
      </c>
      <c r="AH149" s="45">
        <f>[1]节奏总纲!AH149</f>
        <v>90.798961767426448</v>
      </c>
      <c r="AZ149" s="45">
        <v>146</v>
      </c>
      <c r="BA149" s="45">
        <f>[1]节奏总纲!BA149</f>
        <v>40.565257713910484</v>
      </c>
      <c r="BB149" s="45">
        <f>[1]节奏总纲!BB149</f>
        <v>42.080366850119908</v>
      </c>
      <c r="BC149" s="45">
        <f>[1]节奏总纲!BC149</f>
        <v>44.024818750237806</v>
      </c>
      <c r="BD149" s="45">
        <f>[1]节奏总纲!BD149</f>
        <v>46.754011500516519</v>
      </c>
      <c r="BE149" s="45">
        <f>[1]节奏总纲!BE149</f>
        <v>51.446820014704571</v>
      </c>
    </row>
    <row r="150" spans="6:57" x14ac:dyDescent="0.15">
      <c r="F150" s="45">
        <f>[1]节奏总纲!F150</f>
        <v>148</v>
      </c>
      <c r="G150" s="45">
        <f>[1]节奏总纲!G150</f>
        <v>28525.200858087381</v>
      </c>
      <c r="N150" s="45">
        <f>[1]节奏总纲!N150</f>
        <v>157</v>
      </c>
      <c r="O150" s="45">
        <v>147</v>
      </c>
      <c r="P150" s="45">
        <f>[1]节奏总纲!P150</f>
        <v>26614.886523801088</v>
      </c>
      <c r="Q150" s="45">
        <f>[1]节奏总纲!Q150</f>
        <v>22470.948692045258</v>
      </c>
      <c r="R150" s="45">
        <f>[1]节奏总纲!R150</f>
        <v>17837.296948251489</v>
      </c>
      <c r="S150" s="45">
        <f>[1]节奏总纲!S150</f>
        <v>12631.425144195997</v>
      </c>
      <c r="T150" s="45">
        <f>[1]节奏总纲!T150</f>
        <v>6754.8581997407164</v>
      </c>
      <c r="V150" s="45">
        <v>147</v>
      </c>
      <c r="W150" s="45">
        <f>[1]节奏总纲!W150</f>
        <v>1782.3862980947379</v>
      </c>
      <c r="X150" s="45">
        <f>[1]节奏总纲!X150</f>
        <v>1435.3377508494086</v>
      </c>
      <c r="Y150" s="45">
        <f>[1]节奏总纲!Y150</f>
        <v>1117.574546283402</v>
      </c>
      <c r="Z150" s="45">
        <f>[1]节奏总纲!Z150</f>
        <v>783.83928651149654</v>
      </c>
      <c r="AA150" s="45">
        <f>[1]节奏总纲!AA150</f>
        <v>430.02039225330918</v>
      </c>
      <c r="AC150" s="45">
        <v>147</v>
      </c>
      <c r="AD150" s="45">
        <f>[1]节奏总纲!AD150</f>
        <v>72.091594979242075</v>
      </c>
      <c r="AE150" s="45">
        <f>[1]节奏总纲!AE150</f>
        <v>74.173410870467364</v>
      </c>
      <c r="AF150" s="45">
        <f>[1]节奏总纲!AF150</f>
        <v>77.043751281705866</v>
      </c>
      <c r="AG150" s="45">
        <f>[1]节奏总纲!AG150</f>
        <v>81.620751423273092</v>
      </c>
      <c r="AH150" s="45">
        <f>[1]节奏总纲!AH150</f>
        <v>90.905220813499923</v>
      </c>
      <c r="AZ150" s="45">
        <v>147</v>
      </c>
      <c r="BA150" s="45">
        <f>[1]节奏总纲!BA150</f>
        <v>40.611876906810316</v>
      </c>
      <c r="BB150" s="45">
        <f>[1]节奏总纲!BB150</f>
        <v>42.123757793778736</v>
      </c>
      <c r="BC150" s="45">
        <f>[1]节奏总纲!BC150</f>
        <v>44.067911160744309</v>
      </c>
      <c r="BD150" s="45">
        <f>[1]节奏总纲!BD150</f>
        <v>46.802171607563338</v>
      </c>
      <c r="BE150" s="45">
        <f>[1]节奏总纲!BE150</f>
        <v>51.493031550542263</v>
      </c>
    </row>
    <row r="151" spans="6:57" x14ac:dyDescent="0.15">
      <c r="F151" s="45">
        <f>[1]节奏总纲!F151</f>
        <v>149</v>
      </c>
      <c r="G151" s="45">
        <f>[1]节奏总纲!G151</f>
        <v>30572.62506667812</v>
      </c>
      <c r="N151" s="45">
        <f>[1]节奏总纲!N151</f>
        <v>158</v>
      </c>
      <c r="O151" s="45">
        <v>148</v>
      </c>
      <c r="P151" s="45">
        <f>[1]节奏总纲!P151</f>
        <v>28525.200858087381</v>
      </c>
      <c r="Q151" s="45">
        <f>[1]节奏总纲!Q151</f>
        <v>24083.827084483179</v>
      </c>
      <c r="R151" s="45">
        <f>[1]节奏总纲!R151</f>
        <v>19128.999695433398</v>
      </c>
      <c r="S151" s="45">
        <f>[1]节奏总纲!S151</f>
        <v>13566.58552810636</v>
      </c>
      <c r="T151" s="45">
        <f>[1]节奏总纲!T151</f>
        <v>7242.5484978683862</v>
      </c>
      <c r="V151" s="45">
        <v>148</v>
      </c>
      <c r="W151" s="45">
        <f>[1]节奏总纲!W151</f>
        <v>1910.3143342862932</v>
      </c>
      <c r="X151" s="45">
        <f>[1]节奏总纲!X151</f>
        <v>1612.8783924379204</v>
      </c>
      <c r="Y151" s="45">
        <f>[1]节奏总纲!Y151</f>
        <v>1291.7027471819092</v>
      </c>
      <c r="Z151" s="45">
        <f>[1]节奏总纲!Z151</f>
        <v>935.16038391036273</v>
      </c>
      <c r="AA151" s="45">
        <f>[1]节奏总纲!AA151</f>
        <v>487.69029812766985</v>
      </c>
      <c r="AC151" s="45">
        <v>148</v>
      </c>
      <c r="AD151" s="45">
        <f>[1]节奏总纲!AD151</f>
        <v>72.186353905945822</v>
      </c>
      <c r="AE151" s="45">
        <f>[1]节奏总纲!AE151</f>
        <v>74.267848740411821</v>
      </c>
      <c r="AF151" s="45">
        <f>[1]节奏总纲!AF151</f>
        <v>77.137200185007629</v>
      </c>
      <c r="AG151" s="45">
        <f>[1]节奏总纲!AG151</f>
        <v>81.720235216681118</v>
      </c>
      <c r="AH151" s="45">
        <f>[1]节奏总纲!AH151</f>
        <v>91.011076811620597</v>
      </c>
      <c r="AZ151" s="45">
        <v>148</v>
      </c>
      <c r="BA151" s="45">
        <f>[1]节奏总纲!BA151</f>
        <v>40.658496099710149</v>
      </c>
      <c r="BB151" s="45">
        <f>[1]节奏总纲!BB151</f>
        <v>42.167148737437564</v>
      </c>
      <c r="BC151" s="45">
        <f>[1]节奏总纲!BC151</f>
        <v>44.111003571250812</v>
      </c>
      <c r="BD151" s="45">
        <f>[1]节奏总纲!BD151</f>
        <v>46.850331714610157</v>
      </c>
      <c r="BE151" s="45">
        <f>[1]节奏总纲!BE151</f>
        <v>51.539243086379955</v>
      </c>
    </row>
    <row r="152" spans="6:57" x14ac:dyDescent="0.15">
      <c r="F152" s="45">
        <f>[1]节奏总纲!F152</f>
        <v>150</v>
      </c>
      <c r="G152" s="45">
        <f>[1]节奏总纲!G152</f>
        <v>32767</v>
      </c>
      <c r="N152" s="45">
        <f>[1]节奏总纲!N152</f>
        <v>159</v>
      </c>
      <c r="O152" s="45">
        <v>149</v>
      </c>
      <c r="P152" s="45">
        <f>[1]节奏总纲!P152</f>
        <v>30572.62506667812</v>
      </c>
      <c r="Q152" s="45">
        <f>[1]节奏总纲!Q152</f>
        <v>25818.581868809673</v>
      </c>
      <c r="R152" s="45">
        <f>[1]节奏总纲!R152</f>
        <v>20520.345944754354</v>
      </c>
      <c r="S152" s="45">
        <f>[1]节奏总纲!S152</f>
        <v>14549.512269232117</v>
      </c>
      <c r="T152" s="45">
        <f>[1]节奏总纲!T152</f>
        <v>7768.50402944291</v>
      </c>
      <c r="V152" s="45">
        <v>149</v>
      </c>
      <c r="W152" s="45">
        <f>[1]节奏总纲!W152</f>
        <v>2047.424208590739</v>
      </c>
      <c r="X152" s="45">
        <f>[1]节奏总纲!X152</f>
        <v>1734.7547843264947</v>
      </c>
      <c r="Y152" s="45">
        <f>[1]节奏总纲!Y152</f>
        <v>1391.3462493209554</v>
      </c>
      <c r="Z152" s="45">
        <f>[1]节奏总纲!Z152</f>
        <v>982.92674112575696</v>
      </c>
      <c r="AA152" s="45">
        <f>[1]节奏总纲!AA152</f>
        <v>525.95553157452377</v>
      </c>
      <c r="AC152" s="45">
        <v>149</v>
      </c>
      <c r="AD152" s="45">
        <f>[1]节奏总纲!AD152</f>
        <v>72.281112832649583</v>
      </c>
      <c r="AE152" s="45">
        <f>[1]节奏总纲!AE152</f>
        <v>74.362286610356264</v>
      </c>
      <c r="AF152" s="45">
        <f>[1]节奏总纲!AF152</f>
        <v>77.230649088309391</v>
      </c>
      <c r="AG152" s="45">
        <f>[1]节奏总纲!AG152</f>
        <v>81.819719010089131</v>
      </c>
      <c r="AH152" s="45">
        <f>[1]节奏总纲!AH152</f>
        <v>91.113605194377854</v>
      </c>
      <c r="AZ152" s="45">
        <v>149</v>
      </c>
      <c r="BA152" s="45">
        <f>[1]节奏总纲!BA152</f>
        <v>40.705115292609982</v>
      </c>
      <c r="BB152" s="45">
        <f>[1]节奏总纲!BB152</f>
        <v>42.2105396810964</v>
      </c>
      <c r="BC152" s="45">
        <f>[1]节奏总纲!BC152</f>
        <v>44.154095981757315</v>
      </c>
      <c r="BD152" s="45">
        <f>[1]节奏总纲!BD152</f>
        <v>46.898491821656968</v>
      </c>
      <c r="BE152" s="45">
        <f>[1]节奏总纲!BE152</f>
        <v>51.585454622217647</v>
      </c>
    </row>
    <row r="153" spans="6:57" x14ac:dyDescent="0.15">
      <c r="N153" s="45">
        <f>[1]节奏总纲!N153</f>
        <v>160</v>
      </c>
      <c r="O153" s="45">
        <v>150</v>
      </c>
      <c r="P153" s="45">
        <f>[1]节奏总纲!P153</f>
        <v>32767</v>
      </c>
      <c r="Q153" s="45">
        <f>[1]节奏总纲!Q153</f>
        <v>27671.731500000002</v>
      </c>
      <c r="R153" s="45">
        <f>[1]节奏总纲!R153</f>
        <v>21996.487099999998</v>
      </c>
      <c r="S153" s="45">
        <f>[1]节奏总纲!S153</f>
        <v>15603.645400000001</v>
      </c>
      <c r="T153" s="45">
        <f>[1]节奏总纲!T153</f>
        <v>8355.5850000000009</v>
      </c>
      <c r="V153" s="45">
        <v>150</v>
      </c>
      <c r="W153" s="45">
        <f>[1]节奏总纲!W153</f>
        <v>2194.3749333218802</v>
      </c>
      <c r="X153" s="45">
        <f>[1]节奏总纲!X153</f>
        <v>1853.1496311903284</v>
      </c>
      <c r="Y153" s="45">
        <f>[1]节奏总纲!Y153</f>
        <v>1476.1411552456448</v>
      </c>
      <c r="Z153" s="45">
        <f>[1]节奏总纲!Z153</f>
        <v>1054.1331307678847</v>
      </c>
      <c r="AA153" s="45">
        <f>[1]节奏总纲!AA153</f>
        <v>587.08097055709095</v>
      </c>
      <c r="AC153" s="45">
        <v>150</v>
      </c>
      <c r="AD153" s="45">
        <f>[1]节奏总纲!AD153</f>
        <v>72.375871759353331</v>
      </c>
      <c r="AE153" s="45">
        <f>[1]节奏总纲!AE153</f>
        <v>74.456724480300707</v>
      </c>
      <c r="AF153" s="45">
        <f>[1]节奏总纲!AF153</f>
        <v>77.324097991611154</v>
      </c>
      <c r="AG153" s="45">
        <f>[1]节奏总纲!AG153</f>
        <v>81.919202803497143</v>
      </c>
      <c r="AH153" s="45">
        <f>[1]节奏总纲!AH153</f>
        <v>91.216133577135096</v>
      </c>
      <c r="AZ153" s="45">
        <v>150</v>
      </c>
      <c r="BA153" s="45">
        <f>[1]节奏总纲!BA153</f>
        <v>40.751734485509814</v>
      </c>
      <c r="BB153" s="45">
        <f>[1]节奏总纲!BB153</f>
        <v>42.253930624755228</v>
      </c>
      <c r="BC153" s="45">
        <f>[1]节奏总纲!BC153</f>
        <v>44.197188392263818</v>
      </c>
      <c r="BD153" s="45">
        <f>[1]节奏总纲!BD153</f>
        <v>46.946651928703787</v>
      </c>
      <c r="BE153" s="45">
        <f>[1]节奏总纲!BE153</f>
        <v>51.631666158055346</v>
      </c>
    </row>
    <row r="154" spans="6:57" x14ac:dyDescent="0.15">
      <c r="N154" s="45">
        <f>[1]节奏总纲!N154</f>
        <v>161</v>
      </c>
      <c r="O154" s="45">
        <v>151</v>
      </c>
      <c r="P154" s="45">
        <f>[1]节奏总纲!P154</f>
        <v>35118.87282038921</v>
      </c>
      <c r="Q154" s="45">
        <f>[1]节奏总纲!Q154</f>
        <v>29671.935645946844</v>
      </c>
      <c r="R154" s="45">
        <f>[1]节奏总纲!R154</f>
        <v>23592.858760737468</v>
      </c>
      <c r="S154" s="45">
        <f>[1]节奏总纲!S154</f>
        <v>16804.380644556237</v>
      </c>
      <c r="T154" s="45">
        <f>[1]节奏总纲!T154</f>
        <v>9095.7880604808051</v>
      </c>
      <c r="V154" s="45">
        <v>151</v>
      </c>
      <c r="W154" s="45">
        <f>[1]节奏总纲!W154</f>
        <v>2351.8728203892097</v>
      </c>
      <c r="X154" s="45">
        <f>[1]节奏总纲!X154</f>
        <v>2000.2041459468419</v>
      </c>
      <c r="Y154" s="45">
        <f>[1]节奏总纲!Y154</f>
        <v>1596.3716607374699</v>
      </c>
      <c r="Z154" s="45">
        <f>[1]节奏总纲!Z154</f>
        <v>1200.7352445562356</v>
      </c>
      <c r="AA154" s="45">
        <f>[1]节奏总纲!AA154</f>
        <v>740.2030604808042</v>
      </c>
      <c r="AC154" s="45">
        <v>151</v>
      </c>
      <c r="AD154" s="45">
        <f>[1]节奏总纲!AD154</f>
        <v>72.470630686057078</v>
      </c>
      <c r="AE154" s="45">
        <f>[1]节奏总纲!AE154</f>
        <v>74.551162350245164</v>
      </c>
      <c r="AF154" s="45">
        <f>[1]节奏总纲!AF154</f>
        <v>77.417546894912917</v>
      </c>
      <c r="AG154" s="45">
        <f>[1]节奏总纲!AG154</f>
        <v>82.01744549958407</v>
      </c>
      <c r="AH154" s="45">
        <f>[1]节奏总纲!AH154</f>
        <v>91.318661959892353</v>
      </c>
      <c r="AZ154" s="45">
        <v>151</v>
      </c>
      <c r="BA154" s="45">
        <f>[1]节奏总纲!BA154</f>
        <v>40.798353678409647</v>
      </c>
      <c r="BB154" s="45">
        <f>[1]节奏总纲!BB154</f>
        <v>42.297321568414056</v>
      </c>
      <c r="BC154" s="45">
        <f>[1]节奏总纲!BC154</f>
        <v>44.240280802770329</v>
      </c>
      <c r="BD154" s="45">
        <f>[1]节奏总纲!BD154</f>
        <v>46.994812035750606</v>
      </c>
      <c r="BE154" s="45">
        <f>[1]节奏总纲!BE154</f>
        <v>51.677877693893038</v>
      </c>
    </row>
    <row r="155" spans="6:57" x14ac:dyDescent="0.15">
      <c r="N155" s="45">
        <f>[1]节奏总纲!N155</f>
        <v>162</v>
      </c>
      <c r="O155" s="45">
        <v>152</v>
      </c>
      <c r="P155" s="45">
        <f>[1]节奏总纲!P155</f>
        <v>37639.547696542824</v>
      </c>
      <c r="Q155" s="45">
        <f>[1]节奏总纲!Q155</f>
        <v>31794.125939269725</v>
      </c>
      <c r="R155" s="45">
        <f>[1]节奏总纲!R155</f>
        <v>25425.514469014677</v>
      </c>
      <c r="S155" s="45">
        <f>[1]节奏总纲!S155</f>
        <v>18255.180632823271</v>
      </c>
      <c r="T155" s="45">
        <f>[1]节奏总纲!T155</f>
        <v>14114.830386203559</v>
      </c>
      <c r="V155" s="45">
        <v>152</v>
      </c>
      <c r="W155" s="45">
        <f>[1]节奏总纲!W155</f>
        <v>2520.6748761536146</v>
      </c>
      <c r="X155" s="45">
        <f>[1]节奏总纲!X155</f>
        <v>2122.1902933228812</v>
      </c>
      <c r="Y155" s="45">
        <f>[1]节奏总纲!Y155</f>
        <v>1832.6557082772088</v>
      </c>
      <c r="Z155" s="45">
        <f>[1]节奏总纲!Z155</f>
        <v>1450.7999882670338</v>
      </c>
      <c r="AA155" s="45">
        <f>[1]节奏总纲!AA155</f>
        <v>5019.042325722754</v>
      </c>
      <c r="AC155" s="45">
        <v>152</v>
      </c>
      <c r="AD155" s="45">
        <f>[1]节奏总纲!AD155</f>
        <v>72.565389612760825</v>
      </c>
      <c r="AE155" s="45">
        <f>[1]节奏总纲!AE155</f>
        <v>74.645600220189607</v>
      </c>
      <c r="AF155" s="45">
        <f>[1]节奏总纲!AF155</f>
        <v>77.51099579821468</v>
      </c>
      <c r="AG155" s="45">
        <f>[1]节奏总纲!AG155</f>
        <v>82.110321933176039</v>
      </c>
      <c r="AH155" s="45">
        <f>[1]节奏总纲!AH155</f>
        <v>91.421190342649595</v>
      </c>
      <c r="AZ155" s="45">
        <v>152</v>
      </c>
      <c r="BA155" s="45">
        <f>[1]节奏总纲!BA155</f>
        <v>40.84497287130948</v>
      </c>
      <c r="BB155" s="45">
        <f>[1]节奏总纲!BB155</f>
        <v>42.340712512072891</v>
      </c>
      <c r="BC155" s="45">
        <f>[1]节奏总纲!BC155</f>
        <v>44.283373213276832</v>
      </c>
      <c r="BD155" s="45">
        <f>[1]节奏总纲!BD155</f>
        <v>47.037096473408994</v>
      </c>
      <c r="BE155" s="45">
        <f>[1]节奏总纲!BE155</f>
        <v>51.72408922973073</v>
      </c>
    </row>
    <row r="156" spans="6:57" x14ac:dyDescent="0.15">
      <c r="N156" s="45">
        <f>[1]节奏总纲!N156</f>
        <v>163</v>
      </c>
      <c r="O156" s="45">
        <v>153</v>
      </c>
      <c r="P156" s="45">
        <f>[1]节奏总纲!P156</f>
        <v>40341.140136486232</v>
      </c>
      <c r="Q156" s="45">
        <f>[1]节奏总纲!Q156</f>
        <v>34330.31025614978</v>
      </c>
      <c r="R156" s="45">
        <f>[1]节奏总纲!R156</f>
        <v>27552.998713220099</v>
      </c>
      <c r="S156" s="45">
        <f>[1]节奏总纲!S156</f>
        <v>24204.684081891737</v>
      </c>
      <c r="T156" s="45">
        <f>[1]节奏总纲!T156</f>
        <v>24204.684081891737</v>
      </c>
      <c r="V156" s="45">
        <v>153</v>
      </c>
      <c r="W156" s="45">
        <f>[1]节奏总纲!W156</f>
        <v>2701.592439943408</v>
      </c>
      <c r="X156" s="45">
        <f>[1]节奏总纲!X156</f>
        <v>2536.1843168800551</v>
      </c>
      <c r="Y156" s="45">
        <f>[1]节奏总纲!Y156</f>
        <v>2127.4842442054214</v>
      </c>
      <c r="Z156" s="45">
        <f>[1]节奏总纲!Z156</f>
        <v>5949.5034490684666</v>
      </c>
      <c r="AA156" s="45">
        <f>[1]节奏总纲!AA156</f>
        <v>10089.853695688178</v>
      </c>
      <c r="AC156" s="45">
        <v>153</v>
      </c>
      <c r="AD156" s="45">
        <f>[1]节奏总纲!AD156</f>
        <v>72.660148539464572</v>
      </c>
      <c r="AE156" s="45">
        <f>[1]节奏总纲!AE156</f>
        <v>74.74003809013405</v>
      </c>
      <c r="AF156" s="45">
        <f>[1]节奏总纲!AF156</f>
        <v>77.604444701516456</v>
      </c>
      <c r="AG156" s="45">
        <f>[1]节奏总纲!AG156</f>
        <v>82.203198366767992</v>
      </c>
      <c r="AH156" s="45">
        <f>[1]节奏总纲!AH156</f>
        <v>91.523718725406852</v>
      </c>
      <c r="AZ156" s="45">
        <v>153</v>
      </c>
      <c r="BA156" s="45">
        <f>[1]节奏总纲!BA156</f>
        <v>40.891592064209313</v>
      </c>
      <c r="BB156" s="45">
        <f>[1]节奏总纲!BB156</f>
        <v>42.384103455731719</v>
      </c>
      <c r="BC156" s="45">
        <f>[1]节奏总纲!BC156</f>
        <v>44.326465623783335</v>
      </c>
      <c r="BD156" s="45">
        <f>[1]节奏总纲!BD156</f>
        <v>47.078671550054786</v>
      </c>
      <c r="BE156" s="45">
        <f>[1]节奏总纲!BE156</f>
        <v>51.770300765568422</v>
      </c>
    </row>
    <row r="157" spans="6:57" x14ac:dyDescent="0.15">
      <c r="N157" s="45">
        <f>[1]节奏总纲!N157</f>
        <v>164</v>
      </c>
      <c r="O157" s="45">
        <v>154</v>
      </c>
      <c r="P157" s="45">
        <f>[1]节奏总纲!P157</f>
        <v>43236.635220206183</v>
      </c>
      <c r="Q157" s="45">
        <f>[1]节奏总纲!Q157</f>
        <v>36967.323113276288</v>
      </c>
      <c r="R157" s="45">
        <f>[1]节奏总纲!R157</f>
        <v>33940.758647861854</v>
      </c>
      <c r="S157" s="45">
        <f>[1]节奏总纲!S157</f>
        <v>34156.941823962887</v>
      </c>
      <c r="T157" s="45">
        <f>[1]节奏总纲!T157</f>
        <v>34156.941823962887</v>
      </c>
      <c r="V157" s="45">
        <v>154</v>
      </c>
      <c r="W157" s="45">
        <f>[1]节奏总纲!W157</f>
        <v>2895.4950837199503</v>
      </c>
      <c r="X157" s="45">
        <f>[1]节奏总纲!X157</f>
        <v>2637.0128571265086</v>
      </c>
      <c r="Y157" s="45">
        <f>[1]节奏总纲!Y157</f>
        <v>6387.7599346417555</v>
      </c>
      <c r="Z157" s="45">
        <f>[1]节奏总纲!Z157</f>
        <v>9952.2577420711496</v>
      </c>
      <c r="AA157" s="45">
        <f>[1]节奏总纲!AA157</f>
        <v>9952.2577420711496</v>
      </c>
      <c r="AC157" s="45">
        <v>154</v>
      </c>
      <c r="AD157" s="45">
        <f>[1]节奏总纲!AD157</f>
        <v>72.754907466168333</v>
      </c>
      <c r="AE157" s="45">
        <f>[1]节奏总纲!AE157</f>
        <v>74.834475960078507</v>
      </c>
      <c r="AF157" s="45">
        <f>[1]节奏总纲!AF157</f>
        <v>77.697893604818219</v>
      </c>
      <c r="AG157" s="45">
        <f>[1]节奏总纲!AG157</f>
        <v>82.29607480035996</v>
      </c>
      <c r="AH157" s="45">
        <f>[1]节奏总纲!AH157</f>
        <v>91.626247108164094</v>
      </c>
      <c r="AZ157" s="45">
        <v>154</v>
      </c>
      <c r="BA157" s="45">
        <f>[1]节奏总纲!BA157</f>
        <v>40.938211257109145</v>
      </c>
      <c r="BB157" s="45">
        <f>[1]节奏总纲!BB157</f>
        <v>42.427494399390554</v>
      </c>
      <c r="BC157" s="45">
        <f>[1]节奏总纲!BC157</f>
        <v>44.369558034289838</v>
      </c>
      <c r="BD157" s="45">
        <f>[1]节奏总纲!BD157</f>
        <v>47.12024662670057</v>
      </c>
      <c r="BE157" s="45">
        <f>[1]节奏总纲!BE157</f>
        <v>51.816512301406114</v>
      </c>
    </row>
    <row r="158" spans="6:57" x14ac:dyDescent="0.15">
      <c r="N158" s="45">
        <f>[1]节奏总纲!N158</f>
        <v>165</v>
      </c>
      <c r="O158" s="45">
        <v>155</v>
      </c>
      <c r="P158" s="45">
        <f>[1]节奏总纲!P158</f>
        <v>46339.950011841604</v>
      </c>
      <c r="Q158" s="45">
        <f>[1]节奏总纲!Q158</f>
        <v>44078.560451263736</v>
      </c>
      <c r="R158" s="45">
        <f>[1]节奏总纲!R158</f>
        <v>44402.940101346627</v>
      </c>
      <c r="S158" s="45">
        <f>[1]节奏总纲!S158</f>
        <v>44402.940101346627</v>
      </c>
      <c r="T158" s="45">
        <f>[1]节奏总纲!T158</f>
        <v>44541.959951382152</v>
      </c>
      <c r="V158" s="45">
        <v>155</v>
      </c>
      <c r="W158" s="45">
        <f>[1]节奏总纲!W158</f>
        <v>3103.314791635421</v>
      </c>
      <c r="X158" s="45">
        <f>[1]节奏总纲!X158</f>
        <v>7111.237337987448</v>
      </c>
      <c r="Y158" s="45">
        <f>[1]节奏总纲!Y158</f>
        <v>10462.181453484773</v>
      </c>
      <c r="Z158" s="45">
        <f>[1]节奏总纲!Z158</f>
        <v>10245.99827738374</v>
      </c>
      <c r="AA158" s="45">
        <f>[1]节奏总纲!AA158</f>
        <v>10385.018127419266</v>
      </c>
      <c r="AC158" s="45">
        <v>155</v>
      </c>
      <c r="AD158" s="45">
        <f>[1]节奏总纲!AD158</f>
        <v>72.849666392872081</v>
      </c>
      <c r="AE158" s="45">
        <f>[1]节奏总纲!AE158</f>
        <v>74.92891383002295</v>
      </c>
      <c r="AF158" s="45">
        <f>[1]节奏总纲!AF158</f>
        <v>77.791342508119982</v>
      </c>
      <c r="AG158" s="45">
        <f>[1]节奏总纲!AG158</f>
        <v>82.388951233951914</v>
      </c>
      <c r="AH158" s="45">
        <f>[1]节奏总纲!AH158</f>
        <v>91.72877549092135</v>
      </c>
      <c r="AZ158" s="45">
        <v>155</v>
      </c>
      <c r="BA158" s="45">
        <f>[1]节奏总纲!BA158</f>
        <v>40.984830450008985</v>
      </c>
      <c r="BB158" s="45">
        <f>[1]节奏总纲!BB158</f>
        <v>42.470885343049382</v>
      </c>
      <c r="BC158" s="45">
        <f>[1]节奏总纲!BC158</f>
        <v>44.412650444796341</v>
      </c>
      <c r="BD158" s="45">
        <f>[1]节奏总纲!BD158</f>
        <v>47.161821703346362</v>
      </c>
      <c r="BE158" s="45">
        <f>[1]节奏总纲!BE158</f>
        <v>51.862723837243806</v>
      </c>
    </row>
    <row r="159" spans="6:57" x14ac:dyDescent="0.15">
      <c r="N159" s="45">
        <f>[1]节奏总纲!N159</f>
        <v>166</v>
      </c>
      <c r="O159" s="45">
        <v>156</v>
      </c>
      <c r="P159" s="45">
        <f>[1]节奏总纲!P159</f>
        <v>49666.000451412707</v>
      </c>
      <c r="Q159" s="45">
        <f>[1]节奏总纲!Q159</f>
        <v>49666.000451412707</v>
      </c>
      <c r="R159" s="45">
        <f>[1]节奏总纲!R159</f>
        <v>50162.660455926831</v>
      </c>
      <c r="S159" s="45">
        <f>[1]节奏总纲!S159</f>
        <v>50162.660455926831</v>
      </c>
      <c r="T159" s="45">
        <f>[1]节奏总纲!T159</f>
        <v>50311.658457281068</v>
      </c>
      <c r="V159" s="45">
        <v>156</v>
      </c>
      <c r="W159" s="45">
        <f>[1]节奏总纲!W159</f>
        <v>3326.0504395711032</v>
      </c>
      <c r="X159" s="45">
        <f>[1]节奏总纲!X159</f>
        <v>5587.4400001489703</v>
      </c>
      <c r="Y159" s="45">
        <f>[1]节奏总纲!Y159</f>
        <v>5759.720354580204</v>
      </c>
      <c r="Z159" s="45">
        <f>[1]节奏总纲!Z159</f>
        <v>5759.720354580204</v>
      </c>
      <c r="AA159" s="45">
        <f>[1]节奏总纲!AA159</f>
        <v>5769.6985058989158</v>
      </c>
      <c r="AC159" s="45">
        <v>156</v>
      </c>
      <c r="AD159" s="45">
        <f>[1]节奏总纲!AD159</f>
        <v>72.944425319575828</v>
      </c>
      <c r="AE159" s="45">
        <f>[1]节奏总纲!AE159</f>
        <v>75.022035011469043</v>
      </c>
      <c r="AF159" s="45">
        <f>[1]节奏总纲!AF159</f>
        <v>77.884791411421745</v>
      </c>
      <c r="AG159" s="45">
        <f>[1]节奏总纲!AG159</f>
        <v>82.481827667543882</v>
      </c>
      <c r="AH159" s="45">
        <f>[1]节奏总纲!AH159</f>
        <v>91.831303873678593</v>
      </c>
      <c r="AZ159" s="45">
        <v>156</v>
      </c>
      <c r="BA159" s="45">
        <f>[1]节奏总纲!BA159</f>
        <v>41.027136894088379</v>
      </c>
      <c r="BB159" s="45">
        <f>[1]节奏总纲!BB159</f>
        <v>42.51427628670821</v>
      </c>
      <c r="BC159" s="45">
        <f>[1]节奏总纲!BC159</f>
        <v>44.455742855302844</v>
      </c>
      <c r="BD159" s="45">
        <f>[1]节奏总纲!BD159</f>
        <v>47.203396779992147</v>
      </c>
      <c r="BE159" s="45">
        <f>[1]节奏总纲!BE159</f>
        <v>51.908935373081505</v>
      </c>
    </row>
    <row r="160" spans="6:57" x14ac:dyDescent="0.15">
      <c r="N160" s="45">
        <f>[1]节奏总纲!N160</f>
        <v>167</v>
      </c>
      <c r="O160" s="45">
        <v>157</v>
      </c>
      <c r="P160" s="45">
        <f>[1]节奏总纲!P160</f>
        <v>53230.773047602182</v>
      </c>
      <c r="Q160" s="45">
        <f>[1]节奏总纲!Q160</f>
        <v>53230.773047602182</v>
      </c>
      <c r="R160" s="45">
        <f>[1]节奏总纲!R160</f>
        <v>53763.080778078205</v>
      </c>
      <c r="S160" s="45">
        <f>[1]节奏总纲!S160</f>
        <v>53763.080778078205</v>
      </c>
      <c r="T160" s="45">
        <f>[1]节奏总纲!T160</f>
        <v>53763.080778078205</v>
      </c>
      <c r="V160" s="45">
        <v>157</v>
      </c>
      <c r="W160" s="45">
        <f>[1]节奏总纲!W160</f>
        <v>3564.7725961894757</v>
      </c>
      <c r="X160" s="45">
        <f>[1]节奏总纲!X160</f>
        <v>3564.7725961894757</v>
      </c>
      <c r="Y160" s="45">
        <f>[1]节奏总纲!Y160</f>
        <v>3600.4203221513744</v>
      </c>
      <c r="Z160" s="45">
        <f>[1]节奏总纲!Z160</f>
        <v>3600.4203221513744</v>
      </c>
      <c r="AA160" s="45">
        <f>[1]节奏总纲!AA160</f>
        <v>3451.4223207971372</v>
      </c>
      <c r="AC160" s="45">
        <v>157</v>
      </c>
      <c r="AD160" s="45">
        <f>[1]节奏总纲!AD160</f>
        <v>73.036560194527354</v>
      </c>
      <c r="AE160" s="45">
        <f>[1]节奏总纲!AE160</f>
        <v>75.111147990406067</v>
      </c>
      <c r="AF160" s="45">
        <f>[1]节奏总纲!AF160</f>
        <v>77.978240314723507</v>
      </c>
      <c r="AG160" s="45">
        <f>[1]节奏总纲!AG160</f>
        <v>82.574704101135836</v>
      </c>
      <c r="AH160" s="45">
        <f>[1]节奏总纲!AH160</f>
        <v>91.933832256435849</v>
      </c>
      <c r="AZ160" s="45">
        <v>157</v>
      </c>
      <c r="BA160" s="45">
        <f>[1]节奏总纲!BA160</f>
        <v>41.067363109180121</v>
      </c>
      <c r="BB160" s="45">
        <f>[1]节奏总纲!BB160</f>
        <v>42.557667230367045</v>
      </c>
      <c r="BC160" s="45">
        <f>[1]节奏总纲!BC160</f>
        <v>44.498835265809355</v>
      </c>
      <c r="BD160" s="45">
        <f>[1]节奏总纲!BD160</f>
        <v>47.244971856637939</v>
      </c>
      <c r="BE160" s="45">
        <f>[1]节奏总纲!BE160</f>
        <v>51.955146908919197</v>
      </c>
    </row>
    <row r="161" spans="14:57" x14ac:dyDescent="0.15">
      <c r="N161" s="45">
        <f>[1]节奏总纲!N161</f>
        <v>168</v>
      </c>
      <c r="O161" s="45">
        <v>158</v>
      </c>
      <c r="P161" s="45">
        <f>[1]节奏总纲!P161</f>
        <v>57051.401716174769</v>
      </c>
      <c r="Q161" s="45">
        <f>[1]节奏总纲!Q161</f>
        <v>57051.401716174769</v>
      </c>
      <c r="R161" s="45">
        <f>[1]节奏总纲!R161</f>
        <v>57621.915733336515</v>
      </c>
      <c r="S161" s="45">
        <f>[1]节奏总纲!S161</f>
        <v>57621.915733336515</v>
      </c>
      <c r="T161" s="45">
        <f>[1]节奏总纲!T161</f>
        <v>57621.915733336515</v>
      </c>
      <c r="V161" s="45">
        <v>158</v>
      </c>
      <c r="W161" s="45">
        <f>[1]节奏总纲!W161</f>
        <v>3820.6286685725863</v>
      </c>
      <c r="X161" s="45">
        <f>[1]节奏总纲!X161</f>
        <v>3820.6286685725863</v>
      </c>
      <c r="Y161" s="45">
        <f>[1]节奏总纲!Y161</f>
        <v>3858.8349552583095</v>
      </c>
      <c r="Z161" s="45">
        <f>[1]节奏总纲!Z161</f>
        <v>3858.8349552583095</v>
      </c>
      <c r="AA161" s="45">
        <f>[1]节奏总纲!AA161</f>
        <v>3858.8349552583095</v>
      </c>
      <c r="AC161" s="45">
        <v>158</v>
      </c>
      <c r="AD161" s="45">
        <f>[1]节奏总纲!AD161</f>
        <v>73.124973399384572</v>
      </c>
      <c r="AE161" s="45">
        <f>[1]节奏总纲!AE161</f>
        <v>75.200260969343077</v>
      </c>
      <c r="AF161" s="45">
        <f>[1]节奏总纲!AF161</f>
        <v>78.066694029528094</v>
      </c>
      <c r="AG161" s="45">
        <f>[1]节奏总纲!AG161</f>
        <v>82.667580534727804</v>
      </c>
      <c r="AH161" s="45">
        <f>[1]节奏总纲!AH161</f>
        <v>92.033129415212969</v>
      </c>
      <c r="AZ161" s="45">
        <v>158</v>
      </c>
      <c r="BA161" s="45">
        <f>[1]节奏总纲!BA161</f>
        <v>41.107589324271871</v>
      </c>
      <c r="BB161" s="45">
        <f>[1]节奏总纲!BB161</f>
        <v>42.601058174025873</v>
      </c>
      <c r="BC161" s="45">
        <f>[1]节奏总纲!BC161</f>
        <v>44.541927676315858</v>
      </c>
      <c r="BD161" s="45">
        <f>[1]节奏总纲!BD161</f>
        <v>47.286546933283724</v>
      </c>
      <c r="BE161" s="45">
        <f>[1]节奏总纲!BE161</f>
        <v>52.001173105835825</v>
      </c>
    </row>
    <row r="162" spans="14:57" x14ac:dyDescent="0.15">
      <c r="N162" s="45">
        <f>[1]节奏总纲!N162</f>
        <v>169</v>
      </c>
      <c r="O162" s="45">
        <v>159</v>
      </c>
      <c r="P162" s="45">
        <f>[1]节奏总纲!P162</f>
        <v>61146.25013335624</v>
      </c>
      <c r="Q162" s="45">
        <f>[1]节奏总纲!Q162</f>
        <v>61146.25013335624</v>
      </c>
      <c r="R162" s="45">
        <f>[1]节奏总纲!R162</f>
        <v>61757.7126346898</v>
      </c>
      <c r="S162" s="45">
        <f>[1]节奏总纲!S162</f>
        <v>61757.7126346898</v>
      </c>
      <c r="T162" s="45">
        <f>[1]节奏总纲!T162</f>
        <v>61757.7126346898</v>
      </c>
      <c r="V162" s="45">
        <v>159</v>
      </c>
      <c r="W162" s="45">
        <f>[1]节奏总纲!W162</f>
        <v>4094.8484171814707</v>
      </c>
      <c r="X162" s="45">
        <f>[1]节奏总纲!X162</f>
        <v>4094.8484171814707</v>
      </c>
      <c r="Y162" s="45">
        <f>[1]节奏总纲!Y162</f>
        <v>4135.7969013532856</v>
      </c>
      <c r="Z162" s="45">
        <f>[1]节奏总纲!Z162</f>
        <v>4135.7969013532856</v>
      </c>
      <c r="AA162" s="45">
        <f>[1]节奏总纲!AA162</f>
        <v>4135.7969013532856</v>
      </c>
      <c r="AC162" s="45">
        <v>159</v>
      </c>
      <c r="AD162" s="45">
        <f>[1]节奏总纲!AD162</f>
        <v>73.213386604241791</v>
      </c>
      <c r="AE162" s="45">
        <f>[1]节奏总纲!AE162</f>
        <v>75.289373948280101</v>
      </c>
      <c r="AF162" s="45">
        <f>[1]节奏总纲!AF162</f>
        <v>78.153631564737054</v>
      </c>
      <c r="AG162" s="45">
        <f>[1]节奏总纲!AG162</f>
        <v>82.760456968319758</v>
      </c>
      <c r="AH162" s="45">
        <f>[1]节奏总纲!AH162</f>
        <v>92.126546512350387</v>
      </c>
      <c r="AZ162" s="45">
        <v>159</v>
      </c>
      <c r="BA162" s="45">
        <f>[1]节奏总纲!BA162</f>
        <v>41.147815539363613</v>
      </c>
      <c r="BB162" s="45">
        <f>[1]节奏总纲!BB162</f>
        <v>42.644449117684701</v>
      </c>
      <c r="BC162" s="45">
        <f>[1]节奏总纲!BC162</f>
        <v>44.585020086822361</v>
      </c>
      <c r="BD162" s="45">
        <f>[1]节奏总纲!BD162</f>
        <v>47.328122009929508</v>
      </c>
      <c r="BE162" s="45">
        <f>[1]节奏总纲!BE162</f>
        <v>52.041079787427918</v>
      </c>
    </row>
    <row r="163" spans="14:57" x14ac:dyDescent="0.15">
      <c r="N163" s="45">
        <f>[1]节奏总纲!N163</f>
        <v>170</v>
      </c>
      <c r="O163" s="45">
        <v>160</v>
      </c>
      <c r="P163" s="45">
        <f>[1]节奏总纲!P163</f>
        <v>65535</v>
      </c>
      <c r="Q163" s="45">
        <f>[1]节奏总纲!Q163</f>
        <v>65535</v>
      </c>
      <c r="R163" s="45">
        <f>[1]节奏总纲!R163</f>
        <v>66190.350000000006</v>
      </c>
      <c r="S163" s="45">
        <f>[1]节奏总纲!S163</f>
        <v>66190.350000000006</v>
      </c>
      <c r="T163" s="45">
        <f>[1]节奏总纲!T163</f>
        <v>66190.350000000006</v>
      </c>
      <c r="V163" s="45">
        <v>160</v>
      </c>
      <c r="W163" s="45">
        <f>[1]节奏总纲!W163</f>
        <v>4388.7498666437605</v>
      </c>
      <c r="X163" s="45">
        <f>[1]节奏总纲!X163</f>
        <v>4388.7498666437605</v>
      </c>
      <c r="Y163" s="45">
        <f>[1]节奏总纲!Y163</f>
        <v>4432.6373653102055</v>
      </c>
      <c r="Z163" s="45">
        <f>[1]节奏总纲!Z163</f>
        <v>4432.6373653102055</v>
      </c>
      <c r="AA163" s="45">
        <f>[1]节奏总纲!AA163</f>
        <v>4432.6373653102055</v>
      </c>
      <c r="AC163" s="45">
        <v>160</v>
      </c>
      <c r="AD163" s="45">
        <f>[1]节奏总纲!AD163</f>
        <v>73.301799809099009</v>
      </c>
      <c r="AE163" s="45">
        <f>[1]节奏总纲!AE163</f>
        <v>75.378486927217125</v>
      </c>
      <c r="AF163" s="45">
        <f>[1]节奏总纲!AF163</f>
        <v>78.240569099946029</v>
      </c>
      <c r="AG163" s="45">
        <f>[1]节奏总纲!AG163</f>
        <v>82.853333401911726</v>
      </c>
      <c r="AH163" s="45">
        <f>[1]节奏总纲!AH163</f>
        <v>92.219963609487792</v>
      </c>
      <c r="AZ163" s="45">
        <v>160</v>
      </c>
      <c r="BA163" s="45">
        <f>[1]节奏总纲!BA163</f>
        <v>41.188041754455355</v>
      </c>
      <c r="BB163" s="45">
        <f>[1]节奏总纲!BB163</f>
        <v>42.687840061343536</v>
      </c>
      <c r="BC163" s="45">
        <f>[1]节奏总纲!BC163</f>
        <v>44.628112497328864</v>
      </c>
      <c r="BD163" s="45">
        <f>[1]节奏总纲!BD163</f>
        <v>47.3696970865753</v>
      </c>
      <c r="BE163" s="45">
        <f>[1]节奏总纲!BE163</f>
        <v>52.080986469020011</v>
      </c>
    </row>
    <row r="164" spans="14:57" x14ac:dyDescent="0.15">
      <c r="AC164" s="45">
        <v>161</v>
      </c>
      <c r="AD164" s="45">
        <f>[1]节奏总纲!AD164</f>
        <v>73.390213013956213</v>
      </c>
      <c r="AE164" s="45">
        <f>[1]节奏总纲!AE164</f>
        <v>75.467599906154135</v>
      </c>
      <c r="AF164" s="45">
        <f>[1]节奏总纲!AF164</f>
        <v>78.32750663515499</v>
      </c>
      <c r="AG164" s="45">
        <f>[1]节奏总纲!AG164</f>
        <v>82.94620983550368</v>
      </c>
      <c r="AH164" s="45">
        <f>[1]节奏总纲!AH164</f>
        <v>92.313380706625196</v>
      </c>
      <c r="AZ164" s="45">
        <v>161</v>
      </c>
      <c r="BA164" s="45">
        <f>[1]节奏总纲!BA164</f>
        <v>41.228267969547105</v>
      </c>
      <c r="BB164" s="45">
        <f>[1]节奏总纲!BB164</f>
        <v>42.731231005002364</v>
      </c>
      <c r="BC164" s="45">
        <f>[1]节奏总纲!BC164</f>
        <v>44.671204907835367</v>
      </c>
      <c r="BD164" s="45">
        <f>[1]节奏总纲!BD164</f>
        <v>47.411272163221085</v>
      </c>
      <c r="BE164" s="45">
        <f>[1]节奏总纲!BE164</f>
        <v>52.120893150612112</v>
      </c>
    </row>
    <row r="165" spans="14:57" x14ac:dyDescent="0.15">
      <c r="AC165" s="45">
        <v>162</v>
      </c>
      <c r="AD165" s="45">
        <f>[1]节奏总纲!AD165</f>
        <v>73.478626218813432</v>
      </c>
      <c r="AE165" s="45">
        <f>[1]节奏总纲!AE165</f>
        <v>75.556712885091159</v>
      </c>
      <c r="AF165" s="45">
        <f>[1]节奏总纲!AF165</f>
        <v>78.414444170363964</v>
      </c>
      <c r="AG165" s="45">
        <f>[1]节奏总纲!AG165</f>
        <v>83.036921590135321</v>
      </c>
      <c r="AH165" s="45">
        <f>[1]节奏总纲!AH165</f>
        <v>92.406797803762601</v>
      </c>
      <c r="AZ165" s="45">
        <v>162</v>
      </c>
      <c r="BA165" s="45">
        <f>[1]节奏总纲!BA165</f>
        <v>41.268494184638847</v>
      </c>
      <c r="BB165" s="45">
        <f>[1]节奏总纲!BB165</f>
        <v>42.774621948661192</v>
      </c>
      <c r="BC165" s="45">
        <f>[1]节奏总纲!BC165</f>
        <v>44.714297318341877</v>
      </c>
      <c r="BD165" s="45">
        <f>[1]节奏总纲!BD165</f>
        <v>47.452847239866877</v>
      </c>
      <c r="BE165" s="45">
        <f>[1]节奏总纲!BE165</f>
        <v>52.160799832204205</v>
      </c>
    </row>
    <row r="166" spans="14:57" x14ac:dyDescent="0.15">
      <c r="AC166" s="45">
        <v>163</v>
      </c>
      <c r="AD166" s="45">
        <f>[1]节奏总纲!AD166</f>
        <v>73.56703942367065</v>
      </c>
      <c r="AE166" s="45">
        <f>[1]节奏总纲!AE166</f>
        <v>75.645825864028183</v>
      </c>
      <c r="AF166" s="45">
        <f>[1]节奏总纲!AF166</f>
        <v>78.501381705572925</v>
      </c>
      <c r="AG166" s="45">
        <f>[1]节奏总纲!AG166</f>
        <v>83.124654333465756</v>
      </c>
      <c r="AH166" s="45">
        <f>[1]节奏总纲!AH166</f>
        <v>92.500214900900005</v>
      </c>
      <c r="AZ166" s="45">
        <v>163</v>
      </c>
      <c r="BA166" s="45">
        <f>[1]节奏总纲!BA166</f>
        <v>41.308720399730589</v>
      </c>
      <c r="BB166" s="45">
        <f>[1]节奏总纲!BB166</f>
        <v>42.818012892320027</v>
      </c>
      <c r="BC166" s="45">
        <f>[1]节奏总纲!BC166</f>
        <v>44.757389728848381</v>
      </c>
      <c r="BD166" s="45">
        <f>[1]节奏总纲!BD166</f>
        <v>47.494422316512662</v>
      </c>
      <c r="BE166" s="45">
        <f>[1]节奏总纲!BE166</f>
        <v>52.200706513796298</v>
      </c>
    </row>
    <row r="167" spans="14:57" x14ac:dyDescent="0.15">
      <c r="AC167" s="45">
        <v>164</v>
      </c>
      <c r="AD167" s="45">
        <f>[1]节奏总纲!AD167</f>
        <v>73.655452628527868</v>
      </c>
      <c r="AE167" s="45">
        <f>[1]节奏总纲!AE167</f>
        <v>75.734938842965192</v>
      </c>
      <c r="AF167" s="45">
        <f>[1]节奏总纲!AF167</f>
        <v>78.5883192407819</v>
      </c>
      <c r="AG167" s="45">
        <f>[1]节奏总纲!AG167</f>
        <v>83.21238707679619</v>
      </c>
      <c r="AH167" s="45">
        <f>[1]节奏总纲!AH167</f>
        <v>92.593631998037409</v>
      </c>
      <c r="AZ167" s="45">
        <v>164</v>
      </c>
      <c r="BA167" s="45">
        <f>[1]节奏总纲!BA167</f>
        <v>41.348946614822331</v>
      </c>
      <c r="BB167" s="45">
        <f>[1]节奏总纲!BB167</f>
        <v>42.861403835978855</v>
      </c>
      <c r="BC167" s="45">
        <f>[1]节奏总纲!BC167</f>
        <v>44.800482139354884</v>
      </c>
      <c r="BD167" s="45">
        <f>[1]节奏总纲!BD167</f>
        <v>47.535997393158453</v>
      </c>
      <c r="BE167" s="45">
        <f>[1]节奏总纲!BE167</f>
        <v>52.240613195388391</v>
      </c>
    </row>
    <row r="168" spans="14:57" x14ac:dyDescent="0.15">
      <c r="AC168" s="45">
        <v>165</v>
      </c>
      <c r="AD168" s="45">
        <f>[1]节奏总纲!AD168</f>
        <v>73.743865833385087</v>
      </c>
      <c r="AE168" s="45">
        <f>[1]节奏总纲!AE168</f>
        <v>75.824051821902216</v>
      </c>
      <c r="AF168" s="45">
        <f>[1]节奏总纲!AF168</f>
        <v>78.67525677599086</v>
      </c>
      <c r="AG168" s="45">
        <f>[1]节奏总纲!AG168</f>
        <v>83.300119820126625</v>
      </c>
      <c r="AH168" s="45">
        <f>[1]节奏总纲!AH168</f>
        <v>92.687049095174814</v>
      </c>
      <c r="AZ168" s="45">
        <v>165</v>
      </c>
      <c r="BA168" s="45">
        <f>[1]节奏总纲!BA168</f>
        <v>41.389172829914081</v>
      </c>
      <c r="BB168" s="45">
        <f>[1]节奏总纲!BB168</f>
        <v>42.904794779637683</v>
      </c>
      <c r="BC168" s="45">
        <f>[1]节奏总纲!BC168</f>
        <v>44.843574549861387</v>
      </c>
      <c r="BD168" s="45">
        <f>[1]节奏总纲!BD168</f>
        <v>47.577572469804238</v>
      </c>
      <c r="BE168" s="45">
        <f>[1]节奏总纲!BE168</f>
        <v>52.280519876980485</v>
      </c>
    </row>
    <row r="169" spans="14:57" x14ac:dyDescent="0.15">
      <c r="AC169" s="45">
        <v>166</v>
      </c>
      <c r="AD169" s="45">
        <f>[1]节奏总纲!AD169</f>
        <v>73.832279038242305</v>
      </c>
      <c r="AE169" s="45">
        <f>[1]节奏总纲!AE169</f>
        <v>75.91316480083924</v>
      </c>
      <c r="AF169" s="45">
        <f>[1]节奏总纲!AF169</f>
        <v>78.762194311199835</v>
      </c>
      <c r="AG169" s="45">
        <f>[1]节奏总纲!AG169</f>
        <v>83.387852563457059</v>
      </c>
      <c r="AH169" s="45">
        <f>[1]节奏总纲!AH169</f>
        <v>92.780466192312218</v>
      </c>
      <c r="AZ169" s="45">
        <v>166</v>
      </c>
      <c r="BA169" s="45">
        <f>[1]节奏总纲!BA169</f>
        <v>41.429399045005823</v>
      </c>
      <c r="BB169" s="45">
        <f>[1]节奏总纲!BB169</f>
        <v>42.948185723296518</v>
      </c>
      <c r="BC169" s="45">
        <f>[1]节奏总纲!BC169</f>
        <v>44.88666696036789</v>
      </c>
      <c r="BD169" s="45">
        <f>[1]节奏总纲!BD169</f>
        <v>47.619147546450023</v>
      </c>
      <c r="BE169" s="45">
        <f>[1]节奏总纲!BE169</f>
        <v>52.320426558572585</v>
      </c>
    </row>
    <row r="170" spans="14:57" x14ac:dyDescent="0.15">
      <c r="AC170" s="45">
        <v>167</v>
      </c>
      <c r="AD170" s="45">
        <f>[1]节奏总纲!AD170</f>
        <v>73.920692243099523</v>
      </c>
      <c r="AE170" s="45">
        <f>[1]节奏总纲!AE170</f>
        <v>76.002103770254962</v>
      </c>
      <c r="AF170" s="45">
        <f>[1]节奏总纲!AF170</f>
        <v>78.849131846408795</v>
      </c>
      <c r="AG170" s="45">
        <f>[1]节奏总纲!AG170</f>
        <v>83.475585306787494</v>
      </c>
      <c r="AH170" s="45">
        <f>[1]节奏总纲!AH170</f>
        <v>92.873883289449623</v>
      </c>
      <c r="AZ170" s="45">
        <v>167</v>
      </c>
      <c r="BA170" s="45">
        <f>[1]节奏总纲!BA170</f>
        <v>41.469625260097565</v>
      </c>
      <c r="BB170" s="45">
        <f>[1]节奏总纲!BB170</f>
        <v>42.991576666955346</v>
      </c>
      <c r="BC170" s="45">
        <f>[1]节奏总纲!BC170</f>
        <v>44.9297593708744</v>
      </c>
      <c r="BD170" s="45">
        <f>[1]节奏总纲!BD170</f>
        <v>47.660722623095815</v>
      </c>
      <c r="BE170" s="45">
        <f>[1]节奏总纲!BE170</f>
        <v>52.360333240164678</v>
      </c>
    </row>
    <row r="171" spans="14:57" x14ac:dyDescent="0.15">
      <c r="AC171" s="45">
        <v>168</v>
      </c>
      <c r="AD171" s="45">
        <f>[1]节奏总纲!AD171</f>
        <v>74.008495683346354</v>
      </c>
      <c r="AE171" s="45">
        <f>[1]节奏总纲!AE171</f>
        <v>76.084409020469636</v>
      </c>
      <c r="AF171" s="45">
        <f>[1]节奏总纲!AF171</f>
        <v>78.93606938161777</v>
      </c>
      <c r="AG171" s="45">
        <f>[1]节奏总纲!AG171</f>
        <v>83.563318050117928</v>
      </c>
      <c r="AH171" s="45">
        <f>[1]节奏总纲!AH171</f>
        <v>92.967300386587027</v>
      </c>
      <c r="AZ171" s="45">
        <v>168</v>
      </c>
      <c r="BA171" s="45">
        <f>[1]节奏总纲!BA171</f>
        <v>41.509851475189308</v>
      </c>
      <c r="BB171" s="45">
        <f>[1]节奏总纲!BB171</f>
        <v>43.030177309109042</v>
      </c>
      <c r="BC171" s="45">
        <f>[1]节奏总纲!BC171</f>
        <v>44.972851781380903</v>
      </c>
      <c r="BD171" s="45">
        <f>[1]节奏总纲!BD171</f>
        <v>47.7022976997416</v>
      </c>
      <c r="BE171" s="45">
        <f>[1]节奏总纲!BE171</f>
        <v>52.400239921756771</v>
      </c>
    </row>
    <row r="172" spans="14:57" x14ac:dyDescent="0.15">
      <c r="AC172" s="45">
        <v>169</v>
      </c>
      <c r="AD172" s="45">
        <f>[1]节奏总纲!AD172</f>
        <v>74.090988120365651</v>
      </c>
      <c r="AE172" s="45">
        <f>[1]节奏总纲!AE172</f>
        <v>76.166714270684309</v>
      </c>
      <c r="AF172" s="45">
        <f>[1]节奏总纲!AF172</f>
        <v>79.022812309215297</v>
      </c>
      <c r="AG172" s="45">
        <f>[1]节奏总纲!AG172</f>
        <v>83.651050793448363</v>
      </c>
      <c r="AH172" s="45">
        <f>[1]节奏总纲!AH172</f>
        <v>93.057555567360481</v>
      </c>
      <c r="AZ172" s="45">
        <v>169</v>
      </c>
      <c r="BA172" s="45">
        <f>[1]节奏总纲!BA172</f>
        <v>41.550077690281057</v>
      </c>
      <c r="BB172" s="45">
        <f>[1]节奏总纲!BB172</f>
        <v>43.067624017543686</v>
      </c>
      <c r="BC172" s="45">
        <f>[1]节奏总纲!BC172</f>
        <v>45.013762077986961</v>
      </c>
      <c r="BD172" s="45">
        <f>[1]节奏总纲!BD172</f>
        <v>47.743872776387391</v>
      </c>
      <c r="BE172" s="45">
        <f>[1]节奏总纲!BE172</f>
        <v>52.440146603348865</v>
      </c>
    </row>
    <row r="173" spans="14:57" x14ac:dyDescent="0.15">
      <c r="AC173" s="45">
        <v>170</v>
      </c>
      <c r="AD173" s="45">
        <f>[1]节奏总纲!AD173</f>
        <v>74.173480557384934</v>
      </c>
      <c r="AE173" s="45">
        <f>[1]节奏总纲!AE173</f>
        <v>76.249019520898997</v>
      </c>
      <c r="AF173" s="45">
        <f>[1]节奏总纲!AF173</f>
        <v>79.109014469658547</v>
      </c>
      <c r="AG173" s="45">
        <f>[1]节奏总纲!AG173</f>
        <v>83.738783536778797</v>
      </c>
      <c r="AH173" s="45">
        <f>[1]节奏总纲!AH173</f>
        <v>93.146107887007233</v>
      </c>
      <c r="AZ173" s="45">
        <v>170</v>
      </c>
      <c r="BA173" s="45">
        <f>[1]节奏总纲!BA173</f>
        <v>41.590303905372799</v>
      </c>
      <c r="BB173" s="45">
        <f>[1]节奏总纲!BB173</f>
        <v>43.105070725978337</v>
      </c>
      <c r="BC173" s="45">
        <f>[1]节奏总纲!BC173</f>
        <v>45.050956883357138</v>
      </c>
      <c r="BD173" s="45">
        <f>[1]节奏总纲!BD173</f>
        <v>47.785447853033176</v>
      </c>
      <c r="BE173" s="45">
        <f>[1]节奏总纲!BE173</f>
        <v>52.480053284940965</v>
      </c>
    </row>
    <row r="174" spans="14:57" x14ac:dyDescent="0.15">
      <c r="AC174" s="45">
        <v>171</v>
      </c>
      <c r="AD174" s="45">
        <f>[1]节奏总纲!AD174</f>
        <v>74.255972994404218</v>
      </c>
      <c r="AE174" s="45">
        <f>[1]节奏总纲!AE174</f>
        <v>76.331324771113671</v>
      </c>
      <c r="AF174" s="45">
        <f>[1]节奏总纲!AF174</f>
        <v>79.195216630101797</v>
      </c>
      <c r="AG174" s="45">
        <f>[1]节奏总纲!AG174</f>
        <v>83.826516280109232</v>
      </c>
      <c r="AH174" s="45">
        <f>[1]节奏总纲!AH174</f>
        <v>93.23466020665397</v>
      </c>
      <c r="AZ174" s="45">
        <v>171</v>
      </c>
      <c r="BA174" s="45">
        <f>[1]节奏总纲!BA174</f>
        <v>41.630530120464542</v>
      </c>
      <c r="BB174" s="45">
        <f>[1]节奏总纲!BB174</f>
        <v>43.14251743441298</v>
      </c>
      <c r="BC174" s="45">
        <f>[1]节奏总纲!BC174</f>
        <v>45.088151688727308</v>
      </c>
      <c r="BD174" s="45">
        <f>[1]节奏总纲!BD174</f>
        <v>47.827022929678968</v>
      </c>
      <c r="BE174" s="45">
        <f>[1]节奏总纲!BE174</f>
        <v>52.519959966533058</v>
      </c>
    </row>
    <row r="175" spans="14:57" x14ac:dyDescent="0.15">
      <c r="AC175" s="45">
        <v>172</v>
      </c>
      <c r="AD175" s="45">
        <f>[1]节奏总纲!AD175</f>
        <v>74.338465431423501</v>
      </c>
      <c r="AE175" s="45">
        <f>[1]节奏总纲!AE175</f>
        <v>76.413630021328345</v>
      </c>
      <c r="AF175" s="45">
        <f>[1]节奏总纲!AF175</f>
        <v>79.281418790545047</v>
      </c>
      <c r="AG175" s="45">
        <f>[1]节奏总纲!AG175</f>
        <v>83.914249023439666</v>
      </c>
      <c r="AH175" s="45">
        <f>[1]节奏总纲!AH175</f>
        <v>93.323212526300722</v>
      </c>
      <c r="AZ175" s="45">
        <v>172</v>
      </c>
      <c r="BA175" s="45">
        <f>[1]节奏总纲!BA175</f>
        <v>41.670756335556291</v>
      </c>
      <c r="BB175" s="45">
        <f>[1]节奏总纲!BB175</f>
        <v>43.179964142847631</v>
      </c>
      <c r="BC175" s="45">
        <f>[1]节奏总纲!BC175</f>
        <v>45.125346494097485</v>
      </c>
      <c r="BD175" s="45">
        <f>[1]节奏总纲!BD175</f>
        <v>47.868598006324753</v>
      </c>
      <c r="BE175" s="45">
        <f>[1]节奏总纲!BE175</f>
        <v>52.559866648125151</v>
      </c>
    </row>
    <row r="176" spans="14:57" x14ac:dyDescent="0.15">
      <c r="AC176" s="45">
        <v>173</v>
      </c>
      <c r="AD176" s="45">
        <f>[1]节奏总纲!AD176</f>
        <v>74.420957868442784</v>
      </c>
      <c r="AE176" s="45">
        <f>[1]节奏总纲!AE176</f>
        <v>76.495935271543019</v>
      </c>
      <c r="AF176" s="45">
        <f>[1]节奏总纲!AF176</f>
        <v>79.367620950988297</v>
      </c>
      <c r="AG176" s="45">
        <f>[1]节奏总纲!AG176</f>
        <v>84.00179325525086</v>
      </c>
      <c r="AH176" s="45">
        <f>[1]节奏总纲!AH176</f>
        <v>93.411764845947459</v>
      </c>
      <c r="AZ176" s="45">
        <v>173</v>
      </c>
      <c r="BA176" s="45">
        <f>[1]节奏总纲!BA176</f>
        <v>41.710982550648033</v>
      </c>
      <c r="BB176" s="45">
        <f>[1]节奏总纲!BB176</f>
        <v>43.217410851282274</v>
      </c>
      <c r="BC176" s="45">
        <f>[1]节奏总纲!BC176</f>
        <v>45.162541299467655</v>
      </c>
      <c r="BD176" s="45">
        <f>[1]节奏总纲!BD176</f>
        <v>47.910173082970537</v>
      </c>
      <c r="BE176" s="45">
        <f>[1]节奏总纲!BE176</f>
        <v>52.599773329717245</v>
      </c>
    </row>
    <row r="177" spans="29:57" x14ac:dyDescent="0.15">
      <c r="AC177" s="45">
        <v>174</v>
      </c>
      <c r="AD177" s="45">
        <f>[1]节奏总纲!AD177</f>
        <v>74.503450305462081</v>
      </c>
      <c r="AE177" s="45">
        <f>[1]节奏总纲!AE177</f>
        <v>76.578240521757706</v>
      </c>
      <c r="AF177" s="45">
        <f>[1]节奏总纲!AF177</f>
        <v>79.453823111431561</v>
      </c>
      <c r="AG177" s="45">
        <f>[1]节奏总纲!AG177</f>
        <v>84.08118060043364</v>
      </c>
      <c r="AH177" s="45">
        <f>[1]节奏总纲!AH177</f>
        <v>93.500317165594211</v>
      </c>
      <c r="AZ177" s="45">
        <v>174</v>
      </c>
      <c r="BA177" s="45">
        <f>[1]节奏总纲!BA177</f>
        <v>41.751208765739776</v>
      </c>
      <c r="BB177" s="45">
        <f>[1]节奏总纲!BB177</f>
        <v>43.254857559716925</v>
      </c>
      <c r="BC177" s="45">
        <f>[1]节奏总纲!BC177</f>
        <v>45.199736104837832</v>
      </c>
      <c r="BD177" s="45">
        <f>[1]节奏总纲!BD177</f>
        <v>47.951748159616329</v>
      </c>
      <c r="BE177" s="45">
        <f>[1]节奏总纲!BE177</f>
        <v>52.639680011309345</v>
      </c>
    </row>
    <row r="178" spans="29:57" x14ac:dyDescent="0.15">
      <c r="AC178" s="45">
        <v>175</v>
      </c>
      <c r="AD178" s="45">
        <f>[1]节奏总纲!AD178</f>
        <v>74.585942742481365</v>
      </c>
      <c r="AE178" s="45">
        <f>[1]节奏总纲!AE178</f>
        <v>76.66054577197238</v>
      </c>
      <c r="AF178" s="45">
        <f>[1]节奏总纲!AF178</f>
        <v>79.540025271874811</v>
      </c>
      <c r="AG178" s="45">
        <f>[1]节奏总纲!AG178</f>
        <v>84.160567945616407</v>
      </c>
      <c r="AH178" s="45">
        <f>[1]节奏总纲!AH178</f>
        <v>93.588869485240949</v>
      </c>
      <c r="AZ178" s="45">
        <v>175</v>
      </c>
      <c r="BA178" s="45">
        <f>[1]节奏总纲!BA178</f>
        <v>41.791434980831518</v>
      </c>
      <c r="BB178" s="45">
        <f>[1]节奏总纲!BB178</f>
        <v>43.292304268151575</v>
      </c>
      <c r="BC178" s="45">
        <f>[1]节奏总纲!BC178</f>
        <v>45.236930910208002</v>
      </c>
      <c r="BD178" s="45">
        <f>[1]节奏总纲!BD178</f>
        <v>47.993323236262114</v>
      </c>
      <c r="BE178" s="45">
        <f>[1]节奏总纲!BE178</f>
        <v>52.679586692901438</v>
      </c>
    </row>
    <row r="179" spans="29:57" x14ac:dyDescent="0.15">
      <c r="AC179" s="45">
        <v>176</v>
      </c>
      <c r="AD179" s="45">
        <f>[1]节奏总纲!AD179</f>
        <v>74.668435179500648</v>
      </c>
      <c r="AE179" s="45">
        <f>[1]节奏总纲!AE179</f>
        <v>76.742851022187054</v>
      </c>
      <c r="AF179" s="45">
        <f>[1]节奏总纲!AF179</f>
        <v>79.626227432318061</v>
      </c>
      <c r="AG179" s="45">
        <f>[1]节奏总纲!AG179</f>
        <v>84.239955290799188</v>
      </c>
      <c r="AH179" s="45">
        <f>[1]节奏总纲!AH179</f>
        <v>93.6774218048877</v>
      </c>
      <c r="AZ179" s="45">
        <v>176</v>
      </c>
      <c r="BA179" s="45">
        <f>[1]节奏总纲!BA179</f>
        <v>41.831661195923267</v>
      </c>
      <c r="BB179" s="45">
        <f>[1]节奏总纲!BB179</f>
        <v>43.329750976586219</v>
      </c>
      <c r="BC179" s="45">
        <f>[1]节奏总纲!BC179</f>
        <v>45.274125715578172</v>
      </c>
      <c r="BD179" s="45">
        <f>[1]节奏总纲!BD179</f>
        <v>48.030128751164234</v>
      </c>
      <c r="BE179" s="45">
        <f>[1]节奏总纲!BE179</f>
        <v>52.719493374493531</v>
      </c>
    </row>
    <row r="180" spans="29:57" x14ac:dyDescent="0.15">
      <c r="AC180" s="45">
        <v>177</v>
      </c>
      <c r="AD180" s="45">
        <f>[1]节奏总纲!AD180</f>
        <v>74.750927616519931</v>
      </c>
      <c r="AE180" s="45">
        <f>[1]节奏总纲!AE180</f>
        <v>76.825156272401728</v>
      </c>
      <c r="AF180" s="45">
        <f>[1]节奏总纲!AF180</f>
        <v>79.71242959276131</v>
      </c>
      <c r="AG180" s="45">
        <f>[1]节奏总纲!AG180</f>
        <v>84.319342635981968</v>
      </c>
      <c r="AH180" s="45">
        <f>[1]节奏总纲!AH180</f>
        <v>93.765974124534438</v>
      </c>
      <c r="AZ180" s="45">
        <v>177</v>
      </c>
      <c r="BA180" s="45">
        <f>[1]节奏总纲!BA180</f>
        <v>41.87188741101501</v>
      </c>
      <c r="BB180" s="45">
        <f>[1]节奏总纲!BB180</f>
        <v>43.367197685020869</v>
      </c>
      <c r="BC180" s="45">
        <f>[1]节奏总纲!BC180</f>
        <v>45.31132052094835</v>
      </c>
      <c r="BD180" s="45">
        <f>[1]节奏总纲!BD180</f>
        <v>48.066021750983474</v>
      </c>
      <c r="BE180" s="45">
        <f>[1]节奏总纲!BE180</f>
        <v>52.759400056085624</v>
      </c>
    </row>
    <row r="181" spans="29:57" x14ac:dyDescent="0.15">
      <c r="AC181" s="45">
        <v>178</v>
      </c>
      <c r="AD181" s="45">
        <f>[1]节奏总纲!AD181</f>
        <v>74.833420053539214</v>
      </c>
      <c r="AE181" s="45">
        <f>[1]节奏总纲!AE181</f>
        <v>76.907461522616416</v>
      </c>
      <c r="AF181" s="45">
        <f>[1]节奏总纲!AF181</f>
        <v>79.79863175320456</v>
      </c>
      <c r="AG181" s="45">
        <f>[1]节奏总纲!AG181</f>
        <v>84.398729981164735</v>
      </c>
      <c r="AH181" s="45">
        <f>[1]节奏总纲!AH181</f>
        <v>93.85452644418119</v>
      </c>
      <c r="AZ181" s="45">
        <v>178</v>
      </c>
      <c r="BA181" s="45">
        <f>[1]节奏总纲!BA181</f>
        <v>41.912113626106752</v>
      </c>
      <c r="BB181" s="45">
        <f>[1]节奏总纲!BB181</f>
        <v>43.404644393455513</v>
      </c>
      <c r="BC181" s="45">
        <f>[1]节奏总纲!BC181</f>
        <v>45.34851532631852</v>
      </c>
      <c r="BD181" s="45">
        <f>[1]节奏总纲!BD181</f>
        <v>48.101914750802706</v>
      </c>
      <c r="BE181" s="45">
        <f>[1]节奏总纲!BE181</f>
        <v>52.799306737677718</v>
      </c>
    </row>
    <row r="182" spans="29:57" x14ac:dyDescent="0.15">
      <c r="AC182" s="45">
        <v>179</v>
      </c>
      <c r="AD182" s="45">
        <f>[1]节奏总纲!AD182</f>
        <v>74.915912490558512</v>
      </c>
      <c r="AE182" s="45">
        <f>[1]节奏总纲!AE182</f>
        <v>76.989766772831089</v>
      </c>
      <c r="AF182" s="45">
        <f>[1]节奏总纲!AF182</f>
        <v>79.88483391364781</v>
      </c>
      <c r="AG182" s="45">
        <f>[1]节奏总纲!AG182</f>
        <v>84.478117326347515</v>
      </c>
      <c r="AH182" s="45">
        <f>[1]节奏总纲!AH182</f>
        <v>93.943078763827941</v>
      </c>
      <c r="AZ182" s="45">
        <v>179</v>
      </c>
      <c r="BA182" s="45">
        <f>[1]节奏总纲!BA182</f>
        <v>41.952339841198494</v>
      </c>
      <c r="BB182" s="45">
        <f>[1]节奏总纲!BB182</f>
        <v>43.442091101890163</v>
      </c>
      <c r="BC182" s="45">
        <f>[1]节奏总纲!BC182</f>
        <v>45.385710131688697</v>
      </c>
      <c r="BD182" s="45">
        <f>[1]节奏总纲!BD182</f>
        <v>48.137807750621946</v>
      </c>
      <c r="BE182" s="45">
        <f>[1]节奏总纲!BE182</f>
        <v>52.839213419269818</v>
      </c>
    </row>
    <row r="183" spans="29:57" x14ac:dyDescent="0.15">
      <c r="AC183" s="45">
        <v>180</v>
      </c>
      <c r="AD183" s="45">
        <f>[1]节奏总纲!AD183</f>
        <v>74.998404927577795</v>
      </c>
      <c r="AE183" s="45">
        <f>[1]节奏总纲!AE183</f>
        <v>77.06778397927944</v>
      </c>
      <c r="AF183" s="45">
        <f>[1]节奏总纲!AF183</f>
        <v>79.97103607409106</v>
      </c>
      <c r="AG183" s="45">
        <f>[1]节奏总纲!AG183</f>
        <v>84.557504671530296</v>
      </c>
      <c r="AH183" s="45">
        <f>[1]节奏总纲!AH183</f>
        <v>94.027056817114342</v>
      </c>
      <c r="AZ183" s="45">
        <v>180</v>
      </c>
      <c r="BA183" s="45">
        <f>[1]节奏总纲!BA183</f>
        <v>41.992566056290244</v>
      </c>
      <c r="BB183" s="45">
        <f>[1]节奏总纲!BB183</f>
        <v>43.479537810324807</v>
      </c>
      <c r="BC183" s="45">
        <f>[1]节奏总纲!BC183</f>
        <v>45.422904937058867</v>
      </c>
      <c r="BD183" s="45">
        <f>[1]节奏总纲!BD183</f>
        <v>48.173700750441178</v>
      </c>
      <c r="BE183" s="45">
        <f>[1]节奏总纲!BE183</f>
        <v>52.879120100861911</v>
      </c>
    </row>
    <row r="184" spans="29:57" x14ac:dyDescent="0.15">
      <c r="AC184" s="45">
        <v>181</v>
      </c>
      <c r="AD184" s="45">
        <f>[1]节奏总纲!AD184</f>
        <v>75.075479910097457</v>
      </c>
      <c r="AE184" s="45">
        <f>[1]节奏总纲!AE184</f>
        <v>77.145192343015793</v>
      </c>
      <c r="AF184" s="45">
        <f>[1]节奏总纲!AF184</f>
        <v>80.053817475702374</v>
      </c>
      <c r="AG184" s="45">
        <f>[1]节奏总纲!AG184</f>
        <v>84.636892016713063</v>
      </c>
      <c r="AH184" s="45">
        <f>[1]节奏总纲!AH184</f>
        <v>94.102803318799971</v>
      </c>
      <c r="AZ184" s="45">
        <v>181</v>
      </c>
      <c r="BA184" s="45">
        <f>[1]节奏总纲!BA184</f>
        <v>42.028297717729309</v>
      </c>
      <c r="BB184" s="45">
        <f>[1]节奏总纲!BB184</f>
        <v>43.516984518759458</v>
      </c>
      <c r="BC184" s="45">
        <f>[1]节奏总纲!BC184</f>
        <v>45.460099742429037</v>
      </c>
      <c r="BD184" s="45">
        <f>[1]节奏总纲!BD184</f>
        <v>48.209593750260417</v>
      </c>
      <c r="BE184" s="45">
        <f>[1]节奏总纲!BE184</f>
        <v>52.919026782454004</v>
      </c>
    </row>
    <row r="185" spans="29:57" x14ac:dyDescent="0.15">
      <c r="AC185" s="45">
        <v>182</v>
      </c>
      <c r="AD185" s="45">
        <f>[1]节奏总纲!AD185</f>
        <v>75.152448075388719</v>
      </c>
      <c r="AE185" s="45">
        <f>[1]节奏总纲!AE185</f>
        <v>77.222600706752132</v>
      </c>
      <c r="AF185" s="45">
        <f>[1]节奏总纲!AF185</f>
        <v>80.134867890916794</v>
      </c>
      <c r="AG185" s="45">
        <f>[1]节奏总纲!AG185</f>
        <v>84.716279361895843</v>
      </c>
      <c r="AH185" s="45">
        <f>[1]节奏总纲!AH185</f>
        <v>94.1785498204856</v>
      </c>
      <c r="AZ185" s="45">
        <v>182</v>
      </c>
      <c r="BA185" s="45">
        <f>[1]节奏总纲!BA185</f>
        <v>42.063010472656373</v>
      </c>
      <c r="BB185" s="45">
        <f>[1]节奏总纲!BB185</f>
        <v>43.554431227194108</v>
      </c>
      <c r="BC185" s="45">
        <f>[1]节奏总纲!BC185</f>
        <v>45.497294547799214</v>
      </c>
      <c r="BD185" s="45">
        <f>[1]节奏总纲!BD185</f>
        <v>48.24548675007965</v>
      </c>
      <c r="BE185" s="45">
        <f>[1]节奏总纲!BE185</f>
        <v>52.958933464046098</v>
      </c>
    </row>
    <row r="186" spans="29:57" x14ac:dyDescent="0.15">
      <c r="AC186" s="45">
        <v>183</v>
      </c>
      <c r="AD186" s="45">
        <f>[1]节奏总纲!AD186</f>
        <v>75.229416240679981</v>
      </c>
      <c r="AE186" s="45">
        <f>[1]节奏总纲!AE186</f>
        <v>77.300009070488485</v>
      </c>
      <c r="AF186" s="45">
        <f>[1]节奏总纲!AF186</f>
        <v>80.215918306131215</v>
      </c>
      <c r="AG186" s="45">
        <f>[1]节奏总纲!AG186</f>
        <v>84.795666707078624</v>
      </c>
      <c r="AH186" s="45">
        <f>[1]节奏总纲!AH186</f>
        <v>94.254296322171228</v>
      </c>
      <c r="AZ186" s="45">
        <v>183</v>
      </c>
      <c r="BA186" s="45">
        <f>[1]节奏总纲!BA186</f>
        <v>42.097723227583437</v>
      </c>
      <c r="BB186" s="45">
        <f>[1]节奏总纲!BB186</f>
        <v>43.591877935628752</v>
      </c>
      <c r="BC186" s="45">
        <f>[1]节奏总纲!BC186</f>
        <v>45.534489353169384</v>
      </c>
      <c r="BD186" s="45">
        <f>[1]节奏总纲!BD186</f>
        <v>48.281379749898889</v>
      </c>
      <c r="BE186" s="45">
        <f>[1]节奏总纲!BE186</f>
        <v>52.998840145638198</v>
      </c>
    </row>
    <row r="187" spans="29:57" x14ac:dyDescent="0.15">
      <c r="AC187" s="45">
        <v>184</v>
      </c>
      <c r="AD187" s="45">
        <f>[1]节奏总纲!AD187</f>
        <v>75.306384405971258</v>
      </c>
      <c r="AE187" s="45">
        <f>[1]节奏总纲!AE187</f>
        <v>77.377417434224824</v>
      </c>
      <c r="AF187" s="45">
        <f>[1]节奏总纲!AF187</f>
        <v>80.296968721345635</v>
      </c>
      <c r="AG187" s="45">
        <f>[1]节奏总纲!AG187</f>
        <v>84.87505405226139</v>
      </c>
      <c r="AH187" s="45">
        <f>[1]节奏总纲!AH187</f>
        <v>94.330042823856857</v>
      </c>
      <c r="AZ187" s="45">
        <v>184</v>
      </c>
      <c r="BA187" s="45">
        <f>[1]节奏总纲!BA187</f>
        <v>42.132435982510501</v>
      </c>
      <c r="BB187" s="45">
        <f>[1]节奏总纲!BB187</f>
        <v>43.629324644063402</v>
      </c>
      <c r="BC187" s="45">
        <f>[1]节奏总纲!BC187</f>
        <v>45.571684158539561</v>
      </c>
      <c r="BD187" s="45">
        <f>[1]节奏总纲!BD187</f>
        <v>48.317272749718121</v>
      </c>
      <c r="BE187" s="45">
        <f>[1]节奏总纲!BE187</f>
        <v>53.033462597729766</v>
      </c>
    </row>
    <row r="188" spans="29:57" x14ac:dyDescent="0.15">
      <c r="AC188" s="45">
        <v>185</v>
      </c>
      <c r="AD188" s="45">
        <f>[1]节奏总纲!AD188</f>
        <v>75.38335257126252</v>
      </c>
      <c r="AE188" s="45">
        <f>[1]节奏总纲!AE188</f>
        <v>77.454825797961163</v>
      </c>
      <c r="AF188" s="45">
        <f>[1]节奏总纲!AF188</f>
        <v>80.378019136560056</v>
      </c>
      <c r="AG188" s="45">
        <f>[1]节奏总纲!AG188</f>
        <v>84.954441397444171</v>
      </c>
      <c r="AH188" s="45">
        <f>[1]节奏总纲!AH188</f>
        <v>94.405789325542486</v>
      </c>
      <c r="AZ188" s="45">
        <v>185</v>
      </c>
      <c r="BA188" s="45">
        <f>[1]节奏总纲!BA188</f>
        <v>42.167148737437564</v>
      </c>
      <c r="BB188" s="45">
        <f>[1]节奏总纲!BB188</f>
        <v>43.666771352498046</v>
      </c>
      <c r="BC188" s="45">
        <f>[1]节奏总纲!BC188</f>
        <v>45.608878963909731</v>
      </c>
      <c r="BD188" s="45">
        <f>[1]节奏总纲!BD188</f>
        <v>48.353165749537354</v>
      </c>
      <c r="BE188" s="45">
        <f>[1]节奏总纲!BE188</f>
        <v>53.067926870763252</v>
      </c>
    </row>
    <row r="189" spans="29:57" x14ac:dyDescent="0.15">
      <c r="AC189" s="45">
        <v>186</v>
      </c>
      <c r="AD189" s="45">
        <f>[1]节奏总纲!AD189</f>
        <v>75.460320736553783</v>
      </c>
      <c r="AE189" s="45">
        <f>[1]节奏总纲!AE189</f>
        <v>77.532234161697517</v>
      </c>
      <c r="AF189" s="45">
        <f>[1]节奏总纲!AF189</f>
        <v>80.459069551774476</v>
      </c>
      <c r="AG189" s="45">
        <f>[1]节奏总纲!AG189</f>
        <v>85.030832425973387</v>
      </c>
      <c r="AH189" s="45">
        <f>[1]节奏总纲!AH189</f>
        <v>94.4815358272281</v>
      </c>
      <c r="AZ189" s="45">
        <v>186</v>
      </c>
      <c r="BA189" s="45">
        <f>[1]节奏总纲!BA189</f>
        <v>42.201861492364635</v>
      </c>
      <c r="BB189" s="45">
        <f>[1]节奏总纲!BB189</f>
        <v>43.704218060932696</v>
      </c>
      <c r="BC189" s="45">
        <f>[1]节奏总纲!BC189</f>
        <v>45.646073769279901</v>
      </c>
      <c r="BD189" s="45">
        <f>[1]节奏总纲!BD189</f>
        <v>48.389058749356593</v>
      </c>
      <c r="BE189" s="45">
        <f>[1]节奏总纲!BE189</f>
        <v>53.102391143796744</v>
      </c>
    </row>
    <row r="190" spans="29:57" x14ac:dyDescent="0.15">
      <c r="AC190" s="45">
        <v>187</v>
      </c>
      <c r="AD190" s="45">
        <f>[1]节奏总纲!AD190</f>
        <v>75.537288901845045</v>
      </c>
      <c r="AE190" s="45">
        <f>[1]节奏总纲!AE190</f>
        <v>77.609642525433856</v>
      </c>
      <c r="AF190" s="45">
        <f>[1]节奏总纲!AF190</f>
        <v>80.540119966988897</v>
      </c>
      <c r="AG190" s="45">
        <f>[1]节奏总纲!AG190</f>
        <v>85.103188187775231</v>
      </c>
      <c r="AH190" s="45">
        <f>[1]节奏总纲!AH190</f>
        <v>94.557282328913729</v>
      </c>
      <c r="AZ190" s="45">
        <v>187</v>
      </c>
      <c r="BA190" s="45">
        <f>[1]节奏总纲!BA190</f>
        <v>42.236574247291699</v>
      </c>
      <c r="BB190" s="45">
        <f>[1]节奏总纲!BB190</f>
        <v>43.741664769367347</v>
      </c>
      <c r="BC190" s="45">
        <f>[1]节奏总纲!BC190</f>
        <v>45.683268574650079</v>
      </c>
      <c r="BD190" s="45">
        <f>[1]节奏总纲!BD190</f>
        <v>48.424951749175825</v>
      </c>
      <c r="BE190" s="45">
        <f>[1]节奏总纲!BE190</f>
        <v>53.13685541683023</v>
      </c>
    </row>
    <row r="191" spans="29:57" x14ac:dyDescent="0.15">
      <c r="AC191" s="45">
        <v>188</v>
      </c>
      <c r="AD191" s="45">
        <f>[1]节奏总纲!AD191</f>
        <v>75.614257067136322</v>
      </c>
      <c r="AE191" s="45">
        <f>[1]节奏总纲!AE191</f>
        <v>77.687050889170209</v>
      </c>
      <c r="AF191" s="45">
        <f>[1]节奏总纲!AF191</f>
        <v>80.621170382203317</v>
      </c>
      <c r="AG191" s="45">
        <f>[1]节奏总纲!AG191</f>
        <v>85.175543949577076</v>
      </c>
      <c r="AH191" s="45">
        <f>[1]节奏总纲!AH191</f>
        <v>94.633028830599358</v>
      </c>
      <c r="AZ191" s="45">
        <v>188</v>
      </c>
      <c r="BA191" s="45">
        <f>[1]节奏总纲!BA191</f>
        <v>42.271287002218763</v>
      </c>
      <c r="BB191" s="45">
        <f>[1]节奏总纲!BB191</f>
        <v>43.77911147780199</v>
      </c>
      <c r="BC191" s="45">
        <f>[1]节奏总纲!BC191</f>
        <v>45.720463380020249</v>
      </c>
      <c r="BD191" s="45">
        <f>[1]节奏总纲!BD191</f>
        <v>48.460844748995065</v>
      </c>
      <c r="BE191" s="45">
        <f>[1]节奏总纲!BE191</f>
        <v>53.171319689863722</v>
      </c>
    </row>
    <row r="192" spans="29:57" x14ac:dyDescent="0.15">
      <c r="AC192" s="45">
        <v>189</v>
      </c>
      <c r="AD192" s="45">
        <f>[1]节奏总纲!AD192</f>
        <v>75.691225232427584</v>
      </c>
      <c r="AE192" s="45">
        <f>[1]节奏总纲!AE192</f>
        <v>77.764459252906548</v>
      </c>
      <c r="AF192" s="45">
        <f>[1]节奏总纲!AF192</f>
        <v>80.702220797417738</v>
      </c>
      <c r="AG192" s="45">
        <f>[1]节奏总纲!AG192</f>
        <v>85.247899711378935</v>
      </c>
      <c r="AH192" s="45">
        <f>[1]节奏总纲!AH192</f>
        <v>94.708775332284986</v>
      </c>
      <c r="AZ192" s="45">
        <v>189</v>
      </c>
      <c r="BA192" s="45">
        <f>[1]节奏总纲!BA192</f>
        <v>42.305999757145827</v>
      </c>
      <c r="BB192" s="45">
        <f>[1]节奏总纲!BB192</f>
        <v>43.816558186236641</v>
      </c>
      <c r="BC192" s="45">
        <f>[1]节奏总纲!BC192</f>
        <v>45.757658185390426</v>
      </c>
      <c r="BD192" s="45">
        <f>[1]节奏总纲!BD192</f>
        <v>48.496737748814297</v>
      </c>
      <c r="BE192" s="45">
        <f>[1]节奏总纲!BE192</f>
        <v>53.205783962897208</v>
      </c>
    </row>
    <row r="193" spans="29:57" x14ac:dyDescent="0.15">
      <c r="AC193" s="45">
        <v>190</v>
      </c>
      <c r="AD193" s="45">
        <f>[1]节奏总纲!AD193</f>
        <v>75.768193397718846</v>
      </c>
      <c r="AE193" s="45">
        <f>[1]节奏总纲!AE193</f>
        <v>77.841867616642901</v>
      </c>
      <c r="AF193" s="45">
        <f>[1]节奏总纲!AF193</f>
        <v>80.783271212632158</v>
      </c>
      <c r="AG193" s="45">
        <f>[1]节奏总纲!AG193</f>
        <v>85.320255473180779</v>
      </c>
      <c r="AH193" s="45">
        <f>[1]节奏总纲!AH193</f>
        <v>94.784521833970615</v>
      </c>
      <c r="AZ193" s="45">
        <v>190</v>
      </c>
      <c r="BA193" s="45">
        <f>[1]节奏总纲!BA193</f>
        <v>42.340712512072891</v>
      </c>
      <c r="BB193" s="45">
        <f>[1]节奏总纲!BB193</f>
        <v>43.854004894671284</v>
      </c>
      <c r="BC193" s="45">
        <f>[1]节奏总纲!BC193</f>
        <v>45.794852990760596</v>
      </c>
      <c r="BD193" s="45">
        <f>[1]节奏总纲!BD193</f>
        <v>48.532630748633537</v>
      </c>
      <c r="BE193" s="45">
        <f>[1]节奏总纲!BE193</f>
        <v>53.240248235930693</v>
      </c>
    </row>
    <row r="194" spans="29:57" x14ac:dyDescent="0.15">
      <c r="AC194" s="45">
        <v>191</v>
      </c>
      <c r="AD194" s="45">
        <f>[1]节奏总纲!AD194</f>
        <v>75.845161563010109</v>
      </c>
      <c r="AE194" s="45">
        <f>[1]节奏总纲!AE194</f>
        <v>77.91927598037924</v>
      </c>
      <c r="AF194" s="45">
        <f>[1]节奏总纲!AF194</f>
        <v>80.864321627846579</v>
      </c>
      <c r="AG194" s="45">
        <f>[1]节奏总纲!AG194</f>
        <v>85.392611234982624</v>
      </c>
      <c r="AH194" s="45">
        <f>[1]节奏总纲!AH194</f>
        <v>94.860268335656244</v>
      </c>
      <c r="AZ194" s="45">
        <v>191</v>
      </c>
      <c r="BA194" s="45">
        <f>[1]节奏总纲!BA194</f>
        <v>42.375425266999954</v>
      </c>
      <c r="BB194" s="45">
        <f>[1]节奏总纲!BB194</f>
        <v>43.891451603105935</v>
      </c>
      <c r="BC194" s="45">
        <f>[1]节奏总纲!BC194</f>
        <v>45.832047796130773</v>
      </c>
      <c r="BD194" s="45">
        <f>[1]节奏总纲!BD194</f>
        <v>48.568523748452769</v>
      </c>
      <c r="BE194" s="45">
        <f>[1]节奏总纲!BE194</f>
        <v>53.274712508964186</v>
      </c>
    </row>
    <row r="195" spans="29:57" x14ac:dyDescent="0.15">
      <c r="AC195" s="45">
        <v>192</v>
      </c>
      <c r="AD195" s="45">
        <f>[1]节奏总纲!AD195</f>
        <v>75.922129728301385</v>
      </c>
      <c r="AE195" s="45">
        <f>[1]节奏总纲!AE195</f>
        <v>77.996684344115593</v>
      </c>
      <c r="AF195" s="45">
        <f>[1]节奏总纲!AF195</f>
        <v>80.945372043060999</v>
      </c>
      <c r="AG195" s="45">
        <f>[1]节奏总纲!AG195</f>
        <v>85.464966996784469</v>
      </c>
      <c r="AH195" s="45">
        <f>[1]节奏总纲!AH195</f>
        <v>94.936014837341872</v>
      </c>
      <c r="AZ195" s="45">
        <v>192</v>
      </c>
      <c r="BA195" s="45">
        <f>[1]节奏总纲!BA195</f>
        <v>42.410138021927018</v>
      </c>
      <c r="BB195" s="45">
        <f>[1]节奏总纲!BB195</f>
        <v>43.928898311540578</v>
      </c>
      <c r="BC195" s="45">
        <f>[1]节奏总纲!BC195</f>
        <v>45.869242601500943</v>
      </c>
      <c r="BD195" s="45">
        <f>[1]节奏总纲!BD195</f>
        <v>48.604416748272008</v>
      </c>
      <c r="BE195" s="45">
        <f>[1]节奏总纲!BE195</f>
        <v>53.309176781997671</v>
      </c>
    </row>
    <row r="196" spans="29:57" x14ac:dyDescent="0.15">
      <c r="AC196" s="45">
        <v>193</v>
      </c>
      <c r="AD196" s="45">
        <f>[1]节奏总纲!AD196</f>
        <v>75.999097893592648</v>
      </c>
      <c r="AE196" s="45">
        <f>[1]节奏总纲!AE196</f>
        <v>78.068193736526268</v>
      </c>
      <c r="AF196" s="45">
        <f>[1]节奏总纲!AF196</f>
        <v>81.02378934476593</v>
      </c>
      <c r="AG196" s="45">
        <f>[1]节奏总纲!AG196</f>
        <v>85.537322758586328</v>
      </c>
      <c r="AH196" s="45">
        <f>[1]节奏总纲!AH196</f>
        <v>95.011078787937279</v>
      </c>
      <c r="AZ196" s="45">
        <v>193</v>
      </c>
      <c r="BA196" s="45">
        <f>[1]节奏总纲!BA196</f>
        <v>42.444850776854082</v>
      </c>
      <c r="BB196" s="45">
        <f>[1]节奏总纲!BB196</f>
        <v>43.966345019975229</v>
      </c>
      <c r="BC196" s="45">
        <f>[1]节奏总纲!BC196</f>
        <v>45.906437406871113</v>
      </c>
      <c r="BD196" s="45">
        <f>[1]节奏总纲!BD196</f>
        <v>48.640309748091241</v>
      </c>
      <c r="BE196" s="45">
        <f>[1]节奏总纲!BE196</f>
        <v>53.343641055031163</v>
      </c>
    </row>
    <row r="197" spans="29:57" x14ac:dyDescent="0.15">
      <c r="AC197" s="45">
        <v>194</v>
      </c>
      <c r="AD197" s="45">
        <f>[1]节奏总纲!AD197</f>
        <v>76.070972142474872</v>
      </c>
      <c r="AE197" s="45">
        <f>[1]节奏总纲!AE197</f>
        <v>78.139439149396253</v>
      </c>
      <c r="AF197" s="45">
        <f>[1]节奏总纲!AF197</f>
        <v>81.096762731680187</v>
      </c>
      <c r="AG197" s="45">
        <f>[1]节奏总纲!AG197</f>
        <v>85.609678520388172</v>
      </c>
      <c r="AH197" s="45">
        <f>[1]节奏总纲!AH197</f>
        <v>95.082429458741387</v>
      </c>
      <c r="AZ197" s="45">
        <v>194</v>
      </c>
      <c r="BA197" s="45">
        <f>[1]节奏总纲!BA197</f>
        <v>42.479563531781146</v>
      </c>
      <c r="BB197" s="45">
        <f>[1]节奏总纲!BB197</f>
        <v>44.003272544984547</v>
      </c>
      <c r="BC197" s="45">
        <f>[1]节奏总纲!BC197</f>
        <v>45.94363221224129</v>
      </c>
      <c r="BD197" s="45">
        <f>[1]节奏总纲!BD197</f>
        <v>48.67620274791048</v>
      </c>
      <c r="BE197" s="45">
        <f>[1]节奏总纲!BE197</f>
        <v>53.378105328064649</v>
      </c>
    </row>
    <row r="198" spans="29:57" x14ac:dyDescent="0.15">
      <c r="AC198" s="45">
        <v>195</v>
      </c>
      <c r="AD198" s="45">
        <f>[1]节奏总纲!AD198</f>
        <v>76.142785979989682</v>
      </c>
      <c r="AE198" s="45">
        <f>[1]节奏总纲!AE198</f>
        <v>78.210684562266223</v>
      </c>
      <c r="AF198" s="45">
        <f>[1]节奏总纲!AF198</f>
        <v>81.169736118594443</v>
      </c>
      <c r="AG198" s="45">
        <f>[1]节奏总纲!AG198</f>
        <v>85.682034282190017</v>
      </c>
      <c r="AH198" s="45">
        <f>[1]节奏总纲!AH198</f>
        <v>95.153780129545481</v>
      </c>
      <c r="AZ198" s="45">
        <v>195</v>
      </c>
      <c r="BA198" s="45">
        <f>[1]节奏总纲!BA198</f>
        <v>42.51427628670821</v>
      </c>
      <c r="BB198" s="45">
        <f>[1]节奏总纲!BB198</f>
        <v>44.035591852864428</v>
      </c>
      <c r="BC198" s="45">
        <f>[1]节奏总纲!BC198</f>
        <v>45.98082701761146</v>
      </c>
      <c r="BD198" s="45">
        <f>[1]节奏总纲!BD198</f>
        <v>48.712095747729713</v>
      </c>
      <c r="BE198" s="45">
        <f>[1]节奏总纲!BE198</f>
        <v>53.412569601098134</v>
      </c>
    </row>
    <row r="199" spans="29:57" x14ac:dyDescent="0.15">
      <c r="AC199" s="45">
        <v>196</v>
      </c>
      <c r="AD199" s="45">
        <f>[1]节奏总纲!AD199</f>
        <v>76.214599817504492</v>
      </c>
      <c r="AE199" s="45">
        <f>[1]节奏总纲!AE199</f>
        <v>78.281929975136208</v>
      </c>
      <c r="AF199" s="45">
        <f>[1]节奏总纲!AF199</f>
        <v>81.242709505508685</v>
      </c>
      <c r="AG199" s="45">
        <f>[1]节奏总纲!AG199</f>
        <v>85.754390043991862</v>
      </c>
      <c r="AH199" s="45">
        <f>[1]节奏总纲!AH199</f>
        <v>95.225130800349589</v>
      </c>
      <c r="AZ199" s="45">
        <v>196</v>
      </c>
      <c r="BA199" s="45">
        <f>[1]节奏总纲!BA199</f>
        <v>42.548989041635274</v>
      </c>
      <c r="BB199" s="45">
        <f>[1]节奏总纲!BB199</f>
        <v>44.067911160744309</v>
      </c>
      <c r="BC199" s="45">
        <f>[1]节奏总纲!BC199</f>
        <v>46.01555652579863</v>
      </c>
      <c r="BD199" s="45">
        <f>[1]节奏总纲!BD199</f>
        <v>48.747988747548945</v>
      </c>
      <c r="BE199" s="45">
        <f>[1]节奏总纲!BE199</f>
        <v>53.447033874131627</v>
      </c>
    </row>
    <row r="200" spans="29:57" x14ac:dyDescent="0.15">
      <c r="AC200" s="45">
        <v>197</v>
      </c>
      <c r="AD200" s="45">
        <f>[1]节奏总纲!AD200</f>
        <v>76.286413655019302</v>
      </c>
      <c r="AE200" s="45">
        <f>[1]节奏总纲!AE200</f>
        <v>78.353175388006179</v>
      </c>
      <c r="AF200" s="45">
        <f>[1]节奏总纲!AF200</f>
        <v>81.315682892422942</v>
      </c>
      <c r="AG200" s="45">
        <f>[1]节奏总纲!AG200</f>
        <v>85.82674580579372</v>
      </c>
      <c r="AH200" s="45">
        <f>[1]节奏总纲!AH200</f>
        <v>95.296481471153683</v>
      </c>
      <c r="AZ200" s="45">
        <v>197</v>
      </c>
      <c r="BA200" s="45">
        <f>[1]节奏总纲!BA200</f>
        <v>42.583701796562345</v>
      </c>
      <c r="BB200" s="45">
        <f>[1]节奏总纲!BB200</f>
        <v>44.100230468624183</v>
      </c>
      <c r="BC200" s="45">
        <f>[1]节奏总纲!BC200</f>
        <v>46.047663263829847</v>
      </c>
      <c r="BD200" s="45">
        <f>[1]节奏总纲!BD200</f>
        <v>48.783881747368184</v>
      </c>
      <c r="BE200" s="45">
        <f>[1]节奏总纲!BE200</f>
        <v>53.481498147165112</v>
      </c>
    </row>
    <row r="201" spans="29:57" x14ac:dyDescent="0.15">
      <c r="AC201" s="45">
        <v>198</v>
      </c>
      <c r="AD201" s="45">
        <f>[1]节奏总纲!AD201</f>
        <v>76.358227492534112</v>
      </c>
      <c r="AE201" s="45">
        <f>[1]节奏总纲!AE201</f>
        <v>78.424420800876163</v>
      </c>
      <c r="AF201" s="45">
        <f>[1]节奏总纲!AF201</f>
        <v>81.388656279337198</v>
      </c>
      <c r="AG201" s="45">
        <f>[1]节奏总纲!AG201</f>
        <v>85.899101567595565</v>
      </c>
      <c r="AH201" s="45">
        <f>[1]节奏总纲!AH201</f>
        <v>95.367832141957777</v>
      </c>
      <c r="AZ201" s="45">
        <v>198</v>
      </c>
      <c r="BA201" s="45">
        <f>[1]节奏总纲!BA201</f>
        <v>42.618414551489408</v>
      </c>
      <c r="BB201" s="45">
        <f>[1]节奏总纲!BB201</f>
        <v>44.132549776504064</v>
      </c>
      <c r="BC201" s="45">
        <f>[1]节奏总纲!BC201</f>
        <v>46.079770001861057</v>
      </c>
      <c r="BD201" s="45">
        <f>[1]节奏总纲!BD201</f>
        <v>48.819774747187417</v>
      </c>
      <c r="BE201" s="45">
        <f>[1]节奏总纲!BE201</f>
        <v>53.515962420198605</v>
      </c>
    </row>
    <row r="202" spans="29:57" x14ac:dyDescent="0.15">
      <c r="AC202" s="45">
        <v>199</v>
      </c>
      <c r="AD202" s="45">
        <f>[1]节奏总纲!AD202</f>
        <v>76.430041330048923</v>
      </c>
      <c r="AE202" s="45">
        <f>[1]节奏总纲!AE202</f>
        <v>78.495666213746148</v>
      </c>
      <c r="AF202" s="45">
        <f>[1]节奏总纲!AF202</f>
        <v>81.461629666251454</v>
      </c>
      <c r="AG202" s="45">
        <f>[1]节奏总纲!AG202</f>
        <v>85.97145732939741</v>
      </c>
      <c r="AH202" s="45">
        <f>[1]节奏总纲!AH202</f>
        <v>95.439182812761885</v>
      </c>
      <c r="AZ202" s="45">
        <v>199</v>
      </c>
      <c r="BA202" s="45">
        <f>[1]节奏总纲!BA202</f>
        <v>42.653127306416472</v>
      </c>
      <c r="BB202" s="45">
        <f>[1]节奏总纲!BB202</f>
        <v>44.164869084383938</v>
      </c>
      <c r="BC202" s="45">
        <f>[1]节奏总纲!BC202</f>
        <v>46.111876739892267</v>
      </c>
      <c r="BD202" s="45">
        <f>[1]节奏总纲!BD202</f>
        <v>48.855667747006656</v>
      </c>
      <c r="BE202" s="45">
        <f>[1]节奏总纲!BE202</f>
        <v>53.55042669323209</v>
      </c>
    </row>
    <row r="203" spans="29:57" x14ac:dyDescent="0.15">
      <c r="AC203" s="45">
        <v>200</v>
      </c>
      <c r="AD203" s="45">
        <f>[1]节奏总纲!AD203</f>
        <v>76.501855167563733</v>
      </c>
      <c r="AE203" s="45">
        <f>[1]节奏总纲!AE203</f>
        <v>78.566911626616118</v>
      </c>
      <c r="AF203" s="45">
        <f>[1]节奏总纲!AF203</f>
        <v>81.534603053165696</v>
      </c>
      <c r="AG203" s="45">
        <f>[1]节奏总纲!AG203</f>
        <v>86.045919706798657</v>
      </c>
      <c r="AH203" s="45">
        <f>[1]节奏总纲!AH203</f>
        <v>95.510533483565979</v>
      </c>
      <c r="AZ203" s="45">
        <v>200</v>
      </c>
      <c r="BA203" s="45">
        <f>[1]节奏总纲!BA203</f>
        <v>42.687840061343536</v>
      </c>
      <c r="BB203" s="45">
        <f>[1]节奏总纲!BB203</f>
        <v>44.197188392263818</v>
      </c>
      <c r="BC203" s="45">
        <f>[1]节奏总纲!BC203</f>
        <v>46.143983477923484</v>
      </c>
      <c r="BD203" s="45">
        <f>[1]节奏总纲!BD203</f>
        <v>48.891560746825888</v>
      </c>
      <c r="BE203" s="45">
        <f>[1]节奏总纲!BE203</f>
        <v>53.584890966265583</v>
      </c>
    </row>
    <row r="204" spans="29:57" x14ac:dyDescent="0.15">
      <c r="AC204" s="45">
        <v>201</v>
      </c>
      <c r="AD204" s="45">
        <f>[1]节奏总纲!AD204</f>
        <v>76.573669005078543</v>
      </c>
      <c r="AE204" s="45">
        <f>[1]节奏总纲!AE204</f>
        <v>78.638157039486103</v>
      </c>
      <c r="AF204" s="45">
        <f>[1]节奏总纲!AF204</f>
        <v>81.607576440079953</v>
      </c>
      <c r="AG204" s="45">
        <f>[1]节奏总纲!AG204</f>
        <v>86.121754469336281</v>
      </c>
      <c r="AH204" s="45">
        <f>[1]节奏总纲!AH204</f>
        <v>95.581884154370087</v>
      </c>
      <c r="AZ204" s="45">
        <v>201</v>
      </c>
      <c r="BA204" s="45">
        <f>[1]节奏总纲!BA204</f>
        <v>42.7225528162706</v>
      </c>
      <c r="BB204" s="45">
        <f>[1]节奏总纲!BB204</f>
        <v>44.229507700143699</v>
      </c>
      <c r="BC204" s="45">
        <f>[1]节奏总纲!BC204</f>
        <v>46.176090215954694</v>
      </c>
      <c r="BD204" s="45">
        <f>[1]节奏总纲!BD204</f>
        <v>48.927453746645128</v>
      </c>
      <c r="BE204" s="45">
        <f>[1]节奏总纲!BE204</f>
        <v>53.619355239299068</v>
      </c>
    </row>
    <row r="205" spans="29:57" x14ac:dyDescent="0.15">
      <c r="AC205" s="45">
        <v>202</v>
      </c>
      <c r="AD205" s="45">
        <f>[1]节奏总纲!AD205</f>
        <v>76.645482842593353</v>
      </c>
      <c r="AE205" s="45">
        <f>[1]节奏总纲!AE205</f>
        <v>78.709402452356088</v>
      </c>
      <c r="AF205" s="45">
        <f>[1]节奏总纲!AF205</f>
        <v>81.680549826994209</v>
      </c>
      <c r="AG205" s="45">
        <f>[1]节奏总纲!AG205</f>
        <v>86.197589231873891</v>
      </c>
      <c r="AH205" s="45">
        <f>[1]节奏总纲!AH205</f>
        <v>95.653234825174181</v>
      </c>
      <c r="AZ205" s="45">
        <v>202</v>
      </c>
      <c r="BA205" s="45">
        <f>[1]节奏总纲!BA205</f>
        <v>42.757265571197664</v>
      </c>
      <c r="BB205" s="45">
        <f>[1]节奏总纲!BB205</f>
        <v>44.261827008023573</v>
      </c>
      <c r="BC205" s="45">
        <f>[1]节奏总纲!BC205</f>
        <v>46.208196953985905</v>
      </c>
      <c r="BD205" s="45">
        <f>[1]节奏总纲!BD205</f>
        <v>48.96334674646436</v>
      </c>
      <c r="BE205" s="45">
        <f>[1]节奏总纲!BE205</f>
        <v>53.653819512332554</v>
      </c>
    </row>
    <row r="206" spans="29:57" x14ac:dyDescent="0.15">
      <c r="AC206" s="45">
        <v>203</v>
      </c>
      <c r="AD206" s="45">
        <f>[1]节奏总纲!AD206</f>
        <v>76.717296680108163</v>
      </c>
      <c r="AE206" s="45">
        <f>[1]节奏总纲!AE206</f>
        <v>78.780647865226058</v>
      </c>
      <c r="AF206" s="45">
        <f>[1]节奏总纲!AF206</f>
        <v>81.753523213908451</v>
      </c>
      <c r="AG206" s="45">
        <f>[1]节奏总纲!AG206</f>
        <v>86.273423994411502</v>
      </c>
      <c r="AH206" s="45">
        <f>[1]节奏总纲!AH206</f>
        <v>95.724585495978289</v>
      </c>
      <c r="AZ206" s="45">
        <v>203</v>
      </c>
      <c r="BA206" s="45">
        <f>[1]节奏总纲!BA206</f>
        <v>42.791978326124728</v>
      </c>
      <c r="BB206" s="45">
        <f>[1]节奏总纲!BB206</f>
        <v>44.294146315903454</v>
      </c>
      <c r="BC206" s="45">
        <f>[1]节奏总纲!BC206</f>
        <v>46.240303692017122</v>
      </c>
      <c r="BD206" s="45">
        <f>[1]节奏总纲!BD206</f>
        <v>48.9992397462836</v>
      </c>
      <c r="BE206" s="45">
        <f>[1]节奏总纲!BE206</f>
        <v>53.688283785366046</v>
      </c>
    </row>
    <row r="207" spans="29:57" x14ac:dyDescent="0.15">
      <c r="AC207" s="45">
        <v>204</v>
      </c>
      <c r="AD207" s="45">
        <f>[1]节奏总纲!AD207</f>
        <v>76.789110517622973</v>
      </c>
      <c r="AE207" s="45">
        <f>[1]节奏总纲!AE207</f>
        <v>78.851893278096043</v>
      </c>
      <c r="AF207" s="45">
        <f>[1]节奏总纲!AF207</f>
        <v>81.826496600822708</v>
      </c>
      <c r="AG207" s="45">
        <f>[1]节奏总纲!AG207</f>
        <v>86.349258756949112</v>
      </c>
      <c r="AH207" s="45">
        <f>[1]节奏总纲!AH207</f>
        <v>95.795936166782383</v>
      </c>
      <c r="AZ207" s="45">
        <v>204</v>
      </c>
      <c r="BA207" s="45">
        <f>[1]节奏总纲!BA207</f>
        <v>42.826691081051791</v>
      </c>
      <c r="BB207" s="45">
        <f>[1]节奏总纲!BB207</f>
        <v>44.326465623783335</v>
      </c>
      <c r="BC207" s="45">
        <f>[1]节奏总纲!BC207</f>
        <v>46.272410430048332</v>
      </c>
      <c r="BD207" s="45">
        <f>[1]节奏总纲!BD207</f>
        <v>49.030333272797542</v>
      </c>
      <c r="BE207" s="45">
        <f>[1]节奏总纲!BE207</f>
        <v>53.722748058399532</v>
      </c>
    </row>
    <row r="208" spans="29:57" x14ac:dyDescent="0.15">
      <c r="AC208" s="45">
        <v>205</v>
      </c>
      <c r="AD208" s="45">
        <f>[1]节奏总纲!AD208</f>
        <v>76.860924355137783</v>
      </c>
      <c r="AE208" s="45">
        <f>[1]节奏总纲!AE208</f>
        <v>78.923138690966013</v>
      </c>
      <c r="AF208" s="45">
        <f>[1]节奏总纲!AF208</f>
        <v>81.899469987736964</v>
      </c>
      <c r="AG208" s="45">
        <f>[1]节奏总纲!AG208</f>
        <v>86.425093519486722</v>
      </c>
      <c r="AH208" s="45">
        <f>[1]节奏总纲!AH208</f>
        <v>95.867286837586477</v>
      </c>
      <c r="AZ208" s="45">
        <v>205</v>
      </c>
      <c r="BA208" s="45">
        <f>[1]节奏总纲!BA208</f>
        <v>42.861403835978855</v>
      </c>
      <c r="BB208" s="45">
        <f>[1]节奏总纲!BB208</f>
        <v>44.358784931663209</v>
      </c>
      <c r="BC208" s="45">
        <f>[1]节奏总纲!BC208</f>
        <v>46.304517168079542</v>
      </c>
      <c r="BD208" s="45">
        <f>[1]节奏总纲!BD208</f>
        <v>49.061322941292346</v>
      </c>
      <c r="BE208" s="45">
        <f>[1]节奏总纲!BE208</f>
        <v>53.757212331433024</v>
      </c>
    </row>
    <row r="209" spans="29:57" x14ac:dyDescent="0.15">
      <c r="AC209" s="45">
        <v>206</v>
      </c>
      <c r="AD209" s="45">
        <f>[1]节奏总纲!AD209</f>
        <v>76.932738192652593</v>
      </c>
      <c r="AE209" s="45">
        <f>[1]节奏总纲!AE209</f>
        <v>78.994384103835998</v>
      </c>
      <c r="AF209" s="45">
        <f>[1]节奏总纲!AF209</f>
        <v>81.972443374651206</v>
      </c>
      <c r="AG209" s="45">
        <f>[1]节奏总纲!AG209</f>
        <v>86.500928282024347</v>
      </c>
      <c r="AH209" s="45">
        <f>[1]节奏总纲!AH209</f>
        <v>95.938637508390585</v>
      </c>
      <c r="AZ209" s="45">
        <v>206</v>
      </c>
      <c r="BA209" s="45">
        <f>[1]节奏总纲!BA209</f>
        <v>42.896116590905919</v>
      </c>
      <c r="BB209" s="45">
        <f>[1]节奏总纲!BB209</f>
        <v>44.39110423954309</v>
      </c>
      <c r="BC209" s="45">
        <f>[1]节奏总纲!BC209</f>
        <v>46.336623906110759</v>
      </c>
      <c r="BD209" s="45">
        <f>[1]节奏总纲!BD209</f>
        <v>49.09231260978715</v>
      </c>
      <c r="BE209" s="45">
        <f>[1]节奏总纲!BE209</f>
        <v>53.79167660446651</v>
      </c>
    </row>
    <row r="210" spans="29:57" x14ac:dyDescent="0.15">
      <c r="AC210" s="45">
        <v>207</v>
      </c>
      <c r="AD210" s="45">
        <f>[1]节奏总纲!AD210</f>
        <v>77.004247194324648</v>
      </c>
      <c r="AE210" s="45">
        <f>[1]节奏总纲!AE210</f>
        <v>79.061386416569832</v>
      </c>
      <c r="AF210" s="45">
        <f>[1]节奏总纲!AF210</f>
        <v>82.041007317281839</v>
      </c>
      <c r="AG210" s="45">
        <f>[1]节奏总纲!AG210</f>
        <v>86.576763044561957</v>
      </c>
      <c r="AH210" s="45">
        <f>[1]节奏总纲!AH210</f>
        <v>96.008512635801992</v>
      </c>
      <c r="AZ210" s="45">
        <v>207</v>
      </c>
      <c r="BA210" s="45">
        <f>[1]节奏总纲!BA210</f>
        <v>42.930829345832983</v>
      </c>
      <c r="BB210" s="45">
        <f>[1]节奏总纲!BB210</f>
        <v>44.423423547422971</v>
      </c>
      <c r="BC210" s="45">
        <f>[1]节奏总纲!BC210</f>
        <v>46.368730644141969</v>
      </c>
      <c r="BD210" s="45">
        <f>[1]节奏总纲!BD210</f>
        <v>49.123302278281955</v>
      </c>
      <c r="BE210" s="45">
        <f>[1]节奏总纲!BE210</f>
        <v>53.826140877499995</v>
      </c>
    </row>
    <row r="211" spans="29:57" x14ac:dyDescent="0.15">
      <c r="AC211" s="45">
        <v>208</v>
      </c>
      <c r="AD211" s="45">
        <f>[1]节奏总纲!AD211</f>
        <v>77.07125187397483</v>
      </c>
      <c r="AE211" s="45">
        <f>[1]节奏总纲!AE211</f>
        <v>79.128025648620252</v>
      </c>
      <c r="AF211" s="45">
        <f>[1]节奏总纲!AF211</f>
        <v>82.106895829081836</v>
      </c>
      <c r="AG211" s="45">
        <f>[1]节奏总纲!AG211</f>
        <v>86.652597807099568</v>
      </c>
      <c r="AH211" s="45">
        <f>[1]节奏总纲!AH211</f>
        <v>96.069322745727362</v>
      </c>
      <c r="AZ211" s="45">
        <v>208</v>
      </c>
      <c r="BA211" s="45">
        <f>[1]节奏总纲!BA211</f>
        <v>42.965542100760054</v>
      </c>
      <c r="BB211" s="45">
        <f>[1]节奏总纲!BB211</f>
        <v>44.455742855302844</v>
      </c>
      <c r="BC211" s="45">
        <f>[1]节奏总纲!BC211</f>
        <v>46.400837382173179</v>
      </c>
      <c r="BD211" s="45">
        <f>[1]节奏总纲!BD211</f>
        <v>49.154291946776759</v>
      </c>
      <c r="BE211" s="45">
        <f>[1]节奏总纲!BE211</f>
        <v>53.860605150533488</v>
      </c>
    </row>
    <row r="212" spans="29:57" x14ac:dyDescent="0.15">
      <c r="AC212" s="45">
        <v>209</v>
      </c>
      <c r="AD212" s="45">
        <f>[1]节奏总纲!AD212</f>
        <v>77.138256553625013</v>
      </c>
      <c r="AE212" s="45">
        <f>[1]节奏总纲!AE212</f>
        <v>79.194664880670672</v>
      </c>
      <c r="AF212" s="45">
        <f>[1]节奏总纲!AF212</f>
        <v>82.172784340881819</v>
      </c>
      <c r="AG212" s="45">
        <f>[1]节奏总纲!AG212</f>
        <v>86.728432569637178</v>
      </c>
      <c r="AH212" s="45">
        <f>[1]节奏总纲!AH212</f>
        <v>96.130132855652732</v>
      </c>
      <c r="AZ212" s="45">
        <v>209</v>
      </c>
      <c r="BA212" s="45">
        <f>[1]节奏总纲!BA212</f>
        <v>43.000219942361319</v>
      </c>
      <c r="BB212" s="45">
        <f>[1]节奏总纲!BB212</f>
        <v>44.488062163182725</v>
      </c>
      <c r="BC212" s="45">
        <f>[1]节奏总纲!BC212</f>
        <v>46.432944120204397</v>
      </c>
      <c r="BD212" s="45">
        <f>[1]节奏总纲!BD212</f>
        <v>49.18528161527157</v>
      </c>
      <c r="BE212" s="45">
        <f>[1]节奏总纲!BE212</f>
        <v>53.895069423566973</v>
      </c>
    </row>
    <row r="213" spans="29:57" x14ac:dyDescent="0.15">
      <c r="AC213" s="45">
        <v>210</v>
      </c>
      <c r="AD213" s="45">
        <f>[1]节奏总纲!AD213</f>
        <v>77.205261233275195</v>
      </c>
      <c r="AE213" s="45">
        <f>[1]节奏总纲!AE213</f>
        <v>79.261304112721092</v>
      </c>
      <c r="AF213" s="45">
        <f>[1]节奏总纲!AF213</f>
        <v>82.238672852681816</v>
      </c>
      <c r="AG213" s="45">
        <f>[1]节奏总纲!AG213</f>
        <v>86.804267332174788</v>
      </c>
      <c r="AH213" s="45">
        <f>[1]节奏总纲!AH213</f>
        <v>96.190942965578103</v>
      </c>
      <c r="AZ213" s="45">
        <v>210</v>
      </c>
      <c r="BA213" s="45">
        <f>[1]节奏总纲!BA213</f>
        <v>43.030177309109042</v>
      </c>
      <c r="BB213" s="45">
        <f>[1]节奏总纲!BB213</f>
        <v>44.520381471062606</v>
      </c>
      <c r="BC213" s="45">
        <f>[1]节奏总纲!BC213</f>
        <v>46.465050858235607</v>
      </c>
      <c r="BD213" s="45">
        <f>[1]节奏总纲!BD213</f>
        <v>49.216271283766375</v>
      </c>
      <c r="BE213" s="45">
        <f>[1]节奏总纲!BE213</f>
        <v>53.929533696600465</v>
      </c>
    </row>
    <row r="214" spans="29:57" x14ac:dyDescent="0.15">
      <c r="AC214" s="45">
        <v>211</v>
      </c>
      <c r="AD214" s="45">
        <f>[1]节奏总纲!AD214</f>
        <v>77.272265912925377</v>
      </c>
      <c r="AE214" s="45">
        <f>[1]节奏总纲!AE214</f>
        <v>79.327943344771512</v>
      </c>
      <c r="AF214" s="45">
        <f>[1]节奏总纲!AF214</f>
        <v>82.304561364481813</v>
      </c>
      <c r="AG214" s="45">
        <f>[1]节奏总纲!AG214</f>
        <v>86.880102094712413</v>
      </c>
      <c r="AH214" s="45">
        <f>[1]节奏总纲!AH214</f>
        <v>96.251753075503458</v>
      </c>
      <c r="AZ214" s="45">
        <v>211</v>
      </c>
      <c r="BA214" s="45">
        <f>[1]节奏总纲!BA214</f>
        <v>43.060134675856759</v>
      </c>
      <c r="BB214" s="45">
        <f>[1]节奏总纲!BB214</f>
        <v>44.55270077894248</v>
      </c>
      <c r="BC214" s="45">
        <f>[1]节奏总纲!BC214</f>
        <v>46.497157596266817</v>
      </c>
      <c r="BD214" s="45">
        <f>[1]节奏总纲!BD214</f>
        <v>49.247260952261179</v>
      </c>
      <c r="BE214" s="45">
        <f>[1]节奏总纲!BE214</f>
        <v>53.963997969633951</v>
      </c>
    </row>
    <row r="215" spans="29:57" x14ac:dyDescent="0.15">
      <c r="AC215" s="45">
        <v>212</v>
      </c>
      <c r="AD215" s="45">
        <f>[1]节奏总纲!AD215</f>
        <v>77.339270592575559</v>
      </c>
      <c r="AE215" s="45">
        <f>[1]节奏总纲!AE215</f>
        <v>79.394582576821932</v>
      </c>
      <c r="AF215" s="45">
        <f>[1]节奏总纲!AF215</f>
        <v>82.370449876281796</v>
      </c>
      <c r="AG215" s="45">
        <f>[1]节奏总纲!AG215</f>
        <v>86.955936857250023</v>
      </c>
      <c r="AH215" s="45">
        <f>[1]节奏总纲!AH215</f>
        <v>96.312563185428829</v>
      </c>
      <c r="AZ215" s="45">
        <v>212</v>
      </c>
      <c r="BA215" s="45">
        <f>[1]节奏总纲!BA215</f>
        <v>43.090092042604475</v>
      </c>
      <c r="BB215" s="45">
        <f>[1]节奏总纲!BB215</f>
        <v>44.585020086822361</v>
      </c>
      <c r="BC215" s="45">
        <f>[1]节奏总纲!BC215</f>
        <v>46.529264334298034</v>
      </c>
      <c r="BD215" s="45">
        <f>[1]节奏总纲!BD215</f>
        <v>49.278250620755983</v>
      </c>
      <c r="BE215" s="45">
        <f>[1]节奏总纲!BE215</f>
        <v>53.998462242667436</v>
      </c>
    </row>
    <row r="216" spans="29:57" x14ac:dyDescent="0.15">
      <c r="AC216" s="45">
        <v>213</v>
      </c>
      <c r="AD216" s="45">
        <f>[1]节奏总纲!AD216</f>
        <v>77.406275272225741</v>
      </c>
      <c r="AE216" s="45">
        <f>[1]节奏总纲!AE216</f>
        <v>79.461221808872352</v>
      </c>
      <c r="AF216" s="45">
        <f>[1]节奏总纲!AF216</f>
        <v>82.436338388081793</v>
      </c>
      <c r="AG216" s="45">
        <f>[1]节奏总纲!AG216</f>
        <v>87.031203567981635</v>
      </c>
      <c r="AH216" s="45">
        <f>[1]节奏总纲!AH216</f>
        <v>96.373373295354199</v>
      </c>
      <c r="AZ216" s="45">
        <v>213</v>
      </c>
      <c r="BA216" s="45">
        <f>[1]节奏总纲!BA216</f>
        <v>43.120049409352191</v>
      </c>
      <c r="BB216" s="45">
        <f>[1]节奏总纲!BB216</f>
        <v>44.617339394702242</v>
      </c>
      <c r="BC216" s="45">
        <f>[1]节奏总纲!BC216</f>
        <v>46.561371072329244</v>
      </c>
      <c r="BD216" s="45">
        <f>[1]节奏总纲!BD216</f>
        <v>49.309240289250788</v>
      </c>
      <c r="BE216" s="45">
        <f>[1]节奏总纲!BE216</f>
        <v>54.028437871105552</v>
      </c>
    </row>
    <row r="217" spans="29:57" x14ac:dyDescent="0.15">
      <c r="AC217" s="45">
        <v>214</v>
      </c>
      <c r="AD217" s="45">
        <f>[1]节奏总纲!AD217</f>
        <v>77.473279951875909</v>
      </c>
      <c r="AE217" s="45">
        <f>[1]节奏总纲!AE217</f>
        <v>79.527861040922772</v>
      </c>
      <c r="AF217" s="45">
        <f>[1]节奏总纲!AF217</f>
        <v>82.502226899881776</v>
      </c>
      <c r="AG217" s="45">
        <f>[1]节奏总纲!AG217</f>
        <v>87.10568246405397</v>
      </c>
      <c r="AH217" s="45">
        <f>[1]节奏总纲!AH217</f>
        <v>96.434183405279569</v>
      </c>
      <c r="AZ217" s="45">
        <v>214</v>
      </c>
      <c r="BA217" s="45">
        <f>[1]节奏总纲!BA217</f>
        <v>43.150006776099914</v>
      </c>
      <c r="BB217" s="45">
        <f>[1]节奏总纲!BB217</f>
        <v>44.649658702582116</v>
      </c>
      <c r="BC217" s="45">
        <f>[1]节奏总纲!BC217</f>
        <v>46.593477810360454</v>
      </c>
      <c r="BD217" s="45">
        <f>[1]节奏总纲!BD217</f>
        <v>49.340229957745592</v>
      </c>
      <c r="BE217" s="45">
        <f>[1]节奏总纲!BE217</f>
        <v>54.058203867701586</v>
      </c>
    </row>
    <row r="218" spans="29:57" x14ac:dyDescent="0.15">
      <c r="AC218" s="45">
        <v>215</v>
      </c>
      <c r="AD218" s="45">
        <f>[1]节奏总纲!AD218</f>
        <v>77.540284631526092</v>
      </c>
      <c r="AE218" s="45">
        <f>[1]节奏总纲!AE218</f>
        <v>79.594500272973193</v>
      </c>
      <c r="AF218" s="45">
        <f>[1]节奏总纲!AF218</f>
        <v>82.568115411681774</v>
      </c>
      <c r="AG218" s="45">
        <f>[1]节奏总纲!AG218</f>
        <v>87.180161360126306</v>
      </c>
      <c r="AH218" s="45">
        <f>[1]节奏总纲!AH218</f>
        <v>96.494993515204939</v>
      </c>
      <c r="AZ218" s="45">
        <v>215</v>
      </c>
      <c r="BA218" s="45">
        <f>[1]节奏总纲!BA218</f>
        <v>43.179964142847631</v>
      </c>
      <c r="BB218" s="45">
        <f>[1]节奏总纲!BB218</f>
        <v>44.681978010461997</v>
      </c>
      <c r="BC218" s="45">
        <f>[1]节奏总纲!BC218</f>
        <v>46.625584548391664</v>
      </c>
      <c r="BD218" s="45">
        <f>[1]节奏总纲!BD218</f>
        <v>49.371219626240396</v>
      </c>
      <c r="BE218" s="45">
        <f>[1]节奏总纲!BE218</f>
        <v>54.087969864297619</v>
      </c>
    </row>
    <row r="219" spans="29:57" x14ac:dyDescent="0.15">
      <c r="AC219" s="45">
        <v>216</v>
      </c>
      <c r="AD219" s="45">
        <f>[1]节奏总纲!AD219</f>
        <v>77.607289311176274</v>
      </c>
      <c r="AE219" s="45">
        <f>[1]节奏总纲!AE219</f>
        <v>79.661139505023613</v>
      </c>
      <c r="AF219" s="45">
        <f>[1]节奏总纲!AF219</f>
        <v>82.634003923481771</v>
      </c>
      <c r="AG219" s="45">
        <f>[1]节奏总纲!AG219</f>
        <v>87.254640256198641</v>
      </c>
      <c r="AH219" s="45">
        <f>[1]节奏总纲!AH219</f>
        <v>96.555803625130309</v>
      </c>
      <c r="AZ219" s="45">
        <v>216</v>
      </c>
      <c r="BA219" s="45">
        <f>[1]节奏总纲!BA219</f>
        <v>43.209921509595347</v>
      </c>
      <c r="BB219" s="45">
        <f>[1]节奏总纲!BB219</f>
        <v>44.71429731834187</v>
      </c>
      <c r="BC219" s="45">
        <f>[1]节奏总纲!BC219</f>
        <v>46.657691286422882</v>
      </c>
      <c r="BD219" s="45">
        <f>[1]节奏总纲!BD219</f>
        <v>49.402209294735208</v>
      </c>
      <c r="BE219" s="45">
        <f>[1]节奏总纲!BE219</f>
        <v>54.117735860893646</v>
      </c>
    </row>
    <row r="220" spans="29:57" x14ac:dyDescent="0.15">
      <c r="AC220" s="45">
        <v>217</v>
      </c>
      <c r="AD220" s="45">
        <f>[1]节奏总纲!AD220</f>
        <v>77.674293990826456</v>
      </c>
      <c r="AE220" s="45">
        <f>[1]节奏总纲!AE220</f>
        <v>79.727778737074033</v>
      </c>
      <c r="AF220" s="45">
        <f>[1]节奏总纲!AF220</f>
        <v>82.699892435281754</v>
      </c>
      <c r="AG220" s="45">
        <f>[1]节奏总纲!AG220</f>
        <v>87.329119152270991</v>
      </c>
      <c r="AH220" s="45">
        <f>[1]节奏总纲!AH220</f>
        <v>96.61661373505568</v>
      </c>
      <c r="AZ220" s="45">
        <v>217</v>
      </c>
      <c r="BA220" s="45">
        <f>[1]节奏总纲!BA220</f>
        <v>43.239878876343063</v>
      </c>
      <c r="BB220" s="45">
        <f>[1]节奏总纲!BB220</f>
        <v>44.746616626221751</v>
      </c>
      <c r="BC220" s="45">
        <f>[1]节奏总纲!BC220</f>
        <v>46.689798024454092</v>
      </c>
      <c r="BD220" s="45">
        <f>[1]节奏总纲!BD220</f>
        <v>49.433198963230012</v>
      </c>
      <c r="BE220" s="45">
        <f>[1]节奏总纲!BE220</f>
        <v>54.147501857489679</v>
      </c>
    </row>
    <row r="221" spans="29:57" x14ac:dyDescent="0.15">
      <c r="AC221" s="45">
        <v>218</v>
      </c>
      <c r="AD221" s="45">
        <f>[1]节奏总纲!AD221</f>
        <v>77.741298670476638</v>
      </c>
      <c r="AE221" s="45">
        <f>[1]节奏总纲!AE221</f>
        <v>79.794417969124453</v>
      </c>
      <c r="AF221" s="45">
        <f>[1]节奏总纲!AF221</f>
        <v>82.765780947081751</v>
      </c>
      <c r="AG221" s="45">
        <f>[1]节奏总纲!AG221</f>
        <v>87.403598048343326</v>
      </c>
      <c r="AH221" s="45">
        <f>[1]节奏总纲!AH221</f>
        <v>96.67742384498105</v>
      </c>
      <c r="AZ221" s="45">
        <v>218</v>
      </c>
      <c r="BA221" s="45">
        <f>[1]节奏总纲!BA221</f>
        <v>43.269836243090786</v>
      </c>
      <c r="BB221" s="45">
        <f>[1]节奏总纲!BB221</f>
        <v>44.778935934101632</v>
      </c>
      <c r="BC221" s="45">
        <f>[1]节奏总纲!BC221</f>
        <v>46.721904762485302</v>
      </c>
      <c r="BD221" s="45">
        <f>[1]节奏总纲!BD221</f>
        <v>49.464188631724817</v>
      </c>
      <c r="BE221" s="45">
        <f>[1]节奏总纲!BE221</f>
        <v>54.177267854085706</v>
      </c>
    </row>
    <row r="222" spans="29:57" x14ac:dyDescent="0.15">
      <c r="AC222" s="45">
        <v>219</v>
      </c>
      <c r="AD222" s="45">
        <f>[1]节奏总纲!AD222</f>
        <v>77.80830335012682</v>
      </c>
      <c r="AE222" s="45">
        <f>[1]节奏总纲!AE222</f>
        <v>79.861057201174873</v>
      </c>
      <c r="AF222" s="45">
        <f>[1]节奏总纲!AF222</f>
        <v>82.831669458881734</v>
      </c>
      <c r="AG222" s="45">
        <f>[1]节奏总纲!AG222</f>
        <v>87.478076944415662</v>
      </c>
      <c r="AH222" s="45">
        <f>[1]节奏总纲!AH222</f>
        <v>96.73823395490642</v>
      </c>
      <c r="AZ222" s="45">
        <v>219</v>
      </c>
      <c r="BA222" s="45">
        <f>[1]节奏总纲!BA222</f>
        <v>43.299793609838503</v>
      </c>
      <c r="BB222" s="45">
        <f>[1]节奏总纲!BB222</f>
        <v>44.811255241981506</v>
      </c>
      <c r="BC222" s="45">
        <f>[1]节奏总纲!BC222</f>
        <v>46.754011500516519</v>
      </c>
      <c r="BD222" s="45">
        <f>[1]节奏总纲!BD222</f>
        <v>49.495178300219621</v>
      </c>
      <c r="BE222" s="45">
        <f>[1]节奏总纲!BE222</f>
        <v>54.207033850681739</v>
      </c>
    </row>
    <row r="223" spans="29:57" x14ac:dyDescent="0.15">
      <c r="AC223" s="45">
        <v>220</v>
      </c>
      <c r="AD223" s="45">
        <f>[1]节奏总纲!AD223</f>
        <v>77.875308029777003</v>
      </c>
      <c r="AE223" s="45">
        <f>[1]节奏总纲!AE223</f>
        <v>79.927696433225293</v>
      </c>
      <c r="AF223" s="45">
        <f>[1]节奏总纲!AF223</f>
        <v>82.897557970681731</v>
      </c>
      <c r="AG223" s="45">
        <f>[1]节奏总纲!AG223</f>
        <v>87.552555840488012</v>
      </c>
      <c r="AH223" s="45">
        <f>[1]节奏总纲!AH223</f>
        <v>96.79904406483179</v>
      </c>
      <c r="AZ223" s="45">
        <v>220</v>
      </c>
      <c r="BA223" s="45">
        <f>[1]节奏总纲!BA223</f>
        <v>43.329750976586219</v>
      </c>
      <c r="BB223" s="45">
        <f>[1]节奏总纲!BB223</f>
        <v>44.843574549861387</v>
      </c>
      <c r="BC223" s="45">
        <f>[1]节奏总纲!BC223</f>
        <v>46.786118238547729</v>
      </c>
      <c r="BD223" s="45">
        <f>[1]节奏总纲!BD223</f>
        <v>49.526167968714425</v>
      </c>
      <c r="BE223" s="45">
        <f>[1]节奏总纲!BE223</f>
        <v>54.236799847277773</v>
      </c>
    </row>
    <row r="224" spans="29:57" x14ac:dyDescent="0.15">
      <c r="AC224" s="45">
        <v>221</v>
      </c>
      <c r="AD224" s="45">
        <f>[1]节奏总纲!AD224</f>
        <v>77.942312709427185</v>
      </c>
      <c r="AE224" s="45">
        <f>[1]节奏总纲!AE224</f>
        <v>79.994335665275713</v>
      </c>
      <c r="AF224" s="45">
        <f>[1]节奏总纲!AF224</f>
        <v>82.963446482481729</v>
      </c>
      <c r="AG224" s="45">
        <f>[1]节奏总纲!AG224</f>
        <v>87.627034736560347</v>
      </c>
      <c r="AH224" s="45">
        <f>[1]节奏总纲!AH224</f>
        <v>96.85985417475716</v>
      </c>
      <c r="AZ224" s="45">
        <v>221</v>
      </c>
      <c r="BA224" s="45">
        <f>[1]节奏总纲!BA224</f>
        <v>43.359708343333942</v>
      </c>
      <c r="BB224" s="45">
        <f>[1]节奏总纲!BB224</f>
        <v>44.875893857741268</v>
      </c>
      <c r="BC224" s="45">
        <f>[1]节奏总纲!BC224</f>
        <v>46.818224976578939</v>
      </c>
      <c r="BD224" s="45">
        <f>[1]节奏总纲!BD224</f>
        <v>49.55715763720923</v>
      </c>
      <c r="BE224" s="45">
        <f>[1]节奏总纲!BE224</f>
        <v>54.266565843873799</v>
      </c>
    </row>
    <row r="225" spans="29:57" x14ac:dyDescent="0.15">
      <c r="AC225" s="45">
        <v>222</v>
      </c>
      <c r="AD225" s="45">
        <f>[1]节奏总纲!AD225</f>
        <v>78.008693431404168</v>
      </c>
      <c r="AE225" s="45">
        <f>[1]节奏总纲!AE225</f>
        <v>80.05990507131493</v>
      </c>
      <c r="AF225" s="45">
        <f>[1]节奏总纲!AF225</f>
        <v>83.028328094754301</v>
      </c>
      <c r="AG225" s="45">
        <f>[1]节奏总纲!AG225</f>
        <v>87.701513632632683</v>
      </c>
      <c r="AH225" s="45">
        <f>[1]节奏总纲!AH225</f>
        <v>96.920664284682516</v>
      </c>
      <c r="AZ225" s="45">
        <v>222</v>
      </c>
      <c r="BA225" s="45">
        <f>[1]节奏总纲!BA225</f>
        <v>43.389665710081658</v>
      </c>
      <c r="BB225" s="45">
        <f>[1]节奏总纲!BB225</f>
        <v>44.908213165621142</v>
      </c>
      <c r="BC225" s="45">
        <f>[1]节奏总纲!BC225</f>
        <v>46.850331714610157</v>
      </c>
      <c r="BD225" s="45">
        <f>[1]节奏总纲!BD225</f>
        <v>49.588147305704041</v>
      </c>
      <c r="BE225" s="45">
        <f>[1]节奏总纲!BE225</f>
        <v>54.296331840469833</v>
      </c>
    </row>
    <row r="226" spans="29:57" x14ac:dyDescent="0.15">
      <c r="AC226" s="45">
        <v>223</v>
      </c>
      <c r="AD226" s="45">
        <f>[1]节奏总纲!AD226</f>
        <v>78.071211008105138</v>
      </c>
      <c r="AE226" s="45">
        <f>[1]节奏总纲!AE226</f>
        <v>80.125375094609936</v>
      </c>
      <c r="AF226" s="45">
        <f>[1]节奏总纲!AF226</f>
        <v>83.091955037632331</v>
      </c>
      <c r="AG226" s="45">
        <f>[1]节奏总纲!AG226</f>
        <v>87.775992528705018</v>
      </c>
      <c r="AH226" s="45">
        <f>[1]节奏总纲!AH226</f>
        <v>96.981474394607886</v>
      </c>
      <c r="AZ226" s="45">
        <v>223</v>
      </c>
      <c r="BA226" s="45">
        <f>[1]节奏总纲!BA226</f>
        <v>43.419623076829374</v>
      </c>
      <c r="BB226" s="45">
        <f>[1]节奏总纲!BB226</f>
        <v>44.940532473501023</v>
      </c>
      <c r="BC226" s="45">
        <f>[1]节奏总纲!BC226</f>
        <v>46.882438452641367</v>
      </c>
      <c r="BD226" s="45">
        <f>[1]节奏总纲!BD226</f>
        <v>49.619136974198845</v>
      </c>
      <c r="BE226" s="45">
        <f>[1]节奏总纲!BE226</f>
        <v>54.326097837065859</v>
      </c>
    </row>
    <row r="227" spans="29:57" x14ac:dyDescent="0.15">
      <c r="AC227" s="45">
        <v>224</v>
      </c>
      <c r="AD227" s="45">
        <f>[1]节奏总纲!AD227</f>
        <v>78.133728584806107</v>
      </c>
      <c r="AE227" s="45">
        <f>[1]节奏总纲!AE227</f>
        <v>80.190845117904942</v>
      </c>
      <c r="AF227" s="45">
        <f>[1]节奏总纲!AF227</f>
        <v>83.155581980510348</v>
      </c>
      <c r="AG227" s="45">
        <f>[1]节奏总纲!AG227</f>
        <v>87.850471424777368</v>
      </c>
      <c r="AH227" s="45">
        <f>[1]节奏总纲!AH227</f>
        <v>97.03979962522213</v>
      </c>
      <c r="AZ227" s="45">
        <v>224</v>
      </c>
      <c r="BA227" s="45">
        <f>[1]节奏总纲!BA227</f>
        <v>43.449580443577091</v>
      </c>
      <c r="BB227" s="45">
        <f>[1]节奏总纲!BB227</f>
        <v>44.972851781380903</v>
      </c>
      <c r="BC227" s="45">
        <f>[1]节奏总纲!BC227</f>
        <v>46.914545190672577</v>
      </c>
      <c r="BD227" s="45">
        <f>[1]节奏总纲!BD227</f>
        <v>49.65012664269365</v>
      </c>
      <c r="BE227" s="45">
        <f>[1]节奏总纲!BE227</f>
        <v>54.355863833661893</v>
      </c>
    </row>
    <row r="228" spans="29:57" x14ac:dyDescent="0.15">
      <c r="AC228" s="45">
        <v>225</v>
      </c>
      <c r="AD228" s="45">
        <f>[1]节奏总纲!AD228</f>
        <v>78.196246161507091</v>
      </c>
      <c r="AE228" s="45">
        <f>[1]节奏总纲!AE228</f>
        <v>80.256315141199948</v>
      </c>
      <c r="AF228" s="45">
        <f>[1]节奏总纲!AF228</f>
        <v>83.219208923388379</v>
      </c>
      <c r="AG228" s="45">
        <f>[1]节奏总纲!AG228</f>
        <v>87.924950320849703</v>
      </c>
      <c r="AH228" s="45">
        <f>[1]节奏总纲!AH228</f>
        <v>97.097036185315744</v>
      </c>
      <c r="AZ228" s="45">
        <v>225</v>
      </c>
      <c r="BA228" s="45">
        <f>[1]节奏总纲!BA228</f>
        <v>43.479537810324814</v>
      </c>
      <c r="BB228" s="45">
        <f>[1]节奏总纲!BB228</f>
        <v>45.004463376644416</v>
      </c>
      <c r="BC228" s="45">
        <f>[1]节奏总纲!BC228</f>
        <v>46.946651928703794</v>
      </c>
      <c r="BD228" s="45">
        <f>[1]节奏总纲!BD228</f>
        <v>49.681116311188454</v>
      </c>
      <c r="BE228" s="45">
        <f>[1]节奏总纲!BE228</f>
        <v>54.385629830257926</v>
      </c>
    </row>
    <row r="229" spans="29:57" x14ac:dyDescent="0.15">
      <c r="AC229" s="45">
        <v>226</v>
      </c>
      <c r="AD229" s="45">
        <f>[1]节奏总纲!AD229</f>
        <v>78.25876373820806</v>
      </c>
      <c r="AE229" s="45">
        <f>[1]节奏总纲!AE229</f>
        <v>80.321785164494941</v>
      </c>
      <c r="AF229" s="45">
        <f>[1]节奏总纲!AF229</f>
        <v>83.282835866266396</v>
      </c>
      <c r="AG229" s="45">
        <f>[1]节奏总纲!AG229</f>
        <v>87.999429216922039</v>
      </c>
      <c r="AH229" s="45">
        <f>[1]节奏总纲!AH229</f>
        <v>97.154272745409358</v>
      </c>
      <c r="AZ229" s="45">
        <v>226</v>
      </c>
      <c r="BA229" s="45">
        <f>[1]节奏总纲!BA229</f>
        <v>43.50949517707253</v>
      </c>
      <c r="BB229" s="45">
        <f>[1]节奏总纲!BB229</f>
        <v>45.032359480672049</v>
      </c>
      <c r="BC229" s="45">
        <f>[1]节奏总纲!BC229</f>
        <v>46.978758666735004</v>
      </c>
      <c r="BD229" s="45">
        <f>[1]节奏总纲!BD229</f>
        <v>49.712105979683258</v>
      </c>
      <c r="BE229" s="45">
        <f>[1]节奏总纲!BE229</f>
        <v>54.415395826853953</v>
      </c>
    </row>
    <row r="230" spans="29:57" x14ac:dyDescent="0.15">
      <c r="AC230" s="45">
        <v>227</v>
      </c>
      <c r="AD230" s="45">
        <f>[1]节奏总纲!AD230</f>
        <v>78.321281314909029</v>
      </c>
      <c r="AE230" s="45">
        <f>[1]节奏总纲!AE230</f>
        <v>80.387255187789947</v>
      </c>
      <c r="AF230" s="45">
        <f>[1]节奏总纲!AF230</f>
        <v>83.346462809144427</v>
      </c>
      <c r="AG230" s="45">
        <f>[1]节奏总纲!AG230</f>
        <v>88.069378113045531</v>
      </c>
      <c r="AH230" s="45">
        <f>[1]节奏总纲!AH230</f>
        <v>97.211509305502972</v>
      </c>
      <c r="AZ230" s="45">
        <v>227</v>
      </c>
      <c r="BA230" s="45">
        <f>[1]节奏总纲!BA230</f>
        <v>43.539452543820246</v>
      </c>
      <c r="BB230" s="45">
        <f>[1]节奏总纲!BB230</f>
        <v>45.060255584699682</v>
      </c>
      <c r="BC230" s="45">
        <f>[1]节奏总纲!BC230</f>
        <v>47.009379755645142</v>
      </c>
      <c r="BD230" s="45">
        <f>[1]节奏总纲!BD230</f>
        <v>49.743095648178063</v>
      </c>
      <c r="BE230" s="45">
        <f>[1]节奏总纲!BE230</f>
        <v>54.445161823449986</v>
      </c>
    </row>
    <row r="231" spans="29:57" x14ac:dyDescent="0.15">
      <c r="AC231" s="45">
        <v>228</v>
      </c>
      <c r="AD231" s="45">
        <f>[1]节奏总纲!AD231</f>
        <v>78.383798891610013</v>
      </c>
      <c r="AE231" s="45">
        <f>[1]节奏总纲!AE231</f>
        <v>80.452725211084953</v>
      </c>
      <c r="AF231" s="45">
        <f>[1]节奏总纲!AF231</f>
        <v>83.410089752022458</v>
      </c>
      <c r="AG231" s="45">
        <f>[1]节奏总纲!AG231</f>
        <v>88.139292024548126</v>
      </c>
      <c r="AH231" s="45">
        <f>[1]节奏总纲!AH231</f>
        <v>97.268745865596571</v>
      </c>
      <c r="AZ231" s="45">
        <v>228</v>
      </c>
      <c r="BA231" s="45">
        <f>[1]节奏总纲!BA231</f>
        <v>43.569409910567963</v>
      </c>
      <c r="BB231" s="45">
        <f>[1]节奏总纲!BB231</f>
        <v>45.088151688727308</v>
      </c>
      <c r="BC231" s="45">
        <f>[1]节奏总纲!BC231</f>
        <v>47.037096473409001</v>
      </c>
      <c r="BD231" s="45">
        <f>[1]节奏总纲!BD231</f>
        <v>49.774085316672867</v>
      </c>
      <c r="BE231" s="45">
        <f>[1]节奏总纲!BE231</f>
        <v>54.47492782004602</v>
      </c>
    </row>
    <row r="232" spans="29:57" x14ac:dyDescent="0.15">
      <c r="AC232" s="45">
        <v>229</v>
      </c>
      <c r="AD232" s="45">
        <f>[1]节奏总纲!AD232</f>
        <v>78.446316468310982</v>
      </c>
      <c r="AE232" s="45">
        <f>[1]节奏总纲!AE232</f>
        <v>80.518195234379959</v>
      </c>
      <c r="AF232" s="45">
        <f>[1]节奏总纲!AF232</f>
        <v>83.473716694900475</v>
      </c>
      <c r="AG232" s="45">
        <f>[1]节奏总纲!AG232</f>
        <v>88.209205936050708</v>
      </c>
      <c r="AH232" s="45">
        <f>[1]节奏总纲!AH232</f>
        <v>97.325982425690185</v>
      </c>
      <c r="AZ232" s="45">
        <v>229</v>
      </c>
      <c r="BA232" s="45">
        <f>[1]节奏总纲!BA232</f>
        <v>43.599367277315686</v>
      </c>
      <c r="BB232" s="45">
        <f>[1]节奏总纲!BB232</f>
        <v>45.116047792754941</v>
      </c>
      <c r="BC232" s="45">
        <f>[1]节奏总纲!BC232</f>
        <v>47.06481319117286</v>
      </c>
      <c r="BD232" s="45">
        <f>[1]节奏总纲!BD232</f>
        <v>49.805074985167678</v>
      </c>
      <c r="BE232" s="45">
        <f>[1]节奏总纲!BE232</f>
        <v>54.504693816642046</v>
      </c>
    </row>
    <row r="233" spans="29:57" x14ac:dyDescent="0.15">
      <c r="AC233" s="45">
        <v>230</v>
      </c>
      <c r="AD233" s="45">
        <f>[1]节奏总纲!AD233</f>
        <v>78.508834045011952</v>
      </c>
      <c r="AE233" s="45">
        <f>[1]节奏总纲!AE233</f>
        <v>80.583665257674966</v>
      </c>
      <c r="AF233" s="45">
        <f>[1]节奏总纲!AF233</f>
        <v>83.537343637778505</v>
      </c>
      <c r="AG233" s="45">
        <f>[1]节奏总纲!AG233</f>
        <v>88.279119847553304</v>
      </c>
      <c r="AH233" s="45">
        <f>[1]节奏总纲!AH233</f>
        <v>97.383218985783799</v>
      </c>
      <c r="AZ233" s="45">
        <v>230</v>
      </c>
      <c r="BA233" s="45">
        <f>[1]节奏总纲!BA233</f>
        <v>43.629324644063402</v>
      </c>
      <c r="BB233" s="45">
        <f>[1]节奏总纲!BB233</f>
        <v>45.143943896782567</v>
      </c>
      <c r="BC233" s="45">
        <f>[1]节奏总纲!BC233</f>
        <v>47.092529908936719</v>
      </c>
      <c r="BD233" s="45">
        <f>[1]节奏总纲!BD233</f>
        <v>49.836064653662483</v>
      </c>
      <c r="BE233" s="45">
        <f>[1]节奏总纲!BE233</f>
        <v>54.53445981323808</v>
      </c>
    </row>
    <row r="234" spans="29:57" x14ac:dyDescent="0.15">
      <c r="AC234" s="45">
        <v>231</v>
      </c>
      <c r="AD234" s="45">
        <f>[1]节奏总纲!AD234</f>
        <v>78.571351621712921</v>
      </c>
      <c r="AE234" s="45">
        <f>[1]节奏总纲!AE234</f>
        <v>80.649135280969972</v>
      </c>
      <c r="AF234" s="45">
        <f>[1]节奏总纲!AF234</f>
        <v>83.600970580656536</v>
      </c>
      <c r="AG234" s="45">
        <f>[1]节奏总纲!AG234</f>
        <v>88.349033759055899</v>
      </c>
      <c r="AH234" s="45">
        <f>[1]节奏总纲!AH234</f>
        <v>97.440455545877413</v>
      </c>
      <c r="AZ234" s="45">
        <v>231</v>
      </c>
      <c r="BA234" s="45">
        <f>[1]节奏总纲!BA234</f>
        <v>43.659282010811118</v>
      </c>
      <c r="BB234" s="45">
        <f>[1]节奏总纲!BB234</f>
        <v>45.171840000810199</v>
      </c>
      <c r="BC234" s="45">
        <f>[1]节奏总纲!BC234</f>
        <v>47.120246626700578</v>
      </c>
      <c r="BD234" s="45">
        <f>[1]节奏总纲!BD234</f>
        <v>49.867054322157287</v>
      </c>
      <c r="BE234" s="45">
        <f>[1]节奏总纲!BE234</f>
        <v>54.564225809834106</v>
      </c>
    </row>
    <row r="235" spans="29:57" x14ac:dyDescent="0.15">
      <c r="AC235" s="45">
        <v>232</v>
      </c>
      <c r="AD235" s="45">
        <f>[1]节奏总纲!AD235</f>
        <v>78.633869198413905</v>
      </c>
      <c r="AE235" s="45">
        <f>[1]节奏总纲!AE235</f>
        <v>80.714605304264978</v>
      </c>
      <c r="AF235" s="45">
        <f>[1]节奏总纲!AF235</f>
        <v>83.664597523534553</v>
      </c>
      <c r="AG235" s="45">
        <f>[1]节奏总纲!AG235</f>
        <v>88.418947670558495</v>
      </c>
      <c r="AH235" s="45">
        <f>[1]节奏总纲!AH235</f>
        <v>97.497692105971026</v>
      </c>
      <c r="AZ235" s="45">
        <v>232</v>
      </c>
      <c r="BA235" s="45">
        <f>[1]节奏总纲!BA235</f>
        <v>43.689239377558835</v>
      </c>
      <c r="BB235" s="45">
        <f>[1]节奏总纲!BB235</f>
        <v>45.199736104837825</v>
      </c>
      <c r="BC235" s="45">
        <f>[1]节奏总纲!BC235</f>
        <v>47.147963344464429</v>
      </c>
      <c r="BD235" s="45">
        <f>[1]节奏总纲!BD235</f>
        <v>49.898043990652091</v>
      </c>
      <c r="BE235" s="45">
        <f>[1]节奏总纲!BE235</f>
        <v>54.593991806430139</v>
      </c>
    </row>
    <row r="236" spans="29:57" x14ac:dyDescent="0.15">
      <c r="AC236" s="45">
        <v>233</v>
      </c>
      <c r="AD236" s="45">
        <f>[1]节奏总纲!AD236</f>
        <v>78.696386775114874</v>
      </c>
      <c r="AE236" s="45">
        <f>[1]节奏总纲!AE236</f>
        <v>80.78007532755997</v>
      </c>
      <c r="AF236" s="45">
        <f>[1]节奏总纲!AF236</f>
        <v>83.728224466412584</v>
      </c>
      <c r="AG236" s="45">
        <f>[1]节奏总纲!AG236</f>
        <v>88.488861582061077</v>
      </c>
      <c r="AH236" s="45">
        <f>[1]节奏总纲!AH236</f>
        <v>97.554928666064626</v>
      </c>
      <c r="AZ236" s="45">
        <v>233</v>
      </c>
      <c r="BA236" s="45">
        <f>[1]节奏总纲!BA236</f>
        <v>43.719196744306558</v>
      </c>
      <c r="BB236" s="45">
        <f>[1]节奏总纲!BB236</f>
        <v>45.227632208865458</v>
      </c>
      <c r="BC236" s="45">
        <f>[1]节奏总纲!BC236</f>
        <v>47.175680062228288</v>
      </c>
      <c r="BD236" s="45">
        <f>[1]节奏总纲!BD236</f>
        <v>49.929033659146896</v>
      </c>
      <c r="BE236" s="45">
        <f>[1]节奏总纲!BE236</f>
        <v>54.623757803026173</v>
      </c>
    </row>
    <row r="237" spans="29:57" x14ac:dyDescent="0.15">
      <c r="AC237" s="45">
        <v>234</v>
      </c>
      <c r="AD237" s="45">
        <f>[1]节奏总纲!AD237</f>
        <v>78.758904351815843</v>
      </c>
      <c r="AE237" s="45">
        <f>[1]节奏总纲!AE237</f>
        <v>80.845545350854977</v>
      </c>
      <c r="AF237" s="45">
        <f>[1]节奏总纲!AF237</f>
        <v>83.791851409290615</v>
      </c>
      <c r="AG237" s="45">
        <f>[1]节奏总纲!AG237</f>
        <v>88.558775493563672</v>
      </c>
      <c r="AH237" s="45">
        <f>[1]节奏总纲!AH237</f>
        <v>97.61216522615824</v>
      </c>
      <c r="AZ237" s="45">
        <v>234</v>
      </c>
      <c r="BA237" s="45">
        <f>[1]节奏总纲!BA237</f>
        <v>43.749154111054274</v>
      </c>
      <c r="BB237" s="45">
        <f>[1]节奏总纲!BB237</f>
        <v>45.255528312893091</v>
      </c>
      <c r="BC237" s="45">
        <f>[1]节奏总纲!BC237</f>
        <v>47.203396779992147</v>
      </c>
      <c r="BD237" s="45">
        <f>[1]节奏总纲!BD237</f>
        <v>49.9600233276417</v>
      </c>
      <c r="BE237" s="45">
        <f>[1]节奏总纲!BE237</f>
        <v>54.653523799622199</v>
      </c>
    </row>
    <row r="238" spans="29:57" x14ac:dyDescent="0.15">
      <c r="AC238" s="45">
        <v>235</v>
      </c>
      <c r="AD238" s="45">
        <f>[1]节奏总纲!AD238</f>
        <v>78.821421928516827</v>
      </c>
      <c r="AE238" s="45">
        <f>[1]节奏总纲!AE238</f>
        <v>80.911015374149983</v>
      </c>
      <c r="AF238" s="45">
        <f>[1]节奏总纲!AF238</f>
        <v>83.855478352168632</v>
      </c>
      <c r="AG238" s="45">
        <f>[1]节奏总纲!AG238</f>
        <v>88.628689405066268</v>
      </c>
      <c r="AH238" s="45">
        <f>[1]节奏总纲!AH238</f>
        <v>97.669401786251854</v>
      </c>
      <c r="AZ238" s="45">
        <v>235</v>
      </c>
      <c r="BA238" s="45">
        <f>[1]节奏总纲!BA238</f>
        <v>43.77911147780199</v>
      </c>
      <c r="BB238" s="45">
        <f>[1]节奏总纲!BB238</f>
        <v>45.283424416920717</v>
      </c>
      <c r="BC238" s="45">
        <f>[1]节奏总纲!BC238</f>
        <v>47.231113497756006</v>
      </c>
      <c r="BD238" s="45">
        <f>[1]节奏总纲!BD238</f>
        <v>49.991012996136504</v>
      </c>
      <c r="BE238" s="45">
        <f>[1]节奏总纲!BE238</f>
        <v>54.683289796218233</v>
      </c>
    </row>
    <row r="239" spans="29:57" x14ac:dyDescent="0.15">
      <c r="AC239" s="45">
        <v>236</v>
      </c>
      <c r="AD239" s="45">
        <f>[1]节奏总纲!AD239</f>
        <v>78.883939505217796</v>
      </c>
      <c r="AE239" s="45">
        <f>[1]节奏总纲!AE239</f>
        <v>80.976485397444989</v>
      </c>
      <c r="AF239" s="45">
        <f>[1]节奏总纲!AF239</f>
        <v>83.919105295046663</v>
      </c>
      <c r="AG239" s="45">
        <f>[1]节奏总纲!AG239</f>
        <v>88.698603316568864</v>
      </c>
      <c r="AH239" s="45">
        <f>[1]节奏总纲!AH239</f>
        <v>97.726638346345467</v>
      </c>
      <c r="AZ239" s="45">
        <v>236</v>
      </c>
      <c r="BA239" s="45">
        <f>[1]节奏总纲!BA239</f>
        <v>43.809068844549707</v>
      </c>
      <c r="BB239" s="45">
        <f>[1]节奏总纲!BB239</f>
        <v>45.31132052094835</v>
      </c>
      <c r="BC239" s="45">
        <f>[1]节奏总纲!BC239</f>
        <v>47.258830215519865</v>
      </c>
      <c r="BD239" s="45">
        <f>[1]节奏总纲!BD239</f>
        <v>50.018998195299922</v>
      </c>
      <c r="BE239" s="45">
        <f>[1]节奏总纲!BE239</f>
        <v>54.713055792814259</v>
      </c>
    </row>
    <row r="240" spans="29:57" x14ac:dyDescent="0.15">
      <c r="AC240" s="45">
        <v>237</v>
      </c>
      <c r="AD240" s="45">
        <f>[1]节奏总纲!AD240</f>
        <v>78.946457081918766</v>
      </c>
      <c r="AE240" s="45">
        <f>[1]节奏总纲!AE240</f>
        <v>81.038163244467697</v>
      </c>
      <c r="AF240" s="45">
        <f>[1]节奏总纲!AF240</f>
        <v>83.982732237924694</v>
      </c>
      <c r="AG240" s="45">
        <f>[1]节奏总纲!AG240</f>
        <v>88.768517228071445</v>
      </c>
      <c r="AH240" s="45">
        <f>[1]节奏总纲!AH240</f>
        <v>97.783874906439081</v>
      </c>
      <c r="AZ240" s="45">
        <v>237</v>
      </c>
      <c r="BA240" s="45">
        <f>[1]节奏总纲!BA240</f>
        <v>43.83902621129743</v>
      </c>
      <c r="BB240" s="45">
        <f>[1]节奏总纲!BB240</f>
        <v>45.339216624975975</v>
      </c>
      <c r="BC240" s="45">
        <f>[1]节奏总纲!BC240</f>
        <v>47.286546933283724</v>
      </c>
      <c r="BD240" s="45">
        <f>[1]节奏总纲!BD240</f>
        <v>50.045756216849099</v>
      </c>
      <c r="BE240" s="45">
        <f>[1]节奏总纲!BE240</f>
        <v>54.742821789410293</v>
      </c>
    </row>
    <row r="241" spans="29:57" x14ac:dyDescent="0.15">
      <c r="AC241" s="45">
        <v>238</v>
      </c>
      <c r="AD241" s="45">
        <f>[1]节奏总纲!AD241</f>
        <v>79.008373652580005</v>
      </c>
      <c r="AE241" s="45">
        <f>[1]节奏总纲!AE241</f>
        <v>81.097715704203424</v>
      </c>
      <c r="AF241" s="45">
        <f>[1]节奏总纲!AF241</f>
        <v>84.043767921022209</v>
      </c>
      <c r="AG241" s="45">
        <f>[1]节奏总纲!AG241</f>
        <v>88.838431139574041</v>
      </c>
      <c r="AH241" s="45">
        <f>[1]节奏总纲!AH241</f>
        <v>97.841111466532681</v>
      </c>
      <c r="AZ241" s="45">
        <v>238</v>
      </c>
      <c r="BA241" s="45">
        <f>[1]节奏总纲!BA241</f>
        <v>43.868983578045146</v>
      </c>
      <c r="BB241" s="45">
        <f>[1]节奏总纲!BB241</f>
        <v>45.367112729003608</v>
      </c>
      <c r="BC241" s="45">
        <f>[1]节奏总纲!BC241</f>
        <v>47.314263651047582</v>
      </c>
      <c r="BD241" s="45">
        <f>[1]节奏总纲!BD241</f>
        <v>50.072514238398277</v>
      </c>
      <c r="BE241" s="45">
        <f>[1]节奏总纲!BE241</f>
        <v>54.772587786006326</v>
      </c>
    </row>
    <row r="242" spans="29:57" x14ac:dyDescent="0.15">
      <c r="AC242" s="45">
        <v>239</v>
      </c>
      <c r="AD242" s="45">
        <f>[1]节奏总纲!AD242</f>
        <v>79.066704614192943</v>
      </c>
      <c r="AE242" s="45">
        <f>[1]节奏总纲!AE242</f>
        <v>81.157268163939136</v>
      </c>
      <c r="AF242" s="45">
        <f>[1]节奏总纲!AF242</f>
        <v>84.103838417578672</v>
      </c>
      <c r="AG242" s="45">
        <f>[1]节奏总纲!AG242</f>
        <v>88.908345051076637</v>
      </c>
      <c r="AH242" s="45">
        <f>[1]节奏总纲!AH242</f>
        <v>97.898348026626294</v>
      </c>
      <c r="AZ242" s="45">
        <v>239</v>
      </c>
      <c r="BA242" s="45">
        <f>[1]节奏总纲!BA242</f>
        <v>43.898940944792862</v>
      </c>
      <c r="BB242" s="45">
        <f>[1]节奏总纲!BB242</f>
        <v>45.395008833031234</v>
      </c>
      <c r="BC242" s="45">
        <f>[1]节奏总纲!BC242</f>
        <v>47.341980368811441</v>
      </c>
      <c r="BD242" s="45">
        <f>[1]节奏总纲!BD242</f>
        <v>50.099272259947462</v>
      </c>
      <c r="BE242" s="45">
        <f>[1]节奏总纲!BE242</f>
        <v>54.802353782602353</v>
      </c>
    </row>
    <row r="243" spans="29:57" x14ac:dyDescent="0.15">
      <c r="AC243" s="45">
        <v>240</v>
      </c>
      <c r="AD243" s="45">
        <f>[1]节奏总纲!AD243</f>
        <v>79.125035575805882</v>
      </c>
      <c r="AE243" s="45">
        <f>[1]节奏总纲!AE243</f>
        <v>81.216820623674849</v>
      </c>
      <c r="AF243" s="45">
        <f>[1]节奏总纲!AF243</f>
        <v>84.163908914135135</v>
      </c>
      <c r="AG243" s="45">
        <f>[1]节奏总纲!AG243</f>
        <v>88.978258962579233</v>
      </c>
      <c r="AH243" s="45">
        <f>[1]节奏总纲!AH243</f>
        <v>97.955584586719908</v>
      </c>
      <c r="AZ243" s="45">
        <v>240</v>
      </c>
      <c r="BA243" s="45">
        <f>[1]节奏总纲!BA243</f>
        <v>43.928898311540586</v>
      </c>
      <c r="BB243" s="45">
        <f>[1]节奏总纲!BB243</f>
        <v>45.422904937058867</v>
      </c>
      <c r="BC243" s="45">
        <f>[1]节奏总纲!BC243</f>
        <v>47.3696970865753</v>
      </c>
      <c r="BD243" s="45">
        <f>[1]节奏总纲!BD243</f>
        <v>50.126030281496639</v>
      </c>
      <c r="BE243" s="45">
        <f>[1]节奏总纲!BE243</f>
        <v>54.832119779198386</v>
      </c>
    </row>
    <row r="244" spans="29:57" x14ac:dyDescent="0.15">
      <c r="AC244" s="45">
        <v>241</v>
      </c>
      <c r="AD244" s="45">
        <f>[1]节奏总纲!AD244</f>
        <v>79.18336653741882</v>
      </c>
      <c r="AE244" s="45">
        <f>[1]节奏总纲!AE244</f>
        <v>81.276373083410562</v>
      </c>
      <c r="AF244" s="45">
        <f>[1]节奏总纲!AF244</f>
        <v>84.223979410691598</v>
      </c>
      <c r="AG244" s="45">
        <f>[1]节奏总纲!AG244</f>
        <v>89.047272179270863</v>
      </c>
      <c r="AH244" s="45">
        <f>[1]节奏总纲!AH244</f>
        <v>98.013314854852808</v>
      </c>
      <c r="AZ244" s="45">
        <v>241</v>
      </c>
      <c r="BA244" s="45">
        <f>[1]节奏总纲!BA244</f>
        <v>43.958855678288302</v>
      </c>
      <c r="BB244" s="45">
        <f>[1]节奏总纲!BB244</f>
        <v>45.450801041086493</v>
      </c>
      <c r="BC244" s="45">
        <f>[1]节奏总纲!BC244</f>
        <v>47.397413804339159</v>
      </c>
      <c r="BD244" s="45">
        <f>[1]节奏总纲!BD244</f>
        <v>50.152788303045817</v>
      </c>
      <c r="BE244" s="45">
        <f>[1]节奏总纲!BE244</f>
        <v>54.86188577579442</v>
      </c>
    </row>
    <row r="245" spans="29:57" x14ac:dyDescent="0.15">
      <c r="AC245" s="45">
        <v>242</v>
      </c>
      <c r="AD245" s="45">
        <f>[1]节奏总纲!AD245</f>
        <v>79.241697499031773</v>
      </c>
      <c r="AE245" s="45">
        <f>[1]节奏总纲!AE245</f>
        <v>81.335925543146274</v>
      </c>
      <c r="AF245" s="45">
        <f>[1]节奏总纲!AF245</f>
        <v>84.284049907248061</v>
      </c>
      <c r="AG245" s="45">
        <f>[1]节奏总纲!AG245</f>
        <v>89.11587890081428</v>
      </c>
      <c r="AH245" s="45">
        <f>[1]节奏总纲!AH245</f>
        <v>98.072755441643167</v>
      </c>
      <c r="AZ245" s="45">
        <v>242</v>
      </c>
      <c r="BA245" s="45">
        <f>[1]节奏总纲!BA245</f>
        <v>43.988813045036018</v>
      </c>
      <c r="BB245" s="45">
        <f>[1]节奏总纲!BB245</f>
        <v>45.478697145114126</v>
      </c>
      <c r="BC245" s="45">
        <f>[1]节奏总纲!BC245</f>
        <v>47.425130522103018</v>
      </c>
      <c r="BD245" s="45">
        <f>[1]节奏总纲!BD245</f>
        <v>50.179546324595002</v>
      </c>
      <c r="BE245" s="45">
        <f>[1]节奏总纲!BE245</f>
        <v>54.891651772390446</v>
      </c>
    </row>
    <row r="246" spans="29:57" x14ac:dyDescent="0.15">
      <c r="AC246" s="45">
        <v>243</v>
      </c>
      <c r="AD246" s="45">
        <f>[1]节奏总纲!AD246</f>
        <v>79.300028460644711</v>
      </c>
      <c r="AE246" s="45">
        <f>[1]节奏总纲!AE246</f>
        <v>81.395478002882001</v>
      </c>
      <c r="AF246" s="45">
        <f>[1]节奏总纲!AF246</f>
        <v>84.344120403804524</v>
      </c>
      <c r="AG246" s="45">
        <f>[1]节奏总纲!AG246</f>
        <v>89.184485622357698</v>
      </c>
      <c r="AH246" s="45">
        <f>[1]节奏总纲!AH246</f>
        <v>98.132196028433526</v>
      </c>
      <c r="AZ246" s="45">
        <v>243</v>
      </c>
      <c r="BA246" s="45">
        <f>[1]节奏总纲!BA246</f>
        <v>44.016200268136501</v>
      </c>
      <c r="BB246" s="45">
        <f>[1]节奏总纲!BB246</f>
        <v>45.506593249141758</v>
      </c>
      <c r="BC246" s="45">
        <f>[1]节奏总纲!BC246</f>
        <v>47.452847239866877</v>
      </c>
      <c r="BD246" s="45">
        <f>[1]节奏总纲!BD246</f>
        <v>50.206304346144179</v>
      </c>
      <c r="BE246" s="45">
        <f>[1]节奏总纲!BE246</f>
        <v>54.92141776898648</v>
      </c>
    </row>
    <row r="247" spans="29:57" x14ac:dyDescent="0.15">
      <c r="AC247" s="45">
        <v>244</v>
      </c>
      <c r="AD247" s="45">
        <f>[1]节奏总纲!AD247</f>
        <v>79.358359422257649</v>
      </c>
      <c r="AE247" s="45">
        <f>[1]节奏总纲!AE247</f>
        <v>81.455030462617714</v>
      </c>
      <c r="AF247" s="45">
        <f>[1]节奏总纲!AF247</f>
        <v>84.404190900360987</v>
      </c>
      <c r="AG247" s="45">
        <f>[1]节奏总纲!AG247</f>
        <v>89.253092343901116</v>
      </c>
      <c r="AH247" s="45">
        <f>[1]节奏总纲!AH247</f>
        <v>98.191636615223871</v>
      </c>
      <c r="AZ247" s="45">
        <v>244</v>
      </c>
      <c r="BA247" s="45">
        <f>[1]节奏总纲!BA247</f>
        <v>44.042055714440401</v>
      </c>
      <c r="BB247" s="45">
        <f>[1]节奏总纲!BB247</f>
        <v>45.534489353169384</v>
      </c>
      <c r="BC247" s="45">
        <f>[1]节奏总纲!BC247</f>
        <v>47.480563957630736</v>
      </c>
      <c r="BD247" s="45">
        <f>[1]节奏总纲!BD247</f>
        <v>50.233062367693357</v>
      </c>
      <c r="BE247" s="45">
        <f>[1]节奏总纲!BE247</f>
        <v>54.951183765582506</v>
      </c>
    </row>
    <row r="248" spans="29:57" x14ac:dyDescent="0.15">
      <c r="AC248" s="45">
        <v>245</v>
      </c>
      <c r="AD248" s="45">
        <f>[1]节奏总纲!AD248</f>
        <v>79.416690383870588</v>
      </c>
      <c r="AE248" s="45">
        <f>[1]节奏总纲!AE248</f>
        <v>81.514582922353426</v>
      </c>
      <c r="AF248" s="45">
        <f>[1]节奏总纲!AF248</f>
        <v>84.46426139691745</v>
      </c>
      <c r="AG248" s="45">
        <f>[1]节奏总纲!AG248</f>
        <v>89.321699065444534</v>
      </c>
      <c r="AH248" s="45">
        <f>[1]节奏总纲!AH248</f>
        <v>98.25107720201423</v>
      </c>
      <c r="AZ248" s="45">
        <v>245</v>
      </c>
      <c r="BA248" s="45">
        <f>[1]节奏总纲!BA248</f>
        <v>44.067911160744309</v>
      </c>
      <c r="BB248" s="45">
        <f>[1]节奏总纲!BB248</f>
        <v>45.562385457197017</v>
      </c>
      <c r="BC248" s="45">
        <f>[1]节奏总纲!BC248</f>
        <v>47.508280675394595</v>
      </c>
      <c r="BD248" s="45">
        <f>[1]节奏总纲!BD248</f>
        <v>50.259820389242542</v>
      </c>
      <c r="BE248" s="45">
        <f>[1]节奏总纲!BE248</f>
        <v>54.98094976217854</v>
      </c>
    </row>
    <row r="249" spans="29:57" x14ac:dyDescent="0.15">
      <c r="AC249" s="45">
        <v>246</v>
      </c>
      <c r="AD249" s="45">
        <f>[1]节奏总纲!AD249</f>
        <v>79.475021345483526</v>
      </c>
      <c r="AE249" s="45">
        <f>[1]节奏总纲!AE249</f>
        <v>81.574135382089139</v>
      </c>
      <c r="AF249" s="45">
        <f>[1]节奏总纲!AF249</f>
        <v>84.524331893473914</v>
      </c>
      <c r="AG249" s="45">
        <f>[1]节奏总纲!AG249</f>
        <v>89.390305786987952</v>
      </c>
      <c r="AH249" s="45">
        <f>[1]节奏总纲!AH249</f>
        <v>98.310517788804589</v>
      </c>
      <c r="AZ249" s="45">
        <v>246</v>
      </c>
      <c r="BA249" s="45">
        <f>[1]节奏总纲!BA249</f>
        <v>44.093766607048209</v>
      </c>
      <c r="BB249" s="45">
        <f>[1]节奏总纲!BB249</f>
        <v>45.590281561224643</v>
      </c>
      <c r="BC249" s="45">
        <f>[1]节奏总纲!BC249</f>
        <v>47.535997393158453</v>
      </c>
      <c r="BD249" s="45">
        <f>[1]节奏总纲!BD249</f>
        <v>50.286578410791719</v>
      </c>
      <c r="BE249" s="45">
        <f>[1]节奏总纲!BE249</f>
        <v>55.009255535630842</v>
      </c>
    </row>
    <row r="250" spans="29:57" x14ac:dyDescent="0.15">
      <c r="AC250" s="45">
        <v>247</v>
      </c>
      <c r="AD250" s="45">
        <f>[1]节奏总纲!AD250</f>
        <v>79.533352307096465</v>
      </c>
      <c r="AE250" s="45">
        <f>[1]节奏总纲!AE250</f>
        <v>81.633687841824852</v>
      </c>
      <c r="AF250" s="45">
        <f>[1]节奏总纲!AF250</f>
        <v>84.584402390030377</v>
      </c>
      <c r="AG250" s="45">
        <f>[1]节奏总纲!AG250</f>
        <v>89.45891250853137</v>
      </c>
      <c r="AH250" s="45">
        <f>[1]节奏总纲!AH250</f>
        <v>98.369958375594933</v>
      </c>
      <c r="AZ250" s="45">
        <v>247</v>
      </c>
      <c r="BA250" s="45">
        <f>[1]节奏总纲!BA250</f>
        <v>44.11962205335211</v>
      </c>
      <c r="BB250" s="45">
        <f>[1]节奏总纲!BB250</f>
        <v>45.618177665252276</v>
      </c>
      <c r="BC250" s="45">
        <f>[1]节奏总纲!BC250</f>
        <v>47.563714110922312</v>
      </c>
      <c r="BD250" s="45">
        <f>[1]节奏总纲!BD250</f>
        <v>50.313336432340897</v>
      </c>
      <c r="BE250" s="45">
        <f>[1]节奏总纲!BE250</f>
        <v>55.034965356827627</v>
      </c>
    </row>
    <row r="251" spans="29:57" x14ac:dyDescent="0.15">
      <c r="AC251" s="45">
        <v>248</v>
      </c>
      <c r="AD251" s="45">
        <f>[1]节奏总纲!AD251</f>
        <v>79.591683268709417</v>
      </c>
      <c r="AE251" s="45">
        <f>[1]节奏总纲!AE251</f>
        <v>81.693240301560579</v>
      </c>
      <c r="AF251" s="45">
        <f>[1]节奏总纲!AF251</f>
        <v>84.64447288658684</v>
      </c>
      <c r="AG251" s="45">
        <f>[1]节奏总纲!AG251</f>
        <v>89.527519230074788</v>
      </c>
      <c r="AH251" s="45">
        <f>[1]节奏总纲!AH251</f>
        <v>98.429398962385292</v>
      </c>
      <c r="AZ251" s="45">
        <v>248</v>
      </c>
      <c r="BA251" s="45">
        <f>[1]节奏总纲!BA251</f>
        <v>44.145477499656018</v>
      </c>
      <c r="BB251" s="45">
        <f>[1]节奏总纲!BB251</f>
        <v>45.646073769279901</v>
      </c>
      <c r="BC251" s="45">
        <f>[1]节奏总纲!BC251</f>
        <v>47.591430828686171</v>
      </c>
      <c r="BD251" s="45">
        <f>[1]节奏总纲!BD251</f>
        <v>50.340094453890082</v>
      </c>
      <c r="BE251" s="45">
        <f>[1]节奏总纲!BE251</f>
        <v>55.060675178024418</v>
      </c>
    </row>
    <row r="252" spans="29:57" x14ac:dyDescent="0.15">
      <c r="AC252" s="45">
        <v>249</v>
      </c>
      <c r="AD252" s="45">
        <f>[1]节奏总纲!AD252</f>
        <v>79.650014230322356</v>
      </c>
      <c r="AE252" s="45">
        <f>[1]节奏总纲!AE252</f>
        <v>81.752792761296291</v>
      </c>
      <c r="AF252" s="45">
        <f>[1]节奏总纲!AF252</f>
        <v>84.704543383143317</v>
      </c>
      <c r="AG252" s="45">
        <f>[1]节奏总纲!AG252</f>
        <v>89.596125951618205</v>
      </c>
      <c r="AH252" s="45">
        <f>[1]节奏总纲!AH252</f>
        <v>98.488839549175651</v>
      </c>
      <c r="AZ252" s="45">
        <v>249</v>
      </c>
      <c r="BA252" s="45">
        <f>[1]节奏总纲!BA252</f>
        <v>44.171332945959918</v>
      </c>
      <c r="BB252" s="45">
        <f>[1]节奏总纲!BB252</f>
        <v>45.673969873307534</v>
      </c>
      <c r="BC252" s="45">
        <f>[1]节奏总纲!BC252</f>
        <v>47.61914754645003</v>
      </c>
      <c r="BD252" s="45">
        <f>[1]节奏总纲!BD252</f>
        <v>50.366852475439259</v>
      </c>
      <c r="BE252" s="45">
        <f>[1]节奏总纲!BE252</f>
        <v>55.086384999221202</v>
      </c>
    </row>
    <row r="253" spans="29:57" x14ac:dyDescent="0.15">
      <c r="AC253" s="45">
        <v>250</v>
      </c>
      <c r="AD253" s="45">
        <f>[1]节奏总纲!AD253</f>
        <v>79.708345191935294</v>
      </c>
      <c r="AE253" s="45">
        <f>[1]节奏总纲!AE253</f>
        <v>81.812345221032004</v>
      </c>
      <c r="AF253" s="45">
        <f>[1]节奏总纲!AF253</f>
        <v>84.76461387969978</v>
      </c>
      <c r="AG253" s="45">
        <f>[1]节奏总纲!AG253</f>
        <v>89.664732673161623</v>
      </c>
      <c r="AH253" s="45">
        <f>[1]节奏总纲!AH253</f>
        <v>98.548280135965996</v>
      </c>
      <c r="AZ253" s="45">
        <v>250</v>
      </c>
      <c r="BA253" s="45">
        <f>[1]节奏总纲!BA253</f>
        <v>44.197188392263818</v>
      </c>
      <c r="BB253" s="45">
        <f>[1]节奏总纲!BB253</f>
        <v>45.701865977335167</v>
      </c>
      <c r="BC253" s="45">
        <f>[1]节奏总纲!BC253</f>
        <v>47.646864264213889</v>
      </c>
      <c r="BD253" s="45">
        <f>[1]节奏总纲!BD253</f>
        <v>50.393610496988437</v>
      </c>
      <c r="BE253" s="45">
        <f>[1]节奏总纲!BE253</f>
        <v>55.112094820417994</v>
      </c>
    </row>
    <row r="254" spans="29:57" x14ac:dyDescent="0.15">
      <c r="AC254" s="45">
        <v>251</v>
      </c>
      <c r="AD254" s="45">
        <f>[1]节奏总纲!AD254</f>
        <v>79.766676153548232</v>
      </c>
      <c r="AE254" s="45">
        <f>[1]节奏总纲!AE254</f>
        <v>81.871897680767717</v>
      </c>
      <c r="AF254" s="45">
        <f>[1]节奏总纲!AF254</f>
        <v>84.824684376256243</v>
      </c>
      <c r="AG254" s="45">
        <f>[1]节奏总纲!AG254</f>
        <v>89.733339394705041</v>
      </c>
      <c r="AH254" s="45">
        <f>[1]节奏总纲!AH254</f>
        <v>98.607720722756355</v>
      </c>
      <c r="AZ254" s="45">
        <v>251</v>
      </c>
      <c r="BA254" s="45">
        <f>[1]节奏总纲!BA254</f>
        <v>44.223043838567726</v>
      </c>
      <c r="BB254" s="45">
        <f>[1]节奏总纲!BB254</f>
        <v>45.729762081362793</v>
      </c>
      <c r="BC254" s="45">
        <f>[1]节奏总纲!BC254</f>
        <v>47.674580981977748</v>
      </c>
      <c r="BD254" s="45">
        <f>[1]节奏总纲!BD254</f>
        <v>50.420368518537622</v>
      </c>
      <c r="BE254" s="45">
        <f>[1]节奏总纲!BE254</f>
        <v>55.137804641614778</v>
      </c>
    </row>
    <row r="255" spans="29:57" x14ac:dyDescent="0.15">
      <c r="AC255" s="45">
        <v>252</v>
      </c>
      <c r="AD255" s="45">
        <f>[1]节奏总纲!AD255</f>
        <v>79.825007115161171</v>
      </c>
      <c r="AE255" s="45">
        <f>[1]节奏总纲!AE255</f>
        <v>81.931450140503429</v>
      </c>
      <c r="AF255" s="45">
        <f>[1]节奏总纲!AF255</f>
        <v>84.884754872812707</v>
      </c>
      <c r="AG255" s="45">
        <f>[1]节奏总纲!AG255</f>
        <v>89.801946116248459</v>
      </c>
      <c r="AH255" s="45">
        <f>[1]节奏总纲!AH255</f>
        <v>98.667161309546714</v>
      </c>
      <c r="AZ255" s="45">
        <v>252</v>
      </c>
      <c r="BA255" s="45">
        <f>[1]节奏总纲!BA255</f>
        <v>44.248899284871626</v>
      </c>
      <c r="BB255" s="45">
        <f>[1]节奏总纲!BB255</f>
        <v>45.757658185390426</v>
      </c>
      <c r="BC255" s="45">
        <f>[1]节奏总纲!BC255</f>
        <v>47.7022976997416</v>
      </c>
      <c r="BD255" s="45">
        <f>[1]节奏总纲!BD255</f>
        <v>50.447126540086799</v>
      </c>
      <c r="BE255" s="45">
        <f>[1]节奏总纲!BE255</f>
        <v>55.163514462811563</v>
      </c>
    </row>
    <row r="256" spans="29:57" x14ac:dyDescent="0.15">
      <c r="AC256" s="45">
        <v>253</v>
      </c>
      <c r="AD256" s="45">
        <f>[1]节奏总纲!AD256</f>
        <v>79.883338076774123</v>
      </c>
      <c r="AE256" s="45">
        <f>[1]节奏总纲!AE256</f>
        <v>81.991002600239142</v>
      </c>
      <c r="AF256" s="45">
        <f>[1]节奏总纲!AF256</f>
        <v>84.94482536936917</v>
      </c>
      <c r="AG256" s="45">
        <f>[1]节奏总纲!AG256</f>
        <v>89.870552837791877</v>
      </c>
      <c r="AH256" s="45">
        <f>[1]节奏总纲!AH256</f>
        <v>98.726601896337058</v>
      </c>
      <c r="AZ256" s="45">
        <v>253</v>
      </c>
      <c r="BA256" s="45">
        <f>[1]节奏总纲!BA256</f>
        <v>44.274754731175527</v>
      </c>
      <c r="BB256" s="45">
        <f>[1]节奏总纲!BB256</f>
        <v>45.785554289418052</v>
      </c>
      <c r="BC256" s="45">
        <f>[1]节奏总纲!BC256</f>
        <v>47.730014417505458</v>
      </c>
      <c r="BD256" s="45">
        <f>[1]节奏总纲!BD256</f>
        <v>50.473884561635977</v>
      </c>
      <c r="BE256" s="45">
        <f>[1]节奏总纲!BE256</f>
        <v>55.189224284008354</v>
      </c>
    </row>
    <row r="257" spans="29:57" x14ac:dyDescent="0.15">
      <c r="AC257" s="45">
        <v>254</v>
      </c>
      <c r="AD257" s="45">
        <f>[1]节奏总纲!AD257</f>
        <v>79.941669038387062</v>
      </c>
      <c r="AE257" s="45">
        <f>[1]节奏总纲!AE257</f>
        <v>82.046165327855846</v>
      </c>
      <c r="AF257" s="45">
        <f>[1]节奏总纲!AF257</f>
        <v>85.004450307848032</v>
      </c>
      <c r="AG257" s="45">
        <f>[1]节奏总纲!AG257</f>
        <v>89.939159559335295</v>
      </c>
      <c r="AH257" s="45">
        <f>[1]节奏总纲!AH257</f>
        <v>98.786042483127417</v>
      </c>
      <c r="AZ257" s="45">
        <v>254</v>
      </c>
      <c r="BA257" s="45">
        <f>[1]节奏总纲!BA257</f>
        <v>44.300610177479435</v>
      </c>
      <c r="BB257" s="45">
        <f>[1]节奏总纲!BB257</f>
        <v>45.813450393445684</v>
      </c>
      <c r="BC257" s="45">
        <f>[1]节奏总纲!BC257</f>
        <v>47.757731135269317</v>
      </c>
      <c r="BD257" s="45">
        <f>[1]节奏总纲!BD257</f>
        <v>50.500642583185162</v>
      </c>
      <c r="BE257" s="45">
        <f>[1]节奏总纲!BE257</f>
        <v>55.214934105205138</v>
      </c>
    </row>
    <row r="258" spans="29:57" x14ac:dyDescent="0.15">
      <c r="AC258" s="45">
        <v>255</v>
      </c>
      <c r="AD258" s="45">
        <f>[1]节奏总纲!AD258</f>
        <v>80</v>
      </c>
      <c r="AE258" s="45">
        <f>[1]节奏总纲!AE258</f>
        <v>82.100546804797787</v>
      </c>
      <c r="AF258" s="45">
        <f>[1]节奏总纲!AF258</f>
        <v>85.059053968634842</v>
      </c>
      <c r="AG258" s="45">
        <f>[1]节奏总纲!AG258</f>
        <v>90.006385600230558</v>
      </c>
      <c r="AH258" s="45">
        <f>[1]节奏总纲!AH258</f>
        <v>98.845483069917776</v>
      </c>
      <c r="AZ258" s="45">
        <v>255</v>
      </c>
      <c r="BA258" s="45">
        <f>[1]节奏总纲!BA258</f>
        <v>44.326465623783335</v>
      </c>
      <c r="BB258" s="45">
        <f>[1]节奏总纲!BB258</f>
        <v>45.84134649747331</v>
      </c>
      <c r="BC258" s="45">
        <f>[1]节奏总纲!BC258</f>
        <v>47.785447853033176</v>
      </c>
      <c r="BD258" s="45">
        <f>[1]节奏总纲!BD258</f>
        <v>50.527400604734339</v>
      </c>
      <c r="BE258" s="45">
        <f>[1]节奏总纲!BE258</f>
        <v>55.24064392640193</v>
      </c>
    </row>
    <row r="259" spans="29:57" x14ac:dyDescent="0.15">
      <c r="AC259" s="45">
        <v>256</v>
      </c>
      <c r="AD259" s="45">
        <f>[1]节奏总纲!AD259</f>
        <v>80.054424711612938</v>
      </c>
      <c r="AE259" s="45">
        <f>[1]节奏总纲!AE259</f>
        <v>82.154928281739714</v>
      </c>
      <c r="AF259" s="45">
        <f>[1]节奏总纲!AF259</f>
        <v>85.113657629421638</v>
      </c>
      <c r="AG259" s="45">
        <f>[1]节奏总纲!AG259</f>
        <v>90.062795496260307</v>
      </c>
      <c r="AH259" s="45">
        <f>[1]节奏总纲!AH259</f>
        <v>98.904923656708121</v>
      </c>
      <c r="AZ259" s="45">
        <v>256</v>
      </c>
      <c r="BA259" s="45">
        <f>[1]节奏总纲!BA259</f>
        <v>44.352321070087235</v>
      </c>
      <c r="BB259" s="45">
        <f>[1]节奏总纲!BB259</f>
        <v>45.869242601500943</v>
      </c>
      <c r="BC259" s="45">
        <f>[1]节奏总纲!BC259</f>
        <v>47.813164570797035</v>
      </c>
      <c r="BD259" s="45">
        <f>[1]节奏总纲!BD259</f>
        <v>50.554158626283517</v>
      </c>
      <c r="BE259" s="45">
        <f>[1]节奏总纲!BE259</f>
        <v>55.266353747598714</v>
      </c>
    </row>
    <row r="260" spans="29:57" x14ac:dyDescent="0.15">
      <c r="AC260" s="45">
        <v>257</v>
      </c>
      <c r="AD260" s="45">
        <f>[1]节奏总纲!AD260</f>
        <v>80.108849423225877</v>
      </c>
      <c r="AE260" s="45">
        <f>[1]节奏总纲!AE260</f>
        <v>82.209309758681655</v>
      </c>
      <c r="AF260" s="45">
        <f>[1]节奏总纲!AF260</f>
        <v>85.168261290208434</v>
      </c>
      <c r="AG260" s="45">
        <f>[1]节奏总纲!AG260</f>
        <v>90.119205392290041</v>
      </c>
      <c r="AH260" s="45">
        <f>[1]节奏总纲!AH260</f>
        <v>98.96436424349848</v>
      </c>
      <c r="AZ260" s="45">
        <v>257</v>
      </c>
      <c r="BA260" s="45">
        <f>[1]节奏总纲!BA260</f>
        <v>44.378176516391136</v>
      </c>
      <c r="BB260" s="45">
        <f>[1]节奏总纲!BB260</f>
        <v>45.897138705528576</v>
      </c>
      <c r="BC260" s="45">
        <f>[1]节奏总纲!BC260</f>
        <v>47.840881288560894</v>
      </c>
      <c r="BD260" s="45">
        <f>[1]节奏总纲!BD260</f>
        <v>50.580916647832701</v>
      </c>
      <c r="BE260" s="45">
        <f>[1]节奏总纲!BE260</f>
        <v>55.292063568795498</v>
      </c>
    </row>
    <row r="261" spans="29:57" x14ac:dyDescent="0.15">
      <c r="AC261" s="45">
        <v>258</v>
      </c>
      <c r="AD261" s="45">
        <f>[1]节奏总纲!AD261</f>
        <v>80.163274134838829</v>
      </c>
      <c r="AE261" s="45">
        <f>[1]节奏总纲!AE261</f>
        <v>82.263691235623583</v>
      </c>
      <c r="AF261" s="45">
        <f>[1]节奏总纲!AF261</f>
        <v>85.222864950995231</v>
      </c>
      <c r="AG261" s="45">
        <f>[1]节奏总纲!AG261</f>
        <v>90.175615288319776</v>
      </c>
      <c r="AH261" s="45">
        <f>[1]节奏总纲!AH261</f>
        <v>99.023313221876677</v>
      </c>
      <c r="AZ261" s="45">
        <v>258</v>
      </c>
      <c r="BA261" s="45">
        <f>[1]节奏总纲!BA261</f>
        <v>44.404031962695043</v>
      </c>
      <c r="BB261" s="45">
        <f>[1]节奏总纲!BB261</f>
        <v>45.925034809556202</v>
      </c>
      <c r="BC261" s="45">
        <f>[1]节奏总纲!BC261</f>
        <v>47.868598006324753</v>
      </c>
      <c r="BD261" s="45">
        <f>[1]节奏总纲!BD261</f>
        <v>50.607674669381879</v>
      </c>
      <c r="BE261" s="45">
        <f>[1]节奏总纲!BE261</f>
        <v>55.31777338999229</v>
      </c>
    </row>
    <row r="262" spans="29:57" x14ac:dyDescent="0.15">
      <c r="AC262" s="45">
        <v>259</v>
      </c>
      <c r="AD262" s="45">
        <f>[1]节奏总纲!AD262</f>
        <v>80.217698846451768</v>
      </c>
      <c r="AE262" s="45">
        <f>[1]节奏总纲!AE262</f>
        <v>82.318072712565524</v>
      </c>
      <c r="AF262" s="45">
        <f>[1]节奏总纲!AF262</f>
        <v>85.277468611782027</v>
      </c>
      <c r="AG262" s="45">
        <f>[1]节奏总纲!AG262</f>
        <v>90.23202518434951</v>
      </c>
      <c r="AH262" s="45">
        <f>[1]节奏总纲!AH262</f>
        <v>99.081526263999208</v>
      </c>
      <c r="AZ262" s="45">
        <v>259</v>
      </c>
      <c r="BA262" s="45">
        <f>[1]节奏总纲!BA262</f>
        <v>44.429887408998944</v>
      </c>
      <c r="BB262" s="45">
        <f>[1]节奏总纲!BB262</f>
        <v>45.952930913583835</v>
      </c>
      <c r="BC262" s="45">
        <f>[1]节奏总纲!BC262</f>
        <v>47.896314724088612</v>
      </c>
      <c r="BD262" s="45">
        <f>[1]节奏总纲!BD262</f>
        <v>50.634432690931064</v>
      </c>
      <c r="BE262" s="45">
        <f>[1]节奏总纲!BE262</f>
        <v>55.343483211189074</v>
      </c>
    </row>
    <row r="263" spans="29:57" x14ac:dyDescent="0.15">
      <c r="AC263" s="45">
        <v>260</v>
      </c>
      <c r="AD263" s="45">
        <f>[1]节奏总纲!AD263</f>
        <v>80.272123558064706</v>
      </c>
      <c r="AE263" s="45">
        <f>[1]节奏总纲!AE263</f>
        <v>82.372454189507465</v>
      </c>
      <c r="AF263" s="45">
        <f>[1]节奏总纲!AF263</f>
        <v>85.332072272568837</v>
      </c>
      <c r="AG263" s="45">
        <f>[1]节奏总纲!AG263</f>
        <v>90.288435080379244</v>
      </c>
      <c r="AH263" s="45">
        <f>[1]节奏总纲!AH263</f>
        <v>99.139739306121726</v>
      </c>
      <c r="AZ263" s="45">
        <v>260</v>
      </c>
      <c r="BA263" s="45">
        <f>[1]节奏总纲!BA263</f>
        <v>44.455742855302844</v>
      </c>
      <c r="BB263" s="45">
        <f>[1]节奏总纲!BB263</f>
        <v>45.98082701761146</v>
      </c>
      <c r="BC263" s="45">
        <f>[1]节奏总纲!BC263</f>
        <v>47.92403144185247</v>
      </c>
      <c r="BD263" s="45">
        <f>[1]节奏总纲!BD263</f>
        <v>50.661190712480241</v>
      </c>
      <c r="BE263" s="45">
        <f>[1]节奏总纲!BE263</f>
        <v>55.369193032385866</v>
      </c>
    </row>
    <row r="264" spans="29:57" x14ac:dyDescent="0.15">
      <c r="AC264" s="45">
        <v>261</v>
      </c>
      <c r="AD264" s="45">
        <f>[1]节奏总纲!AD264</f>
        <v>80.326548269677644</v>
      </c>
      <c r="AE264" s="45">
        <f>[1]节奏总纲!AE264</f>
        <v>82.426835666449392</v>
      </c>
      <c r="AF264" s="45">
        <f>[1]节奏总纲!AF264</f>
        <v>85.386675933355633</v>
      </c>
      <c r="AG264" s="45">
        <f>[1]节奏总纲!AG264</f>
        <v>90.344844976408993</v>
      </c>
      <c r="AH264" s="45">
        <f>[1]节奏总纲!AH264</f>
        <v>99.197952348244257</v>
      </c>
      <c r="AZ264" s="45">
        <v>261</v>
      </c>
      <c r="BA264" s="45">
        <f>[1]节奏总纲!BA264</f>
        <v>44.481598301606752</v>
      </c>
      <c r="BB264" s="45">
        <f>[1]节奏总纲!BB264</f>
        <v>46.007529841290832</v>
      </c>
      <c r="BC264" s="45">
        <f>[1]节奏总纲!BC264</f>
        <v>47.951748159616329</v>
      </c>
      <c r="BD264" s="45">
        <f>[1]节奏总纲!BD264</f>
        <v>50.687948734029419</v>
      </c>
      <c r="BE264" s="45">
        <f>[1]节奏总纲!BE264</f>
        <v>55.39490285358265</v>
      </c>
    </row>
    <row r="265" spans="29:57" x14ac:dyDescent="0.15">
      <c r="AC265" s="45">
        <v>262</v>
      </c>
      <c r="AD265" s="45">
        <f>[1]节奏总纲!AD265</f>
        <v>80.380972981290597</v>
      </c>
      <c r="AE265" s="45">
        <f>[1]节奏总纲!AE265</f>
        <v>82.481217143391333</v>
      </c>
      <c r="AF265" s="45">
        <f>[1]节奏总纲!AF265</f>
        <v>85.441279594142429</v>
      </c>
      <c r="AG265" s="45">
        <f>[1]节奏总纲!AG265</f>
        <v>90.401254872438727</v>
      </c>
      <c r="AH265" s="45">
        <f>[1]节奏总纲!AH265</f>
        <v>99.256165390366789</v>
      </c>
      <c r="AZ265" s="45">
        <v>262</v>
      </c>
      <c r="BA265" s="45">
        <f>[1]节奏总纲!BA265</f>
        <v>44.507453747910652</v>
      </c>
      <c r="BB265" s="45">
        <f>[1]节奏总纲!BB265</f>
        <v>46.031609894814238</v>
      </c>
      <c r="BC265" s="45">
        <f>[1]节奏总纲!BC265</f>
        <v>47.979464877380188</v>
      </c>
      <c r="BD265" s="45">
        <f>[1]节奏总纲!BD265</f>
        <v>50.714706755578604</v>
      </c>
      <c r="BE265" s="45">
        <f>[1]节奏总纲!BE265</f>
        <v>55.420612674779434</v>
      </c>
    </row>
    <row r="266" spans="29:57" x14ac:dyDescent="0.15">
      <c r="AC266" s="45">
        <v>263</v>
      </c>
      <c r="AD266" s="45">
        <f>[1]节奏总纲!AD266</f>
        <v>80.435397692903535</v>
      </c>
      <c r="AE266" s="45">
        <f>[1]节奏总纲!AE266</f>
        <v>82.535598620333275</v>
      </c>
      <c r="AF266" s="45">
        <f>[1]节奏总纲!AF266</f>
        <v>85.495883254929225</v>
      </c>
      <c r="AG266" s="45">
        <f>[1]节奏总纲!AG266</f>
        <v>90.457664768468462</v>
      </c>
      <c r="AH266" s="45">
        <f>[1]节奏总纲!AH266</f>
        <v>99.314378432489306</v>
      </c>
      <c r="AZ266" s="45">
        <v>263</v>
      </c>
      <c r="BA266" s="45">
        <f>[1]节奏总纲!BA266</f>
        <v>44.533309194214553</v>
      </c>
      <c r="BB266" s="45">
        <f>[1]节奏总纲!BB266</f>
        <v>46.055689948337651</v>
      </c>
      <c r="BC266" s="45">
        <f>[1]节奏总纲!BC266</f>
        <v>48.006200084618079</v>
      </c>
      <c r="BD266" s="45">
        <f>[1]节奏总纲!BD266</f>
        <v>50.741464777127781</v>
      </c>
      <c r="BE266" s="45">
        <f>[1]节奏总纲!BE266</f>
        <v>55.446322495976226</v>
      </c>
    </row>
    <row r="267" spans="29:57" x14ac:dyDescent="0.15">
      <c r="AC267" s="45">
        <v>264</v>
      </c>
      <c r="AD267" s="45">
        <f>[1]节奏总纲!AD267</f>
        <v>80.489822404516474</v>
      </c>
      <c r="AE267" s="45">
        <f>[1]节奏总纲!AE267</f>
        <v>82.589980097275202</v>
      </c>
      <c r="AF267" s="45">
        <f>[1]节奏总纲!AF267</f>
        <v>85.550486915716021</v>
      </c>
      <c r="AG267" s="45">
        <f>[1]节奏总纲!AG267</f>
        <v>90.514074664498196</v>
      </c>
      <c r="AH267" s="45">
        <f>[1]节奏总纲!AH267</f>
        <v>99.372591474611838</v>
      </c>
      <c r="AZ267" s="45">
        <v>264</v>
      </c>
      <c r="BA267" s="45">
        <f>[1]节奏总纲!BA267</f>
        <v>44.55916464051846</v>
      </c>
      <c r="BB267" s="45">
        <f>[1]节奏总纲!BB267</f>
        <v>46.079770001861057</v>
      </c>
      <c r="BC267" s="45">
        <f>[1]节奏总纲!BC267</f>
        <v>48.030128751164241</v>
      </c>
      <c r="BD267" s="45">
        <f>[1]节奏总纲!BD267</f>
        <v>50.768222798676959</v>
      </c>
      <c r="BE267" s="45">
        <f>[1]节奏总纲!BE267</f>
        <v>55.47203231717301</v>
      </c>
    </row>
    <row r="268" spans="29:57" x14ac:dyDescent="0.15">
      <c r="AC268" s="45">
        <v>265</v>
      </c>
      <c r="AD268" s="45">
        <f>[1]节奏总纲!AD268</f>
        <v>80.544247116129412</v>
      </c>
      <c r="AE268" s="45">
        <f>[1]节奏总纲!AE268</f>
        <v>82.644361574217143</v>
      </c>
      <c r="AF268" s="45">
        <f>[1]节奏总纲!AF268</f>
        <v>85.605090576502832</v>
      </c>
      <c r="AG268" s="45">
        <f>[1]节奏总纲!AG268</f>
        <v>90.57048456052793</v>
      </c>
      <c r="AH268" s="45">
        <f>[1]节奏总纲!AH268</f>
        <v>99.430804516734369</v>
      </c>
      <c r="AZ268" s="45">
        <v>265</v>
      </c>
      <c r="BA268" s="45">
        <f>[1]节奏总纲!BA268</f>
        <v>44.585020086822361</v>
      </c>
      <c r="BB268" s="45">
        <f>[1]节奏总纲!BB268</f>
        <v>46.10385005538447</v>
      </c>
      <c r="BC268" s="45">
        <f>[1]节奏总纲!BC268</f>
        <v>48.054057417710396</v>
      </c>
      <c r="BD268" s="45">
        <f>[1]节奏总纲!BD268</f>
        <v>50.794980820226144</v>
      </c>
      <c r="BE268" s="45">
        <f>[1]节奏总纲!BE268</f>
        <v>55.497742138369794</v>
      </c>
    </row>
    <row r="269" spans="29:57" x14ac:dyDescent="0.15">
      <c r="AC269" s="45">
        <v>266</v>
      </c>
      <c r="AD269" s="45">
        <f>[1]节奏总纲!AD269</f>
        <v>80.598671827742351</v>
      </c>
      <c r="AE269" s="45">
        <f>[1]节奏总纲!AE269</f>
        <v>82.698743051159084</v>
      </c>
      <c r="AF269" s="45">
        <f>[1]节奏总纲!AF269</f>
        <v>85.659694237289628</v>
      </c>
      <c r="AG269" s="45">
        <f>[1]节奏总纲!AG269</f>
        <v>90.626894456557665</v>
      </c>
      <c r="AH269" s="45">
        <f>[1]节奏总纲!AH269</f>
        <v>99.489017558856887</v>
      </c>
      <c r="AZ269" s="45">
        <v>266</v>
      </c>
      <c r="BA269" s="45">
        <f>[1]节奏总纲!BA269</f>
        <v>44.610875533126261</v>
      </c>
      <c r="BB269" s="45">
        <f>[1]节奏总纲!BB269</f>
        <v>46.127930108907876</v>
      </c>
      <c r="BC269" s="45">
        <f>[1]节奏总纲!BC269</f>
        <v>48.077986084256551</v>
      </c>
      <c r="BD269" s="45">
        <f>[1]节奏总纲!BD269</f>
        <v>50.821738841775321</v>
      </c>
      <c r="BE269" s="45">
        <f>[1]节奏总纲!BE269</f>
        <v>55.523451959566586</v>
      </c>
    </row>
    <row r="270" spans="29:57" x14ac:dyDescent="0.15">
      <c r="AC270" s="45">
        <v>267</v>
      </c>
      <c r="AD270" s="45">
        <f>[1]节奏总纲!AD270</f>
        <v>80.653096539355303</v>
      </c>
      <c r="AE270" s="45">
        <f>[1]节奏总纲!AE270</f>
        <v>82.753124528101011</v>
      </c>
      <c r="AF270" s="45">
        <f>[1]节奏总纲!AF270</f>
        <v>85.714297898076424</v>
      </c>
      <c r="AG270" s="45">
        <f>[1]节奏总纲!AG270</f>
        <v>90.683304352587413</v>
      </c>
      <c r="AH270" s="45">
        <f>[1]节奏总纲!AH270</f>
        <v>99.547230600979418</v>
      </c>
      <c r="AZ270" s="45">
        <v>267</v>
      </c>
      <c r="BA270" s="45">
        <f>[1]节奏总纲!BA270</f>
        <v>44.636730979430169</v>
      </c>
      <c r="BB270" s="45">
        <f>[1]节奏总纲!BB270</f>
        <v>46.152010162431289</v>
      </c>
      <c r="BC270" s="45">
        <f>[1]节奏总纲!BC270</f>
        <v>48.101914750802706</v>
      </c>
      <c r="BD270" s="45">
        <f>[1]节奏总纲!BD270</f>
        <v>50.848496863324499</v>
      </c>
      <c r="BE270" s="45">
        <f>[1]节奏总纲!BE270</f>
        <v>55.54916178076337</v>
      </c>
    </row>
    <row r="271" spans="29:57" x14ac:dyDescent="0.15">
      <c r="AC271" s="45">
        <v>268</v>
      </c>
      <c r="AD271" s="45">
        <f>[1]节奏总纲!AD271</f>
        <v>80.707521250968242</v>
      </c>
      <c r="AE271" s="45">
        <f>[1]节奏总纲!AE271</f>
        <v>82.807506005042953</v>
      </c>
      <c r="AF271" s="45">
        <f>[1]节奏总纲!AF271</f>
        <v>85.76890155886322</v>
      </c>
      <c r="AG271" s="45">
        <f>[1]节奏总纲!AG271</f>
        <v>90.739714248617148</v>
      </c>
      <c r="AH271" s="45">
        <f>[1]节奏总纲!AH271</f>
        <v>99.605443643101935</v>
      </c>
      <c r="AZ271" s="45">
        <v>268</v>
      </c>
      <c r="BA271" s="45">
        <f>[1]节奏总纲!BA271</f>
        <v>44.662586425734069</v>
      </c>
      <c r="BB271" s="45">
        <f>[1]节奏总纲!BB271</f>
        <v>46.176090215954694</v>
      </c>
      <c r="BC271" s="45">
        <f>[1]节奏总纲!BC271</f>
        <v>48.125843417348868</v>
      </c>
      <c r="BD271" s="45">
        <f>[1]节奏总纲!BD271</f>
        <v>50.875254884873684</v>
      </c>
      <c r="BE271" s="45">
        <f>[1]节奏总纲!BE271</f>
        <v>55.574871601960162</v>
      </c>
    </row>
    <row r="272" spans="29:57" x14ac:dyDescent="0.15">
      <c r="AC272" s="45">
        <v>269</v>
      </c>
      <c r="AD272" s="45">
        <f>[1]节奏总纲!AD272</f>
        <v>80.76194596258118</v>
      </c>
      <c r="AE272" s="45">
        <f>[1]节奏总纲!AE272</f>
        <v>82.861887481984894</v>
      </c>
      <c r="AF272" s="45">
        <f>[1]节奏总纲!AF272</f>
        <v>85.823505219650016</v>
      </c>
      <c r="AG272" s="45">
        <f>[1]节奏总纲!AG272</f>
        <v>90.796124144646882</v>
      </c>
      <c r="AH272" s="45">
        <f>[1]节奏总纲!AH272</f>
        <v>99.663656685224467</v>
      </c>
      <c r="AZ272" s="45">
        <v>269</v>
      </c>
      <c r="BA272" s="45">
        <f>[1]节奏总纲!BA272</f>
        <v>44.68844187203797</v>
      </c>
      <c r="BB272" s="45">
        <f>[1]节奏总纲!BB272</f>
        <v>46.200170269478107</v>
      </c>
      <c r="BC272" s="45">
        <f>[1]节奏总纲!BC272</f>
        <v>48.149772083895023</v>
      </c>
      <c r="BD272" s="45">
        <f>[1]节奏总纲!BD272</f>
        <v>50.902012906422861</v>
      </c>
      <c r="BE272" s="45">
        <f>[1]节奏总纲!BE272</f>
        <v>55.600581423156946</v>
      </c>
    </row>
    <row r="273" spans="29:57" x14ac:dyDescent="0.15">
      <c r="AC273" s="45">
        <v>270</v>
      </c>
      <c r="AD273" s="45">
        <f>[1]节奏总纲!AD273</f>
        <v>80.816370674194118</v>
      </c>
      <c r="AE273" s="45">
        <f>[1]节奏总纲!AE273</f>
        <v>82.916268958926821</v>
      </c>
      <c r="AF273" s="45">
        <f>[1]节奏总纲!AF273</f>
        <v>85.878108880436827</v>
      </c>
      <c r="AG273" s="45">
        <f>[1]节奏总纲!AG273</f>
        <v>90.852534040676616</v>
      </c>
      <c r="AH273" s="45">
        <f>[1]节奏总纲!AH273</f>
        <v>99.721869727346999</v>
      </c>
      <c r="AZ273" s="45">
        <v>270</v>
      </c>
      <c r="BA273" s="45">
        <f>[1]节奏总纲!BA273</f>
        <v>44.714297318341877</v>
      </c>
      <c r="BB273" s="45">
        <f>[1]节奏总纲!BB273</f>
        <v>46.224250323001513</v>
      </c>
      <c r="BC273" s="45">
        <f>[1]节奏总纲!BC273</f>
        <v>48.173700750441178</v>
      </c>
      <c r="BD273" s="45">
        <f>[1]节奏总纲!BD273</f>
        <v>50.928770927972039</v>
      </c>
      <c r="BE273" s="45">
        <f>[1]节奏总纲!BE273</f>
        <v>55.62629124435373</v>
      </c>
    </row>
    <row r="274" spans="29:57" x14ac:dyDescent="0.15">
      <c r="AC274" s="45">
        <v>271</v>
      </c>
      <c r="AD274" s="45">
        <f>[1]节奏总纲!AD274</f>
        <v>80.870795385807057</v>
      </c>
      <c r="AE274" s="45">
        <f>[1]节奏总纲!AE274</f>
        <v>82.970650435868762</v>
      </c>
      <c r="AF274" s="45">
        <f>[1]节奏总纲!AF274</f>
        <v>85.932712541223623</v>
      </c>
      <c r="AG274" s="45">
        <f>[1]节奏总纲!AG274</f>
        <v>90.908943936706351</v>
      </c>
      <c r="AH274" s="45">
        <f>[1]节奏总纲!AH274</f>
        <v>99.780082769469516</v>
      </c>
      <c r="AZ274" s="45">
        <v>271</v>
      </c>
      <c r="BA274" s="45">
        <f>[1]节奏总纲!BA274</f>
        <v>44.740152764645778</v>
      </c>
      <c r="BB274" s="45">
        <f>[1]节奏总纲!BB274</f>
        <v>46.248330376524919</v>
      </c>
      <c r="BC274" s="45">
        <f>[1]节奏总纲!BC274</f>
        <v>48.19762941698734</v>
      </c>
      <c r="BD274" s="45">
        <f>[1]节奏总纲!BD274</f>
        <v>50.955528949521224</v>
      </c>
      <c r="BE274" s="45">
        <f>[1]节奏总纲!BE274</f>
        <v>55.652001065550522</v>
      </c>
    </row>
    <row r="275" spans="29:57" x14ac:dyDescent="0.15">
      <c r="AC275" s="45">
        <v>272</v>
      </c>
      <c r="AD275" s="45">
        <f>[1]节奏总纲!AD275</f>
        <v>80.925220097420009</v>
      </c>
      <c r="AE275" s="45">
        <f>[1]节奏总纲!AE275</f>
        <v>83.023342162088809</v>
      </c>
      <c r="AF275" s="45">
        <f>[1]节奏总纲!AF275</f>
        <v>85.987316202010419</v>
      </c>
      <c r="AG275" s="45">
        <f>[1]节奏总纲!AG275</f>
        <v>90.965353832736099</v>
      </c>
      <c r="AH275" s="45">
        <f>[1]节奏总纲!AH275</f>
        <v>99.838295811592047</v>
      </c>
      <c r="AZ275" s="45">
        <v>272</v>
      </c>
      <c r="BA275" s="45">
        <f>[1]节奏总纲!BA275</f>
        <v>44.766008210949678</v>
      </c>
      <c r="BB275" s="45">
        <f>[1]节奏总纲!BB275</f>
        <v>46.272410430048332</v>
      </c>
      <c r="BC275" s="45">
        <f>[1]节奏总纲!BC275</f>
        <v>48.221558083533495</v>
      </c>
      <c r="BD275" s="45">
        <f>[1]节奏总纲!BD275</f>
        <v>50.982286971070401</v>
      </c>
      <c r="BE275" s="45">
        <f>[1]节奏总纲!BE275</f>
        <v>55.677710886747306</v>
      </c>
    </row>
    <row r="276" spans="29:57" x14ac:dyDescent="0.15">
      <c r="AC276" s="45">
        <v>273</v>
      </c>
      <c r="AD276" s="45">
        <f>[1]节奏总纲!AD276</f>
        <v>80.979644809032948</v>
      </c>
      <c r="AE276" s="45">
        <f>[1]节奏总纲!AE276</f>
        <v>83.07405267945947</v>
      </c>
      <c r="AF276" s="45">
        <f>[1]节奏总纲!AF276</f>
        <v>86.038061368689995</v>
      </c>
      <c r="AG276" s="45">
        <f>[1]节奏总纲!AG276</f>
        <v>91.020352770869948</v>
      </c>
      <c r="AH276" s="45">
        <f>[1]节奏总纲!AH276</f>
        <v>99.896508853714579</v>
      </c>
      <c r="AZ276" s="45">
        <v>273</v>
      </c>
      <c r="BA276" s="45">
        <f>[1]节奏总纲!BA276</f>
        <v>44.791863657253586</v>
      </c>
      <c r="BB276" s="45">
        <f>[1]节奏总纲!BB276</f>
        <v>46.296490483571738</v>
      </c>
      <c r="BC276" s="45">
        <f>[1]节奏总纲!BC276</f>
        <v>48.24548675007965</v>
      </c>
      <c r="BD276" s="45">
        <f>[1]节奏总纲!BD276</f>
        <v>51.007810424246486</v>
      </c>
      <c r="BE276" s="45">
        <f>[1]节奏总纲!BE276</f>
        <v>55.703420707944098</v>
      </c>
    </row>
    <row r="277" spans="29:57" x14ac:dyDescent="0.15">
      <c r="AC277" s="45">
        <v>274</v>
      </c>
      <c r="AD277" s="45">
        <f>[1]节奏总纲!AD277</f>
        <v>81.031787986768464</v>
      </c>
      <c r="AE277" s="45">
        <f>[1]节奏总纲!AE277</f>
        <v>83.124763196830131</v>
      </c>
      <c r="AF277" s="45">
        <f>[1]节奏总纲!AF277</f>
        <v>86.087639061133402</v>
      </c>
      <c r="AG277" s="45">
        <f>[1]节奏总纲!AG277</f>
        <v>91.073105573528181</v>
      </c>
      <c r="AH277" s="45">
        <f>[1]节奏总纲!AH277</f>
        <v>99.954721895837096</v>
      </c>
      <c r="AZ277" s="45">
        <v>274</v>
      </c>
      <c r="BA277" s="45">
        <f>[1]节奏总纲!BA277</f>
        <v>44.817719103557486</v>
      </c>
      <c r="BB277" s="45">
        <f>[1]节奏总纲!BB277</f>
        <v>46.320570537095151</v>
      </c>
      <c r="BC277" s="45">
        <f>[1]节奏总纲!BC277</f>
        <v>48.269415416625804</v>
      </c>
      <c r="BD277" s="45">
        <f>[1]节奏总纲!BD277</f>
        <v>51.030916192165336</v>
      </c>
      <c r="BE277" s="45">
        <f>[1]节奏总纲!BE277</f>
        <v>55.729130529140882</v>
      </c>
    </row>
    <row r="278" spans="29:57" x14ac:dyDescent="0.15">
      <c r="AC278" s="45">
        <v>275</v>
      </c>
      <c r="AD278" s="45">
        <f>[1]节奏总纲!AD278</f>
        <v>81.082568038258216</v>
      </c>
      <c r="AE278" s="45">
        <f>[1]节奏总纲!AE278</f>
        <v>83.175473714200777</v>
      </c>
      <c r="AF278" s="45">
        <f>[1]节奏总纲!AF278</f>
        <v>86.137216753576809</v>
      </c>
      <c r="AG278" s="45">
        <f>[1]节奏总纲!AG278</f>
        <v>91.125858376186414</v>
      </c>
      <c r="AH278" s="45">
        <f>[1]节奏总纲!AH278</f>
        <v>100.01191770041967</v>
      </c>
      <c r="AZ278" s="45">
        <v>275</v>
      </c>
      <c r="BA278" s="45">
        <f>[1]节奏总纲!BA278</f>
        <v>44.843574549861387</v>
      </c>
      <c r="BB278" s="45">
        <f>[1]节奏总纲!BB278</f>
        <v>46.344650590618556</v>
      </c>
      <c r="BC278" s="45">
        <f>[1]节奏总纲!BC278</f>
        <v>48.293344083171966</v>
      </c>
      <c r="BD278" s="45">
        <f>[1]节奏总纲!BD278</f>
        <v>51.054021960084178</v>
      </c>
      <c r="BE278" s="45">
        <f>[1]节奏总纲!BE278</f>
        <v>55.754840350337666</v>
      </c>
    </row>
    <row r="279" spans="29:57" x14ac:dyDescent="0.15">
      <c r="AC279" s="45">
        <v>276</v>
      </c>
      <c r="AD279" s="45">
        <f>[1]节奏总纲!AD279</f>
        <v>81.133348089747955</v>
      </c>
      <c r="AE279" s="45">
        <f>[1]节奏总纲!AE279</f>
        <v>83.226184231571438</v>
      </c>
      <c r="AF279" s="45">
        <f>[1]节奏总纲!AF279</f>
        <v>86.186794446020215</v>
      </c>
      <c r="AG279" s="45">
        <f>[1]节奏总纲!AG279</f>
        <v>91.178611178844633</v>
      </c>
      <c r="AH279" s="45">
        <f>[1]节奏总纲!AH279</f>
        <v>100.06555271580974</v>
      </c>
      <c r="AZ279" s="45">
        <v>276</v>
      </c>
      <c r="BA279" s="45">
        <f>[1]节奏总纲!BA279</f>
        <v>44.869429996165294</v>
      </c>
      <c r="BB279" s="45">
        <f>[1]节奏总纲!BB279</f>
        <v>46.368730644141969</v>
      </c>
      <c r="BC279" s="45">
        <f>[1]节奏总纲!BC279</f>
        <v>48.317272749718121</v>
      </c>
      <c r="BD279" s="45">
        <f>[1]节奏总纲!BD279</f>
        <v>51.077127728003028</v>
      </c>
      <c r="BE279" s="45">
        <f>[1]节奏总纲!BE279</f>
        <v>55.780550171534458</v>
      </c>
    </row>
    <row r="280" spans="29:57" x14ac:dyDescent="0.15">
      <c r="AC280" s="45">
        <v>277</v>
      </c>
      <c r="AD280" s="45">
        <f>[1]节奏总纲!AD280</f>
        <v>81.184128141237707</v>
      </c>
      <c r="AE280" s="45">
        <f>[1]节奏总纲!AE280</f>
        <v>83.276894748942098</v>
      </c>
      <c r="AF280" s="45">
        <f>[1]节奏总纲!AF280</f>
        <v>86.236372138463622</v>
      </c>
      <c r="AG280" s="45">
        <f>[1]节奏总纲!AG280</f>
        <v>91.231363981502867</v>
      </c>
      <c r="AH280" s="45">
        <f>[1]节奏总纲!AH280</f>
        <v>100.11918773119983</v>
      </c>
      <c r="AZ280" s="45">
        <v>277</v>
      </c>
      <c r="BA280" s="45">
        <f>[1]节奏总纲!BA280</f>
        <v>44.895285442469195</v>
      </c>
      <c r="BB280" s="45">
        <f>[1]节奏总纲!BB280</f>
        <v>46.392810697665375</v>
      </c>
      <c r="BC280" s="45">
        <f>[1]节奏总纲!BC280</f>
        <v>48.341201416264276</v>
      </c>
      <c r="BD280" s="45">
        <f>[1]节奏总纲!BD280</f>
        <v>51.10023349592187</v>
      </c>
      <c r="BE280" s="45">
        <f>[1]节奏总纲!BE280</f>
        <v>55.806259992731242</v>
      </c>
    </row>
    <row r="281" spans="29:57" x14ac:dyDescent="0.15">
      <c r="AC281" s="45">
        <v>278</v>
      </c>
      <c r="AD281" s="45">
        <f>[1]节奏总纲!AD281</f>
        <v>81.23490819272746</v>
      </c>
      <c r="AE281" s="45">
        <f>[1]节奏总纲!AE281</f>
        <v>83.327605266312744</v>
      </c>
      <c r="AF281" s="45">
        <f>[1]节奏总纲!AF281</f>
        <v>86.285949830907029</v>
      </c>
      <c r="AG281" s="45">
        <f>[1]节奏总纲!AG281</f>
        <v>91.2841167841611</v>
      </c>
      <c r="AH281" s="45">
        <f>[1]节奏总纲!AH281</f>
        <v>100.1728227465899</v>
      </c>
      <c r="AZ281" s="45">
        <v>278</v>
      </c>
      <c r="BA281" s="45">
        <f>[1]节奏总纲!BA281</f>
        <v>44.921140888773095</v>
      </c>
      <c r="BB281" s="45">
        <f>[1]节奏总纲!BB281</f>
        <v>46.416890751188788</v>
      </c>
      <c r="BC281" s="45">
        <f>[1]节奏总纲!BC281</f>
        <v>48.365130082810438</v>
      </c>
      <c r="BD281" s="45">
        <f>[1]节奏总纲!BD281</f>
        <v>51.12333926384072</v>
      </c>
      <c r="BE281" s="45">
        <f>[1]节奏总纲!BE281</f>
        <v>55.831969813928033</v>
      </c>
    </row>
    <row r="282" spans="29:57" x14ac:dyDescent="0.15">
      <c r="AC282" s="45">
        <v>279</v>
      </c>
      <c r="AD282" s="45">
        <f>[1]节奏总纲!AD282</f>
        <v>81.285688244217212</v>
      </c>
      <c r="AE282" s="45">
        <f>[1]节奏总纲!AE282</f>
        <v>83.378315783683405</v>
      </c>
      <c r="AF282" s="45">
        <f>[1]节奏总纲!AF282</f>
        <v>86.335527523350422</v>
      </c>
      <c r="AG282" s="45">
        <f>[1]节奏总纲!AG282</f>
        <v>91.336869586819319</v>
      </c>
      <c r="AH282" s="45">
        <f>[1]节奏总纲!AH282</f>
        <v>100.22645776197997</v>
      </c>
      <c r="AZ282" s="45">
        <v>279</v>
      </c>
      <c r="BA282" s="45">
        <f>[1]节奏总纲!BA282</f>
        <v>44.946996335076996</v>
      </c>
      <c r="BB282" s="45">
        <f>[1]节奏总纲!BB282</f>
        <v>46.440970804712194</v>
      </c>
      <c r="BC282" s="45">
        <f>[1]节奏总纲!BC282</f>
        <v>48.389058749356593</v>
      </c>
      <c r="BD282" s="45">
        <f>[1]节奏总纲!BD282</f>
        <v>51.146445031759569</v>
      </c>
      <c r="BE282" s="45">
        <f>[1]节奏总纲!BE282</f>
        <v>55.857679635124818</v>
      </c>
    </row>
    <row r="283" spans="29:57" x14ac:dyDescent="0.15">
      <c r="AC283" s="45">
        <v>280</v>
      </c>
      <c r="AD283" s="45">
        <f>[1]节奏总纲!AD283</f>
        <v>81.336468295706965</v>
      </c>
      <c r="AE283" s="45">
        <f>[1]节奏总纲!AE283</f>
        <v>83.429026301054066</v>
      </c>
      <c r="AF283" s="45">
        <f>[1]节奏总纲!AF283</f>
        <v>86.385105215793828</v>
      </c>
      <c r="AG283" s="45">
        <f>[1]节奏总纲!AG283</f>
        <v>91.389622389477552</v>
      </c>
      <c r="AH283" s="45">
        <f>[1]节奏总纲!AH283</f>
        <v>100.28009277737006</v>
      </c>
      <c r="AZ283" s="45">
        <v>280</v>
      </c>
      <c r="BA283" s="45">
        <f>[1]节奏总纲!BA283</f>
        <v>44.972851781380903</v>
      </c>
      <c r="BB283" s="45">
        <f>[1]节奏总纲!BB283</f>
        <v>46.465050858235607</v>
      </c>
      <c r="BC283" s="45">
        <f>[1]节奏总纲!BC283</f>
        <v>48.412987415902748</v>
      </c>
      <c r="BD283" s="45">
        <f>[1]节奏总纲!BD283</f>
        <v>51.169550799678412</v>
      </c>
      <c r="BE283" s="45">
        <f>[1]节奏总纲!BE283</f>
        <v>55.883389456321602</v>
      </c>
    </row>
    <row r="284" spans="29:57" x14ac:dyDescent="0.15">
      <c r="AC284" s="45">
        <v>281</v>
      </c>
      <c r="AD284" s="45">
        <f>[1]节奏总纲!AD284</f>
        <v>81.387248347196717</v>
      </c>
      <c r="AE284" s="45">
        <f>[1]节奏总纲!AE284</f>
        <v>83.479736818424712</v>
      </c>
      <c r="AF284" s="45">
        <f>[1]节奏总纲!AF284</f>
        <v>86.434682908237235</v>
      </c>
      <c r="AG284" s="45">
        <f>[1]节奏总纲!AG284</f>
        <v>91.442375192135771</v>
      </c>
      <c r="AH284" s="45">
        <f>[1]节奏总纲!AH284</f>
        <v>100.33372779276013</v>
      </c>
      <c r="AZ284" s="45">
        <v>281</v>
      </c>
      <c r="BA284" s="45">
        <f>[1]节奏总纲!BA284</f>
        <v>44.998707227684804</v>
      </c>
      <c r="BB284" s="45">
        <f>[1]节奏总纲!BB284</f>
        <v>46.489130911759013</v>
      </c>
      <c r="BC284" s="45">
        <f>[1]节奏总纲!BC284</f>
        <v>48.43691608244891</v>
      </c>
      <c r="BD284" s="45">
        <f>[1]节奏总纲!BD284</f>
        <v>51.192656567597261</v>
      </c>
      <c r="BE284" s="45">
        <f>[1]节奏总纲!BE284</f>
        <v>55.909099277518393</v>
      </c>
    </row>
    <row r="285" spans="29:57" x14ac:dyDescent="0.15">
      <c r="AC285" s="45">
        <v>282</v>
      </c>
      <c r="AD285" s="45">
        <f>[1]节奏总纲!AD285</f>
        <v>81.43802839868647</v>
      </c>
      <c r="AE285" s="45">
        <f>[1]节奏总纲!AE285</f>
        <v>83.530447335795373</v>
      </c>
      <c r="AF285" s="45">
        <f>[1]节奏总纲!AF285</f>
        <v>86.484260600680642</v>
      </c>
      <c r="AG285" s="45">
        <f>[1]节奏总纲!AG285</f>
        <v>91.495127994794004</v>
      </c>
      <c r="AH285" s="45">
        <f>[1]节奏总纲!AH285</f>
        <v>100.3873628081502</v>
      </c>
      <c r="AZ285" s="45">
        <v>282</v>
      </c>
      <c r="BA285" s="45">
        <f>[1]节奏总纲!BA285</f>
        <v>45.021201039060998</v>
      </c>
      <c r="BB285" s="45">
        <f>[1]节奏总纲!BB285</f>
        <v>46.513210965282425</v>
      </c>
      <c r="BC285" s="45">
        <f>[1]节奏总纲!BC285</f>
        <v>48.460844748995065</v>
      </c>
      <c r="BD285" s="45">
        <f>[1]节奏总纲!BD285</f>
        <v>51.215762335516104</v>
      </c>
      <c r="BE285" s="45">
        <f>[1]节奏总纲!BE285</f>
        <v>55.934809098715178</v>
      </c>
    </row>
    <row r="286" spans="29:57" x14ac:dyDescent="0.15">
      <c r="AC286" s="45">
        <v>283</v>
      </c>
      <c r="AD286" s="45">
        <f>[1]节奏总纲!AD286</f>
        <v>81.488808450176222</v>
      </c>
      <c r="AE286" s="45">
        <f>[1]节奏总纲!AE286</f>
        <v>83.581157853166033</v>
      </c>
      <c r="AF286" s="45">
        <f>[1]节奏总纲!AF286</f>
        <v>86.533838293124049</v>
      </c>
      <c r="AG286" s="45">
        <f>[1]节奏总纲!AG286</f>
        <v>91.547880797452237</v>
      </c>
      <c r="AH286" s="45">
        <f>[1]节奏总纲!AH286</f>
        <v>100.44099782354027</v>
      </c>
      <c r="AZ286" s="45">
        <v>283</v>
      </c>
      <c r="BA286" s="45">
        <f>[1]节奏总纲!BA286</f>
        <v>45.043517922283101</v>
      </c>
      <c r="BB286" s="45">
        <f>[1]节奏总纲!BB286</f>
        <v>46.537291018805831</v>
      </c>
      <c r="BC286" s="45">
        <f>[1]节奏总纲!BC286</f>
        <v>48.48477341554122</v>
      </c>
      <c r="BD286" s="45">
        <f>[1]节奏总纲!BD286</f>
        <v>51.238868103434953</v>
      </c>
      <c r="BE286" s="45">
        <f>[1]节奏总纲!BE286</f>
        <v>55.960518919911962</v>
      </c>
    </row>
    <row r="287" spans="29:57" x14ac:dyDescent="0.15">
      <c r="AC287" s="45">
        <v>284</v>
      </c>
      <c r="AD287" s="45">
        <f>[1]节奏总纲!AD287</f>
        <v>81.539588501665975</v>
      </c>
      <c r="AE287" s="45">
        <f>[1]节奏总纲!AE287</f>
        <v>83.631868370536679</v>
      </c>
      <c r="AF287" s="45">
        <f>[1]节奏总纲!AF287</f>
        <v>86.583415985567456</v>
      </c>
      <c r="AG287" s="45">
        <f>[1]节奏总纲!AG287</f>
        <v>91.600633600110456</v>
      </c>
      <c r="AH287" s="45">
        <f>[1]节奏总纲!AH287</f>
        <v>100.49463283893036</v>
      </c>
      <c r="AZ287" s="45">
        <v>284</v>
      </c>
      <c r="BA287" s="45">
        <f>[1]节奏总纲!BA287</f>
        <v>45.065834805505204</v>
      </c>
      <c r="BB287" s="45">
        <f>[1]节奏总纲!BB287</f>
        <v>46.561371072329244</v>
      </c>
      <c r="BC287" s="45">
        <f>[1]节奏总纲!BC287</f>
        <v>48.508702082087382</v>
      </c>
      <c r="BD287" s="45">
        <f>[1]节奏总纲!BD287</f>
        <v>51.261973871353796</v>
      </c>
      <c r="BE287" s="45">
        <f>[1]节奏总纲!BE287</f>
        <v>55.986228741108754</v>
      </c>
    </row>
    <row r="288" spans="29:57" x14ac:dyDescent="0.15">
      <c r="AC288" s="45">
        <v>285</v>
      </c>
      <c r="AD288" s="45">
        <f>[1]节奏总纲!AD288</f>
        <v>81.590368553155727</v>
      </c>
      <c r="AE288" s="45">
        <f>[1]节奏总纲!AE288</f>
        <v>83.68257888790734</v>
      </c>
      <c r="AF288" s="45">
        <f>[1]节奏总纲!AF288</f>
        <v>86.632993678010848</v>
      </c>
      <c r="AG288" s="45">
        <f>[1]节奏总纲!AG288</f>
        <v>91.653386402768689</v>
      </c>
      <c r="AH288" s="45">
        <f>[1]节奏总纲!AH288</f>
        <v>100.54826785432043</v>
      </c>
      <c r="AZ288" s="45">
        <v>285</v>
      </c>
      <c r="BA288" s="45">
        <f>[1]节奏总纲!BA288</f>
        <v>45.088151688727308</v>
      </c>
      <c r="BB288" s="45">
        <f>[1]节奏总纲!BB288</f>
        <v>46.58545112585265</v>
      </c>
      <c r="BC288" s="45">
        <f>[1]节奏总纲!BC288</f>
        <v>48.532630748633537</v>
      </c>
      <c r="BD288" s="45">
        <f>[1]节奏总纲!BD288</f>
        <v>51.285079639272645</v>
      </c>
      <c r="BE288" s="45">
        <f>[1]节奏总纲!BE288</f>
        <v>56.010312347085055</v>
      </c>
    </row>
    <row r="289" spans="29:57" x14ac:dyDescent="0.15">
      <c r="AC289" s="45">
        <v>286</v>
      </c>
      <c r="AD289" s="45">
        <f>[1]节奏总纲!AD289</f>
        <v>81.64114860464548</v>
      </c>
      <c r="AE289" s="45">
        <f>[1]节奏总纲!AE289</f>
        <v>83.733289405278001</v>
      </c>
      <c r="AF289" s="45">
        <f>[1]节奏总纲!AF289</f>
        <v>86.682571370454255</v>
      </c>
      <c r="AG289" s="45">
        <f>[1]节奏总纲!AG289</f>
        <v>91.706139205426922</v>
      </c>
      <c r="AH289" s="45">
        <f>[1]节奏总纲!AH289</f>
        <v>100.6019028697105</v>
      </c>
      <c r="AZ289" s="45">
        <v>286</v>
      </c>
      <c r="BA289" s="45">
        <f>[1]节奏总纲!BA289</f>
        <v>45.110468571949411</v>
      </c>
      <c r="BB289" s="45">
        <f>[1]节奏总纲!BB289</f>
        <v>46.609531179376063</v>
      </c>
      <c r="BC289" s="45">
        <f>[1]节奏总纲!BC289</f>
        <v>48.556559415179692</v>
      </c>
      <c r="BD289" s="45">
        <f>[1]节奏总纲!BD289</f>
        <v>51.308185407191495</v>
      </c>
      <c r="BE289" s="45">
        <f>[1]节奏总纲!BE289</f>
        <v>56.032520096468168</v>
      </c>
    </row>
    <row r="290" spans="29:57" x14ac:dyDescent="0.15">
      <c r="AC290" s="45">
        <v>287</v>
      </c>
      <c r="AD290" s="45">
        <f>[1]节奏总纲!AD290</f>
        <v>81.691928656135218</v>
      </c>
      <c r="AE290" s="45">
        <f>[1]节奏总纲!AE290</f>
        <v>83.783999922648647</v>
      </c>
      <c r="AF290" s="45">
        <f>[1]节奏总纲!AF290</f>
        <v>86.732149062897662</v>
      </c>
      <c r="AG290" s="45">
        <f>[1]节奏总纲!AG290</f>
        <v>91.758892008085141</v>
      </c>
      <c r="AH290" s="45">
        <f>[1]节奏总纲!AH290</f>
        <v>100.65553788510059</v>
      </c>
      <c r="AZ290" s="45">
        <v>287</v>
      </c>
      <c r="BA290" s="45">
        <f>[1]节奏总纲!BA290</f>
        <v>45.132785455171515</v>
      </c>
      <c r="BB290" s="45">
        <f>[1]节奏总纲!BB290</f>
        <v>46.633611232899469</v>
      </c>
      <c r="BC290" s="45">
        <f>[1]节奏总纲!BC290</f>
        <v>48.580488081725846</v>
      </c>
      <c r="BD290" s="45">
        <f>[1]节奏总纲!BD290</f>
        <v>51.331291175110337</v>
      </c>
      <c r="BE290" s="45">
        <f>[1]节奏总纲!BE290</f>
        <v>56.054727845851275</v>
      </c>
    </row>
    <row r="291" spans="29:57" x14ac:dyDescent="0.15">
      <c r="AC291" s="45">
        <v>288</v>
      </c>
      <c r="AD291" s="45">
        <f>[1]节奏总纲!AD291</f>
        <v>81.742708707624971</v>
      </c>
      <c r="AE291" s="45">
        <f>[1]节奏总纲!AE291</f>
        <v>83.834710440019307</v>
      </c>
      <c r="AF291" s="45">
        <f>[1]节奏总纲!AF291</f>
        <v>86.781726755341069</v>
      </c>
      <c r="AG291" s="45">
        <f>[1]节奏总纲!AG291</f>
        <v>91.811644810743374</v>
      </c>
      <c r="AH291" s="45">
        <f>[1]节奏总纲!AH291</f>
        <v>100.70917290049066</v>
      </c>
      <c r="AZ291" s="45">
        <v>288</v>
      </c>
      <c r="BA291" s="45">
        <f>[1]节奏总纲!BA291</f>
        <v>45.155102338393618</v>
      </c>
      <c r="BB291" s="45">
        <f>[1]节奏总纲!BB291</f>
        <v>46.657691286422882</v>
      </c>
      <c r="BC291" s="45">
        <f>[1]节奏总纲!BC291</f>
        <v>48.604416748272008</v>
      </c>
      <c r="BD291" s="45">
        <f>[1]节奏总纲!BD291</f>
        <v>51.354396943029187</v>
      </c>
      <c r="BE291" s="45">
        <f>[1]节奏总纲!BE291</f>
        <v>56.076935595234382</v>
      </c>
    </row>
    <row r="292" spans="29:57" x14ac:dyDescent="0.15">
      <c r="AC292" s="45">
        <v>289</v>
      </c>
      <c r="AD292" s="45">
        <f>[1]节奏总纲!AD292</f>
        <v>81.793488759114723</v>
      </c>
      <c r="AE292" s="45">
        <f>[1]节奏总纲!AE292</f>
        <v>83.885420957389968</v>
      </c>
      <c r="AF292" s="45">
        <f>[1]节奏总纲!AF292</f>
        <v>86.831304447784476</v>
      </c>
      <c r="AG292" s="45">
        <f>[1]节奏总纲!AG292</f>
        <v>91.864397613401607</v>
      </c>
      <c r="AH292" s="45">
        <f>[1]节奏总纲!AH292</f>
        <v>100.76280791588073</v>
      </c>
      <c r="AZ292" s="45">
        <v>289</v>
      </c>
      <c r="BA292" s="45">
        <f>[1]节奏总纲!BA292</f>
        <v>45.177419221615722</v>
      </c>
      <c r="BB292" s="45">
        <f>[1]节奏总纲!BB292</f>
        <v>46.681771339946287</v>
      </c>
      <c r="BC292" s="45">
        <f>[1]节奏总纲!BC292</f>
        <v>48.628345414818163</v>
      </c>
      <c r="BD292" s="45">
        <f>[1]节奏总纲!BD292</f>
        <v>51.377502710948029</v>
      </c>
      <c r="BE292" s="45">
        <f>[1]节奏总纲!BE292</f>
        <v>56.099143344617488</v>
      </c>
    </row>
    <row r="293" spans="29:57" x14ac:dyDescent="0.15">
      <c r="AC293" s="45">
        <v>290</v>
      </c>
      <c r="AD293" s="45">
        <f>[1]节奏总纲!AD293</f>
        <v>81.844268810604476</v>
      </c>
      <c r="AE293" s="45">
        <f>[1]节奏总纲!AE293</f>
        <v>83.936131474760614</v>
      </c>
      <c r="AF293" s="45">
        <f>[1]节奏总纲!AF293</f>
        <v>86.880882140227882</v>
      </c>
      <c r="AG293" s="45">
        <f>[1]节奏总纲!AG293</f>
        <v>91.917150416059826</v>
      </c>
      <c r="AH293" s="45">
        <f>[1]节奏总纲!AH293</f>
        <v>100.8164429312708</v>
      </c>
      <c r="AZ293" s="45">
        <v>290</v>
      </c>
      <c r="BA293" s="45">
        <f>[1]节奏总纲!BA293</f>
        <v>45.199736104837825</v>
      </c>
      <c r="BB293" s="45">
        <f>[1]节奏总纲!BB293</f>
        <v>46.7058513934697</v>
      </c>
      <c r="BC293" s="45">
        <f>[1]节奏总纲!BC293</f>
        <v>48.652274081364318</v>
      </c>
      <c r="BD293" s="45">
        <f>[1]节奏总纲!BD293</f>
        <v>51.400608478866879</v>
      </c>
      <c r="BE293" s="45">
        <f>[1]节奏总纲!BE293</f>
        <v>56.121351094000602</v>
      </c>
    </row>
    <row r="294" spans="29:57" x14ac:dyDescent="0.15">
      <c r="AC294" s="45">
        <v>291</v>
      </c>
      <c r="AD294" s="45">
        <f>[1]节奏总纲!AD294</f>
        <v>81.895048862094228</v>
      </c>
      <c r="AE294" s="45">
        <f>[1]节奏总纲!AE294</f>
        <v>83.986841992131275</v>
      </c>
      <c r="AF294" s="45">
        <f>[1]节奏总纲!AF294</f>
        <v>86.930459832671289</v>
      </c>
      <c r="AG294" s="45">
        <f>[1]节奏总纲!AG294</f>
        <v>91.969903218718059</v>
      </c>
      <c r="AH294" s="45">
        <f>[1]节奏总纲!AH294</f>
        <v>100.87007794666089</v>
      </c>
      <c r="AZ294" s="45">
        <v>291</v>
      </c>
      <c r="BA294" s="45">
        <f>[1]节奏总纲!BA294</f>
        <v>45.222052988059936</v>
      </c>
      <c r="BB294" s="45">
        <f>[1]节奏总纲!BB294</f>
        <v>46.729931446993106</v>
      </c>
      <c r="BC294" s="45">
        <f>[1]节奏总纲!BC294</f>
        <v>48.67620274791048</v>
      </c>
      <c r="BD294" s="45">
        <f>[1]节奏总纲!BD294</f>
        <v>51.423714246785721</v>
      </c>
      <c r="BE294" s="45">
        <f>[1]节奏总纲!BE294</f>
        <v>56.143558843383708</v>
      </c>
    </row>
    <row r="295" spans="29:57" x14ac:dyDescent="0.15">
      <c r="AC295" s="45">
        <v>292</v>
      </c>
      <c r="AD295" s="45">
        <f>[1]节奏总纲!AD295</f>
        <v>81.945828913583981</v>
      </c>
      <c r="AE295" s="45">
        <f>[1]节奏总纲!AE295</f>
        <v>84.036191564035917</v>
      </c>
      <c r="AF295" s="45">
        <f>[1]节奏总纲!AF295</f>
        <v>86.980037525114682</v>
      </c>
      <c r="AG295" s="45">
        <f>[1]节奏总纲!AG295</f>
        <v>92.021521414287719</v>
      </c>
      <c r="AH295" s="45">
        <f>[1]节奏总纲!AH295</f>
        <v>100.92371296205096</v>
      </c>
      <c r="AZ295" s="45">
        <v>292</v>
      </c>
      <c r="BA295" s="45">
        <f>[1]节奏总纲!BA295</f>
        <v>45.244369871282039</v>
      </c>
      <c r="BB295" s="45">
        <f>[1]节奏总纲!BB295</f>
        <v>46.754011500516519</v>
      </c>
      <c r="BC295" s="45">
        <f>[1]节奏总纲!BC295</f>
        <v>48.700131414456635</v>
      </c>
      <c r="BD295" s="45">
        <f>[1]节奏总纲!BD295</f>
        <v>51.446820014704571</v>
      </c>
      <c r="BE295" s="45">
        <f>[1]节奏总纲!BE295</f>
        <v>56.165766592766815</v>
      </c>
    </row>
    <row r="296" spans="29:57" x14ac:dyDescent="0.15">
      <c r="AC296" s="45">
        <v>293</v>
      </c>
      <c r="AD296" s="45">
        <f>[1]节奏总纲!AD296</f>
        <v>81.996608965073733</v>
      </c>
      <c r="AE296" s="45">
        <f>[1]节奏总纲!AE296</f>
        <v>84.085064274836242</v>
      </c>
      <c r="AF296" s="45">
        <f>[1]节奏总纲!AF296</f>
        <v>87.029133791498197</v>
      </c>
      <c r="AG296" s="45">
        <f>[1]节奏总纲!AG296</f>
        <v>92.071632371634976</v>
      </c>
      <c r="AH296" s="45">
        <f>[1]节奏总纲!AH296</f>
        <v>100.97734797744103</v>
      </c>
      <c r="AZ296" s="45">
        <v>293</v>
      </c>
      <c r="BA296" s="45">
        <f>[1]节奏总纲!BA296</f>
        <v>45.266686754504143</v>
      </c>
      <c r="BB296" s="45">
        <f>[1]节奏总纲!BB296</f>
        <v>46.778091554039925</v>
      </c>
      <c r="BC296" s="45">
        <f>[1]节奏总纲!BC296</f>
        <v>48.72406008100279</v>
      </c>
      <c r="BD296" s="45">
        <f>[1]节奏总纲!BD296</f>
        <v>51.46992578262342</v>
      </c>
      <c r="BE296" s="45">
        <f>[1]节奏总纲!BE296</f>
        <v>56.187974342149921</v>
      </c>
    </row>
    <row r="297" spans="29:57" x14ac:dyDescent="0.15">
      <c r="AC297" s="45">
        <v>294</v>
      </c>
      <c r="AD297" s="45">
        <f>[1]节奏总纲!AD297</f>
        <v>82.044215515890215</v>
      </c>
      <c r="AE297" s="45">
        <f>[1]节奏总纲!AE297</f>
        <v>84.133936985636566</v>
      </c>
      <c r="AF297" s="45">
        <f>[1]节奏总纲!AF297</f>
        <v>87.077905547159801</v>
      </c>
      <c r="AG297" s="45">
        <f>[1]节奏总纲!AG297</f>
        <v>92.121743328982234</v>
      </c>
      <c r="AH297" s="45">
        <f>[1]节奏总纲!AH297</f>
        <v>101.02868392415382</v>
      </c>
      <c r="AZ297" s="45">
        <v>294</v>
      </c>
      <c r="BA297" s="45">
        <f>[1]节奏总纲!BA297</f>
        <v>45.289003637726246</v>
      </c>
      <c r="BB297" s="45">
        <f>[1]节奏总纲!BB297</f>
        <v>46.802171607563338</v>
      </c>
      <c r="BC297" s="45">
        <f>[1]节奏总纲!BC297</f>
        <v>48.747988747548945</v>
      </c>
      <c r="BD297" s="45">
        <f>[1]节奏总纲!BD297</f>
        <v>51.493031550542263</v>
      </c>
      <c r="BE297" s="45">
        <f>[1]节奏总纲!BE297</f>
        <v>56.210182091533035</v>
      </c>
    </row>
    <row r="298" spans="29:57" x14ac:dyDescent="0.15">
      <c r="AC298" s="45">
        <v>295</v>
      </c>
      <c r="AD298" s="45">
        <f>[1]节奏总纲!AD298</f>
        <v>82.091594979242089</v>
      </c>
      <c r="AE298" s="45">
        <f>[1]节奏总纲!AE298</f>
        <v>84.182809696436891</v>
      </c>
      <c r="AF298" s="45">
        <f>[1]节奏总纲!AF298</f>
        <v>87.126677302821392</v>
      </c>
      <c r="AG298" s="45">
        <f>[1]节奏总纲!AG298</f>
        <v>92.171854286329506</v>
      </c>
      <c r="AH298" s="45">
        <f>[1]节奏总纲!AH298</f>
        <v>101.07833899530283</v>
      </c>
      <c r="AZ298" s="45">
        <v>295</v>
      </c>
      <c r="BA298" s="45">
        <f>[1]节奏总纲!BA298</f>
        <v>45.31132052094835</v>
      </c>
      <c r="BB298" s="45">
        <f>[1]节奏总纲!BB298</f>
        <v>46.826251661086744</v>
      </c>
      <c r="BC298" s="45">
        <f>[1]节奏总纲!BC298</f>
        <v>48.771917414095107</v>
      </c>
      <c r="BD298" s="45">
        <f>[1]节奏总纲!BD298</f>
        <v>51.516137318461112</v>
      </c>
      <c r="BE298" s="45">
        <f>[1]节奏总纲!BE298</f>
        <v>56.232389840916142</v>
      </c>
    </row>
    <row r="299" spans="29:57" x14ac:dyDescent="0.15">
      <c r="AC299" s="45">
        <v>296</v>
      </c>
      <c r="AD299" s="45">
        <f>[1]节奏总纲!AD299</f>
        <v>82.138974442593963</v>
      </c>
      <c r="AE299" s="45">
        <f>[1]节奏总纲!AE299</f>
        <v>84.23168240723723</v>
      </c>
      <c r="AF299" s="45">
        <f>[1]节奏总纲!AF299</f>
        <v>87.175449058482982</v>
      </c>
      <c r="AG299" s="45">
        <f>[1]节奏总纲!AG299</f>
        <v>92.221965243676763</v>
      </c>
      <c r="AH299" s="45">
        <f>[1]节奏总纲!AH299</f>
        <v>101.12799406645185</v>
      </c>
      <c r="AZ299" s="45">
        <v>296</v>
      </c>
      <c r="BA299" s="45">
        <f>[1]节奏总纲!BA299</f>
        <v>45.333637404170453</v>
      </c>
      <c r="BB299" s="45">
        <f>[1]节奏总纲!BB299</f>
        <v>46.850331714610157</v>
      </c>
      <c r="BC299" s="45">
        <f>[1]节奏总纲!BC299</f>
        <v>48.795846080641262</v>
      </c>
      <c r="BD299" s="45">
        <f>[1]节奏总纲!BD299</f>
        <v>51.539243086379955</v>
      </c>
      <c r="BE299" s="45">
        <f>[1]节奏总纲!BE299</f>
        <v>56.254597590299248</v>
      </c>
    </row>
    <row r="300" spans="29:57" x14ac:dyDescent="0.15">
      <c r="AC300" s="45">
        <v>297</v>
      </c>
      <c r="AD300" s="45">
        <f>[1]节奏总纲!AD300</f>
        <v>82.186353905945836</v>
      </c>
      <c r="AE300" s="45">
        <f>[1]节奏总纲!AE300</f>
        <v>84.280555118037555</v>
      </c>
      <c r="AF300" s="45">
        <f>[1]节奏总纲!AF300</f>
        <v>87.224220814144587</v>
      </c>
      <c r="AG300" s="45">
        <f>[1]节奏总纲!AG300</f>
        <v>92.272076201024021</v>
      </c>
      <c r="AH300" s="45">
        <f>[1]节奏总纲!AH300</f>
        <v>101.17764913760085</v>
      </c>
      <c r="AZ300" s="45">
        <v>297</v>
      </c>
      <c r="BA300" s="45">
        <f>[1]节奏总纲!BA300</f>
        <v>45.355954287392557</v>
      </c>
      <c r="BB300" s="45">
        <f>[1]节奏总纲!BB300</f>
        <v>46.874411768133562</v>
      </c>
      <c r="BC300" s="45">
        <f>[1]节奏总纲!BC300</f>
        <v>48.819774747187417</v>
      </c>
      <c r="BD300" s="45">
        <f>[1]节奏总纲!BD300</f>
        <v>51.562348854298804</v>
      </c>
      <c r="BE300" s="45">
        <f>[1]节奏总纲!BE300</f>
        <v>56.276805339682355</v>
      </c>
    </row>
    <row r="301" spans="29:57" x14ac:dyDescent="0.15">
      <c r="AC301" s="45">
        <v>298</v>
      </c>
      <c r="AD301" s="45">
        <f>[1]节奏总纲!AD301</f>
        <v>82.23373336929771</v>
      </c>
      <c r="AE301" s="45">
        <f>[1]节奏总纲!AE301</f>
        <v>84.329427828837879</v>
      </c>
      <c r="AF301" s="45">
        <f>[1]节奏总纲!AF301</f>
        <v>87.272992569806178</v>
      </c>
      <c r="AG301" s="45">
        <f>[1]节奏总纲!AG301</f>
        <v>92.322187158371293</v>
      </c>
      <c r="AH301" s="45">
        <f>[1]节奏总纲!AH301</f>
        <v>101.22730420874987</v>
      </c>
      <c r="AZ301" s="45">
        <v>298</v>
      </c>
      <c r="BA301" s="45">
        <f>[1]节奏总纲!BA301</f>
        <v>45.37827117061466</v>
      </c>
      <c r="BB301" s="45">
        <f>[1]节奏总纲!BB301</f>
        <v>46.898491821656968</v>
      </c>
      <c r="BC301" s="45">
        <f>[1]节奏总纲!BC301</f>
        <v>48.843703413733579</v>
      </c>
      <c r="BD301" s="45">
        <f>[1]节奏总纲!BD301</f>
        <v>51.585454622217647</v>
      </c>
      <c r="BE301" s="45">
        <f>[1]节奏总纲!BE301</f>
        <v>56.299013089065468</v>
      </c>
    </row>
    <row r="302" spans="29:57" x14ac:dyDescent="0.15">
      <c r="AC302" s="45">
        <v>299</v>
      </c>
      <c r="AD302" s="45">
        <f>[1]节奏总纲!AD302</f>
        <v>82.281112832649583</v>
      </c>
      <c r="AE302" s="45">
        <f>[1]节奏总纲!AE302</f>
        <v>84.378300539638204</v>
      </c>
      <c r="AF302" s="45">
        <f>[1]节奏总纲!AF302</f>
        <v>87.321764325467768</v>
      </c>
      <c r="AG302" s="45">
        <f>[1]节奏总纲!AG302</f>
        <v>92.37229811571855</v>
      </c>
      <c r="AH302" s="45">
        <f>[1]节奏总纲!AH302</f>
        <v>101.27695927989888</v>
      </c>
      <c r="AZ302" s="45">
        <v>299</v>
      </c>
      <c r="BA302" s="45">
        <f>[1]节奏总纲!BA302</f>
        <v>45.400588053836763</v>
      </c>
      <c r="BB302" s="45">
        <f>[1]节奏总纲!BB302</f>
        <v>46.922571875180381</v>
      </c>
      <c r="BC302" s="45">
        <f>[1]节奏总纲!BC302</f>
        <v>48.867632080279733</v>
      </c>
      <c r="BD302" s="45">
        <f>[1]节奏总纲!BD302</f>
        <v>51.608560390136496</v>
      </c>
      <c r="BE302" s="45">
        <f>[1]节奏总纲!BE302</f>
        <v>56.321220838448575</v>
      </c>
    </row>
    <row r="303" spans="29:57" x14ac:dyDescent="0.15">
      <c r="AC303" s="45">
        <v>300</v>
      </c>
      <c r="AD303" s="45">
        <f>[1]节奏总纲!AD303</f>
        <v>82.328492296001457</v>
      </c>
      <c r="AE303" s="45">
        <f>[1]节奏总纲!AE303</f>
        <v>84.427173250438543</v>
      </c>
      <c r="AF303" s="45">
        <f>[1]节奏总纲!AF303</f>
        <v>87.370536081129359</v>
      </c>
      <c r="AG303" s="45">
        <f>[1]节奏总纲!AG303</f>
        <v>92.422409073065808</v>
      </c>
      <c r="AH303" s="45">
        <f>[1]节奏总纲!AH303</f>
        <v>101.32661435104789</v>
      </c>
      <c r="AZ303" s="45">
        <v>300</v>
      </c>
      <c r="BA303" s="45">
        <f>[1]节奏总纲!BA303</f>
        <v>45.422904937058867</v>
      </c>
      <c r="BB303" s="45">
        <f>[1]节奏总纲!BB303</f>
        <v>46.946651928703787</v>
      </c>
      <c r="BC303" s="45">
        <f>[1]节奏总纲!BC303</f>
        <v>48.891560746825888</v>
      </c>
      <c r="BD303" s="45">
        <f>[1]节奏总纲!BD303</f>
        <v>51.631666158055346</v>
      </c>
      <c r="BE303" s="45">
        <f>[1]节奏总纲!BE303</f>
        <v>56.343428587831681</v>
      </c>
    </row>
    <row r="304" spans="29:57" x14ac:dyDescent="0.15">
      <c r="AC304" s="45">
        <v>301</v>
      </c>
      <c r="AD304" s="45">
        <f>[1]节奏总纲!AD304</f>
        <v>82.375871759353331</v>
      </c>
      <c r="AE304" s="45">
        <f>[1]节奏总纲!AE304</f>
        <v>84.476045961238867</v>
      </c>
      <c r="AF304" s="45">
        <f>[1]节奏总纲!AF304</f>
        <v>87.419307836790964</v>
      </c>
      <c r="AG304" s="45">
        <f>[1]节奏总纲!AG304</f>
        <v>92.472520030413079</v>
      </c>
      <c r="AH304" s="45">
        <f>[1]节奏总纲!AH304</f>
        <v>101.3762694221969</v>
      </c>
      <c r="AZ304" s="45">
        <v>301</v>
      </c>
      <c r="BA304" s="45">
        <f>[1]节奏总纲!BA304</f>
        <v>45.44522182028097</v>
      </c>
      <c r="BB304" s="45">
        <f>[1]节奏总纲!BB304</f>
        <v>46.9707319822272</v>
      </c>
      <c r="BC304" s="45">
        <f>[1]节奏总纲!BC304</f>
        <v>48.91548941337205</v>
      </c>
      <c r="BD304" s="45">
        <f>[1]节奏总纲!BD304</f>
        <v>51.654771925974188</v>
      </c>
      <c r="BE304" s="45">
        <f>[1]节奏总纲!BE304</f>
        <v>56.365636337214795</v>
      </c>
    </row>
    <row r="305" spans="29:57" x14ac:dyDescent="0.15">
      <c r="AC305" s="45">
        <v>302</v>
      </c>
      <c r="AD305" s="45">
        <f>[1]节奏总纲!AD305</f>
        <v>82.423251222705204</v>
      </c>
      <c r="AE305" s="45">
        <f>[1]节奏总纲!AE305</f>
        <v>84.524918672039192</v>
      </c>
      <c r="AF305" s="45">
        <f>[1]节奏总纲!AF305</f>
        <v>87.468079592452554</v>
      </c>
      <c r="AG305" s="45">
        <f>[1]节奏总纲!AG305</f>
        <v>92.522630987760337</v>
      </c>
      <c r="AH305" s="45">
        <f>[1]节奏总纲!AH305</f>
        <v>101.42592449334592</v>
      </c>
      <c r="AZ305" s="45">
        <v>302</v>
      </c>
      <c r="BA305" s="45">
        <f>[1]节奏总纲!BA305</f>
        <v>45.467538703503074</v>
      </c>
      <c r="BB305" s="45">
        <f>[1]节奏总纲!BB305</f>
        <v>46.994812035750606</v>
      </c>
      <c r="BC305" s="45">
        <f>[1]节奏总纲!BC305</f>
        <v>48.939418079918205</v>
      </c>
      <c r="BD305" s="45">
        <f>[1]节奏总纲!BD305</f>
        <v>51.677877693893038</v>
      </c>
      <c r="BE305" s="45">
        <f>[1]节奏总纲!BE305</f>
        <v>56.387844086597902</v>
      </c>
    </row>
    <row r="306" spans="29:57" x14ac:dyDescent="0.15">
      <c r="AC306" s="45">
        <v>303</v>
      </c>
      <c r="AD306" s="45">
        <f>[1]节奏总纲!AD306</f>
        <v>82.470630686057078</v>
      </c>
      <c r="AE306" s="45">
        <f>[1]节奏总纲!AE306</f>
        <v>84.573791382839516</v>
      </c>
      <c r="AF306" s="45">
        <f>[1]节奏总纲!AF306</f>
        <v>87.516851348114145</v>
      </c>
      <c r="AG306" s="45">
        <f>[1]节奏总纲!AG306</f>
        <v>92.572741945107595</v>
      </c>
      <c r="AH306" s="45">
        <f>[1]节奏总纲!AH306</f>
        <v>101.47557956449492</v>
      </c>
      <c r="AZ306" s="45">
        <v>303</v>
      </c>
      <c r="BA306" s="45">
        <f>[1]节奏总纲!BA306</f>
        <v>45.489855586725177</v>
      </c>
      <c r="BB306" s="45">
        <f>[1]节奏总纲!BB306</f>
        <v>47.016308935086101</v>
      </c>
      <c r="BC306" s="45">
        <f>[1]节奏总纲!BC306</f>
        <v>48.96334674646436</v>
      </c>
      <c r="BD306" s="45">
        <f>[1]节奏总纲!BD306</f>
        <v>51.70098346181188</v>
      </c>
      <c r="BE306" s="45">
        <f>[1]节奏总纲!BE306</f>
        <v>56.410051835981008</v>
      </c>
    </row>
    <row r="307" spans="29:57" x14ac:dyDescent="0.15">
      <c r="AC307" s="45">
        <v>304</v>
      </c>
      <c r="AD307" s="45">
        <f>[1]节奏总纲!AD307</f>
        <v>82.518010149408951</v>
      </c>
      <c r="AE307" s="45">
        <f>[1]节奏总纲!AE307</f>
        <v>84.622664093639855</v>
      </c>
      <c r="AF307" s="45">
        <f>[1]节奏总纲!AF307</f>
        <v>87.565623103775735</v>
      </c>
      <c r="AG307" s="45">
        <f>[1]节奏总纲!AG307</f>
        <v>92.622852902454852</v>
      </c>
      <c r="AH307" s="45">
        <f>[1]节奏总纲!AH307</f>
        <v>101.52523463564394</v>
      </c>
      <c r="AZ307" s="45">
        <v>304</v>
      </c>
      <c r="BA307" s="45">
        <f>[1]节奏总纲!BA307</f>
        <v>45.512172469947281</v>
      </c>
      <c r="BB307" s="45">
        <f>[1]节奏总纲!BB307</f>
        <v>47.037096473408994</v>
      </c>
      <c r="BC307" s="45">
        <f>[1]节奏总纲!BC307</f>
        <v>48.987275413010522</v>
      </c>
      <c r="BD307" s="45">
        <f>[1]节奏总纲!BD307</f>
        <v>51.72408922973073</v>
      </c>
      <c r="BE307" s="45">
        <f>[1]节奏总纲!BE307</f>
        <v>56.432259585364115</v>
      </c>
    </row>
    <row r="308" spans="29:57" x14ac:dyDescent="0.15">
      <c r="AC308" s="45">
        <v>305</v>
      </c>
      <c r="AD308" s="45">
        <f>[1]节奏总纲!AD308</f>
        <v>82.565389612760825</v>
      </c>
      <c r="AE308" s="45">
        <f>[1]节奏总纲!AE308</f>
        <v>84.67153680444018</v>
      </c>
      <c r="AF308" s="45">
        <f>[1]节奏总纲!AF308</f>
        <v>87.61439485943734</v>
      </c>
      <c r="AG308" s="45">
        <f>[1]节奏总纲!AG308</f>
        <v>92.672963859802124</v>
      </c>
      <c r="AH308" s="45">
        <f>[1]节奏总纲!AH308</f>
        <v>101.57488970679294</v>
      </c>
      <c r="AZ308" s="45">
        <v>305</v>
      </c>
      <c r="BA308" s="45">
        <f>[1]节奏总纲!BA308</f>
        <v>45.534489353169384</v>
      </c>
      <c r="BB308" s="45">
        <f>[1]节奏总纲!BB308</f>
        <v>47.057884011731893</v>
      </c>
      <c r="BC308" s="45">
        <f>[1]节奏总纲!BC308</f>
        <v>49.009673493801003</v>
      </c>
      <c r="BD308" s="45">
        <f>[1]节奏总纲!BD308</f>
        <v>51.747194997649579</v>
      </c>
      <c r="BE308" s="45">
        <f>[1]节奏总纲!BE308</f>
        <v>56.454467334747228</v>
      </c>
    </row>
    <row r="309" spans="29:57" x14ac:dyDescent="0.15">
      <c r="AC309" s="45">
        <v>306</v>
      </c>
      <c r="AD309" s="45">
        <f>[1]节奏总纲!AD309</f>
        <v>82.612769076112698</v>
      </c>
      <c r="AE309" s="45">
        <f>[1]节奏总纲!AE309</f>
        <v>84.720409515240505</v>
      </c>
      <c r="AF309" s="45">
        <f>[1]节奏总纲!AF309</f>
        <v>87.66316661509893</v>
      </c>
      <c r="AG309" s="45">
        <f>[1]节奏总纲!AG309</f>
        <v>92.723074817149381</v>
      </c>
      <c r="AH309" s="45">
        <f>[1]节奏总纲!AH309</f>
        <v>101.62454477794196</v>
      </c>
      <c r="AZ309" s="45">
        <v>306</v>
      </c>
      <c r="BA309" s="45">
        <f>[1]节奏总纲!BA309</f>
        <v>45.556806236391488</v>
      </c>
      <c r="BB309" s="45">
        <f>[1]节奏总纲!BB309</f>
        <v>47.078671550054786</v>
      </c>
      <c r="BC309" s="45">
        <f>[1]节奏总纲!BC309</f>
        <v>49.030333272797542</v>
      </c>
      <c r="BD309" s="45">
        <f>[1]节奏总纲!BD309</f>
        <v>51.770300765568422</v>
      </c>
      <c r="BE309" s="45">
        <f>[1]节奏总纲!BE309</f>
        <v>56.476675084130335</v>
      </c>
    </row>
    <row r="310" spans="29:57" x14ac:dyDescent="0.15">
      <c r="AC310" s="45">
        <v>307</v>
      </c>
      <c r="AD310" s="45">
        <f>[1]节奏总纲!AD310</f>
        <v>82.660148539464572</v>
      </c>
      <c r="AE310" s="45">
        <f>[1]节奏总纲!AE310</f>
        <v>84.769282226040829</v>
      </c>
      <c r="AF310" s="45">
        <f>[1]节奏总纲!AF310</f>
        <v>87.711938370760521</v>
      </c>
      <c r="AG310" s="45">
        <f>[1]节奏总纲!AG310</f>
        <v>92.773185774496639</v>
      </c>
      <c r="AH310" s="45">
        <f>[1]节奏总纲!AH310</f>
        <v>101.67419984909097</v>
      </c>
      <c r="AZ310" s="45">
        <v>307</v>
      </c>
      <c r="BA310" s="45">
        <f>[1]节奏总纲!BA310</f>
        <v>45.579123119613591</v>
      </c>
      <c r="BB310" s="45">
        <f>[1]节奏总纲!BB310</f>
        <v>47.099459088377678</v>
      </c>
      <c r="BC310" s="45">
        <f>[1]节奏总纲!BC310</f>
        <v>49.05099305179408</v>
      </c>
      <c r="BD310" s="45">
        <f>[1]节奏总纲!BD310</f>
        <v>51.793406533487271</v>
      </c>
      <c r="BE310" s="45">
        <f>[1]节奏总纲!BE310</f>
        <v>56.498882833513441</v>
      </c>
    </row>
    <row r="311" spans="29:57" x14ac:dyDescent="0.15">
      <c r="AC311" s="45">
        <v>308</v>
      </c>
      <c r="AD311" s="45">
        <f>[1]节奏总纲!AD311</f>
        <v>82.707528002816446</v>
      </c>
      <c r="AE311" s="45">
        <f>[1]节奏总纲!AE311</f>
        <v>84.818154936841154</v>
      </c>
      <c r="AF311" s="45">
        <f>[1]节奏总纲!AF311</f>
        <v>87.760710126422126</v>
      </c>
      <c r="AG311" s="45">
        <f>[1]节奏总纲!AG311</f>
        <v>92.823296731843911</v>
      </c>
      <c r="AH311" s="45">
        <f>[1]节奏总纲!AH311</f>
        <v>101.72385492023999</v>
      </c>
      <c r="AZ311" s="45">
        <v>308</v>
      </c>
      <c r="BA311" s="45">
        <f>[1]节奏总纲!BA311</f>
        <v>45.601440002835695</v>
      </c>
      <c r="BB311" s="45">
        <f>[1]节奏总纲!BB311</f>
        <v>47.12024662670057</v>
      </c>
      <c r="BC311" s="45">
        <f>[1]节奏总纲!BC311</f>
        <v>49.071652830790612</v>
      </c>
      <c r="BD311" s="45">
        <f>[1]节奏总纲!BD311</f>
        <v>51.816512301406114</v>
      </c>
      <c r="BE311" s="45">
        <f>[1]节奏总纲!BE311</f>
        <v>56.521090582896548</v>
      </c>
    </row>
    <row r="312" spans="29:57" x14ac:dyDescent="0.15">
      <c r="AC312" s="45">
        <v>309</v>
      </c>
      <c r="AD312" s="45">
        <f>[1]节奏总纲!AD312</f>
        <v>82.754907466168319</v>
      </c>
      <c r="AE312" s="45">
        <f>[1]节奏总纲!AE312</f>
        <v>84.867027647641493</v>
      </c>
      <c r="AF312" s="45">
        <f>[1]节奏总纲!AF312</f>
        <v>87.809481882083716</v>
      </c>
      <c r="AG312" s="45">
        <f>[1]节奏总纲!AG312</f>
        <v>92.873407689191168</v>
      </c>
      <c r="AH312" s="45">
        <f>[1]节奏总纲!AH312</f>
        <v>101.77350999138899</v>
      </c>
      <c r="AZ312" s="45">
        <v>309</v>
      </c>
      <c r="BA312" s="45">
        <f>[1]节奏总纲!BA312</f>
        <v>45.623756886057798</v>
      </c>
      <c r="BB312" s="45">
        <f>[1]节奏总纲!BB312</f>
        <v>47.14103416502347</v>
      </c>
      <c r="BC312" s="45">
        <f>[1]节奏总纲!BC312</f>
        <v>49.09231260978715</v>
      </c>
      <c r="BD312" s="45">
        <f>[1]节奏总纲!BD312</f>
        <v>51.839618069324963</v>
      </c>
      <c r="BE312" s="45">
        <f>[1]节奏总纲!BE312</f>
        <v>56.543298332279662</v>
      </c>
    </row>
    <row r="313" spans="29:57" x14ac:dyDescent="0.15">
      <c r="AC313" s="45">
        <v>310</v>
      </c>
      <c r="AD313" s="45">
        <f>[1]节奏总纲!AD313</f>
        <v>82.802286929520193</v>
      </c>
      <c r="AE313" s="45">
        <f>[1]节奏总纲!AE313</f>
        <v>84.915900358441817</v>
      </c>
      <c r="AF313" s="45">
        <f>[1]节奏总纲!AF313</f>
        <v>87.858253637745307</v>
      </c>
      <c r="AG313" s="45">
        <f>[1]节奏总纲!AG313</f>
        <v>92.923518646538426</v>
      </c>
      <c r="AH313" s="45">
        <f>[1]节奏总纲!AH313</f>
        <v>101.82316506253801</v>
      </c>
      <c r="AZ313" s="45">
        <v>310</v>
      </c>
      <c r="BA313" s="45">
        <f>[1]节奏总纲!BA313</f>
        <v>45.646073769279901</v>
      </c>
      <c r="BB313" s="45">
        <f>[1]节奏总纲!BB313</f>
        <v>47.161821703346362</v>
      </c>
      <c r="BC313" s="45">
        <f>[1]节奏总纲!BC313</f>
        <v>49.112972388783689</v>
      </c>
      <c r="BD313" s="45">
        <f>[1]节奏总纲!BD313</f>
        <v>51.862723837243806</v>
      </c>
      <c r="BE313" s="45">
        <f>[1]节奏总纲!BE313</f>
        <v>56.565506081662768</v>
      </c>
    </row>
    <row r="314" spans="29:57" x14ac:dyDescent="0.15">
      <c r="AC314" s="45">
        <v>311</v>
      </c>
      <c r="AD314" s="45">
        <f>[1]节奏总纲!AD314</f>
        <v>82.849666392872066</v>
      </c>
      <c r="AE314" s="45">
        <f>[1]节奏总纲!AE314</f>
        <v>84.964773069242142</v>
      </c>
      <c r="AF314" s="45">
        <f>[1]节奏总纲!AF314</f>
        <v>87.907025393406897</v>
      </c>
      <c r="AG314" s="45">
        <f>[1]节奏总纲!AG314</f>
        <v>92.973629603885698</v>
      </c>
      <c r="AH314" s="45">
        <f>[1]节奏总纲!AH314</f>
        <v>101.87282013368701</v>
      </c>
      <c r="AZ314" s="45">
        <v>311</v>
      </c>
      <c r="BA314" s="45">
        <f>[1]节奏总纲!BA314</f>
        <v>45.668390652502012</v>
      </c>
      <c r="BB314" s="45">
        <f>[1]节奏总纲!BB314</f>
        <v>47.182609241669255</v>
      </c>
      <c r="BC314" s="45">
        <f>[1]节奏总纲!BC314</f>
        <v>49.133632167780227</v>
      </c>
      <c r="BD314" s="45">
        <f>[1]节奏总纲!BD314</f>
        <v>51.885829605162655</v>
      </c>
      <c r="BE314" s="45">
        <f>[1]节奏总纲!BE314</f>
        <v>56.587713831045875</v>
      </c>
    </row>
    <row r="315" spans="29:57" x14ac:dyDescent="0.15">
      <c r="AC315" s="45">
        <v>312</v>
      </c>
      <c r="AD315" s="45">
        <f>[1]节奏总纲!AD315</f>
        <v>82.89704585622394</v>
      </c>
      <c r="AE315" s="45">
        <f>[1]节奏总纲!AE315</f>
        <v>85.012531647506819</v>
      </c>
      <c r="AF315" s="45">
        <f>[1]节奏总纲!AF315</f>
        <v>87.955797149068502</v>
      </c>
      <c r="AG315" s="45">
        <f>[1]节奏总纲!AG315</f>
        <v>93.022367647203353</v>
      </c>
      <c r="AH315" s="45">
        <f>[1]节奏总纲!AH315</f>
        <v>101.92247520483603</v>
      </c>
      <c r="AZ315" s="45">
        <v>312</v>
      </c>
      <c r="BA315" s="45">
        <f>[1]节奏总纲!BA315</f>
        <v>45.690707535724115</v>
      </c>
      <c r="BB315" s="45">
        <f>[1]节奏总纲!BB315</f>
        <v>47.203396779992147</v>
      </c>
      <c r="BC315" s="45">
        <f>[1]节奏总纲!BC315</f>
        <v>49.154291946776759</v>
      </c>
      <c r="BD315" s="45">
        <f>[1]节奏总纲!BD315</f>
        <v>51.908935373081505</v>
      </c>
      <c r="BE315" s="45">
        <f>[1]节奏总纲!BE315</f>
        <v>56.609921580428981</v>
      </c>
    </row>
    <row r="316" spans="29:57" x14ac:dyDescent="0.15">
      <c r="AC316" s="45">
        <v>313</v>
      </c>
      <c r="AD316" s="45">
        <f>[1]节奏总纲!AD316</f>
        <v>82.944425319575814</v>
      </c>
      <c r="AE316" s="45">
        <f>[1]节奏总纲!AE316</f>
        <v>85.057414064088832</v>
      </c>
      <c r="AF316" s="45">
        <f>[1]节奏总纲!AF316</f>
        <v>88.004756197276762</v>
      </c>
      <c r="AG316" s="45">
        <f>[1]节奏总纲!AG316</f>
        <v>93.069580693431178</v>
      </c>
      <c r="AH316" s="45">
        <f>[1]节奏总纲!AH316</f>
        <v>101.97213027598504</v>
      </c>
      <c r="AZ316" s="45">
        <v>313</v>
      </c>
      <c r="BA316" s="45">
        <f>[1]节奏总纲!BA316</f>
        <v>45.713024418946219</v>
      </c>
      <c r="BB316" s="45">
        <f>[1]节奏总纲!BB316</f>
        <v>47.224184318315039</v>
      </c>
      <c r="BC316" s="45">
        <f>[1]节奏总纲!BC316</f>
        <v>49.174951725773298</v>
      </c>
      <c r="BD316" s="45">
        <f>[1]节奏总纲!BD316</f>
        <v>51.932041141000347</v>
      </c>
      <c r="BE316" s="45">
        <f>[1]节奏总纲!BE316</f>
        <v>56.632129329812095</v>
      </c>
    </row>
    <row r="317" spans="29:57" x14ac:dyDescent="0.15">
      <c r="AC317" s="45">
        <v>314</v>
      </c>
      <c r="AD317" s="45">
        <f>[1]节奏总纲!AD317</f>
        <v>82.991804782927687</v>
      </c>
      <c r="AE317" s="45">
        <f>[1]节奏总纲!AE317</f>
        <v>85.10229648067083</v>
      </c>
      <c r="AF317" s="45">
        <f>[1]节奏总纲!AF317</f>
        <v>88.05552724748766</v>
      </c>
      <c r="AG317" s="45">
        <f>[1]节奏总纲!AG317</f>
        <v>93.116793739659002</v>
      </c>
      <c r="AH317" s="45">
        <f>[1]节奏总纲!AH317</f>
        <v>102.01969836502204</v>
      </c>
      <c r="AZ317" s="45">
        <v>314</v>
      </c>
      <c r="BA317" s="45">
        <f>[1]节奏总纲!BA317</f>
        <v>45.735341302168322</v>
      </c>
      <c r="BB317" s="45">
        <f>[1]节奏总纲!BB317</f>
        <v>47.244971856637939</v>
      </c>
      <c r="BC317" s="45">
        <f>[1]节奏总纲!BC317</f>
        <v>49.195611504769836</v>
      </c>
      <c r="BD317" s="45">
        <f>[1]节奏总纲!BD317</f>
        <v>51.955146908919197</v>
      </c>
      <c r="BE317" s="45">
        <f>[1]节奏总纲!BE317</f>
        <v>56.654337079195201</v>
      </c>
    </row>
    <row r="318" spans="29:57" x14ac:dyDescent="0.15">
      <c r="AC318" s="45">
        <v>315</v>
      </c>
      <c r="AD318" s="45">
        <f>[1]节奏总纲!AD318</f>
        <v>83.03656019452734</v>
      </c>
      <c r="AE318" s="45">
        <f>[1]节奏总纲!AE318</f>
        <v>85.147178897252829</v>
      </c>
      <c r="AF318" s="45">
        <f>[1]节奏总纲!AF318</f>
        <v>88.106298297698572</v>
      </c>
      <c r="AG318" s="45">
        <f>[1]节奏总纲!AG318</f>
        <v>93.164006785886826</v>
      </c>
      <c r="AH318" s="45">
        <f>[1]节奏总纲!AH318</f>
        <v>102.06459660376342</v>
      </c>
      <c r="AZ318" s="45">
        <v>315</v>
      </c>
      <c r="BA318" s="45">
        <f>[1]节奏总纲!BA318</f>
        <v>45.757658185390426</v>
      </c>
      <c r="BB318" s="45">
        <f>[1]节奏总纲!BB318</f>
        <v>47.265759394960831</v>
      </c>
      <c r="BC318" s="45">
        <f>[1]节奏总纲!BC318</f>
        <v>49.216271283766375</v>
      </c>
      <c r="BD318" s="45">
        <f>[1]节奏总纲!BD318</f>
        <v>51.978252676838039</v>
      </c>
      <c r="BE318" s="45">
        <f>[1]节奏总纲!BE318</f>
        <v>56.676544828578308</v>
      </c>
    </row>
    <row r="319" spans="29:57" x14ac:dyDescent="0.15">
      <c r="AC319" s="45">
        <v>316</v>
      </c>
      <c r="AD319" s="45">
        <f>[1]节奏总纲!AD319</f>
        <v>83.080766796955942</v>
      </c>
      <c r="AE319" s="45">
        <f>[1]节奏总纲!AE319</f>
        <v>85.192061313834827</v>
      </c>
      <c r="AF319" s="45">
        <f>[1]节奏总纲!AF319</f>
        <v>88.15706934790947</v>
      </c>
      <c r="AG319" s="45">
        <f>[1]节奏总纲!AG319</f>
        <v>93.211219832114651</v>
      </c>
      <c r="AH319" s="45">
        <f>[1]节奏总纲!AH319</f>
        <v>102.1094948425048</v>
      </c>
      <c r="AZ319" s="45">
        <v>316</v>
      </c>
      <c r="BA319" s="45">
        <f>[1]节奏总纲!BA319</f>
        <v>45.779975068612529</v>
      </c>
      <c r="BB319" s="45">
        <f>[1]节奏总纲!BB319</f>
        <v>47.286546933283724</v>
      </c>
      <c r="BC319" s="45">
        <f>[1]节奏总纲!BC319</f>
        <v>49.236931062762913</v>
      </c>
      <c r="BD319" s="45">
        <f>[1]节奏总纲!BD319</f>
        <v>52.001173105835825</v>
      </c>
      <c r="BE319" s="45">
        <f>[1]节奏总纲!BE319</f>
        <v>56.698752577961415</v>
      </c>
    </row>
    <row r="320" spans="29:57" x14ac:dyDescent="0.15">
      <c r="AC320" s="45">
        <v>317</v>
      </c>
      <c r="AD320" s="45">
        <f>[1]节奏总纲!AD320</f>
        <v>83.124973399384558</v>
      </c>
      <c r="AE320" s="45">
        <f>[1]节奏总纲!AE320</f>
        <v>85.236943730416826</v>
      </c>
      <c r="AF320" s="45">
        <f>[1]节奏总纲!AF320</f>
        <v>88.207840398120382</v>
      </c>
      <c r="AG320" s="45">
        <f>[1]节奏总纲!AG320</f>
        <v>93.258432878342475</v>
      </c>
      <c r="AH320" s="45">
        <f>[1]节奏总纲!AH320</f>
        <v>102.15439308124618</v>
      </c>
      <c r="AZ320" s="45">
        <v>317</v>
      </c>
      <c r="BA320" s="45">
        <f>[1]节奏总纲!BA320</f>
        <v>45.802291951834633</v>
      </c>
      <c r="BB320" s="45">
        <f>[1]节奏总纲!BB320</f>
        <v>47.307334471606616</v>
      </c>
      <c r="BC320" s="45">
        <f>[1]节奏总纲!BC320</f>
        <v>49.257590841759445</v>
      </c>
      <c r="BD320" s="45">
        <f>[1]节奏总纲!BD320</f>
        <v>52.021126446631868</v>
      </c>
      <c r="BE320" s="45">
        <f>[1]节奏总纲!BE320</f>
        <v>56.720960327344528</v>
      </c>
    </row>
    <row r="321" spans="29:57" x14ac:dyDescent="0.15">
      <c r="AC321" s="45">
        <v>318</v>
      </c>
      <c r="AD321" s="45">
        <f>[1]节奏总纲!AD321</f>
        <v>83.16918000181316</v>
      </c>
      <c r="AE321" s="45">
        <f>[1]节奏总纲!AE321</f>
        <v>85.281826146998839</v>
      </c>
      <c r="AF321" s="45">
        <f>[1]节奏总纲!AF321</f>
        <v>88.258611448331294</v>
      </c>
      <c r="AG321" s="45">
        <f>[1]节奏总纲!AG321</f>
        <v>93.3056459245703</v>
      </c>
      <c r="AH321" s="45">
        <f>[1]节奏总纲!AH321</f>
        <v>102.19929131998755</v>
      </c>
      <c r="AZ321" s="45">
        <v>318</v>
      </c>
      <c r="BA321" s="45">
        <f>[1]节奏总纲!BA321</f>
        <v>45.824608835056736</v>
      </c>
      <c r="BB321" s="45">
        <f>[1]节奏总纲!BB321</f>
        <v>47.328122009929508</v>
      </c>
      <c r="BC321" s="45">
        <f>[1]节奏总纲!BC321</f>
        <v>49.278250620755983</v>
      </c>
      <c r="BD321" s="45">
        <f>[1]节奏总纲!BD321</f>
        <v>52.041079787427918</v>
      </c>
      <c r="BE321" s="45">
        <f>[1]节奏总纲!BE321</f>
        <v>56.743168076727635</v>
      </c>
    </row>
    <row r="322" spans="29:57" x14ac:dyDescent="0.15">
      <c r="AC322" s="45">
        <v>319</v>
      </c>
      <c r="AD322" s="45">
        <f>[1]节奏总纲!AD322</f>
        <v>83.213386604241776</v>
      </c>
      <c r="AE322" s="45">
        <f>[1]节奏总纲!AE322</f>
        <v>85.326708563580837</v>
      </c>
      <c r="AF322" s="45">
        <f>[1]节奏总纲!AF322</f>
        <v>88.309382498542192</v>
      </c>
      <c r="AG322" s="45">
        <f>[1]节奏总纲!AG322</f>
        <v>93.352858970798124</v>
      </c>
      <c r="AH322" s="45">
        <f>[1]节奏总纲!AH322</f>
        <v>102.24418955872893</v>
      </c>
      <c r="AZ322" s="45">
        <v>319</v>
      </c>
      <c r="BA322" s="45">
        <f>[1]节奏总纲!BA322</f>
        <v>45.84692571827884</v>
      </c>
      <c r="BB322" s="45">
        <f>[1]节奏总纲!BB322</f>
        <v>47.348909548252408</v>
      </c>
      <c r="BC322" s="45">
        <f>[1]节奏总纲!BC322</f>
        <v>49.298910399752522</v>
      </c>
      <c r="BD322" s="45">
        <f>[1]节奏总纲!BD322</f>
        <v>52.061033128223968</v>
      </c>
      <c r="BE322" s="45">
        <f>[1]节奏总纲!BE322</f>
        <v>56.765375826110741</v>
      </c>
    </row>
    <row r="323" spans="29:57" x14ac:dyDescent="0.15">
      <c r="AC323" s="45">
        <v>320</v>
      </c>
      <c r="AD323" s="45">
        <f>[1]节奏总纲!AD323</f>
        <v>83.257593206670379</v>
      </c>
      <c r="AE323" s="45">
        <f>[1]节奏总纲!AE323</f>
        <v>85.371590980162836</v>
      </c>
      <c r="AF323" s="45">
        <f>[1]节奏总纲!AF323</f>
        <v>88.360153548753104</v>
      </c>
      <c r="AG323" s="45">
        <f>[1]节奏总纲!AG323</f>
        <v>93.400072017025948</v>
      </c>
      <c r="AH323" s="45">
        <f>[1]节奏总纲!AH323</f>
        <v>102.28908779747032</v>
      </c>
      <c r="AZ323" s="45">
        <v>320</v>
      </c>
      <c r="BA323" s="45">
        <f>[1]节奏总纲!BA323</f>
        <v>45.869242601500943</v>
      </c>
      <c r="BB323" s="45">
        <f>[1]节奏总纲!BB323</f>
        <v>47.3696970865753</v>
      </c>
      <c r="BC323" s="45">
        <f>[1]节奏总纲!BC323</f>
        <v>49.319570178749061</v>
      </c>
      <c r="BD323" s="45">
        <f>[1]节奏总纲!BD323</f>
        <v>52.080986469020011</v>
      </c>
      <c r="BE323" s="45">
        <f>[1]节奏总纲!BE323</f>
        <v>56.787583575493848</v>
      </c>
    </row>
    <row r="324" spans="29:57" x14ac:dyDescent="0.15">
      <c r="AC324" s="45">
        <v>321</v>
      </c>
      <c r="AD324" s="45">
        <f>[1]节奏总纲!AD324</f>
        <v>83.301799809098995</v>
      </c>
      <c r="AE324" s="45">
        <f>[1]节奏总纲!AE324</f>
        <v>85.416473396744834</v>
      </c>
      <c r="AF324" s="45">
        <f>[1]节奏总纲!AF324</f>
        <v>88.410924598964016</v>
      </c>
      <c r="AG324" s="45">
        <f>[1]节奏总纲!AG324</f>
        <v>93.447285063253773</v>
      </c>
      <c r="AH324" s="45">
        <f>[1]节奏总纲!AH324</f>
        <v>102.3339860362117</v>
      </c>
      <c r="AZ324" s="45">
        <v>321</v>
      </c>
      <c r="BA324" s="45">
        <f>[1]节奏总纲!BA324</f>
        <v>45.891559484723047</v>
      </c>
      <c r="BB324" s="45">
        <f>[1]节奏总纲!BB324</f>
        <v>47.390484624898193</v>
      </c>
      <c r="BC324" s="45">
        <f>[1]节奏总纲!BC324</f>
        <v>49.340229957745592</v>
      </c>
      <c r="BD324" s="45">
        <f>[1]节奏总纲!BD324</f>
        <v>52.100939809816062</v>
      </c>
      <c r="BE324" s="45">
        <f>[1]节奏总纲!BE324</f>
        <v>56.809791324876961</v>
      </c>
    </row>
    <row r="325" spans="29:57" x14ac:dyDescent="0.15">
      <c r="AC325" s="45">
        <v>322</v>
      </c>
      <c r="AD325" s="45">
        <f>[1]节奏总纲!AD325</f>
        <v>83.346006411527597</v>
      </c>
      <c r="AE325" s="45">
        <f>[1]节奏总纲!AE325</f>
        <v>85.461355813326847</v>
      </c>
      <c r="AF325" s="45">
        <f>[1]节奏总纲!AF325</f>
        <v>88.461695649174914</v>
      </c>
      <c r="AG325" s="45">
        <f>[1]节奏总纲!AG325</f>
        <v>93.494498109481597</v>
      </c>
      <c r="AH325" s="45">
        <f>[1]节奏总纲!AH325</f>
        <v>102.37888427495307</v>
      </c>
      <c r="AZ325" s="45">
        <v>322</v>
      </c>
      <c r="BA325" s="45">
        <f>[1]节奏总纲!BA325</f>
        <v>45.91387636794515</v>
      </c>
      <c r="BB325" s="45">
        <f>[1]节奏总纲!BB325</f>
        <v>47.411272163221085</v>
      </c>
      <c r="BC325" s="45">
        <f>[1]节奏总纲!BC325</f>
        <v>49.360889736742131</v>
      </c>
      <c r="BD325" s="45">
        <f>[1]节奏总纲!BD325</f>
        <v>52.120893150612112</v>
      </c>
      <c r="BE325" s="45">
        <f>[1]节奏总纲!BE325</f>
        <v>56.831999074260068</v>
      </c>
    </row>
    <row r="326" spans="29:57" x14ac:dyDescent="0.15">
      <c r="AC326" s="45">
        <v>323</v>
      </c>
      <c r="AD326" s="45">
        <f>[1]节奏总纲!AD326</f>
        <v>83.390213013956213</v>
      </c>
      <c r="AE326" s="45">
        <f>[1]节奏总纲!AE326</f>
        <v>85.506238229908845</v>
      </c>
      <c r="AF326" s="45">
        <f>[1]节奏总纲!AF326</f>
        <v>88.512466699385826</v>
      </c>
      <c r="AG326" s="45">
        <f>[1]节奏总纲!AG326</f>
        <v>93.541711155709422</v>
      </c>
      <c r="AH326" s="45">
        <f>[1]节奏总纲!AH326</f>
        <v>102.42378251369445</v>
      </c>
      <c r="AZ326" s="45">
        <v>323</v>
      </c>
      <c r="BA326" s="45">
        <f>[1]节奏总纲!BA326</f>
        <v>45.936193251167253</v>
      </c>
      <c r="BB326" s="45">
        <f>[1]节奏总纲!BB326</f>
        <v>47.432059701543984</v>
      </c>
      <c r="BC326" s="45">
        <f>[1]节奏总纲!BC326</f>
        <v>49.381549515738669</v>
      </c>
      <c r="BD326" s="45">
        <f>[1]节奏总纲!BD326</f>
        <v>52.140846491408155</v>
      </c>
      <c r="BE326" s="45">
        <f>[1]节奏总纲!BE326</f>
        <v>56.854206823643175</v>
      </c>
    </row>
    <row r="327" spans="29:57" x14ac:dyDescent="0.15">
      <c r="AC327" s="45">
        <v>324</v>
      </c>
      <c r="AD327" s="45">
        <f>[1]节奏总纲!AD327</f>
        <v>83.434419616384815</v>
      </c>
      <c r="AE327" s="45">
        <f>[1]节奏总纲!AE327</f>
        <v>85.551120646490844</v>
      </c>
      <c r="AF327" s="45">
        <f>[1]节奏总纲!AF327</f>
        <v>88.563237749596723</v>
      </c>
      <c r="AG327" s="45">
        <f>[1]节奏总纲!AG327</f>
        <v>93.588924201937246</v>
      </c>
      <c r="AH327" s="45">
        <f>[1]节奏总纲!AH327</f>
        <v>102.46868075243583</v>
      </c>
      <c r="AZ327" s="45">
        <v>324</v>
      </c>
      <c r="BA327" s="45">
        <f>[1]节奏总纲!BA327</f>
        <v>45.958510134389357</v>
      </c>
      <c r="BB327" s="45">
        <f>[1]节奏总纲!BB327</f>
        <v>47.452847239866877</v>
      </c>
      <c r="BC327" s="45">
        <f>[1]节奏总纲!BC327</f>
        <v>49.402209294735208</v>
      </c>
      <c r="BD327" s="45">
        <f>[1]节奏总纲!BD327</f>
        <v>52.160799832204205</v>
      </c>
      <c r="BE327" s="45">
        <f>[1]节奏总纲!BE327</f>
        <v>56.876414573026281</v>
      </c>
    </row>
    <row r="328" spans="29:57" x14ac:dyDescent="0.15">
      <c r="AC328" s="45">
        <v>325</v>
      </c>
      <c r="AD328" s="45">
        <f>[1]节奏总纲!AD328</f>
        <v>83.478626218813432</v>
      </c>
      <c r="AE328" s="45">
        <f>[1]节奏总纲!AE328</f>
        <v>85.596003063072843</v>
      </c>
      <c r="AF328" s="45">
        <f>[1]节奏总纲!AF328</f>
        <v>88.614008799807635</v>
      </c>
      <c r="AG328" s="45">
        <f>[1]节奏总纲!AG328</f>
        <v>93.63613724816507</v>
      </c>
      <c r="AH328" s="45">
        <f>[1]节奏总纲!AH328</f>
        <v>102.51357899117721</v>
      </c>
      <c r="AZ328" s="45">
        <v>325</v>
      </c>
      <c r="BA328" s="45">
        <f>[1]节奏总纲!BA328</f>
        <v>45.98082701761146</v>
      </c>
      <c r="BB328" s="45">
        <f>[1]节奏总纲!BB328</f>
        <v>47.473634778189769</v>
      </c>
      <c r="BC328" s="45">
        <f>[1]节奏总纲!BC328</f>
        <v>49.422869073731739</v>
      </c>
      <c r="BD328" s="45">
        <f>[1]节奏总纲!BD328</f>
        <v>52.180753173000248</v>
      </c>
      <c r="BE328" s="45">
        <f>[1]节奏总纲!BE328</f>
        <v>56.898622322409395</v>
      </c>
    </row>
    <row r="329" spans="29:57" x14ac:dyDescent="0.15">
      <c r="AC329" s="45">
        <v>326</v>
      </c>
      <c r="AD329" s="45">
        <f>[1]节奏总纲!AD329</f>
        <v>83.522832821242034</v>
      </c>
      <c r="AE329" s="45">
        <f>[1]节奏总纲!AE329</f>
        <v>85.640885479654855</v>
      </c>
      <c r="AF329" s="45">
        <f>[1]节奏总纲!AF329</f>
        <v>88.664779850018547</v>
      </c>
      <c r="AG329" s="45">
        <f>[1]节奏总纲!AG329</f>
        <v>93.683350294392895</v>
      </c>
      <c r="AH329" s="45">
        <f>[1]节奏总纲!AH329</f>
        <v>102.55847722991859</v>
      </c>
      <c r="AZ329" s="45">
        <v>326</v>
      </c>
      <c r="BA329" s="45">
        <f>[1]节奏总纲!BA329</f>
        <v>46.002713830586146</v>
      </c>
      <c r="BB329" s="45">
        <f>[1]节奏总纲!BB329</f>
        <v>47.494422316512662</v>
      </c>
      <c r="BC329" s="45">
        <f>[1]节奏总纲!BC329</f>
        <v>49.443528852728278</v>
      </c>
      <c r="BD329" s="45">
        <f>[1]节奏总纲!BD329</f>
        <v>52.200706513796298</v>
      </c>
      <c r="BE329" s="45">
        <f>[1]节奏总纲!BE329</f>
        <v>56.920830071792501</v>
      </c>
    </row>
    <row r="330" spans="29:57" x14ac:dyDescent="0.15">
      <c r="AC330" s="45">
        <v>327</v>
      </c>
      <c r="AD330" s="45">
        <f>[1]节奏总纲!AD330</f>
        <v>83.56703942367065</v>
      </c>
      <c r="AE330" s="45">
        <f>[1]节奏总纲!AE330</f>
        <v>85.685767896236854</v>
      </c>
      <c r="AF330" s="45">
        <f>[1]节奏总纲!AF330</f>
        <v>88.715550900229445</v>
      </c>
      <c r="AG330" s="45">
        <f>[1]节奏总纲!AG330</f>
        <v>93.730563340620719</v>
      </c>
      <c r="AH330" s="45">
        <f>[1]节奏总纲!AH330</f>
        <v>102.60337546865996</v>
      </c>
      <c r="AZ330" s="45">
        <v>327</v>
      </c>
      <c r="BA330" s="45">
        <f>[1]节奏总纲!BA330</f>
        <v>46.021977873404879</v>
      </c>
      <c r="BB330" s="45">
        <f>[1]节奏总纲!BB330</f>
        <v>47.515209854835554</v>
      </c>
      <c r="BC330" s="45">
        <f>[1]节奏总纲!BC330</f>
        <v>49.464188631724817</v>
      </c>
      <c r="BD330" s="45">
        <f>[1]节奏总纲!BD330</f>
        <v>52.220659854592348</v>
      </c>
      <c r="BE330" s="45">
        <f>[1]节奏总纲!BE330</f>
        <v>56.943037821175608</v>
      </c>
    </row>
    <row r="331" spans="29:57" x14ac:dyDescent="0.15">
      <c r="AC331" s="45">
        <v>328</v>
      </c>
      <c r="AD331" s="45">
        <f>[1]节奏总纲!AD331</f>
        <v>83.611246026099252</v>
      </c>
      <c r="AE331" s="45">
        <f>[1]节奏总纲!AE331</f>
        <v>85.730650312818852</v>
      </c>
      <c r="AF331" s="45">
        <f>[1]节奏总纲!AF331</f>
        <v>88.766321950440357</v>
      </c>
      <c r="AG331" s="45">
        <f>[1]节奏总纲!AG331</f>
        <v>93.777776386848544</v>
      </c>
      <c r="AH331" s="45">
        <f>[1]节奏总纲!AH331</f>
        <v>102.64827370740134</v>
      </c>
      <c r="AZ331" s="45">
        <v>328</v>
      </c>
      <c r="BA331" s="45">
        <f>[1]节奏总纲!BA331</f>
        <v>46.041241916223605</v>
      </c>
      <c r="BB331" s="45">
        <f>[1]节奏总纲!BB331</f>
        <v>47.535997393158453</v>
      </c>
      <c r="BC331" s="45">
        <f>[1]节奏总纲!BC331</f>
        <v>49.484848410721355</v>
      </c>
      <c r="BD331" s="45">
        <f>[1]节奏总纲!BD331</f>
        <v>52.240613195388391</v>
      </c>
      <c r="BE331" s="45">
        <f>[1]节奏总纲!BE331</f>
        <v>56.965245570558714</v>
      </c>
    </row>
    <row r="332" spans="29:57" x14ac:dyDescent="0.15">
      <c r="AC332" s="45">
        <v>329</v>
      </c>
      <c r="AD332" s="45">
        <f>[1]节奏总纲!AD332</f>
        <v>83.655452628527868</v>
      </c>
      <c r="AE332" s="45">
        <f>[1]节奏总纲!AE332</f>
        <v>85.775532729400851</v>
      </c>
      <c r="AF332" s="45">
        <f>[1]节奏总纲!AF332</f>
        <v>88.817093000651269</v>
      </c>
      <c r="AG332" s="45">
        <f>[1]节奏总纲!AG332</f>
        <v>93.824989433076368</v>
      </c>
      <c r="AH332" s="45">
        <f>[1]节奏总纲!AH332</f>
        <v>102.69317194614273</v>
      </c>
      <c r="AZ332" s="45">
        <v>329</v>
      </c>
      <c r="BA332" s="45">
        <f>[1]节奏总纲!BA332</f>
        <v>46.060505959042331</v>
      </c>
      <c r="BB332" s="45">
        <f>[1]节奏总纲!BB332</f>
        <v>47.556784931481346</v>
      </c>
      <c r="BC332" s="45">
        <f>[1]节奏总纲!BC332</f>
        <v>49.505508189717887</v>
      </c>
      <c r="BD332" s="45">
        <f>[1]节奏总纲!BD332</f>
        <v>52.260566536184442</v>
      </c>
      <c r="BE332" s="45">
        <f>[1]节奏总纲!BE332</f>
        <v>56.987453319941828</v>
      </c>
    </row>
    <row r="333" spans="29:57" x14ac:dyDescent="0.15">
      <c r="AC333" s="45">
        <v>330</v>
      </c>
      <c r="AD333" s="45">
        <f>[1]节奏总纲!AD333</f>
        <v>83.69965923095647</v>
      </c>
      <c r="AE333" s="45">
        <f>[1]节奏总纲!AE333</f>
        <v>85.820415145982849</v>
      </c>
      <c r="AF333" s="45">
        <f>[1]节奏总纲!AF333</f>
        <v>88.867864050862167</v>
      </c>
      <c r="AG333" s="45">
        <f>[1]节奏总纲!AG333</f>
        <v>93.872202479304192</v>
      </c>
      <c r="AH333" s="45">
        <f>[1]节奏总纲!AH333</f>
        <v>102.73807018488411</v>
      </c>
      <c r="AZ333" s="45">
        <v>330</v>
      </c>
      <c r="BA333" s="45">
        <f>[1]节奏总纲!BA333</f>
        <v>46.079770001861057</v>
      </c>
      <c r="BB333" s="45">
        <f>[1]节奏总纲!BB333</f>
        <v>47.577572469804238</v>
      </c>
      <c r="BC333" s="45">
        <f>[1]节奏总纲!BC333</f>
        <v>49.526167968714425</v>
      </c>
      <c r="BD333" s="45">
        <f>[1]节奏总纲!BD333</f>
        <v>52.280519876980485</v>
      </c>
      <c r="BE333" s="45">
        <f>[1]节奏总纲!BE333</f>
        <v>57.008345591208631</v>
      </c>
    </row>
    <row r="334" spans="29:57" x14ac:dyDescent="0.15">
      <c r="AC334" s="45">
        <v>331</v>
      </c>
      <c r="AD334" s="45">
        <f>[1]节奏总纲!AD334</f>
        <v>83.743865833385087</v>
      </c>
      <c r="AE334" s="45">
        <f>[1]节奏总纲!AE334</f>
        <v>85.865297562564862</v>
      </c>
      <c r="AF334" s="45">
        <f>[1]节奏总纲!AF334</f>
        <v>88.918635101073079</v>
      </c>
      <c r="AG334" s="45">
        <f>[1]节奏总纲!AG334</f>
        <v>93.919415525532017</v>
      </c>
      <c r="AH334" s="45">
        <f>[1]节奏总纲!AH334</f>
        <v>102.78296842362549</v>
      </c>
      <c r="AZ334" s="45">
        <v>331</v>
      </c>
      <c r="BA334" s="45">
        <f>[1]节奏总纲!BA334</f>
        <v>46.099034044679783</v>
      </c>
      <c r="BB334" s="45">
        <f>[1]节奏总纲!BB334</f>
        <v>47.598360008127131</v>
      </c>
      <c r="BC334" s="45">
        <f>[1]节奏总纲!BC334</f>
        <v>49.546827747710964</v>
      </c>
      <c r="BD334" s="45">
        <f>[1]节奏总纲!BD334</f>
        <v>52.300473217776535</v>
      </c>
      <c r="BE334" s="45">
        <f>[1]节奏总纲!BE334</f>
        <v>57.027529471561998</v>
      </c>
    </row>
    <row r="335" spans="29:57" x14ac:dyDescent="0.15">
      <c r="AC335" s="45">
        <v>332</v>
      </c>
      <c r="AD335" s="45">
        <f>[1]节奏总纲!AD335</f>
        <v>83.788072435813689</v>
      </c>
      <c r="AE335" s="45">
        <f>[1]节奏总纲!AE335</f>
        <v>85.910179979146861</v>
      </c>
      <c r="AF335" s="45">
        <f>[1]节奏总纲!AF335</f>
        <v>88.969406151283977</v>
      </c>
      <c r="AG335" s="45">
        <f>[1]节奏总纲!AG335</f>
        <v>93.966628571759841</v>
      </c>
      <c r="AH335" s="45">
        <f>[1]节奏总纲!AH335</f>
        <v>102.82786666236686</v>
      </c>
      <c r="AZ335" s="45">
        <v>332</v>
      </c>
      <c r="BA335" s="45">
        <f>[1]节奏总纲!BA335</f>
        <v>46.118298087498509</v>
      </c>
      <c r="BB335" s="45">
        <f>[1]节奏总纲!BB335</f>
        <v>47.619147546450023</v>
      </c>
      <c r="BC335" s="45">
        <f>[1]节奏总纲!BC335</f>
        <v>49.567487526707502</v>
      </c>
      <c r="BD335" s="45">
        <f>[1]节奏总纲!BD335</f>
        <v>52.320426558572585</v>
      </c>
      <c r="BE335" s="45">
        <f>[1]节奏总纲!BE335</f>
        <v>57.046713351915365</v>
      </c>
    </row>
    <row r="336" spans="29:57" x14ac:dyDescent="0.15">
      <c r="AC336" s="45">
        <v>333</v>
      </c>
      <c r="AD336" s="45">
        <f>[1]节奏总纲!AD336</f>
        <v>83.832279038242305</v>
      </c>
      <c r="AE336" s="45">
        <f>[1]节奏总纲!AE336</f>
        <v>85.955062395728859</v>
      </c>
      <c r="AF336" s="45">
        <f>[1]节奏总纲!AF336</f>
        <v>89.018466905731287</v>
      </c>
      <c r="AG336" s="45">
        <f>[1]节奏总纲!AG336</f>
        <v>94.012923283729691</v>
      </c>
      <c r="AH336" s="45">
        <f>[1]节奏总纲!AH336</f>
        <v>102.87276490110824</v>
      </c>
      <c r="AZ336" s="45">
        <v>333</v>
      </c>
      <c r="BA336" s="45">
        <f>[1]节奏总纲!BA336</f>
        <v>46.137562130317242</v>
      </c>
      <c r="BB336" s="45">
        <f>[1]节奏总纲!BB336</f>
        <v>47.639935084772922</v>
      </c>
      <c r="BC336" s="45">
        <f>[1]节奏总纲!BC336</f>
        <v>49.588147305704041</v>
      </c>
      <c r="BD336" s="45">
        <f>[1]节奏总纲!BD336</f>
        <v>52.340379899368628</v>
      </c>
      <c r="BE336" s="45">
        <f>[1]节奏总纲!BE336</f>
        <v>57.065897232268732</v>
      </c>
    </row>
    <row r="337" spans="29:57" x14ac:dyDescent="0.15">
      <c r="AC337" s="45">
        <v>334</v>
      </c>
      <c r="AD337" s="45">
        <f>[1]节奏总纲!AD337</f>
        <v>83.876485640670907</v>
      </c>
      <c r="AE337" s="45">
        <f>[1]节奏总纲!AE337</f>
        <v>85.999944812310858</v>
      </c>
      <c r="AF337" s="45">
        <f>[1]节奏总纲!AF337</f>
        <v>89.064934410075779</v>
      </c>
      <c r="AG337" s="45">
        <f>[1]节奏总纲!AG337</f>
        <v>94.057003939090123</v>
      </c>
      <c r="AH337" s="45">
        <f>[1]节奏总纲!AH337</f>
        <v>102.91766313984962</v>
      </c>
      <c r="AZ337" s="45">
        <v>334</v>
      </c>
      <c r="BA337" s="45">
        <f>[1]节奏总纲!BA337</f>
        <v>46.156826173135968</v>
      </c>
      <c r="BB337" s="45">
        <f>[1]节奏总纲!BB337</f>
        <v>47.660722623095815</v>
      </c>
      <c r="BC337" s="45">
        <f>[1]节奏总纲!BC337</f>
        <v>49.608807084700572</v>
      </c>
      <c r="BD337" s="45">
        <f>[1]节奏总纲!BD337</f>
        <v>52.360333240164678</v>
      </c>
      <c r="BE337" s="45">
        <f>[1]节奏总纲!BE337</f>
        <v>57.085081112622099</v>
      </c>
    </row>
    <row r="338" spans="29:57" x14ac:dyDescent="0.15">
      <c r="AC338" s="45">
        <v>335</v>
      </c>
      <c r="AD338" s="45">
        <f>[1]节奏总纲!AD338</f>
        <v>83.920692243099523</v>
      </c>
      <c r="AE338" s="45">
        <f>[1]节奏总纲!AE338</f>
        <v>86.041129946887025</v>
      </c>
      <c r="AF338" s="45">
        <f>[1]节奏总纲!AF338</f>
        <v>89.11140191442027</v>
      </c>
      <c r="AG338" s="45">
        <f>[1]节奏总纲!AG338</f>
        <v>94.101084594450555</v>
      </c>
      <c r="AH338" s="45">
        <f>[1]节奏总纲!AH338</f>
        <v>102.962561378591</v>
      </c>
      <c r="AZ338" s="45">
        <v>335</v>
      </c>
      <c r="BA338" s="45">
        <f>[1]节奏总纲!BA338</f>
        <v>46.176090215954694</v>
      </c>
      <c r="BB338" s="45">
        <f>[1]节奏总纲!BB338</f>
        <v>47.681510161418707</v>
      </c>
      <c r="BC338" s="45">
        <f>[1]节奏总纲!BC338</f>
        <v>49.629466863697111</v>
      </c>
      <c r="BD338" s="45">
        <f>[1]节奏总纲!BD338</f>
        <v>52.380286580960728</v>
      </c>
      <c r="BE338" s="45">
        <f>[1]节奏总纲!BE338</f>
        <v>57.104264992975466</v>
      </c>
    </row>
    <row r="339" spans="29:57" x14ac:dyDescent="0.15">
      <c r="AC339" s="45">
        <v>336</v>
      </c>
      <c r="AD339" s="45">
        <f>[1]节奏总纲!AD339</f>
        <v>83.964898845528126</v>
      </c>
      <c r="AE339" s="45">
        <f>[1]节奏总纲!AE339</f>
        <v>86.082310529666103</v>
      </c>
      <c r="AF339" s="45">
        <f>[1]节奏总纲!AF339</f>
        <v>89.157869418764761</v>
      </c>
      <c r="AG339" s="45">
        <f>[1]节奏总纲!AG339</f>
        <v>94.145165249810972</v>
      </c>
      <c r="AH339" s="45">
        <f>[1]节奏总纲!AH339</f>
        <v>103.00673656424885</v>
      </c>
      <c r="AZ339" s="45">
        <v>336</v>
      </c>
      <c r="BA339" s="45">
        <f>[1]节奏总纲!BA339</f>
        <v>46.19535425877342</v>
      </c>
      <c r="BB339" s="45">
        <f>[1]节奏总纲!BB339</f>
        <v>47.7022976997416</v>
      </c>
      <c r="BC339" s="45">
        <f>[1]节奏总纲!BC339</f>
        <v>49.65012664269365</v>
      </c>
      <c r="BD339" s="45">
        <f>[1]节奏总纲!BD339</f>
        <v>52.400239921756771</v>
      </c>
      <c r="BE339" s="45">
        <f>[1]节奏总纲!BE339</f>
        <v>57.123448873328833</v>
      </c>
    </row>
    <row r="340" spans="29:57" x14ac:dyDescent="0.15">
      <c r="AC340" s="45">
        <v>337</v>
      </c>
      <c r="AD340" s="45">
        <f>[1]节奏总纲!AD340</f>
        <v>84.008495683346354</v>
      </c>
      <c r="AE340" s="45">
        <f>[1]节奏总纲!AE340</f>
        <v>86.12349111244518</v>
      </c>
      <c r="AF340" s="45">
        <f>[1]节奏总纲!AF340</f>
        <v>89.204336923109267</v>
      </c>
      <c r="AG340" s="45">
        <f>[1]节奏总纲!AG340</f>
        <v>94.189245905171404</v>
      </c>
      <c r="AH340" s="45">
        <f>[1]节奏总纲!AH340</f>
        <v>103.04728286259964</v>
      </c>
      <c r="AZ340" s="45">
        <v>337</v>
      </c>
      <c r="BA340" s="45">
        <f>[1]节奏总纲!BA340</f>
        <v>46.214618301592147</v>
      </c>
      <c r="BB340" s="45">
        <f>[1]节奏总纲!BB340</f>
        <v>47.723085238064499</v>
      </c>
      <c r="BC340" s="45">
        <f>[1]节奏总纲!BC340</f>
        <v>49.670786421690188</v>
      </c>
      <c r="BD340" s="45">
        <f>[1]节奏总纲!BD340</f>
        <v>52.420193262552822</v>
      </c>
      <c r="BE340" s="45">
        <f>[1]节奏总纲!BE340</f>
        <v>57.1426327536822</v>
      </c>
    </row>
    <row r="341" spans="29:57" x14ac:dyDescent="0.15">
      <c r="AC341" s="45">
        <v>338</v>
      </c>
      <c r="AD341" s="45">
        <f>[1]节奏总纲!AD341</f>
        <v>84.049741901856009</v>
      </c>
      <c r="AE341" s="45">
        <f>[1]节奏总纲!AE341</f>
        <v>86.164671695224243</v>
      </c>
      <c r="AF341" s="45">
        <f>[1]节奏总纲!AF341</f>
        <v>89.250804427453758</v>
      </c>
      <c r="AG341" s="45">
        <f>[1]节奏总纲!AG341</f>
        <v>94.233326560531836</v>
      </c>
      <c r="AH341" s="45">
        <f>[1]节奏总纲!AH341</f>
        <v>103.08782916095045</v>
      </c>
      <c r="AZ341" s="45">
        <v>338</v>
      </c>
      <c r="BA341" s="45">
        <f>[1]节奏总纲!BA341</f>
        <v>46.23388234441088</v>
      </c>
      <c r="BB341" s="45">
        <f>[1]节奏总纲!BB341</f>
        <v>47.743872776387391</v>
      </c>
      <c r="BC341" s="45">
        <f>[1]节奏总纲!BC341</f>
        <v>49.69144620068672</v>
      </c>
      <c r="BD341" s="45">
        <f>[1]节奏总纲!BD341</f>
        <v>52.440146603348865</v>
      </c>
      <c r="BE341" s="45">
        <f>[1]节奏总纲!BE341</f>
        <v>57.161816634035567</v>
      </c>
    </row>
    <row r="342" spans="29:57" x14ac:dyDescent="0.15">
      <c r="AC342" s="45">
        <v>339</v>
      </c>
      <c r="AD342" s="45">
        <f>[1]节奏总纲!AD342</f>
        <v>84.090988120365651</v>
      </c>
      <c r="AE342" s="45">
        <f>[1]节奏总纲!AE342</f>
        <v>86.20585227800332</v>
      </c>
      <c r="AF342" s="45">
        <f>[1]节奏总纲!AF342</f>
        <v>89.29727193179825</v>
      </c>
      <c r="AG342" s="45">
        <f>[1]节奏总纲!AG342</f>
        <v>94.277407215892268</v>
      </c>
      <c r="AH342" s="45">
        <f>[1]节奏总纲!AH342</f>
        <v>103.12837545930124</v>
      </c>
      <c r="AZ342" s="45">
        <v>339</v>
      </c>
      <c r="BA342" s="45">
        <f>[1]节奏总纲!BA342</f>
        <v>46.253146387229606</v>
      </c>
      <c r="BB342" s="45">
        <f>[1]节奏总纲!BB342</f>
        <v>47.764660314710284</v>
      </c>
      <c r="BC342" s="45">
        <f>[1]节奏总纲!BC342</f>
        <v>49.712105979683258</v>
      </c>
      <c r="BD342" s="45">
        <f>[1]节奏总纲!BD342</f>
        <v>52.460099944144915</v>
      </c>
      <c r="BE342" s="45">
        <f>[1]节奏总纲!BE342</f>
        <v>57.181000514388934</v>
      </c>
    </row>
    <row r="343" spans="29:57" x14ac:dyDescent="0.15">
      <c r="AC343" s="45">
        <v>340</v>
      </c>
      <c r="AD343" s="45">
        <f>[1]节奏总纲!AD343</f>
        <v>84.132234338875293</v>
      </c>
      <c r="AE343" s="45">
        <f>[1]节奏总纲!AE343</f>
        <v>86.247032860782397</v>
      </c>
      <c r="AF343" s="45">
        <f>[1]节奏总纲!AF343</f>
        <v>89.343739436142741</v>
      </c>
      <c r="AG343" s="45">
        <f>[1]节奏总纲!AG343</f>
        <v>94.3214878712527</v>
      </c>
      <c r="AH343" s="45">
        <f>[1]节奏总纲!AH343</f>
        <v>103.16892175765203</v>
      </c>
      <c r="AZ343" s="45">
        <v>340</v>
      </c>
      <c r="BA343" s="45">
        <f>[1]节奏总纲!BA343</f>
        <v>46.272410430048332</v>
      </c>
      <c r="BB343" s="45">
        <f>[1]节奏总纲!BB343</f>
        <v>47.785447853033176</v>
      </c>
      <c r="BC343" s="45">
        <f>[1]节奏总纲!BC343</f>
        <v>49.732765758679797</v>
      </c>
      <c r="BD343" s="45">
        <f>[1]节奏总纲!BD343</f>
        <v>52.480053284940965</v>
      </c>
      <c r="BE343" s="45">
        <f>[1]节奏总纲!BE343</f>
        <v>57.200184394742301</v>
      </c>
    </row>
    <row r="344" spans="29:57" x14ac:dyDescent="0.15">
      <c r="AC344" s="45">
        <v>341</v>
      </c>
      <c r="AD344" s="45">
        <f>[1]节奏总纲!AD344</f>
        <v>84.173480557384934</v>
      </c>
      <c r="AE344" s="45">
        <f>[1]节奏总纲!AE344</f>
        <v>86.288213443561474</v>
      </c>
      <c r="AF344" s="45">
        <f>[1]节奏总纲!AF344</f>
        <v>89.390206940487232</v>
      </c>
      <c r="AG344" s="45">
        <f>[1]节奏总纲!AG344</f>
        <v>94.365568526613131</v>
      </c>
      <c r="AH344" s="45">
        <f>[1]节奏总纲!AH344</f>
        <v>103.20946805600283</v>
      </c>
      <c r="AZ344" s="45">
        <v>341</v>
      </c>
      <c r="BA344" s="45">
        <f>[1]节奏总纲!BA344</f>
        <v>46.291674472867058</v>
      </c>
      <c r="BB344" s="45">
        <f>[1]节奏总纲!BB344</f>
        <v>47.806235391356068</v>
      </c>
      <c r="BC344" s="45">
        <f>[1]节奏总纲!BC344</f>
        <v>49.753425537676335</v>
      </c>
      <c r="BD344" s="45">
        <f>[1]节奏总纲!BD344</f>
        <v>52.500006625737008</v>
      </c>
      <c r="BE344" s="45">
        <f>[1]节奏总纲!BE344</f>
        <v>57.219368275095675</v>
      </c>
    </row>
    <row r="345" spans="29:57" x14ac:dyDescent="0.15">
      <c r="AC345" s="45">
        <v>342</v>
      </c>
      <c r="AD345" s="45">
        <f>[1]节奏总纲!AD345</f>
        <v>84.214726775894576</v>
      </c>
      <c r="AE345" s="45">
        <f>[1]节奏总纲!AE345</f>
        <v>86.329394026340537</v>
      </c>
      <c r="AF345" s="45">
        <f>[1]节奏总纲!AF345</f>
        <v>89.436674444831723</v>
      </c>
      <c r="AG345" s="45">
        <f>[1]节奏总纲!AG345</f>
        <v>94.409649181973549</v>
      </c>
      <c r="AH345" s="45">
        <f>[1]节奏总纲!AH345</f>
        <v>103.25001435435362</v>
      </c>
      <c r="AZ345" s="45">
        <v>342</v>
      </c>
      <c r="BA345" s="45">
        <f>[1]节奏总纲!BA345</f>
        <v>46.310938515685784</v>
      </c>
      <c r="BB345" s="45">
        <f>[1]节奏总纲!BB345</f>
        <v>47.827022929678968</v>
      </c>
      <c r="BC345" s="45">
        <f>[1]节奏总纲!BC345</f>
        <v>49.774085316672867</v>
      </c>
      <c r="BD345" s="45">
        <f>[1]节奏总纲!BD345</f>
        <v>52.519959966533058</v>
      </c>
      <c r="BE345" s="45">
        <f>[1]节奏总纲!BE345</f>
        <v>57.238552155449042</v>
      </c>
    </row>
    <row r="346" spans="29:57" x14ac:dyDescent="0.15">
      <c r="AC346" s="45">
        <v>343</v>
      </c>
      <c r="AD346" s="45">
        <f>[1]节奏总纲!AD346</f>
        <v>84.255972994404218</v>
      </c>
      <c r="AE346" s="45">
        <f>[1]节奏总纲!AE346</f>
        <v>86.370574609119615</v>
      </c>
      <c r="AF346" s="45">
        <f>[1]节奏总纲!AF346</f>
        <v>89.483141949176215</v>
      </c>
      <c r="AG346" s="45">
        <f>[1]节奏总纲!AG346</f>
        <v>94.453729837333981</v>
      </c>
      <c r="AH346" s="45">
        <f>[1]节奏总纲!AH346</f>
        <v>103.29056065270443</v>
      </c>
      <c r="AZ346" s="45">
        <v>343</v>
      </c>
      <c r="BA346" s="45">
        <f>[1]节奏总纲!BA346</f>
        <v>46.330202558504517</v>
      </c>
      <c r="BB346" s="45">
        <f>[1]节奏总纲!BB346</f>
        <v>47.84781046800186</v>
      </c>
      <c r="BC346" s="45">
        <f>[1]节奏总纲!BC346</f>
        <v>49.794745095669406</v>
      </c>
      <c r="BD346" s="45">
        <f>[1]节奏总纲!BD346</f>
        <v>52.539913307329101</v>
      </c>
      <c r="BE346" s="45">
        <f>[1]节奏总纲!BE346</f>
        <v>57.257736035802409</v>
      </c>
    </row>
    <row r="347" spans="29:57" x14ac:dyDescent="0.15">
      <c r="AC347" s="45">
        <v>344</v>
      </c>
      <c r="AD347" s="45">
        <f>[1]节奏总纲!AD347</f>
        <v>84.297219212913859</v>
      </c>
      <c r="AE347" s="45">
        <f>[1]节奏总纲!AE347</f>
        <v>86.411755191898692</v>
      </c>
      <c r="AF347" s="45">
        <f>[1]节奏总纲!AF347</f>
        <v>89.529609453520706</v>
      </c>
      <c r="AG347" s="45">
        <f>[1]节奏总纲!AG347</f>
        <v>94.497810492694413</v>
      </c>
      <c r="AH347" s="45">
        <f>[1]节奏总纲!AH347</f>
        <v>103.33110695105522</v>
      </c>
      <c r="AZ347" s="45">
        <v>344</v>
      </c>
      <c r="BA347" s="45">
        <f>[1]节奏总纲!BA347</f>
        <v>46.349466601323243</v>
      </c>
      <c r="BB347" s="45">
        <f>[1]节奏总纲!BB347</f>
        <v>47.868598006324753</v>
      </c>
      <c r="BC347" s="45">
        <f>[1]节奏总纲!BC347</f>
        <v>49.815404874665944</v>
      </c>
      <c r="BD347" s="45">
        <f>[1]节奏总纲!BD347</f>
        <v>52.559866648125151</v>
      </c>
      <c r="BE347" s="45">
        <f>[1]节奏总纲!BE347</f>
        <v>57.276919916155776</v>
      </c>
    </row>
    <row r="348" spans="29:57" x14ac:dyDescent="0.15">
      <c r="AC348" s="45">
        <v>345</v>
      </c>
      <c r="AD348" s="45">
        <f>[1]节奏总纲!AD348</f>
        <v>84.338465431423501</v>
      </c>
      <c r="AE348" s="45">
        <f>[1]节奏总纲!AE348</f>
        <v>86.452935774677769</v>
      </c>
      <c r="AF348" s="45">
        <f>[1]节奏总纲!AF348</f>
        <v>89.576076957865197</v>
      </c>
      <c r="AG348" s="45">
        <f>[1]节奏总纲!AG348</f>
        <v>94.541891148054845</v>
      </c>
      <c r="AH348" s="45">
        <f>[1]节奏总纲!AH348</f>
        <v>103.37165324940601</v>
      </c>
      <c r="AZ348" s="45">
        <v>345</v>
      </c>
      <c r="BA348" s="45">
        <f>[1]节奏总纲!BA348</f>
        <v>46.368730644141969</v>
      </c>
      <c r="BB348" s="45">
        <f>[1]节奏总纲!BB348</f>
        <v>47.889385544647645</v>
      </c>
      <c r="BC348" s="45">
        <f>[1]节奏总纲!BC348</f>
        <v>49.836064653662483</v>
      </c>
      <c r="BD348" s="45">
        <f>[1]节奏总纲!BD348</f>
        <v>52.579819988921201</v>
      </c>
      <c r="BE348" s="45">
        <f>[1]节奏总纲!BE348</f>
        <v>57.296103796509144</v>
      </c>
    </row>
    <row r="349" spans="29:57" x14ac:dyDescent="0.15">
      <c r="AC349" s="45">
        <v>346</v>
      </c>
      <c r="AD349" s="45">
        <f>[1]节奏总纲!AD349</f>
        <v>84.379711649933142</v>
      </c>
      <c r="AE349" s="45">
        <f>[1]节奏总纲!AE349</f>
        <v>86.494116357456846</v>
      </c>
      <c r="AF349" s="45">
        <f>[1]节奏总纲!AF349</f>
        <v>89.622544462209689</v>
      </c>
      <c r="AG349" s="45">
        <f>[1]节奏总纲!AG349</f>
        <v>94.585971803415276</v>
      </c>
      <c r="AH349" s="45">
        <f>[1]节奏总纲!AH349</f>
        <v>103.41219954775681</v>
      </c>
      <c r="AZ349" s="45">
        <v>346</v>
      </c>
      <c r="BA349" s="45">
        <f>[1]节奏总纲!BA349</f>
        <v>46.387994686960695</v>
      </c>
      <c r="BB349" s="45">
        <f>[1]节奏总纲!BB349</f>
        <v>47.910173082970537</v>
      </c>
      <c r="BC349" s="45">
        <f>[1]节奏总纲!BC349</f>
        <v>49.856724432659014</v>
      </c>
      <c r="BD349" s="45">
        <f>[1]节奏总纲!BD349</f>
        <v>52.599773329717245</v>
      </c>
      <c r="BE349" s="45">
        <f>[1]节奏总纲!BE349</f>
        <v>57.315287676862511</v>
      </c>
    </row>
    <row r="350" spans="29:57" x14ac:dyDescent="0.15">
      <c r="AC350" s="45">
        <v>347</v>
      </c>
      <c r="AD350" s="45">
        <f>[1]节奏总纲!AD350</f>
        <v>84.420957868442784</v>
      </c>
      <c r="AE350" s="45">
        <f>[1]节奏总纲!AE350</f>
        <v>86.535296940235909</v>
      </c>
      <c r="AF350" s="45">
        <f>[1]节奏总纲!AF350</f>
        <v>89.66901196655418</v>
      </c>
      <c r="AG350" s="45">
        <f>[1]节奏总纲!AG350</f>
        <v>94.630052458775694</v>
      </c>
      <c r="AH350" s="45">
        <f>[1]节奏总纲!AH350</f>
        <v>103.4527458461076</v>
      </c>
      <c r="AZ350" s="45">
        <v>347</v>
      </c>
      <c r="BA350" s="45">
        <f>[1]节奏总纲!BA350</f>
        <v>46.407258729779421</v>
      </c>
      <c r="BB350" s="45">
        <f>[1]节奏总纲!BB350</f>
        <v>47.930960621293437</v>
      </c>
      <c r="BC350" s="45">
        <f>[1]节奏总纲!BC350</f>
        <v>49.877384211655553</v>
      </c>
      <c r="BD350" s="45">
        <f>[1]节奏总纲!BD350</f>
        <v>52.619726670513295</v>
      </c>
      <c r="BE350" s="45">
        <f>[1]节奏总纲!BE350</f>
        <v>57.334471557215878</v>
      </c>
    </row>
    <row r="351" spans="29:57" x14ac:dyDescent="0.15">
      <c r="AC351" s="45">
        <v>348</v>
      </c>
      <c r="AD351" s="45">
        <f>[1]节奏总纲!AD351</f>
        <v>84.462204086952426</v>
      </c>
      <c r="AE351" s="45">
        <f>[1]节奏总纲!AE351</f>
        <v>86.576477523014987</v>
      </c>
      <c r="AF351" s="45">
        <f>[1]节奏总纲!AF351</f>
        <v>89.715479470898671</v>
      </c>
      <c r="AG351" s="45">
        <f>[1]节奏总纲!AG351</f>
        <v>94.674133114136126</v>
      </c>
      <c r="AH351" s="45">
        <f>[1]节奏总纲!AH351</f>
        <v>103.49329214445841</v>
      </c>
      <c r="AZ351" s="45">
        <v>348</v>
      </c>
      <c r="BA351" s="45">
        <f>[1]节奏总纲!BA351</f>
        <v>46.426522772598148</v>
      </c>
      <c r="BB351" s="45">
        <f>[1]节奏总纲!BB351</f>
        <v>47.951748159616329</v>
      </c>
      <c r="BC351" s="45">
        <f>[1]节奏总纲!BC351</f>
        <v>49.898043990652091</v>
      </c>
      <c r="BD351" s="45">
        <f>[1]节奏总纲!BD351</f>
        <v>52.639680011309345</v>
      </c>
      <c r="BE351" s="45">
        <f>[1]节奏总纲!BE351</f>
        <v>57.353655437569245</v>
      </c>
    </row>
    <row r="352" spans="29:57" x14ac:dyDescent="0.15">
      <c r="AC352" s="45">
        <v>349</v>
      </c>
      <c r="AD352" s="45">
        <f>[1]节奏总纲!AD352</f>
        <v>84.503450305462081</v>
      </c>
      <c r="AE352" s="45">
        <f>[1]节奏总纲!AE352</f>
        <v>86.617658105794064</v>
      </c>
      <c r="AF352" s="45">
        <f>[1]节奏总纲!AF352</f>
        <v>89.761946975243163</v>
      </c>
      <c r="AG352" s="45">
        <f>[1]节奏总纲!AG352</f>
        <v>94.718213769496558</v>
      </c>
      <c r="AH352" s="45">
        <f>[1]节奏总纲!AH352</f>
        <v>103.5338384428092</v>
      </c>
      <c r="AZ352" s="45">
        <v>349</v>
      </c>
      <c r="BA352" s="45">
        <f>[1]节奏总纲!BA352</f>
        <v>46.445786815416881</v>
      </c>
      <c r="BB352" s="45">
        <f>[1]节奏总纲!BB352</f>
        <v>47.972535697939222</v>
      </c>
      <c r="BC352" s="45">
        <f>[1]节奏总纲!BC352</f>
        <v>49.91870376964863</v>
      </c>
      <c r="BD352" s="45">
        <f>[1]节奏总纲!BD352</f>
        <v>52.659633352105388</v>
      </c>
      <c r="BE352" s="45">
        <f>[1]节奏总纲!BE352</f>
        <v>57.372839317922612</v>
      </c>
    </row>
    <row r="353" spans="29:57" x14ac:dyDescent="0.15">
      <c r="AC353" s="45">
        <v>350</v>
      </c>
      <c r="AD353" s="45">
        <f>[1]节奏总纲!AD353</f>
        <v>84.544696523971723</v>
      </c>
      <c r="AE353" s="45">
        <f>[1]节奏总纲!AE353</f>
        <v>86.658838688573141</v>
      </c>
      <c r="AF353" s="45">
        <f>[1]节奏总纲!AF353</f>
        <v>89.808414479587654</v>
      </c>
      <c r="AG353" s="45">
        <f>[1]节奏总纲!AG353</f>
        <v>94.762294424856989</v>
      </c>
      <c r="AH353" s="45">
        <f>[1]节奏总纲!AH353</f>
        <v>103.57438474115999</v>
      </c>
      <c r="AZ353" s="45">
        <v>350</v>
      </c>
      <c r="BA353" s="45">
        <f>[1]节奏总纲!BA353</f>
        <v>46.465050858235607</v>
      </c>
      <c r="BB353" s="45">
        <f>[1]节奏总纲!BB353</f>
        <v>47.993323236262114</v>
      </c>
      <c r="BC353" s="45">
        <f>[1]节奏总纲!BC353</f>
        <v>49.939363548645169</v>
      </c>
      <c r="BD353" s="45">
        <f>[1]节奏总纲!BD353</f>
        <v>52.679586692901438</v>
      </c>
      <c r="BE353" s="45">
        <f>[1]节奏总纲!BE353</f>
        <v>57.392023198275979</v>
      </c>
    </row>
    <row r="354" spans="29:57" x14ac:dyDescent="0.15">
      <c r="AC354" s="45">
        <v>351</v>
      </c>
      <c r="AD354" s="45">
        <f>[1]节奏总纲!AD354</f>
        <v>84.585942742481365</v>
      </c>
      <c r="AE354" s="45">
        <f>[1]节奏总纲!AE354</f>
        <v>86.700019271352204</v>
      </c>
      <c r="AF354" s="45">
        <f>[1]节奏总纲!AF354</f>
        <v>89.854881983932145</v>
      </c>
      <c r="AG354" s="45">
        <f>[1]节奏总纲!AG354</f>
        <v>94.806375080217421</v>
      </c>
      <c r="AH354" s="45">
        <f>[1]节奏总纲!AH354</f>
        <v>103.61493103951079</v>
      </c>
      <c r="AZ354" s="45">
        <v>351</v>
      </c>
      <c r="BA354" s="45">
        <f>[1]节奏总纲!BA354</f>
        <v>46.484314901054333</v>
      </c>
      <c r="BB354" s="45">
        <f>[1]节奏总纲!BB354</f>
        <v>48.012182251254622</v>
      </c>
      <c r="BC354" s="45">
        <f>[1]节奏总纲!BC354</f>
        <v>49.9600233276417</v>
      </c>
      <c r="BD354" s="45">
        <f>[1]节奏总纲!BD354</f>
        <v>52.699540033697481</v>
      </c>
      <c r="BE354" s="45">
        <f>[1]节奏总纲!BE354</f>
        <v>57.411207078629346</v>
      </c>
    </row>
    <row r="355" spans="29:57" x14ac:dyDescent="0.15">
      <c r="AC355" s="45">
        <v>352</v>
      </c>
      <c r="AD355" s="45">
        <f>[1]节奏总纲!AD355</f>
        <v>84.627188960991006</v>
      </c>
      <c r="AE355" s="45">
        <f>[1]节奏总纲!AE355</f>
        <v>86.741199854131281</v>
      </c>
      <c r="AF355" s="45">
        <f>[1]节奏总纲!AF355</f>
        <v>89.901349488276637</v>
      </c>
      <c r="AG355" s="45">
        <f>[1]节奏总纲!AG355</f>
        <v>94.850455735577853</v>
      </c>
      <c r="AH355" s="45">
        <f>[1]节奏总纲!AH355</f>
        <v>103.65547733786158</v>
      </c>
      <c r="AZ355" s="45">
        <v>352</v>
      </c>
      <c r="BA355" s="45">
        <f>[1]节奏总纲!BA355</f>
        <v>46.503578943873059</v>
      </c>
      <c r="BB355" s="45">
        <f>[1]节奏总纲!BB355</f>
        <v>48.030128751164234</v>
      </c>
      <c r="BC355" s="45">
        <f>[1]节奏总纲!BC355</f>
        <v>49.980683106638239</v>
      </c>
      <c r="BD355" s="45">
        <f>[1]节奏总纲!BD355</f>
        <v>52.719493374493531</v>
      </c>
      <c r="BE355" s="45">
        <f>[1]节奏总纲!BE355</f>
        <v>57.430390958982713</v>
      </c>
    </row>
    <row r="356" spans="29:57" x14ac:dyDescent="0.15">
      <c r="AC356" s="45">
        <v>353</v>
      </c>
      <c r="AD356" s="45">
        <f>[1]节奏总纲!AD356</f>
        <v>84.668435179500648</v>
      </c>
      <c r="AE356" s="45">
        <f>[1]节奏总纲!AE356</f>
        <v>86.782380436910358</v>
      </c>
      <c r="AF356" s="45">
        <f>[1]节奏总纲!AF356</f>
        <v>89.947816992621142</v>
      </c>
      <c r="AG356" s="45">
        <f>[1]节奏总纲!AG356</f>
        <v>94.894536390938271</v>
      </c>
      <c r="AH356" s="45">
        <f>[1]节奏总纲!AH356</f>
        <v>103.69602363621237</v>
      </c>
      <c r="AZ356" s="45">
        <v>353</v>
      </c>
      <c r="BA356" s="45">
        <f>[1]节奏总纲!BA356</f>
        <v>46.522842986691785</v>
      </c>
      <c r="BB356" s="45">
        <f>[1]节奏总纲!BB356</f>
        <v>48.048075251073854</v>
      </c>
      <c r="BC356" s="45">
        <f>[1]节奏总纲!BC356</f>
        <v>50.00115951426713</v>
      </c>
      <c r="BD356" s="45">
        <f>[1]节奏总纲!BD356</f>
        <v>52.739446715289581</v>
      </c>
      <c r="BE356" s="45">
        <f>[1]节奏总纲!BE356</f>
        <v>57.44957483933608</v>
      </c>
    </row>
    <row r="357" spans="29:57" x14ac:dyDescent="0.15">
      <c r="AC357" s="45">
        <v>354</v>
      </c>
      <c r="AD357" s="45">
        <f>[1]节奏总纲!AD357</f>
        <v>84.709681398010289</v>
      </c>
      <c r="AE357" s="45">
        <f>[1]节奏总纲!AE357</f>
        <v>86.823561019689436</v>
      </c>
      <c r="AF357" s="45">
        <f>[1]节奏总纲!AF357</f>
        <v>89.994284496965633</v>
      </c>
      <c r="AG357" s="45">
        <f>[1]节奏总纲!AG357</f>
        <v>94.938617046298702</v>
      </c>
      <c r="AH357" s="45">
        <f>[1]节奏总纲!AH357</f>
        <v>103.73656993456318</v>
      </c>
      <c r="AZ357" s="45">
        <v>354</v>
      </c>
      <c r="BA357" s="45">
        <f>[1]节奏总纲!BA357</f>
        <v>46.542107029510518</v>
      </c>
      <c r="BB357" s="45">
        <f>[1]节奏总纲!BB357</f>
        <v>48.066021750983474</v>
      </c>
      <c r="BC357" s="45">
        <f>[1]节奏总纲!BC357</f>
        <v>50.018998195299922</v>
      </c>
      <c r="BD357" s="45">
        <f>[1]节奏总纲!BD357</f>
        <v>52.759400056085624</v>
      </c>
      <c r="BE357" s="45">
        <f>[1]节奏总纲!BE357</f>
        <v>57.468758719689447</v>
      </c>
    </row>
    <row r="358" spans="29:57" x14ac:dyDescent="0.15">
      <c r="AC358" s="45">
        <v>355</v>
      </c>
      <c r="AD358" s="45">
        <f>[1]节奏总纲!AD358</f>
        <v>84.750927616519931</v>
      </c>
      <c r="AE358" s="45">
        <f>[1]节奏总纲!AE358</f>
        <v>86.864741602468499</v>
      </c>
      <c r="AF358" s="45">
        <f>[1]节奏总纲!AF358</f>
        <v>90.036066635925749</v>
      </c>
      <c r="AG358" s="45">
        <f>[1]节奏总纲!AG358</f>
        <v>94.982697701659134</v>
      </c>
      <c r="AH358" s="45">
        <f>[1]节奏总纲!AH358</f>
        <v>103.77711623291397</v>
      </c>
      <c r="AZ358" s="45">
        <v>355</v>
      </c>
      <c r="BA358" s="45">
        <f>[1]节奏总纲!BA358</f>
        <v>46.561371072329244</v>
      </c>
      <c r="BB358" s="45">
        <f>[1]节奏总纲!BB358</f>
        <v>48.083968250893093</v>
      </c>
      <c r="BC358" s="45">
        <f>[1]节奏总纲!BC358</f>
        <v>50.036836876332707</v>
      </c>
      <c r="BD358" s="45">
        <f>[1]节奏总纲!BD358</f>
        <v>52.779353396881675</v>
      </c>
      <c r="BE358" s="45">
        <f>[1]节奏总纲!BE358</f>
        <v>57.487942600042821</v>
      </c>
    </row>
    <row r="359" spans="29:57" x14ac:dyDescent="0.15">
      <c r="AC359" s="45">
        <v>356</v>
      </c>
      <c r="AD359" s="45">
        <f>[1]节奏总纲!AD359</f>
        <v>84.792173835029573</v>
      </c>
      <c r="AE359" s="45">
        <f>[1]节奏总纲!AE359</f>
        <v>86.905922185247576</v>
      </c>
      <c r="AF359" s="45">
        <f>[1]节奏总纲!AF359</f>
        <v>90.077191648383845</v>
      </c>
      <c r="AG359" s="45">
        <f>[1]节奏总纲!AG359</f>
        <v>95.024001308619916</v>
      </c>
      <c r="AH359" s="45">
        <f>[1]节奏总纲!AH359</f>
        <v>103.81766253126477</v>
      </c>
      <c r="AZ359" s="45">
        <v>356</v>
      </c>
      <c r="BA359" s="45">
        <f>[1]节奏总纲!BA359</f>
        <v>46.58063511514797</v>
      </c>
      <c r="BB359" s="45">
        <f>[1]节奏总纲!BB359</f>
        <v>48.101914750802706</v>
      </c>
      <c r="BC359" s="45">
        <f>[1]节奏总纲!BC359</f>
        <v>50.054675557365492</v>
      </c>
      <c r="BD359" s="45">
        <f>[1]节奏总纲!BD359</f>
        <v>52.799306737677718</v>
      </c>
      <c r="BE359" s="45">
        <f>[1]节奏总纲!BE359</f>
        <v>57.507126480396188</v>
      </c>
    </row>
    <row r="360" spans="29:57" x14ac:dyDescent="0.15">
      <c r="AC360" s="45">
        <v>357</v>
      </c>
      <c r="AD360" s="45">
        <f>[1]节奏总纲!AD360</f>
        <v>84.833420053539214</v>
      </c>
      <c r="AE360" s="45">
        <f>[1]节奏总纲!AE360</f>
        <v>86.947102768026653</v>
      </c>
      <c r="AF360" s="45">
        <f>[1]节奏总纲!AF360</f>
        <v>90.118316660841927</v>
      </c>
      <c r="AG360" s="45">
        <f>[1]节奏总纲!AG360</f>
        <v>95.063510581451752</v>
      </c>
      <c r="AH360" s="45">
        <f>[1]节奏总纲!AH360</f>
        <v>103.85820882961556</v>
      </c>
      <c r="AZ360" s="45">
        <v>357</v>
      </c>
      <c r="BA360" s="45">
        <f>[1]节奏总纲!BA360</f>
        <v>46.599899157966696</v>
      </c>
      <c r="BB360" s="45">
        <f>[1]节奏总纲!BB360</f>
        <v>48.119861250712326</v>
      </c>
      <c r="BC360" s="45">
        <f>[1]节奏总纲!BC360</f>
        <v>50.072514238398277</v>
      </c>
      <c r="BD360" s="45">
        <f>[1]节奏总纲!BD360</f>
        <v>52.819260078473768</v>
      </c>
      <c r="BE360" s="45">
        <f>[1]节奏总纲!BE360</f>
        <v>57.526310360749555</v>
      </c>
    </row>
    <row r="361" spans="29:57" x14ac:dyDescent="0.15">
      <c r="AC361" s="45">
        <v>358</v>
      </c>
      <c r="AD361" s="45">
        <f>[1]节奏总纲!AD361</f>
        <v>84.874666272048856</v>
      </c>
      <c r="AE361" s="45">
        <f>[1]节奏总纲!AE361</f>
        <v>86.98828335080573</v>
      </c>
      <c r="AF361" s="45">
        <f>[1]节奏总纲!AF361</f>
        <v>90.159441673300023</v>
      </c>
      <c r="AG361" s="45">
        <f>[1]节奏总纲!AG361</f>
        <v>95.103019854283588</v>
      </c>
      <c r="AH361" s="45">
        <f>[1]节奏总纲!AH361</f>
        <v>103.89875512796635</v>
      </c>
      <c r="AZ361" s="45">
        <v>358</v>
      </c>
      <c r="BA361" s="45">
        <f>[1]节奏总纲!BA361</f>
        <v>46.619163200785422</v>
      </c>
      <c r="BB361" s="45">
        <f>[1]节奏总纲!BB361</f>
        <v>48.137807750621946</v>
      </c>
      <c r="BC361" s="45">
        <f>[1]节奏总纲!BC361</f>
        <v>50.090352919431069</v>
      </c>
      <c r="BD361" s="45">
        <f>[1]节奏总纲!BD361</f>
        <v>52.839213419269818</v>
      </c>
      <c r="BE361" s="45">
        <f>[1]节奏总纲!BE361</f>
        <v>57.545494241102922</v>
      </c>
    </row>
    <row r="362" spans="29:57" x14ac:dyDescent="0.15">
      <c r="AC362" s="45">
        <v>359</v>
      </c>
      <c r="AD362" s="45">
        <f>[1]节奏总纲!AD362</f>
        <v>84.915912490558497</v>
      </c>
      <c r="AE362" s="45">
        <f>[1]节奏总纲!AE362</f>
        <v>87.027010646912942</v>
      </c>
      <c r="AF362" s="45">
        <f>[1]节奏总纲!AF362</f>
        <v>90.200566685758119</v>
      </c>
      <c r="AG362" s="45">
        <f>[1]节奏总纲!AG362</f>
        <v>95.142529127115409</v>
      </c>
      <c r="AH362" s="45">
        <f>[1]节奏总纲!AH362</f>
        <v>103.93930142631716</v>
      </c>
      <c r="AZ362" s="45">
        <v>359</v>
      </c>
      <c r="BA362" s="45">
        <f>[1]节奏总纲!BA362</f>
        <v>46.638427243604156</v>
      </c>
      <c r="BB362" s="45">
        <f>[1]节奏总纲!BB362</f>
        <v>48.155754250531558</v>
      </c>
      <c r="BC362" s="45">
        <f>[1]节奏总纲!BC362</f>
        <v>50.108191600463854</v>
      </c>
      <c r="BD362" s="45">
        <f>[1]节奏总纲!BD362</f>
        <v>52.859166760065861</v>
      </c>
      <c r="BE362" s="45">
        <f>[1]节奏总纲!BE362</f>
        <v>57.564678121456289</v>
      </c>
    </row>
    <row r="363" spans="29:57" x14ac:dyDescent="0.15">
      <c r="AC363" s="45">
        <v>360</v>
      </c>
      <c r="AD363" s="45">
        <f>[1]节奏总纲!AD363</f>
        <v>84.957158709068153</v>
      </c>
      <c r="AE363" s="45">
        <f>[1]节奏总纲!AE363</f>
        <v>87.064762367263285</v>
      </c>
      <c r="AF363" s="45">
        <f>[1]节奏总纲!AF363</f>
        <v>90.241691698216215</v>
      </c>
      <c r="AG363" s="45">
        <f>[1]节奏总纲!AG363</f>
        <v>95.182038399947245</v>
      </c>
      <c r="AH363" s="45">
        <f>[1]节奏总纲!AH363</f>
        <v>103.97984772466795</v>
      </c>
      <c r="AZ363" s="45">
        <v>360</v>
      </c>
      <c r="BA363" s="45">
        <f>[1]节奏总纲!BA363</f>
        <v>46.657691286422882</v>
      </c>
      <c r="BB363" s="45">
        <f>[1]节奏总纲!BB363</f>
        <v>48.173700750441178</v>
      </c>
      <c r="BC363" s="45">
        <f>[1]节奏总纲!BC363</f>
        <v>50.126030281496639</v>
      </c>
      <c r="BD363" s="45">
        <f>[1]节奏总纲!BD363</f>
        <v>52.879120100861911</v>
      </c>
      <c r="BE363" s="45">
        <f>[1]节奏总纲!BE363</f>
        <v>57.583862001809656</v>
      </c>
    </row>
  </sheetData>
  <mergeCells count="14">
    <mergeCell ref="B6:D6"/>
    <mergeCell ref="B22:D22"/>
    <mergeCell ref="W2:AA2"/>
    <mergeCell ref="AD2:AH2"/>
    <mergeCell ref="AM2:AQ2"/>
    <mergeCell ref="AT2:AX2"/>
    <mergeCell ref="BA2:BE2"/>
    <mergeCell ref="BJ2:BN2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K5:EQ37"/>
  <sheetViews>
    <sheetView topLeftCell="BK1" zoomScaleNormal="100" workbookViewId="0">
      <selection activeCell="DC25" sqref="DC25"/>
    </sheetView>
  </sheetViews>
  <sheetFormatPr defaultColWidth="2.75" defaultRowHeight="13.5" x14ac:dyDescent="0.15"/>
  <cols>
    <col min="37" max="37" width="2.75" style="11"/>
  </cols>
  <sheetData>
    <row r="5" spans="11:147" x14ac:dyDescent="0.15">
      <c r="K5" t="s">
        <v>22</v>
      </c>
    </row>
    <row r="6" spans="11:147" x14ac:dyDescent="0.15">
      <c r="K6" t="s">
        <v>23</v>
      </c>
    </row>
    <row r="7" spans="11:147" x14ac:dyDescent="0.15">
      <c r="K7" s="16"/>
      <c r="L7" t="s">
        <v>25</v>
      </c>
      <c r="BD7" s="17" t="s">
        <v>13</v>
      </c>
      <c r="BY7" s="17" t="s">
        <v>15</v>
      </c>
      <c r="CT7" s="17" t="s">
        <v>16</v>
      </c>
      <c r="DO7" s="17" t="s">
        <v>18</v>
      </c>
      <c r="EJ7" s="17" t="s">
        <v>19</v>
      </c>
    </row>
    <row r="8" spans="11:147" x14ac:dyDescent="0.15">
      <c r="K8" s="24"/>
      <c r="L8" t="s">
        <v>26</v>
      </c>
    </row>
    <row r="11" spans="11:147" ht="14.25" thickBot="1" x14ac:dyDescent="0.2"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Q11">
        <v>7</v>
      </c>
      <c r="R11">
        <v>8</v>
      </c>
      <c r="S11">
        <v>9</v>
      </c>
      <c r="T11">
        <v>10</v>
      </c>
      <c r="U11">
        <v>11</v>
      </c>
      <c r="V11">
        <v>12</v>
      </c>
      <c r="W11">
        <v>13</v>
      </c>
      <c r="X11">
        <v>14</v>
      </c>
      <c r="Y11">
        <v>15</v>
      </c>
      <c r="Z11">
        <v>16</v>
      </c>
      <c r="AV11">
        <v>1</v>
      </c>
      <c r="AW11">
        <v>2</v>
      </c>
      <c r="AX11">
        <v>3</v>
      </c>
      <c r="AY11">
        <v>4</v>
      </c>
      <c r="AZ11">
        <v>5</v>
      </c>
      <c r="BA11">
        <v>6</v>
      </c>
      <c r="BB11">
        <v>7</v>
      </c>
      <c r="BC11">
        <v>8</v>
      </c>
      <c r="BD11">
        <v>9</v>
      </c>
      <c r="BE11">
        <v>10</v>
      </c>
      <c r="BF11">
        <v>11</v>
      </c>
      <c r="BG11">
        <v>12</v>
      </c>
      <c r="BH11">
        <v>13</v>
      </c>
      <c r="BI11">
        <v>14</v>
      </c>
      <c r="BJ11">
        <v>15</v>
      </c>
      <c r="BK11">
        <v>16</v>
      </c>
      <c r="BQ11">
        <v>1</v>
      </c>
      <c r="BR11">
        <v>2</v>
      </c>
      <c r="BS11">
        <v>3</v>
      </c>
      <c r="BT11">
        <v>4</v>
      </c>
      <c r="BU11">
        <v>5</v>
      </c>
      <c r="BV11">
        <v>6</v>
      </c>
      <c r="BW11">
        <v>7</v>
      </c>
      <c r="BX11">
        <v>8</v>
      </c>
      <c r="BY11">
        <v>9</v>
      </c>
      <c r="BZ11">
        <v>10</v>
      </c>
      <c r="CA11">
        <v>11</v>
      </c>
      <c r="CB11">
        <v>12</v>
      </c>
      <c r="CC11">
        <v>13</v>
      </c>
      <c r="CD11">
        <v>14</v>
      </c>
      <c r="CE11">
        <v>15</v>
      </c>
      <c r="CF11">
        <v>16</v>
      </c>
      <c r="CL11">
        <v>1</v>
      </c>
      <c r="CM11">
        <v>2</v>
      </c>
      <c r="CN11">
        <v>3</v>
      </c>
      <c r="CO11">
        <v>4</v>
      </c>
      <c r="CP11">
        <v>5</v>
      </c>
      <c r="CQ11">
        <v>6</v>
      </c>
      <c r="CR11">
        <v>7</v>
      </c>
      <c r="CS11">
        <v>8</v>
      </c>
      <c r="CT11">
        <v>9</v>
      </c>
      <c r="CU11">
        <v>10</v>
      </c>
      <c r="CV11">
        <v>11</v>
      </c>
      <c r="CW11">
        <v>12</v>
      </c>
      <c r="CX11">
        <v>13</v>
      </c>
      <c r="CY11">
        <v>14</v>
      </c>
      <c r="CZ11">
        <v>15</v>
      </c>
      <c r="DA11">
        <v>16</v>
      </c>
      <c r="DG11">
        <v>1</v>
      </c>
      <c r="DH11">
        <v>2</v>
      </c>
      <c r="DI11">
        <v>3</v>
      </c>
      <c r="DJ11">
        <v>4</v>
      </c>
      <c r="DK11">
        <v>5</v>
      </c>
      <c r="DL11">
        <v>6</v>
      </c>
      <c r="DM11">
        <v>7</v>
      </c>
      <c r="DN11">
        <v>8</v>
      </c>
      <c r="DO11">
        <v>9</v>
      </c>
      <c r="DP11">
        <v>10</v>
      </c>
      <c r="DQ11">
        <v>11</v>
      </c>
      <c r="DR11">
        <v>12</v>
      </c>
      <c r="DS11">
        <v>13</v>
      </c>
      <c r="DT11">
        <v>14</v>
      </c>
      <c r="DU11">
        <v>15</v>
      </c>
      <c r="DV11">
        <v>16</v>
      </c>
      <c r="EB11">
        <v>1</v>
      </c>
      <c r="EC11">
        <v>2</v>
      </c>
      <c r="ED11">
        <v>3</v>
      </c>
      <c r="EE11">
        <v>4</v>
      </c>
      <c r="EF11">
        <v>5</v>
      </c>
      <c r="EG11">
        <v>6</v>
      </c>
      <c r="EH11">
        <v>7</v>
      </c>
      <c r="EI11">
        <v>8</v>
      </c>
      <c r="EJ11">
        <v>9</v>
      </c>
      <c r="EK11">
        <v>10</v>
      </c>
      <c r="EL11">
        <v>11</v>
      </c>
      <c r="EM11">
        <v>12</v>
      </c>
      <c r="EN11">
        <v>13</v>
      </c>
      <c r="EO11">
        <v>14</v>
      </c>
      <c r="EP11">
        <v>15</v>
      </c>
      <c r="EQ11">
        <v>16</v>
      </c>
    </row>
    <row r="12" spans="11:147" ht="14.25" thickBot="1" x14ac:dyDescent="0.2">
      <c r="K12">
        <v>2</v>
      </c>
      <c r="L12" s="2"/>
      <c r="M12" s="3"/>
      <c r="N12" s="3"/>
      <c r="O12" s="3"/>
      <c r="P12" s="3"/>
      <c r="Q12" s="3"/>
      <c r="R12" s="18"/>
      <c r="S12" s="20" t="s">
        <v>1</v>
      </c>
      <c r="T12" s="19"/>
      <c r="U12" s="3"/>
      <c r="V12" s="3"/>
      <c r="W12" s="3"/>
      <c r="X12" s="3"/>
      <c r="Y12" s="3"/>
      <c r="Z12" s="4"/>
      <c r="AV12">
        <v>2</v>
      </c>
      <c r="AW12" s="2"/>
      <c r="AX12" s="3"/>
      <c r="AY12" s="3"/>
      <c r="AZ12" s="3"/>
      <c r="BA12" s="3"/>
      <c r="BB12" s="3"/>
      <c r="BC12" s="18"/>
      <c r="BD12" s="20" t="s">
        <v>1</v>
      </c>
      <c r="BE12" s="19"/>
      <c r="BF12" s="3"/>
      <c r="BG12" s="3"/>
      <c r="BH12" s="3"/>
      <c r="BI12" s="3"/>
      <c r="BJ12" s="3"/>
      <c r="BK12" s="4"/>
      <c r="BQ12">
        <v>2</v>
      </c>
      <c r="BR12" s="2"/>
      <c r="BS12" s="3"/>
      <c r="BT12" s="3"/>
      <c r="BU12" s="3"/>
      <c r="BV12" s="3"/>
      <c r="BW12" s="3"/>
      <c r="BX12" s="18"/>
      <c r="BY12" s="20" t="s">
        <v>1</v>
      </c>
      <c r="BZ12" s="19"/>
      <c r="CA12" s="3"/>
      <c r="CB12" s="3"/>
      <c r="CC12" s="3"/>
      <c r="CD12" s="3"/>
      <c r="CE12" s="3"/>
      <c r="CF12" s="4"/>
      <c r="CL12">
        <v>2</v>
      </c>
      <c r="CM12" s="2"/>
      <c r="CN12" s="3"/>
      <c r="CO12" s="3"/>
      <c r="CP12" s="3"/>
      <c r="CQ12" s="3"/>
      <c r="CR12" s="3"/>
      <c r="CS12" s="18"/>
      <c r="CT12" s="20" t="s">
        <v>1</v>
      </c>
      <c r="CU12" s="19"/>
      <c r="CV12" s="3"/>
      <c r="CW12" s="3"/>
      <c r="CX12" s="3"/>
      <c r="CY12" s="3"/>
      <c r="CZ12" s="3"/>
      <c r="DA12" s="4"/>
      <c r="DG12">
        <v>2</v>
      </c>
      <c r="DH12" s="2"/>
      <c r="DI12" s="3"/>
      <c r="DJ12" s="3"/>
      <c r="DK12" s="3"/>
      <c r="DL12" s="3"/>
      <c r="DM12" s="3"/>
      <c r="DN12" s="18"/>
      <c r="DO12" s="20" t="s">
        <v>1</v>
      </c>
      <c r="DP12" s="19"/>
      <c r="DQ12" s="3"/>
      <c r="DR12" s="3"/>
      <c r="DS12" s="3"/>
      <c r="DT12" s="3"/>
      <c r="DU12" s="3"/>
      <c r="DV12" s="4"/>
      <c r="EB12">
        <v>2</v>
      </c>
      <c r="EC12" s="2"/>
      <c r="ED12" s="3"/>
      <c r="EE12" s="3"/>
      <c r="EF12" s="3"/>
      <c r="EG12" s="3"/>
      <c r="EH12" s="3"/>
      <c r="EI12" s="18"/>
      <c r="EJ12" s="20" t="s">
        <v>1</v>
      </c>
      <c r="EK12" s="19"/>
      <c r="EL12" s="3"/>
      <c r="EM12" s="3"/>
      <c r="EN12" s="3"/>
      <c r="EO12" s="3"/>
      <c r="EP12" s="3"/>
      <c r="EQ12" s="4"/>
    </row>
    <row r="13" spans="11:147" x14ac:dyDescent="0.15">
      <c r="K13">
        <v>3</v>
      </c>
      <c r="L13" s="5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6"/>
      <c r="AV13">
        <v>3</v>
      </c>
      <c r="AW13" s="5"/>
      <c r="AX13" s="1"/>
      <c r="AY13" s="1"/>
      <c r="AZ13" s="1"/>
      <c r="BA13" s="1"/>
      <c r="BB13" s="1"/>
      <c r="BC13" s="1"/>
      <c r="BD13" s="21"/>
      <c r="BE13" s="1"/>
      <c r="BF13" s="1"/>
      <c r="BG13" s="1"/>
      <c r="BH13" s="1"/>
      <c r="BI13" s="1"/>
      <c r="BJ13" s="1"/>
      <c r="BK13" s="6"/>
      <c r="BQ13">
        <v>3</v>
      </c>
      <c r="BR13" s="5"/>
      <c r="BS13" s="1"/>
      <c r="BT13" s="1"/>
      <c r="BU13" s="1"/>
      <c r="BV13" s="1"/>
      <c r="BW13" s="1"/>
      <c r="BX13" s="1"/>
      <c r="BY13" s="21"/>
      <c r="BZ13" s="1"/>
      <c r="CA13" s="1"/>
      <c r="CB13" s="1"/>
      <c r="CC13" s="1"/>
      <c r="CD13" s="1"/>
      <c r="CE13" s="1"/>
      <c r="CF13" s="6"/>
      <c r="CL13">
        <v>3</v>
      </c>
      <c r="CM13" s="5"/>
      <c r="CN13" s="1"/>
      <c r="CO13" s="10"/>
      <c r="CP13" s="10"/>
      <c r="CQ13" s="10"/>
      <c r="CR13" s="10"/>
      <c r="CS13" s="10"/>
      <c r="CT13" s="21"/>
      <c r="CU13" s="10"/>
      <c r="CV13" s="10"/>
      <c r="CW13" s="1"/>
      <c r="CX13" s="1"/>
      <c r="CY13" s="1"/>
      <c r="CZ13" s="1"/>
      <c r="DA13" s="6"/>
      <c r="DG13">
        <v>3</v>
      </c>
      <c r="DH13" s="5"/>
      <c r="DI13" s="1"/>
      <c r="DJ13" s="1"/>
      <c r="DK13" s="1"/>
      <c r="DL13" s="1"/>
      <c r="DM13" s="1"/>
      <c r="DN13" s="1"/>
      <c r="DO13" s="21"/>
      <c r="DP13" s="1"/>
      <c r="DQ13" s="1"/>
      <c r="DR13" s="1"/>
      <c r="DS13" s="1"/>
      <c r="DT13" s="1"/>
      <c r="DU13" s="1"/>
      <c r="DV13" s="6"/>
      <c r="EB13">
        <v>3</v>
      </c>
      <c r="EC13" s="5"/>
      <c r="ED13" s="10"/>
      <c r="EE13" s="10"/>
      <c r="EF13" s="10"/>
      <c r="EG13" s="10"/>
      <c r="EH13" s="10"/>
      <c r="EI13" s="10"/>
      <c r="EJ13" s="21"/>
      <c r="EK13" s="10"/>
      <c r="EL13" s="10"/>
      <c r="EM13" s="10"/>
      <c r="EN13" s="10"/>
      <c r="EO13" s="10"/>
      <c r="EP13" s="10"/>
      <c r="EQ13" s="6"/>
    </row>
    <row r="14" spans="11:147" x14ac:dyDescent="0.15">
      <c r="K14">
        <v>4</v>
      </c>
      <c r="L14" s="5"/>
      <c r="M14" s="16"/>
      <c r="N14" s="1"/>
      <c r="O14" s="1"/>
      <c r="Q14" s="16"/>
      <c r="R14" s="1"/>
      <c r="S14" s="1"/>
      <c r="T14" s="1"/>
      <c r="U14" s="16"/>
      <c r="V14" s="1"/>
      <c r="W14" s="1"/>
      <c r="X14" s="1"/>
      <c r="Y14" s="16"/>
      <c r="Z14" s="6"/>
      <c r="AV14">
        <v>4</v>
      </c>
      <c r="AW14" s="5"/>
      <c r="AX14" s="16"/>
      <c r="AY14" s="1"/>
      <c r="AZ14" s="1"/>
      <c r="BB14" s="16"/>
      <c r="BC14" s="1"/>
      <c r="BD14" s="21"/>
      <c r="BE14" s="1"/>
      <c r="BF14" s="16"/>
      <c r="BG14" s="1"/>
      <c r="BH14" s="1"/>
      <c r="BI14" s="1"/>
      <c r="BJ14" s="16"/>
      <c r="BK14" s="6"/>
      <c r="BQ14">
        <v>4</v>
      </c>
      <c r="BR14" s="5"/>
      <c r="BS14" s="16"/>
      <c r="BT14" s="1"/>
      <c r="BU14" s="1"/>
      <c r="BW14" s="16"/>
      <c r="BX14" s="1"/>
      <c r="BY14" s="21"/>
      <c r="BZ14" s="1"/>
      <c r="CA14" s="16"/>
      <c r="CB14" s="1"/>
      <c r="CC14" s="1"/>
      <c r="CD14" s="1"/>
      <c r="CE14" s="16"/>
      <c r="CF14" s="6"/>
      <c r="CL14">
        <v>4</v>
      </c>
      <c r="CM14" s="5"/>
      <c r="CN14" s="16"/>
      <c r="CO14" s="10"/>
      <c r="CP14" s="10"/>
      <c r="CQ14" s="22"/>
      <c r="CR14" s="23"/>
      <c r="CS14" s="10"/>
      <c r="CT14" s="21"/>
      <c r="CU14" s="10"/>
      <c r="CV14" s="23"/>
      <c r="CW14" s="1"/>
      <c r="CX14" s="1"/>
      <c r="CY14" s="1"/>
      <c r="CZ14" s="16"/>
      <c r="DA14" s="6"/>
      <c r="DG14">
        <v>4</v>
      </c>
      <c r="DH14" s="5"/>
      <c r="DI14" s="16"/>
      <c r="DJ14" s="1"/>
      <c r="DK14" s="1"/>
      <c r="DM14" s="16"/>
      <c r="DN14" s="1"/>
      <c r="DO14" s="21"/>
      <c r="DP14" s="1"/>
      <c r="DQ14" s="16"/>
      <c r="DR14" s="1"/>
      <c r="DS14" s="1"/>
      <c r="DT14" s="1"/>
      <c r="DU14" s="16"/>
      <c r="DV14" s="6"/>
      <c r="EB14">
        <v>4</v>
      </c>
      <c r="EC14" s="5"/>
      <c r="ED14" s="23"/>
      <c r="EE14" s="10"/>
      <c r="EF14" s="10"/>
      <c r="EG14" s="22"/>
      <c r="EH14" s="23"/>
      <c r="EI14" s="10"/>
      <c r="EJ14" s="21"/>
      <c r="EK14" s="10"/>
      <c r="EL14" s="23"/>
      <c r="EM14" s="10"/>
      <c r="EN14" s="10"/>
      <c r="EO14" s="10"/>
      <c r="EP14" s="23"/>
      <c r="EQ14" s="6"/>
    </row>
    <row r="15" spans="11:147" x14ac:dyDescent="0.15">
      <c r="K15">
        <v>5</v>
      </c>
      <c r="L15" s="5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6"/>
      <c r="AV15">
        <v>5</v>
      </c>
      <c r="AW15" s="5"/>
      <c r="AX15" s="1"/>
      <c r="AY15" s="1"/>
      <c r="AZ15" s="1"/>
      <c r="BA15" s="1"/>
      <c r="BB15" s="1"/>
      <c r="BC15" s="1"/>
      <c r="BD15" s="21"/>
      <c r="BE15" s="1"/>
      <c r="BF15" s="1"/>
      <c r="BG15" s="1"/>
      <c r="BH15" s="1"/>
      <c r="BI15" s="1"/>
      <c r="BJ15" s="1"/>
      <c r="BK15" s="6"/>
      <c r="BQ15">
        <v>5</v>
      </c>
      <c r="BR15" s="5"/>
      <c r="BS15" s="1"/>
      <c r="BT15" s="1"/>
      <c r="BU15" s="1"/>
      <c r="BV15" s="1"/>
      <c r="BW15" s="1"/>
      <c r="BX15" s="1"/>
      <c r="BY15" s="21"/>
      <c r="BZ15" s="1"/>
      <c r="CA15" s="1"/>
      <c r="CB15" s="1"/>
      <c r="CC15" s="1"/>
      <c r="CD15" s="1"/>
      <c r="CE15" s="1"/>
      <c r="CF15" s="6"/>
      <c r="CL15">
        <v>5</v>
      </c>
      <c r="CM15" s="5"/>
      <c r="CN15" s="1"/>
      <c r="CO15" s="10"/>
      <c r="CP15" s="10"/>
      <c r="CQ15" s="10"/>
      <c r="CR15" s="10"/>
      <c r="CS15" s="10"/>
      <c r="CT15" s="21"/>
      <c r="CU15" s="10"/>
      <c r="CV15" s="10"/>
      <c r="CW15" s="1"/>
      <c r="CX15" s="1"/>
      <c r="CY15" s="1"/>
      <c r="CZ15" s="1"/>
      <c r="DA15" s="6"/>
      <c r="DG15">
        <v>5</v>
      </c>
      <c r="DH15" s="5"/>
      <c r="DI15" s="1"/>
      <c r="DJ15" s="1"/>
      <c r="DK15" s="1"/>
      <c r="DL15" s="1"/>
      <c r="DM15" s="1"/>
      <c r="DN15" s="1"/>
      <c r="DO15" s="21"/>
      <c r="DP15" s="1"/>
      <c r="DQ15" s="1"/>
      <c r="DR15" s="1"/>
      <c r="DS15" s="1"/>
      <c r="DT15" s="1"/>
      <c r="DU15" s="1"/>
      <c r="DV15" s="6"/>
      <c r="EB15">
        <v>5</v>
      </c>
      <c r="EC15" s="5"/>
      <c r="ED15" s="10"/>
      <c r="EE15" s="10"/>
      <c r="EF15" s="10"/>
      <c r="EG15" s="10"/>
      <c r="EH15" s="10"/>
      <c r="EI15" s="10"/>
      <c r="EJ15" s="21"/>
      <c r="EK15" s="10"/>
      <c r="EL15" s="10"/>
      <c r="EM15" s="10"/>
      <c r="EN15" s="10"/>
      <c r="EO15" s="10"/>
      <c r="EP15" s="10"/>
      <c r="EQ15" s="6"/>
    </row>
    <row r="16" spans="11:147" x14ac:dyDescent="0.15">
      <c r="K16">
        <v>6</v>
      </c>
      <c r="L16" s="5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6"/>
      <c r="AV16">
        <v>6</v>
      </c>
      <c r="AW16" s="5"/>
      <c r="AX16" s="1"/>
      <c r="AY16" s="1"/>
      <c r="AZ16" s="1"/>
      <c r="BA16" s="1"/>
      <c r="BB16" s="1"/>
      <c r="BC16" s="1"/>
      <c r="BD16" s="21"/>
      <c r="BE16" s="1"/>
      <c r="BF16" s="1"/>
      <c r="BG16" s="1"/>
      <c r="BH16" s="1"/>
      <c r="BI16" s="1"/>
      <c r="BJ16" s="1"/>
      <c r="BK16" s="6"/>
      <c r="BQ16">
        <v>6</v>
      </c>
      <c r="BR16" s="5"/>
      <c r="BS16" s="1"/>
      <c r="BT16" s="1"/>
      <c r="BU16" s="21"/>
      <c r="BV16" s="21"/>
      <c r="BW16" s="21"/>
      <c r="BX16" s="21"/>
      <c r="BY16" s="21"/>
      <c r="BZ16" s="1"/>
      <c r="CA16" s="1"/>
      <c r="CB16" s="1"/>
      <c r="CC16" s="1"/>
      <c r="CD16" s="1"/>
      <c r="CE16" s="1"/>
      <c r="CF16" s="6"/>
      <c r="CL16">
        <v>6</v>
      </c>
      <c r="CM16" s="5"/>
      <c r="CN16" s="1"/>
      <c r="CO16" s="10"/>
      <c r="CP16" s="21"/>
      <c r="CQ16" s="21"/>
      <c r="CR16" s="21"/>
      <c r="CS16" s="21"/>
      <c r="CT16" s="21"/>
      <c r="CU16" s="10"/>
      <c r="CV16" s="10"/>
      <c r="CW16" s="1"/>
      <c r="CX16" s="1"/>
      <c r="CY16" s="1"/>
      <c r="CZ16" s="1"/>
      <c r="DA16" s="6"/>
      <c r="DG16">
        <v>6</v>
      </c>
      <c r="DH16" s="5"/>
      <c r="DI16" s="1"/>
      <c r="DJ16" s="1"/>
      <c r="DK16" s="21"/>
      <c r="DL16" s="21"/>
      <c r="DM16" s="21"/>
      <c r="DN16" s="21"/>
      <c r="DO16" s="21"/>
      <c r="DP16" s="1"/>
      <c r="DQ16" s="1"/>
      <c r="DR16" s="1"/>
      <c r="DS16" s="1"/>
      <c r="DT16" s="1"/>
      <c r="DU16" s="1"/>
      <c r="DV16" s="6"/>
      <c r="EB16">
        <v>6</v>
      </c>
      <c r="EC16" s="5"/>
      <c r="ED16" s="10"/>
      <c r="EE16" s="10"/>
      <c r="EF16" s="21"/>
      <c r="EG16" s="21"/>
      <c r="EH16" s="21"/>
      <c r="EI16" s="21"/>
      <c r="EJ16" s="21"/>
      <c r="EK16" s="10"/>
      <c r="EL16" s="10"/>
      <c r="EM16" s="10"/>
      <c r="EN16" s="10"/>
      <c r="EO16" s="10"/>
      <c r="EP16" s="10"/>
      <c r="EQ16" s="6"/>
    </row>
    <row r="17" spans="11:147" x14ac:dyDescent="0.15">
      <c r="K17">
        <v>7</v>
      </c>
      <c r="L17" s="5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6"/>
      <c r="AV17">
        <v>7</v>
      </c>
      <c r="AW17" s="5"/>
      <c r="AX17" s="1"/>
      <c r="AY17" s="1"/>
      <c r="AZ17" s="1"/>
      <c r="BA17" s="1"/>
      <c r="BB17" s="1"/>
      <c r="BC17" s="1"/>
      <c r="BD17" s="21"/>
      <c r="BE17" s="1"/>
      <c r="BF17" s="1"/>
      <c r="BG17" s="1"/>
      <c r="BH17" s="1"/>
      <c r="BI17" s="1"/>
      <c r="BJ17" s="1"/>
      <c r="BK17" s="6"/>
      <c r="BQ17">
        <v>7</v>
      </c>
      <c r="BR17" s="5"/>
      <c r="BS17" s="1"/>
      <c r="BT17" s="1"/>
      <c r="BU17" s="21"/>
      <c r="BV17" s="1"/>
      <c r="BW17" s="1"/>
      <c r="BX17" s="1"/>
      <c r="BY17" s="10"/>
      <c r="BZ17" s="1"/>
      <c r="CA17" s="1"/>
      <c r="CB17" s="1"/>
      <c r="CC17" s="1"/>
      <c r="CD17" s="1"/>
      <c r="CE17" s="1"/>
      <c r="CF17" s="6"/>
      <c r="CL17">
        <v>7</v>
      </c>
      <c r="CM17" s="5"/>
      <c r="CN17" s="1"/>
      <c r="CO17" s="10"/>
      <c r="CP17" s="21"/>
      <c r="CQ17" s="10"/>
      <c r="CR17" s="10"/>
      <c r="CS17" s="10"/>
      <c r="CT17" s="10"/>
      <c r="CU17" s="10"/>
      <c r="CV17" s="10"/>
      <c r="CW17" s="1"/>
      <c r="CX17" s="1"/>
      <c r="CY17" s="1"/>
      <c r="CZ17" s="1"/>
      <c r="DA17" s="6"/>
      <c r="DG17">
        <v>7</v>
      </c>
      <c r="DH17" s="5"/>
      <c r="DI17" s="1"/>
      <c r="DJ17" s="1"/>
      <c r="DK17" s="21"/>
      <c r="DL17" s="1"/>
      <c r="DM17" s="1"/>
      <c r="DN17" s="1"/>
      <c r="DO17" s="10"/>
      <c r="DP17" s="1"/>
      <c r="DQ17" s="1"/>
      <c r="DR17" s="1"/>
      <c r="DS17" s="1"/>
      <c r="DT17" s="1"/>
      <c r="DU17" s="1"/>
      <c r="DV17" s="6"/>
      <c r="EB17">
        <v>7</v>
      </c>
      <c r="EC17" s="5"/>
      <c r="ED17" s="10"/>
      <c r="EE17" s="10"/>
      <c r="EF17" s="21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6"/>
    </row>
    <row r="18" spans="11:147" x14ac:dyDescent="0.15">
      <c r="K18">
        <v>8</v>
      </c>
      <c r="L18" s="5"/>
      <c r="M18" s="16"/>
      <c r="N18" s="1"/>
      <c r="O18" s="1"/>
      <c r="Q18" s="16"/>
      <c r="R18" s="1"/>
      <c r="S18" s="1"/>
      <c r="T18" s="1"/>
      <c r="U18" s="16"/>
      <c r="V18" s="1"/>
      <c r="W18" s="1"/>
      <c r="X18" s="1"/>
      <c r="Y18" s="16"/>
      <c r="Z18" s="6"/>
      <c r="AV18">
        <v>8</v>
      </c>
      <c r="AW18" s="5"/>
      <c r="AX18" s="16"/>
      <c r="AY18" s="1"/>
      <c r="AZ18" s="1"/>
      <c r="BB18" s="16"/>
      <c r="BC18" s="1"/>
      <c r="BD18" s="21"/>
      <c r="BE18" s="1"/>
      <c r="BF18" s="16"/>
      <c r="BG18" s="1"/>
      <c r="BH18" s="1"/>
      <c r="BI18" s="1"/>
      <c r="BJ18" s="16"/>
      <c r="BK18" s="6"/>
      <c r="BQ18">
        <v>8</v>
      </c>
      <c r="BR18" s="5"/>
      <c r="BS18" s="16"/>
      <c r="BT18" s="1"/>
      <c r="BU18" s="21"/>
      <c r="BW18" s="16"/>
      <c r="BX18" s="1"/>
      <c r="BY18" s="10"/>
      <c r="BZ18" s="1"/>
      <c r="CA18" s="16"/>
      <c r="CB18" s="1"/>
      <c r="CC18" s="1"/>
      <c r="CD18" s="1"/>
      <c r="CE18" s="16"/>
      <c r="CF18" s="6"/>
      <c r="CL18">
        <v>8</v>
      </c>
      <c r="CM18" s="5"/>
      <c r="CN18" s="16"/>
      <c r="CO18" s="10"/>
      <c r="CP18" s="21"/>
      <c r="CQ18" s="22"/>
      <c r="CR18" s="23"/>
      <c r="CS18" s="10"/>
      <c r="CT18" s="10"/>
      <c r="CU18" s="10"/>
      <c r="CV18" s="23"/>
      <c r="CW18" s="1"/>
      <c r="CX18" s="1"/>
      <c r="CY18" s="1"/>
      <c r="CZ18" s="16"/>
      <c r="DA18" s="6"/>
      <c r="DG18">
        <v>8</v>
      </c>
      <c r="DH18" s="5"/>
      <c r="DI18" s="16"/>
      <c r="DJ18" s="1"/>
      <c r="DK18" s="21"/>
      <c r="DM18" s="16"/>
      <c r="DN18" s="1"/>
      <c r="DO18" s="10"/>
      <c r="DP18" s="1"/>
      <c r="DQ18" s="16"/>
      <c r="DR18" s="1"/>
      <c r="DS18" s="1"/>
      <c r="DT18" s="1"/>
      <c r="DU18" s="16"/>
      <c r="DV18" s="6"/>
      <c r="EB18">
        <v>8</v>
      </c>
      <c r="EC18" s="5"/>
      <c r="ED18" s="23"/>
      <c r="EE18" s="10"/>
      <c r="EF18" s="21"/>
      <c r="EG18" s="22"/>
      <c r="EH18" s="23"/>
      <c r="EI18" s="10"/>
      <c r="EJ18" s="10"/>
      <c r="EK18" s="10"/>
      <c r="EL18" s="23"/>
      <c r="EM18" s="10"/>
      <c r="EN18" s="10"/>
      <c r="EO18" s="10"/>
      <c r="EP18" s="23"/>
      <c r="EQ18" s="6"/>
    </row>
    <row r="19" spans="11:147" x14ac:dyDescent="0.15">
      <c r="K19">
        <v>9</v>
      </c>
      <c r="L19" s="5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6"/>
      <c r="AV19">
        <v>9</v>
      </c>
      <c r="AW19" s="5"/>
      <c r="AX19" s="1"/>
      <c r="AY19" s="1"/>
      <c r="AZ19" s="1"/>
      <c r="BA19" s="1"/>
      <c r="BB19" s="1"/>
      <c r="BC19" s="1"/>
      <c r="BD19" s="21"/>
      <c r="BE19" s="1"/>
      <c r="BF19" s="1"/>
      <c r="BG19" s="1"/>
      <c r="BH19" s="1"/>
      <c r="BI19" s="1"/>
      <c r="BJ19" s="1"/>
      <c r="BK19" s="6"/>
      <c r="BQ19">
        <v>9</v>
      </c>
      <c r="BR19" s="5"/>
      <c r="BS19" s="1"/>
      <c r="BT19" s="1"/>
      <c r="BU19" s="21"/>
      <c r="BV19" s="1"/>
      <c r="BW19" s="1"/>
      <c r="BX19" s="1"/>
      <c r="BY19" s="10"/>
      <c r="BZ19" s="1"/>
      <c r="CA19" s="1"/>
      <c r="CB19" s="1"/>
      <c r="CC19" s="1"/>
      <c r="CD19" s="1"/>
      <c r="CE19" s="1"/>
      <c r="CF19" s="6"/>
      <c r="CL19">
        <v>9</v>
      </c>
      <c r="CM19" s="5"/>
      <c r="CN19" s="1"/>
      <c r="CO19" s="10"/>
      <c r="CP19" s="21"/>
      <c r="CQ19" s="10"/>
      <c r="CR19" s="10"/>
      <c r="CS19" s="10"/>
      <c r="CT19" s="10"/>
      <c r="CU19" s="10"/>
      <c r="CV19" s="10"/>
      <c r="CW19" s="1"/>
      <c r="CX19" s="1"/>
      <c r="CY19" s="1"/>
      <c r="CZ19" s="1"/>
      <c r="DA19" s="6"/>
      <c r="DG19">
        <v>9</v>
      </c>
      <c r="DH19" s="5"/>
      <c r="DI19" s="1"/>
      <c r="DJ19" s="1"/>
      <c r="DK19" s="21"/>
      <c r="DL19" s="1"/>
      <c r="DM19" s="1"/>
      <c r="DN19" s="1"/>
      <c r="DO19" s="10"/>
      <c r="DP19" s="1"/>
      <c r="DQ19" s="1"/>
      <c r="DR19" s="1"/>
      <c r="DS19" s="1"/>
      <c r="DT19" s="1"/>
      <c r="DU19" s="1"/>
      <c r="DV19" s="6"/>
      <c r="EB19">
        <v>9</v>
      </c>
      <c r="EC19" s="5"/>
      <c r="ED19" s="10"/>
      <c r="EE19" s="10"/>
      <c r="EF19" s="21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6"/>
    </row>
    <row r="20" spans="11:147" x14ac:dyDescent="0.15">
      <c r="K20">
        <v>10</v>
      </c>
      <c r="L20" s="5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6"/>
      <c r="AV20">
        <v>10</v>
      </c>
      <c r="AW20" s="5"/>
      <c r="AX20" s="1"/>
      <c r="AY20" s="1"/>
      <c r="AZ20" s="1"/>
      <c r="BA20" s="1"/>
      <c r="BB20" s="1"/>
      <c r="BC20" s="1"/>
      <c r="BD20" s="21"/>
      <c r="BE20" s="1"/>
      <c r="BF20" s="1"/>
      <c r="BG20" s="1"/>
      <c r="BH20" s="1"/>
      <c r="BI20" s="1"/>
      <c r="BJ20" s="1"/>
      <c r="BK20" s="6"/>
      <c r="BQ20">
        <v>10</v>
      </c>
      <c r="BR20" s="5"/>
      <c r="BS20" s="1"/>
      <c r="BT20" s="1"/>
      <c r="BU20" s="21"/>
      <c r="BV20" s="1"/>
      <c r="BW20" s="1"/>
      <c r="BX20" s="1"/>
      <c r="BY20" s="10"/>
      <c r="BZ20" s="1"/>
      <c r="CA20" s="1"/>
      <c r="CB20" s="1"/>
      <c r="CC20" s="1"/>
      <c r="CD20" s="1"/>
      <c r="CE20" s="1"/>
      <c r="CF20" s="6"/>
      <c r="CL20">
        <v>10</v>
      </c>
      <c r="CM20" s="5"/>
      <c r="CN20" s="1"/>
      <c r="CO20" s="10"/>
      <c r="CP20" s="21"/>
      <c r="CQ20" s="10"/>
      <c r="CR20" s="10"/>
      <c r="CS20" s="10"/>
      <c r="CT20" s="10"/>
      <c r="CU20" s="10"/>
      <c r="CV20" s="10"/>
      <c r="CW20" s="1"/>
      <c r="CX20" s="1"/>
      <c r="CY20" s="1"/>
      <c r="CZ20" s="1"/>
      <c r="DA20" s="6"/>
      <c r="DG20">
        <v>10</v>
      </c>
      <c r="DH20" s="5"/>
      <c r="DI20" s="1"/>
      <c r="DJ20" s="1"/>
      <c r="DK20" s="21"/>
      <c r="DL20" s="21"/>
      <c r="DM20" s="21"/>
      <c r="DN20" s="21"/>
      <c r="DO20" s="21"/>
      <c r="DP20" s="21"/>
      <c r="DQ20" s="21"/>
      <c r="DR20" s="21"/>
      <c r="DS20" s="21"/>
      <c r="DT20" s="1"/>
      <c r="DU20" s="1"/>
      <c r="DV20" s="6"/>
      <c r="EB20">
        <v>10</v>
      </c>
      <c r="EC20" s="5"/>
      <c r="ED20" s="10"/>
      <c r="EE20" s="10"/>
      <c r="EF20" s="21"/>
      <c r="EG20" s="10"/>
      <c r="EH20" s="10"/>
      <c r="EI20" s="10"/>
      <c r="EJ20" s="21"/>
      <c r="EK20" s="21"/>
      <c r="EL20" s="21"/>
      <c r="EM20" s="21"/>
      <c r="EN20" s="21"/>
      <c r="EO20" s="10"/>
      <c r="EP20" s="10"/>
      <c r="EQ20" s="6"/>
    </row>
    <row r="21" spans="11:147" x14ac:dyDescent="0.15">
      <c r="K21">
        <v>11</v>
      </c>
      <c r="L21" s="5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6"/>
      <c r="AV21">
        <v>11</v>
      </c>
      <c r="AW21" s="5"/>
      <c r="AX21" s="1"/>
      <c r="AY21" s="1"/>
      <c r="AZ21" s="1"/>
      <c r="BA21" s="1"/>
      <c r="BB21" s="1"/>
      <c r="BC21" s="1"/>
      <c r="BD21" s="21"/>
      <c r="BE21" s="1"/>
      <c r="BF21" s="1"/>
      <c r="BG21" s="1"/>
      <c r="BH21" s="1"/>
      <c r="BI21" s="1"/>
      <c r="BJ21" s="1"/>
      <c r="BK21" s="6"/>
      <c r="BQ21">
        <v>11</v>
      </c>
      <c r="BR21" s="5"/>
      <c r="BS21" s="1"/>
      <c r="BT21" s="1"/>
      <c r="BU21" s="21"/>
      <c r="BV21" s="1"/>
      <c r="BW21" s="1"/>
      <c r="BX21" s="1"/>
      <c r="BY21" s="10"/>
      <c r="BZ21" s="1"/>
      <c r="CA21" s="1"/>
      <c r="CB21" s="1"/>
      <c r="CC21" s="1"/>
      <c r="CD21" s="1"/>
      <c r="CE21" s="1"/>
      <c r="CF21" s="6"/>
      <c r="CL21">
        <v>11</v>
      </c>
      <c r="CM21" s="5"/>
      <c r="CN21" s="1"/>
      <c r="CO21" s="10"/>
      <c r="CP21" s="21"/>
      <c r="CQ21" s="10"/>
      <c r="CR21" s="10"/>
      <c r="CS21" s="10"/>
      <c r="CT21" s="10"/>
      <c r="CU21" s="10"/>
      <c r="CV21" s="10"/>
      <c r="CW21" s="1"/>
      <c r="CX21" s="1"/>
      <c r="CY21" s="1"/>
      <c r="CZ21" s="1"/>
      <c r="DA21" s="6"/>
      <c r="DG21">
        <v>11</v>
      </c>
      <c r="DH21" s="5"/>
      <c r="DI21" s="1"/>
      <c r="DJ21" s="1"/>
      <c r="DK21" s="1"/>
      <c r="DL21" s="1"/>
      <c r="DM21" s="1"/>
      <c r="DN21" s="1"/>
      <c r="DO21" s="10"/>
      <c r="DP21" s="1"/>
      <c r="DQ21" s="1"/>
      <c r="DR21" s="1"/>
      <c r="DS21" s="21"/>
      <c r="DT21" s="1"/>
      <c r="DU21" s="1"/>
      <c r="DV21" s="6"/>
      <c r="EB21">
        <v>11</v>
      </c>
      <c r="EC21" s="5"/>
      <c r="ED21" s="10"/>
      <c r="EE21" s="10"/>
      <c r="EF21" s="21"/>
      <c r="EG21" s="10"/>
      <c r="EH21" s="10"/>
      <c r="EI21" s="10"/>
      <c r="EJ21" s="21"/>
      <c r="EK21" s="10"/>
      <c r="EL21" s="10"/>
      <c r="EM21" s="10"/>
      <c r="EN21" s="21"/>
      <c r="EO21" s="10"/>
      <c r="EP21" s="10"/>
      <c r="EQ21" s="6"/>
    </row>
    <row r="22" spans="11:147" x14ac:dyDescent="0.15">
      <c r="K22">
        <v>12</v>
      </c>
      <c r="L22" s="5"/>
      <c r="M22" s="16"/>
      <c r="N22" s="1"/>
      <c r="O22" s="1"/>
      <c r="Q22" s="16"/>
      <c r="R22" s="1"/>
      <c r="S22" s="1"/>
      <c r="T22" s="1"/>
      <c r="U22" s="16"/>
      <c r="V22" s="1"/>
      <c r="W22" s="1"/>
      <c r="X22" s="1"/>
      <c r="Y22" s="16"/>
      <c r="Z22" s="6"/>
      <c r="AV22">
        <v>12</v>
      </c>
      <c r="AW22" s="5"/>
      <c r="AX22" s="16"/>
      <c r="AY22" s="1"/>
      <c r="AZ22" s="1"/>
      <c r="BB22" s="16"/>
      <c r="BC22" s="1"/>
      <c r="BD22" s="21"/>
      <c r="BE22" s="1"/>
      <c r="BF22" s="16"/>
      <c r="BG22" s="1"/>
      <c r="BH22" s="1"/>
      <c r="BI22" s="1"/>
      <c r="BJ22" s="16"/>
      <c r="BK22" s="6"/>
      <c r="BQ22">
        <v>12</v>
      </c>
      <c r="BR22" s="5"/>
      <c r="BS22" s="16"/>
      <c r="BT22" s="1"/>
      <c r="BU22" s="21"/>
      <c r="BW22" s="16"/>
      <c r="BX22" s="1"/>
      <c r="BY22" s="10"/>
      <c r="BZ22" s="1"/>
      <c r="CA22" s="16"/>
      <c r="CB22" s="1"/>
      <c r="CC22" s="1"/>
      <c r="CD22" s="1"/>
      <c r="CE22" s="16"/>
      <c r="CF22" s="6"/>
      <c r="CL22">
        <v>12</v>
      </c>
      <c r="CM22" s="5"/>
      <c r="CN22" s="16"/>
      <c r="CO22" s="10"/>
      <c r="CP22" s="21"/>
      <c r="CQ22" s="22"/>
      <c r="CR22" s="23"/>
      <c r="CS22" s="10"/>
      <c r="CT22" s="10"/>
      <c r="CU22" s="10"/>
      <c r="CV22" s="23"/>
      <c r="CW22" s="1"/>
      <c r="CX22" s="1"/>
      <c r="CY22" s="1"/>
      <c r="CZ22" s="16"/>
      <c r="DA22" s="6"/>
      <c r="DG22">
        <v>12</v>
      </c>
      <c r="DH22" s="5"/>
      <c r="DI22" s="16"/>
      <c r="DJ22" s="1"/>
      <c r="DK22" s="1"/>
      <c r="DM22" s="16"/>
      <c r="DN22" s="1"/>
      <c r="DO22" s="10"/>
      <c r="DP22" s="1"/>
      <c r="DQ22" s="16"/>
      <c r="DR22" s="1"/>
      <c r="DS22" s="21"/>
      <c r="DT22" s="1"/>
      <c r="DU22" s="16"/>
      <c r="DV22" s="6"/>
      <c r="EB22">
        <v>12</v>
      </c>
      <c r="EC22" s="5"/>
      <c r="ED22" s="23"/>
      <c r="EE22" s="10"/>
      <c r="EF22" s="21"/>
      <c r="EG22" s="22"/>
      <c r="EH22" s="23"/>
      <c r="EI22" s="10"/>
      <c r="EJ22" s="21"/>
      <c r="EK22" s="10"/>
      <c r="EL22" s="23"/>
      <c r="EM22" s="10"/>
      <c r="EN22" s="21"/>
      <c r="EO22" s="10"/>
      <c r="EP22" s="23"/>
      <c r="EQ22" s="6"/>
    </row>
    <row r="23" spans="11:147" x14ac:dyDescent="0.15">
      <c r="K23">
        <v>13</v>
      </c>
      <c r="L23" s="5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6"/>
      <c r="AV23">
        <v>13</v>
      </c>
      <c r="AW23" s="5"/>
      <c r="AX23" s="1"/>
      <c r="AY23" s="1"/>
      <c r="AZ23" s="1"/>
      <c r="BA23" s="1"/>
      <c r="BB23" s="1"/>
      <c r="BC23" s="1"/>
      <c r="BD23" s="21"/>
      <c r="BE23" s="1"/>
      <c r="BF23" s="1"/>
      <c r="BG23" s="1"/>
      <c r="BH23" s="1"/>
      <c r="BI23" s="1"/>
      <c r="BJ23" s="1"/>
      <c r="BK23" s="6"/>
      <c r="BQ23">
        <v>13</v>
      </c>
      <c r="BR23" s="5"/>
      <c r="BS23" s="1"/>
      <c r="BT23" s="1"/>
      <c r="BU23" s="21"/>
      <c r="BV23" s="1"/>
      <c r="BW23" s="1"/>
      <c r="BX23" s="1"/>
      <c r="BY23" s="10"/>
      <c r="BZ23" s="1"/>
      <c r="CA23" s="1"/>
      <c r="CB23" s="1"/>
      <c r="CC23" s="1"/>
      <c r="CD23" s="1"/>
      <c r="CE23" s="1"/>
      <c r="CF23" s="6"/>
      <c r="CL23">
        <v>13</v>
      </c>
      <c r="CM23" s="5"/>
      <c r="CN23" s="1"/>
      <c r="CO23" s="10"/>
      <c r="CP23" s="21"/>
      <c r="CQ23" s="10"/>
      <c r="CR23" s="10"/>
      <c r="CS23" s="10"/>
      <c r="CT23" s="10"/>
      <c r="CU23" s="10"/>
      <c r="CV23" s="10"/>
      <c r="CW23" s="1"/>
      <c r="CX23" s="1"/>
      <c r="CY23" s="1"/>
      <c r="CZ23" s="1"/>
      <c r="DA23" s="6"/>
      <c r="DG23">
        <v>13</v>
      </c>
      <c r="DH23" s="5"/>
      <c r="DI23" s="1"/>
      <c r="DJ23" s="1"/>
      <c r="DK23" s="1"/>
      <c r="DL23" s="1"/>
      <c r="DM23" s="1"/>
      <c r="DN23" s="1"/>
      <c r="DO23" s="10"/>
      <c r="DP23" s="1"/>
      <c r="DQ23" s="1"/>
      <c r="DR23" s="1"/>
      <c r="DS23" s="21"/>
      <c r="DT23" s="1"/>
      <c r="DU23" s="1"/>
      <c r="DV23" s="6"/>
      <c r="EB23">
        <v>13</v>
      </c>
      <c r="EC23" s="5"/>
      <c r="ED23" s="10"/>
      <c r="EE23" s="10"/>
      <c r="EF23" s="21"/>
      <c r="EG23" s="10"/>
      <c r="EH23" s="10"/>
      <c r="EI23" s="10"/>
      <c r="EJ23" s="21"/>
      <c r="EK23" s="10"/>
      <c r="EL23" s="10"/>
      <c r="EM23" s="10"/>
      <c r="EN23" s="21"/>
      <c r="EO23" s="10"/>
      <c r="EP23" s="10"/>
      <c r="EQ23" s="6"/>
    </row>
    <row r="24" spans="11:147" x14ac:dyDescent="0.15">
      <c r="K24">
        <v>14</v>
      </c>
      <c r="L24" s="5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6"/>
      <c r="AV24">
        <v>14</v>
      </c>
      <c r="AW24" s="5"/>
      <c r="AX24" s="1"/>
      <c r="AY24" s="1"/>
      <c r="AZ24" s="1"/>
      <c r="BA24" s="1"/>
      <c r="BB24" s="1"/>
      <c r="BC24" s="1"/>
      <c r="BD24" s="21"/>
      <c r="BE24" s="1"/>
      <c r="BF24" s="1"/>
      <c r="BG24" s="1"/>
      <c r="BH24" s="1"/>
      <c r="BI24" s="1"/>
      <c r="BJ24" s="1"/>
      <c r="BK24" s="6"/>
      <c r="BQ24">
        <v>14</v>
      </c>
      <c r="BR24" s="5"/>
      <c r="BS24" s="1"/>
      <c r="BT24" s="1"/>
      <c r="BU24" s="21"/>
      <c r="BV24" s="1"/>
      <c r="BW24" s="1"/>
      <c r="BX24" s="1"/>
      <c r="BY24" s="10"/>
      <c r="BZ24" s="1"/>
      <c r="CA24" s="1"/>
      <c r="CB24" s="1"/>
      <c r="CC24" s="1"/>
      <c r="CD24" s="1"/>
      <c r="CE24" s="1"/>
      <c r="CF24" s="6"/>
      <c r="CL24">
        <v>14</v>
      </c>
      <c r="CM24" s="5"/>
      <c r="CN24" s="1"/>
      <c r="CO24" s="10"/>
      <c r="CP24" s="21"/>
      <c r="CQ24" s="21"/>
      <c r="CR24" s="21"/>
      <c r="CS24" s="21"/>
      <c r="CT24" s="21"/>
      <c r="CU24" s="21"/>
      <c r="CV24" s="21"/>
      <c r="CW24" s="21"/>
      <c r="CX24" s="21"/>
      <c r="CY24" s="1"/>
      <c r="CZ24" s="1"/>
      <c r="DA24" s="6"/>
      <c r="DG24">
        <v>14</v>
      </c>
      <c r="DH24" s="5"/>
      <c r="DI24" s="1"/>
      <c r="DJ24" s="1"/>
      <c r="DK24" s="21"/>
      <c r="DL24" s="21"/>
      <c r="DM24" s="21"/>
      <c r="DN24" s="21"/>
      <c r="DO24" s="21"/>
      <c r="DP24" s="21"/>
      <c r="DQ24" s="21"/>
      <c r="DR24" s="21"/>
      <c r="DS24" s="21"/>
      <c r="DT24" s="1"/>
      <c r="DU24" s="1"/>
      <c r="DV24" s="6"/>
      <c r="EB24">
        <v>14</v>
      </c>
      <c r="EC24" s="5"/>
      <c r="ED24" s="10"/>
      <c r="EE24" s="10"/>
      <c r="EF24" s="21"/>
      <c r="EG24" s="10"/>
      <c r="EH24" s="10"/>
      <c r="EI24" s="10"/>
      <c r="EJ24" s="21"/>
      <c r="EK24" s="10"/>
      <c r="EL24" s="10"/>
      <c r="EM24" s="10"/>
      <c r="EN24" s="21"/>
      <c r="EO24" s="10"/>
      <c r="EP24" s="10"/>
      <c r="EQ24" s="6"/>
    </row>
    <row r="25" spans="11:147" x14ac:dyDescent="0.15">
      <c r="K25">
        <v>15</v>
      </c>
      <c r="L25" s="5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6"/>
      <c r="AV25">
        <v>15</v>
      </c>
      <c r="AW25" s="5"/>
      <c r="AX25" s="1"/>
      <c r="AY25" s="1"/>
      <c r="AZ25" s="1"/>
      <c r="BA25" s="1"/>
      <c r="BB25" s="1"/>
      <c r="BC25" s="1"/>
      <c r="BD25" s="21"/>
      <c r="BE25" s="1"/>
      <c r="BF25" s="1"/>
      <c r="BG25" s="1"/>
      <c r="BH25" s="1"/>
      <c r="BI25" s="1"/>
      <c r="BJ25" s="1"/>
      <c r="BK25" s="6"/>
      <c r="BQ25">
        <v>15</v>
      </c>
      <c r="BR25" s="5"/>
      <c r="BS25" s="1"/>
      <c r="BT25" s="1"/>
      <c r="BU25" s="21"/>
      <c r="BV25" s="1"/>
      <c r="BW25" s="1"/>
      <c r="BX25" s="1"/>
      <c r="BY25" s="10"/>
      <c r="BZ25" s="1"/>
      <c r="CA25" s="1"/>
      <c r="CB25" s="1"/>
      <c r="CC25" s="1"/>
      <c r="CD25" s="1"/>
      <c r="CE25" s="1"/>
      <c r="CF25" s="6"/>
      <c r="CL25">
        <v>15</v>
      </c>
      <c r="CM25" s="5"/>
      <c r="CN25" s="1"/>
      <c r="CO25" s="10"/>
      <c r="CP25" s="10"/>
      <c r="CQ25" s="10"/>
      <c r="CR25" s="10"/>
      <c r="CS25" s="10"/>
      <c r="CT25" s="10"/>
      <c r="CU25" s="10"/>
      <c r="CV25" s="10"/>
      <c r="CW25" s="1"/>
      <c r="CX25" s="21"/>
      <c r="CY25" s="1"/>
      <c r="CZ25" s="1"/>
      <c r="DA25" s="6"/>
      <c r="DG25">
        <v>15</v>
      </c>
      <c r="DH25" s="5"/>
      <c r="DI25" s="1"/>
      <c r="DJ25" s="1"/>
      <c r="DK25" s="21"/>
      <c r="DL25" s="1"/>
      <c r="DM25" s="1"/>
      <c r="DN25" s="1"/>
      <c r="DO25" s="10"/>
      <c r="DP25" s="1"/>
      <c r="DQ25" s="1"/>
      <c r="DR25" s="1"/>
      <c r="DS25" s="1"/>
      <c r="DT25" s="1"/>
      <c r="DU25" s="1"/>
      <c r="DV25" s="6"/>
      <c r="EB25">
        <v>15</v>
      </c>
      <c r="EC25" s="5"/>
      <c r="ED25" s="10"/>
      <c r="EE25" s="10"/>
      <c r="EF25" s="21"/>
      <c r="EG25" s="10"/>
      <c r="EH25" s="10"/>
      <c r="EI25" s="10"/>
      <c r="EJ25" s="21"/>
      <c r="EK25" s="10"/>
      <c r="EL25" s="10"/>
      <c r="EM25" s="10"/>
      <c r="EN25" s="21"/>
      <c r="EO25" s="10"/>
      <c r="EP25" s="10"/>
      <c r="EQ25" s="6"/>
    </row>
    <row r="26" spans="11:147" x14ac:dyDescent="0.15">
      <c r="K26">
        <v>16</v>
      </c>
      <c r="L26" s="5"/>
      <c r="M26" s="16"/>
      <c r="N26" s="1"/>
      <c r="O26" s="1"/>
      <c r="Q26" s="16"/>
      <c r="R26" s="1"/>
      <c r="S26" s="1"/>
      <c r="T26" s="1"/>
      <c r="U26" s="16"/>
      <c r="V26" s="1"/>
      <c r="W26" s="1"/>
      <c r="X26" s="1"/>
      <c r="Y26" s="16"/>
      <c r="Z26" s="6"/>
      <c r="AV26">
        <v>16</v>
      </c>
      <c r="AW26" s="5"/>
      <c r="AX26" s="16"/>
      <c r="AY26" s="1"/>
      <c r="AZ26" s="1"/>
      <c r="BB26" s="16"/>
      <c r="BC26" s="1"/>
      <c r="BD26" s="21"/>
      <c r="BE26" s="1"/>
      <c r="BF26" s="16"/>
      <c r="BG26" s="1"/>
      <c r="BH26" s="1"/>
      <c r="BI26" s="1"/>
      <c r="BJ26" s="16"/>
      <c r="BK26" s="6"/>
      <c r="BQ26">
        <v>16</v>
      </c>
      <c r="BR26" s="5"/>
      <c r="BS26" s="16"/>
      <c r="BT26" s="1"/>
      <c r="BU26" s="21"/>
      <c r="BW26" s="16"/>
      <c r="BX26" s="1"/>
      <c r="BY26" s="10"/>
      <c r="BZ26" s="1"/>
      <c r="CA26" s="16"/>
      <c r="CB26" s="1"/>
      <c r="CC26" s="1"/>
      <c r="CD26" s="1"/>
      <c r="CE26" s="16"/>
      <c r="CF26" s="6"/>
      <c r="CL26">
        <v>16</v>
      </c>
      <c r="CM26" s="5"/>
      <c r="CN26" s="16"/>
      <c r="CO26" s="10"/>
      <c r="CP26" s="10"/>
      <c r="CQ26" s="22"/>
      <c r="CR26" s="23"/>
      <c r="CS26" s="10"/>
      <c r="CT26" s="10"/>
      <c r="CU26" s="10"/>
      <c r="CV26" s="23"/>
      <c r="CW26" s="1"/>
      <c r="CX26" s="21"/>
      <c r="CY26" s="1"/>
      <c r="CZ26" s="16"/>
      <c r="DA26" s="6"/>
      <c r="DG26">
        <v>16</v>
      </c>
      <c r="DH26" s="5"/>
      <c r="DI26" s="16"/>
      <c r="DJ26" s="1"/>
      <c r="DK26" s="21"/>
      <c r="DM26" s="16"/>
      <c r="DN26" s="1"/>
      <c r="DO26" s="10"/>
      <c r="DP26" s="1"/>
      <c r="DQ26" s="16"/>
      <c r="DR26" s="1"/>
      <c r="DS26" s="1"/>
      <c r="DT26" s="1"/>
      <c r="DU26" s="16"/>
      <c r="DV26" s="6"/>
      <c r="EB26">
        <v>16</v>
      </c>
      <c r="EC26" s="5"/>
      <c r="ED26" s="23"/>
      <c r="EE26" s="10"/>
      <c r="EF26" s="21"/>
      <c r="EG26" s="22"/>
      <c r="EH26" s="23"/>
      <c r="EI26" s="10"/>
      <c r="EJ26" s="21"/>
      <c r="EK26" s="10"/>
      <c r="EL26" s="23"/>
      <c r="EM26" s="10"/>
      <c r="EN26" s="21"/>
      <c r="EO26" s="10"/>
      <c r="EP26" s="23"/>
      <c r="EQ26" s="6"/>
    </row>
    <row r="27" spans="11:147" x14ac:dyDescent="0.15">
      <c r="K27">
        <v>17</v>
      </c>
      <c r="L27" s="5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6"/>
      <c r="AV27">
        <v>17</v>
      </c>
      <c r="AW27" s="5"/>
      <c r="AX27" s="1"/>
      <c r="AY27" s="1"/>
      <c r="AZ27" s="1"/>
      <c r="BA27" s="1"/>
      <c r="BB27" s="1"/>
      <c r="BC27" s="1"/>
      <c r="BD27" s="21"/>
      <c r="BE27" s="1"/>
      <c r="BF27" s="1"/>
      <c r="BG27" s="1"/>
      <c r="BH27" s="1"/>
      <c r="BI27" s="1"/>
      <c r="BJ27" s="1"/>
      <c r="BK27" s="6"/>
      <c r="BQ27">
        <v>17</v>
      </c>
      <c r="BR27" s="5"/>
      <c r="BS27" s="1"/>
      <c r="BT27" s="1"/>
      <c r="BU27" s="21"/>
      <c r="BV27" s="1"/>
      <c r="BW27" s="1"/>
      <c r="BX27" s="1"/>
      <c r="BY27" s="10"/>
      <c r="BZ27" s="1"/>
      <c r="CA27" s="1"/>
      <c r="CB27" s="1"/>
      <c r="CC27" s="1"/>
      <c r="CD27" s="1"/>
      <c r="CE27" s="1"/>
      <c r="CF27" s="6"/>
      <c r="CL27">
        <v>17</v>
      </c>
      <c r="CM27" s="5"/>
      <c r="CN27" s="1"/>
      <c r="CO27" s="10"/>
      <c r="CP27" s="10"/>
      <c r="CQ27" s="10"/>
      <c r="CR27" s="10"/>
      <c r="CS27" s="10"/>
      <c r="CT27" s="10"/>
      <c r="CU27" s="10"/>
      <c r="CV27" s="10"/>
      <c r="CW27" s="1"/>
      <c r="CX27" s="21"/>
      <c r="CY27" s="1"/>
      <c r="CZ27" s="1"/>
      <c r="DA27" s="6"/>
      <c r="DG27">
        <v>17</v>
      </c>
      <c r="DH27" s="5"/>
      <c r="DI27" s="1"/>
      <c r="DJ27" s="1"/>
      <c r="DK27" s="21"/>
      <c r="DL27" s="1"/>
      <c r="DM27" s="1"/>
      <c r="DN27" s="1"/>
      <c r="DO27" s="10"/>
      <c r="DP27" s="1"/>
      <c r="DQ27" s="1"/>
      <c r="DR27" s="1"/>
      <c r="DS27" s="1"/>
      <c r="DT27" s="1"/>
      <c r="DU27" s="1"/>
      <c r="DV27" s="6"/>
      <c r="EB27">
        <v>17</v>
      </c>
      <c r="EC27" s="5"/>
      <c r="ED27" s="10"/>
      <c r="EE27" s="10"/>
      <c r="EF27" s="21"/>
      <c r="EG27" s="10"/>
      <c r="EH27" s="10"/>
      <c r="EI27" s="10"/>
      <c r="EJ27" s="21"/>
      <c r="EK27" s="10"/>
      <c r="EL27" s="10"/>
      <c r="EM27" s="10"/>
      <c r="EN27" s="21"/>
      <c r="EO27" s="10"/>
      <c r="EP27" s="10"/>
      <c r="EQ27" s="6"/>
    </row>
    <row r="28" spans="11:147" x14ac:dyDescent="0.15">
      <c r="K28">
        <v>18</v>
      </c>
      <c r="L28" s="5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6"/>
      <c r="AV28">
        <v>18</v>
      </c>
      <c r="AW28" s="5"/>
      <c r="AX28" s="1"/>
      <c r="AY28" s="1"/>
      <c r="AZ28" s="1"/>
      <c r="BA28" s="1"/>
      <c r="BB28" s="1"/>
      <c r="BC28" s="1"/>
      <c r="BD28" s="21"/>
      <c r="BE28" s="1"/>
      <c r="BF28" s="1"/>
      <c r="BG28" s="1"/>
      <c r="BH28" s="1"/>
      <c r="BI28" s="1"/>
      <c r="BJ28" s="1"/>
      <c r="BK28" s="6"/>
      <c r="BQ28">
        <v>18</v>
      </c>
      <c r="BR28" s="5"/>
      <c r="BS28" s="1"/>
      <c r="BT28" s="1"/>
      <c r="BU28" s="21"/>
      <c r="BV28" s="1"/>
      <c r="BW28" s="1"/>
      <c r="BX28" s="1"/>
      <c r="BY28" s="10"/>
      <c r="BZ28" s="1"/>
      <c r="CA28" s="1"/>
      <c r="CB28" s="1"/>
      <c r="CC28" s="1"/>
      <c r="CD28" s="1"/>
      <c r="CE28" s="1"/>
      <c r="CF28" s="6"/>
      <c r="CL28">
        <v>18</v>
      </c>
      <c r="CM28" s="5"/>
      <c r="CN28" s="1"/>
      <c r="CO28" s="10"/>
      <c r="CP28" s="10"/>
      <c r="CQ28" s="10"/>
      <c r="CR28" s="10"/>
      <c r="CS28" s="10"/>
      <c r="CT28" s="10"/>
      <c r="CU28" s="10"/>
      <c r="CV28" s="10"/>
      <c r="CW28" s="1"/>
      <c r="CX28" s="21"/>
      <c r="CY28" s="1"/>
      <c r="CZ28" s="1"/>
      <c r="DA28" s="6"/>
      <c r="DG28">
        <v>18</v>
      </c>
      <c r="DH28" s="5"/>
      <c r="DI28" s="1"/>
      <c r="DJ28" s="1"/>
      <c r="DK28" s="21"/>
      <c r="DL28" s="21"/>
      <c r="DM28" s="21"/>
      <c r="DN28" s="21"/>
      <c r="DO28" s="21"/>
      <c r="DP28" s="21"/>
      <c r="DQ28" s="21"/>
      <c r="DR28" s="21"/>
      <c r="DS28" s="21"/>
      <c r="DT28" s="1"/>
      <c r="DU28" s="1"/>
      <c r="DV28" s="6"/>
      <c r="EB28">
        <v>18</v>
      </c>
      <c r="EC28" s="5"/>
      <c r="ED28" s="10"/>
      <c r="EE28" s="10"/>
      <c r="EF28" s="21"/>
      <c r="EG28" s="21"/>
      <c r="EH28" s="21"/>
      <c r="EI28" s="21"/>
      <c r="EJ28" s="21"/>
      <c r="EK28" s="10"/>
      <c r="EL28" s="10"/>
      <c r="EM28" s="10"/>
      <c r="EN28" s="21"/>
      <c r="EO28" s="10"/>
      <c r="EP28" s="10"/>
      <c r="EQ28" s="6"/>
    </row>
    <row r="29" spans="11:147" x14ac:dyDescent="0.15">
      <c r="K29">
        <v>19</v>
      </c>
      <c r="L29" s="5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6"/>
      <c r="AV29">
        <v>19</v>
      </c>
      <c r="AW29" s="5"/>
      <c r="AX29" s="1"/>
      <c r="AY29" s="1"/>
      <c r="AZ29" s="1"/>
      <c r="BA29" s="1"/>
      <c r="BB29" s="1"/>
      <c r="BC29" s="1"/>
      <c r="BD29" s="21"/>
      <c r="BE29" s="1"/>
      <c r="BF29" s="1"/>
      <c r="BG29" s="1"/>
      <c r="BH29" s="1"/>
      <c r="BI29" s="1"/>
      <c r="BJ29" s="1"/>
      <c r="BK29" s="6"/>
      <c r="BQ29">
        <v>19</v>
      </c>
      <c r="BR29" s="5"/>
      <c r="BS29" s="1"/>
      <c r="BT29" s="1"/>
      <c r="BU29" s="21"/>
      <c r="BV29" s="1"/>
      <c r="BW29" s="1"/>
      <c r="BX29" s="1"/>
      <c r="BY29" s="10"/>
      <c r="BZ29" s="1"/>
      <c r="CA29" s="1"/>
      <c r="CB29" s="1"/>
      <c r="CC29" s="1"/>
      <c r="CD29" s="1"/>
      <c r="CE29" s="1"/>
      <c r="CF29" s="6"/>
      <c r="CL29">
        <v>19</v>
      </c>
      <c r="CM29" s="5"/>
      <c r="CN29" s="1"/>
      <c r="CO29" s="10"/>
      <c r="CP29" s="10"/>
      <c r="CQ29" s="10"/>
      <c r="CR29" s="10"/>
      <c r="CS29" s="10"/>
      <c r="CT29" s="10"/>
      <c r="CU29" s="10"/>
      <c r="CV29" s="10"/>
      <c r="CW29" s="1"/>
      <c r="CX29" s="21"/>
      <c r="CY29" s="1"/>
      <c r="CZ29" s="1"/>
      <c r="DA29" s="6"/>
      <c r="DG29">
        <v>19</v>
      </c>
      <c r="DH29" s="5"/>
      <c r="DI29" s="1"/>
      <c r="DJ29" s="1"/>
      <c r="DK29" s="1"/>
      <c r="DL29" s="1"/>
      <c r="DM29" s="1"/>
      <c r="DN29" s="1"/>
      <c r="DO29" s="10"/>
      <c r="DP29" s="1"/>
      <c r="DQ29" s="1"/>
      <c r="DR29" s="1"/>
      <c r="DS29" s="21"/>
      <c r="DT29" s="1"/>
      <c r="DU29" s="1"/>
      <c r="DV29" s="6"/>
      <c r="EB29">
        <v>19</v>
      </c>
      <c r="EC29" s="5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21"/>
      <c r="EO29" s="10"/>
      <c r="EP29" s="10"/>
      <c r="EQ29" s="6"/>
    </row>
    <row r="30" spans="11:147" x14ac:dyDescent="0.15">
      <c r="K30">
        <v>20</v>
      </c>
      <c r="L30" s="5"/>
      <c r="M30" s="16"/>
      <c r="N30" s="1"/>
      <c r="O30" s="1"/>
      <c r="Q30" s="16"/>
      <c r="R30" s="1"/>
      <c r="S30" s="1"/>
      <c r="T30" s="1"/>
      <c r="U30" s="16"/>
      <c r="V30" s="1"/>
      <c r="W30" s="1"/>
      <c r="X30" s="1"/>
      <c r="Y30" s="16"/>
      <c r="Z30" s="6"/>
      <c r="AV30">
        <v>20</v>
      </c>
      <c r="AW30" s="5"/>
      <c r="AX30" s="16"/>
      <c r="AY30" s="1"/>
      <c r="AZ30" s="1"/>
      <c r="BB30" s="16"/>
      <c r="BC30" s="1"/>
      <c r="BD30" s="21"/>
      <c r="BE30" s="1"/>
      <c r="BF30" s="16"/>
      <c r="BG30" s="1"/>
      <c r="BH30" s="1"/>
      <c r="BI30" s="1"/>
      <c r="BJ30" s="16"/>
      <c r="BK30" s="6"/>
      <c r="BQ30">
        <v>20</v>
      </c>
      <c r="BR30" s="5"/>
      <c r="BS30" s="16"/>
      <c r="BT30" s="1"/>
      <c r="BU30" s="21"/>
      <c r="BW30" s="16"/>
      <c r="BX30" s="1"/>
      <c r="BY30" s="10"/>
      <c r="BZ30" s="1"/>
      <c r="CA30" s="16"/>
      <c r="CB30" s="1"/>
      <c r="CC30" s="1"/>
      <c r="CD30" s="1"/>
      <c r="CE30" s="16"/>
      <c r="CF30" s="6"/>
      <c r="CL30">
        <v>20</v>
      </c>
      <c r="CM30" s="5"/>
      <c r="CN30" s="16"/>
      <c r="CO30" s="10"/>
      <c r="CP30" s="10"/>
      <c r="CQ30" s="22"/>
      <c r="CR30" s="23"/>
      <c r="CS30" s="10"/>
      <c r="CT30" s="10"/>
      <c r="CU30" s="10"/>
      <c r="CV30" s="23"/>
      <c r="CW30" s="1"/>
      <c r="CX30" s="21"/>
      <c r="CY30" s="1"/>
      <c r="CZ30" s="16"/>
      <c r="DA30" s="6"/>
      <c r="DG30">
        <v>20</v>
      </c>
      <c r="DH30" s="5"/>
      <c r="DI30" s="16"/>
      <c r="DJ30" s="1"/>
      <c r="DK30" s="1"/>
      <c r="DM30" s="16"/>
      <c r="DN30" s="1"/>
      <c r="DO30" s="10"/>
      <c r="DP30" s="1"/>
      <c r="DQ30" s="16"/>
      <c r="DR30" s="1"/>
      <c r="DS30" s="21"/>
      <c r="DT30" s="1"/>
      <c r="DU30" s="16"/>
      <c r="DV30" s="6"/>
      <c r="EB30">
        <v>20</v>
      </c>
      <c r="EC30" s="5"/>
      <c r="ED30" s="23"/>
      <c r="EE30" s="10"/>
      <c r="EF30" s="10"/>
      <c r="EG30" s="22"/>
      <c r="EH30" s="23"/>
      <c r="EI30" s="10"/>
      <c r="EJ30" s="10"/>
      <c r="EK30" s="10"/>
      <c r="EL30" s="23"/>
      <c r="EM30" s="10"/>
      <c r="EN30" s="21"/>
      <c r="EO30" s="10"/>
      <c r="EP30" s="23"/>
      <c r="EQ30" s="6"/>
    </row>
    <row r="31" spans="11:147" x14ac:dyDescent="0.15">
      <c r="K31">
        <v>21</v>
      </c>
      <c r="L31" s="5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6"/>
      <c r="AV31">
        <v>21</v>
      </c>
      <c r="AW31" s="5"/>
      <c r="AX31" s="1"/>
      <c r="AY31" s="1"/>
      <c r="AZ31" s="1"/>
      <c r="BA31" s="1"/>
      <c r="BB31" s="1"/>
      <c r="BC31" s="1"/>
      <c r="BD31" s="21"/>
      <c r="BE31" s="1"/>
      <c r="BF31" s="1"/>
      <c r="BG31" s="1"/>
      <c r="BH31" s="1"/>
      <c r="BI31" s="1"/>
      <c r="BJ31" s="1"/>
      <c r="BK31" s="6"/>
      <c r="BQ31">
        <v>21</v>
      </c>
      <c r="BR31" s="5"/>
      <c r="BS31" s="1"/>
      <c r="BT31" s="1"/>
      <c r="BU31" s="21"/>
      <c r="BV31" s="1"/>
      <c r="BW31" s="1"/>
      <c r="BX31" s="1"/>
      <c r="BY31" s="10"/>
      <c r="BZ31" s="1"/>
      <c r="CA31" s="1"/>
      <c r="CB31" s="1"/>
      <c r="CC31" s="1"/>
      <c r="CD31" s="1"/>
      <c r="CE31" s="1"/>
      <c r="CF31" s="6"/>
      <c r="CL31">
        <v>21</v>
      </c>
      <c r="CM31" s="5"/>
      <c r="CN31" s="1"/>
      <c r="CO31" s="10"/>
      <c r="CP31" s="10"/>
      <c r="CQ31" s="10"/>
      <c r="CR31" s="10"/>
      <c r="CS31" s="10"/>
      <c r="CT31" s="10"/>
      <c r="CU31" s="10"/>
      <c r="CV31" s="10"/>
      <c r="CW31" s="1"/>
      <c r="CX31" s="21"/>
      <c r="CY31" s="1"/>
      <c r="CZ31" s="1"/>
      <c r="DA31" s="6"/>
      <c r="DG31">
        <v>21</v>
      </c>
      <c r="DH31" s="5"/>
      <c r="DI31" s="1"/>
      <c r="DJ31" s="1"/>
      <c r="DK31" s="1"/>
      <c r="DL31" s="1"/>
      <c r="DM31" s="1"/>
      <c r="DN31" s="1"/>
      <c r="DO31" s="10"/>
      <c r="DP31" s="1"/>
      <c r="DQ31" s="1"/>
      <c r="DR31" s="1"/>
      <c r="DS31" s="21"/>
      <c r="DT31" s="1"/>
      <c r="DU31" s="1"/>
      <c r="DV31" s="6"/>
      <c r="EB31">
        <v>21</v>
      </c>
      <c r="EC31" s="5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21"/>
      <c r="EO31" s="10"/>
      <c r="EP31" s="10"/>
      <c r="EQ31" s="6"/>
    </row>
    <row r="32" spans="11:147" x14ac:dyDescent="0.15">
      <c r="K32">
        <v>22</v>
      </c>
      <c r="L32" s="5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6"/>
      <c r="AV32">
        <v>22</v>
      </c>
      <c r="AW32" s="5"/>
      <c r="AX32" s="1"/>
      <c r="AY32" s="1"/>
      <c r="AZ32" s="1"/>
      <c r="BA32" s="1"/>
      <c r="BB32" s="1"/>
      <c r="BC32" s="1"/>
      <c r="BD32" s="21"/>
      <c r="BE32" s="1"/>
      <c r="BF32" s="1"/>
      <c r="BG32" s="1"/>
      <c r="BH32" s="1"/>
      <c r="BI32" s="1"/>
      <c r="BJ32" s="1"/>
      <c r="BK32" s="6"/>
      <c r="BQ32">
        <v>22</v>
      </c>
      <c r="BR32" s="5"/>
      <c r="BS32" s="1"/>
      <c r="BT32" s="1"/>
      <c r="BU32" s="21"/>
      <c r="BV32" s="21"/>
      <c r="BW32" s="21"/>
      <c r="BX32" s="21"/>
      <c r="BY32" s="21"/>
      <c r="BZ32" s="1"/>
      <c r="CA32" s="1"/>
      <c r="CB32" s="1"/>
      <c r="CC32" s="1"/>
      <c r="CD32" s="1"/>
      <c r="CE32" s="1"/>
      <c r="CF32" s="6"/>
      <c r="CL32">
        <v>22</v>
      </c>
      <c r="CM32" s="5"/>
      <c r="CN32" s="1"/>
      <c r="CO32" s="10"/>
      <c r="CP32" s="10"/>
      <c r="CQ32" s="10"/>
      <c r="CR32" s="10"/>
      <c r="CS32" s="10"/>
      <c r="CT32" s="21"/>
      <c r="CU32" s="21"/>
      <c r="CV32" s="21"/>
      <c r="CW32" s="21"/>
      <c r="CX32" s="21"/>
      <c r="CY32" s="1"/>
      <c r="CZ32" s="1"/>
      <c r="DA32" s="6"/>
      <c r="DG32">
        <v>22</v>
      </c>
      <c r="DH32" s="5"/>
      <c r="DI32" s="1"/>
      <c r="DJ32" s="1"/>
      <c r="DK32" s="1"/>
      <c r="DL32" s="1"/>
      <c r="DM32" s="1"/>
      <c r="DN32" s="1"/>
      <c r="DO32" s="21"/>
      <c r="DP32" s="21"/>
      <c r="DQ32" s="21"/>
      <c r="DR32" s="21"/>
      <c r="DS32" s="21"/>
      <c r="DT32" s="1"/>
      <c r="DU32" s="1"/>
      <c r="DV32" s="6"/>
      <c r="EB32">
        <v>22</v>
      </c>
      <c r="EC32" s="5"/>
      <c r="ED32" s="10"/>
      <c r="EE32" s="10"/>
      <c r="EF32" s="10"/>
      <c r="EG32" s="10"/>
      <c r="EH32" s="10"/>
      <c r="EI32" s="10"/>
      <c r="EJ32" s="21"/>
      <c r="EK32" s="21"/>
      <c r="EL32" s="21"/>
      <c r="EM32" s="21"/>
      <c r="EN32" s="21"/>
      <c r="EO32" s="10"/>
      <c r="EP32" s="10"/>
      <c r="EQ32" s="6"/>
    </row>
    <row r="33" spans="11:147" x14ac:dyDescent="0.15">
      <c r="K33">
        <v>23</v>
      </c>
      <c r="L33" s="5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6"/>
      <c r="AV33">
        <v>23</v>
      </c>
      <c r="AW33" s="5"/>
      <c r="AX33" s="1"/>
      <c r="AY33" s="1"/>
      <c r="AZ33" s="1"/>
      <c r="BA33" s="1"/>
      <c r="BB33" s="1"/>
      <c r="BC33" s="1"/>
      <c r="BD33" s="21"/>
      <c r="BE33" s="1"/>
      <c r="BF33" s="1"/>
      <c r="BG33" s="1"/>
      <c r="BH33" s="1"/>
      <c r="BI33" s="1"/>
      <c r="BJ33" s="1"/>
      <c r="BK33" s="6"/>
      <c r="BQ33">
        <v>23</v>
      </c>
      <c r="BR33" s="5"/>
      <c r="BS33" s="1"/>
      <c r="BT33" s="1"/>
      <c r="BU33" s="1"/>
      <c r="BV33" s="1"/>
      <c r="BW33" s="1"/>
      <c r="BX33" s="1"/>
      <c r="BY33" s="21"/>
      <c r="BZ33" s="1"/>
      <c r="CA33" s="1"/>
      <c r="CB33" s="1"/>
      <c r="CC33" s="1"/>
      <c r="CD33" s="1"/>
      <c r="CE33" s="1"/>
      <c r="CF33" s="6"/>
      <c r="CL33">
        <v>23</v>
      </c>
      <c r="CM33" s="5"/>
      <c r="CN33" s="1"/>
      <c r="CO33" s="10"/>
      <c r="CP33" s="10"/>
      <c r="CQ33" s="10"/>
      <c r="CR33" s="10"/>
      <c r="CS33" s="10"/>
      <c r="CT33" s="21"/>
      <c r="CU33" s="10"/>
      <c r="CV33" s="10"/>
      <c r="CW33" s="1"/>
      <c r="CX33" s="1"/>
      <c r="CY33" s="1"/>
      <c r="CZ33" s="1"/>
      <c r="DA33" s="6"/>
      <c r="DG33">
        <v>23</v>
      </c>
      <c r="DH33" s="5"/>
      <c r="DI33" s="1"/>
      <c r="DJ33" s="1"/>
      <c r="DK33" s="1"/>
      <c r="DL33" s="1"/>
      <c r="DM33" s="1"/>
      <c r="DN33" s="1"/>
      <c r="DO33" s="21"/>
      <c r="DP33" s="1"/>
      <c r="DQ33" s="1"/>
      <c r="DR33" s="1"/>
      <c r="DS33" s="1"/>
      <c r="DT33" s="1"/>
      <c r="DU33" s="1"/>
      <c r="DV33" s="6"/>
      <c r="EB33">
        <v>23</v>
      </c>
      <c r="EC33" s="5"/>
      <c r="ED33" s="10"/>
      <c r="EE33" s="10"/>
      <c r="EF33" s="10"/>
      <c r="EG33" s="10"/>
      <c r="EH33" s="10"/>
      <c r="EI33" s="10"/>
      <c r="EJ33" s="21"/>
      <c r="EK33" s="10"/>
      <c r="EL33" s="10"/>
      <c r="EM33" s="10"/>
      <c r="EN33" s="10"/>
      <c r="EO33" s="10"/>
      <c r="EP33" s="10"/>
      <c r="EQ33" s="6"/>
    </row>
    <row r="34" spans="11:147" x14ac:dyDescent="0.15">
      <c r="K34">
        <v>24</v>
      </c>
      <c r="L34" s="5"/>
      <c r="M34" s="16"/>
      <c r="N34" s="1"/>
      <c r="O34" s="1"/>
      <c r="Q34" s="16"/>
      <c r="R34" s="1"/>
      <c r="S34" s="1"/>
      <c r="T34" s="1"/>
      <c r="U34" s="16"/>
      <c r="V34" s="1"/>
      <c r="W34" s="1"/>
      <c r="X34" s="1"/>
      <c r="Y34" s="16"/>
      <c r="Z34" s="6"/>
      <c r="AV34">
        <v>24</v>
      </c>
      <c r="AW34" s="5"/>
      <c r="AX34" s="16"/>
      <c r="AY34" s="1"/>
      <c r="AZ34" s="1"/>
      <c r="BB34" s="16"/>
      <c r="BC34" s="1"/>
      <c r="BD34" s="21"/>
      <c r="BE34" s="1"/>
      <c r="BF34" s="16"/>
      <c r="BG34" s="1"/>
      <c r="BH34" s="1"/>
      <c r="BI34" s="1"/>
      <c r="BJ34" s="16"/>
      <c r="BK34" s="6"/>
      <c r="BQ34">
        <v>24</v>
      </c>
      <c r="BR34" s="5"/>
      <c r="BS34" s="16"/>
      <c r="BT34" s="1"/>
      <c r="BU34" s="1"/>
      <c r="BW34" s="16"/>
      <c r="BX34" s="1"/>
      <c r="BY34" s="21"/>
      <c r="BZ34" s="1"/>
      <c r="CA34" s="16"/>
      <c r="CB34" s="1"/>
      <c r="CC34" s="1"/>
      <c r="CD34" s="1"/>
      <c r="CE34" s="16"/>
      <c r="CF34" s="6"/>
      <c r="CL34">
        <v>24</v>
      </c>
      <c r="CM34" s="5"/>
      <c r="CN34" s="16"/>
      <c r="CO34" s="10"/>
      <c r="CP34" s="10"/>
      <c r="CQ34" s="22"/>
      <c r="CR34" s="23"/>
      <c r="CS34" s="10"/>
      <c r="CT34" s="21"/>
      <c r="CU34" s="10"/>
      <c r="CV34" s="23"/>
      <c r="CW34" s="1"/>
      <c r="CX34" s="1"/>
      <c r="CY34" s="1"/>
      <c r="CZ34" s="16"/>
      <c r="DA34" s="6"/>
      <c r="DG34">
        <v>24</v>
      </c>
      <c r="DH34" s="5"/>
      <c r="DI34" s="16"/>
      <c r="DJ34" s="1"/>
      <c r="DK34" s="1"/>
      <c r="DM34" s="16"/>
      <c r="DN34" s="1"/>
      <c r="DO34" s="21"/>
      <c r="DP34" s="1"/>
      <c r="DQ34" s="16"/>
      <c r="DR34" s="1"/>
      <c r="DS34" s="1"/>
      <c r="DT34" s="1"/>
      <c r="DU34" s="16"/>
      <c r="DV34" s="6"/>
      <c r="EB34">
        <v>24</v>
      </c>
      <c r="EC34" s="5"/>
      <c r="ED34" s="23"/>
      <c r="EE34" s="10"/>
      <c r="EF34" s="10"/>
      <c r="EG34" s="22"/>
      <c r="EH34" s="23"/>
      <c r="EI34" s="10"/>
      <c r="EJ34" s="21"/>
      <c r="EK34" s="10"/>
      <c r="EL34" s="23"/>
      <c r="EM34" s="10"/>
      <c r="EN34" s="10"/>
      <c r="EO34" s="10"/>
      <c r="EP34" s="23"/>
      <c r="EQ34" s="6"/>
    </row>
    <row r="35" spans="11:147" x14ac:dyDescent="0.15">
      <c r="K35">
        <v>25</v>
      </c>
      <c r="L35" s="5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6"/>
      <c r="AV35">
        <v>25</v>
      </c>
      <c r="AW35" s="5"/>
      <c r="AX35" s="1"/>
      <c r="AY35" s="1"/>
      <c r="AZ35" s="1"/>
      <c r="BA35" s="1"/>
      <c r="BB35" s="1"/>
      <c r="BC35" s="1"/>
      <c r="BD35" s="21"/>
      <c r="BE35" s="1"/>
      <c r="BF35" s="1"/>
      <c r="BG35" s="1"/>
      <c r="BH35" s="1"/>
      <c r="BI35" s="1"/>
      <c r="BJ35" s="1"/>
      <c r="BK35" s="6"/>
      <c r="BQ35">
        <v>25</v>
      </c>
      <c r="BR35" s="5"/>
      <c r="BS35" s="1"/>
      <c r="BT35" s="1"/>
      <c r="BU35" s="1"/>
      <c r="BV35" s="1"/>
      <c r="BW35" s="1"/>
      <c r="BX35" s="1"/>
      <c r="BY35" s="21"/>
      <c r="BZ35" s="1"/>
      <c r="CA35" s="1"/>
      <c r="CB35" s="1"/>
      <c r="CC35" s="1"/>
      <c r="CD35" s="1"/>
      <c r="CE35" s="1"/>
      <c r="CF35" s="6"/>
      <c r="CL35">
        <v>25</v>
      </c>
      <c r="CM35" s="5"/>
      <c r="CN35" s="1"/>
      <c r="CO35" s="10"/>
      <c r="CP35" s="10"/>
      <c r="CQ35" s="10"/>
      <c r="CR35" s="10"/>
      <c r="CS35" s="10"/>
      <c r="CT35" s="21"/>
      <c r="CU35" s="10"/>
      <c r="CV35" s="10"/>
      <c r="CW35" s="1"/>
      <c r="CX35" s="1"/>
      <c r="CY35" s="1"/>
      <c r="CZ35" s="1"/>
      <c r="DA35" s="6"/>
      <c r="DG35">
        <v>25</v>
      </c>
      <c r="DH35" s="5"/>
      <c r="DI35" s="1"/>
      <c r="DJ35" s="1"/>
      <c r="DK35" s="1"/>
      <c r="DL35" s="1"/>
      <c r="DM35" s="1"/>
      <c r="DN35" s="1"/>
      <c r="DO35" s="21"/>
      <c r="DP35" s="1"/>
      <c r="DQ35" s="1"/>
      <c r="DR35" s="1"/>
      <c r="DS35" s="1"/>
      <c r="DT35" s="1"/>
      <c r="DU35" s="1"/>
      <c r="DV35" s="6"/>
      <c r="EB35">
        <v>25</v>
      </c>
      <c r="EC35" s="5"/>
      <c r="ED35" s="10"/>
      <c r="EE35" s="10"/>
      <c r="EF35" s="10"/>
      <c r="EG35" s="10"/>
      <c r="EH35" s="10"/>
      <c r="EI35" s="10"/>
      <c r="EJ35" s="21"/>
      <c r="EK35" s="10"/>
      <c r="EL35" s="10"/>
      <c r="EM35" s="10"/>
      <c r="EN35" s="10"/>
      <c r="EO35" s="10"/>
      <c r="EP35" s="10"/>
      <c r="EQ35" s="6"/>
    </row>
    <row r="36" spans="11:147" ht="14.25" thickBot="1" x14ac:dyDescent="0.2">
      <c r="K36">
        <v>26</v>
      </c>
      <c r="L36" s="5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6"/>
      <c r="AV36">
        <v>26</v>
      </c>
      <c r="AW36" s="5"/>
      <c r="AX36" s="1"/>
      <c r="AY36" s="1"/>
      <c r="AZ36" s="1"/>
      <c r="BA36" s="1"/>
      <c r="BB36" s="1"/>
      <c r="BC36" s="1"/>
      <c r="BD36" s="21"/>
      <c r="BE36" s="1"/>
      <c r="BF36" s="1"/>
      <c r="BG36" s="1"/>
      <c r="BH36" s="1"/>
      <c r="BI36" s="1"/>
      <c r="BJ36" s="1"/>
      <c r="BK36" s="6"/>
      <c r="BQ36">
        <v>26</v>
      </c>
      <c r="BR36" s="5"/>
      <c r="BS36" s="1"/>
      <c r="BT36" s="1"/>
      <c r="BU36" s="1"/>
      <c r="BV36" s="1"/>
      <c r="BW36" s="1"/>
      <c r="BX36" s="1"/>
      <c r="BY36" s="21"/>
      <c r="BZ36" s="1"/>
      <c r="CA36" s="1"/>
      <c r="CB36" s="1"/>
      <c r="CC36" s="1"/>
      <c r="CD36" s="1"/>
      <c r="CE36" s="1"/>
      <c r="CF36" s="6"/>
      <c r="CL36">
        <v>26</v>
      </c>
      <c r="CM36" s="5"/>
      <c r="CN36" s="1"/>
      <c r="CO36" s="10"/>
      <c r="CP36" s="10"/>
      <c r="CQ36" s="10"/>
      <c r="CR36" s="10"/>
      <c r="CS36" s="10"/>
      <c r="CT36" s="21"/>
      <c r="CU36" s="10"/>
      <c r="CV36" s="10"/>
      <c r="CW36" s="1"/>
      <c r="CX36" s="1"/>
      <c r="CY36" s="1"/>
      <c r="CZ36" s="1"/>
      <c r="DA36" s="6"/>
      <c r="DG36">
        <v>26</v>
      </c>
      <c r="DH36" s="5"/>
      <c r="DI36" s="1"/>
      <c r="DJ36" s="1"/>
      <c r="DK36" s="1"/>
      <c r="DL36" s="1"/>
      <c r="DM36" s="1"/>
      <c r="DN36" s="1"/>
      <c r="DO36" s="21"/>
      <c r="DP36" s="1"/>
      <c r="DQ36" s="1"/>
      <c r="DR36" s="1"/>
      <c r="DS36" s="1"/>
      <c r="DT36" s="1"/>
      <c r="DU36" s="1"/>
      <c r="DV36" s="6"/>
      <c r="EB36">
        <v>26</v>
      </c>
      <c r="EC36" s="5"/>
      <c r="ED36" s="10"/>
      <c r="EE36" s="10"/>
      <c r="EF36" s="10"/>
      <c r="EG36" s="10"/>
      <c r="EH36" s="10"/>
      <c r="EI36" s="10"/>
      <c r="EJ36" s="21"/>
      <c r="EK36" s="10"/>
      <c r="EL36" s="10"/>
      <c r="EM36" s="10"/>
      <c r="EN36" s="10"/>
      <c r="EO36" s="10"/>
      <c r="EP36" s="10"/>
      <c r="EQ36" s="6"/>
    </row>
    <row r="37" spans="11:147" ht="14.25" thickBot="1" x14ac:dyDescent="0.2">
      <c r="K37">
        <v>27</v>
      </c>
      <c r="L37" s="7"/>
      <c r="M37" s="8"/>
      <c r="N37" s="8"/>
      <c r="O37" s="8"/>
      <c r="P37" s="8"/>
      <c r="Q37" s="8"/>
      <c r="R37" s="18"/>
      <c r="S37" s="20" t="s">
        <v>24</v>
      </c>
      <c r="T37" s="19"/>
      <c r="U37" s="8"/>
      <c r="V37" s="8"/>
      <c r="W37" s="8"/>
      <c r="X37" s="8"/>
      <c r="Y37" s="8"/>
      <c r="Z37" s="9"/>
      <c r="AV37">
        <v>27</v>
      </c>
      <c r="AW37" s="7"/>
      <c r="AX37" s="8"/>
      <c r="AY37" s="8"/>
      <c r="AZ37" s="8"/>
      <c r="BA37" s="8"/>
      <c r="BB37" s="8"/>
      <c r="BC37" s="18"/>
      <c r="BD37" s="20" t="s">
        <v>24</v>
      </c>
      <c r="BE37" s="19"/>
      <c r="BF37" s="8"/>
      <c r="BG37" s="8"/>
      <c r="BH37" s="8"/>
      <c r="BI37" s="8"/>
      <c r="BJ37" s="8"/>
      <c r="BK37" s="9"/>
      <c r="BQ37">
        <v>27</v>
      </c>
      <c r="BR37" s="7"/>
      <c r="BS37" s="8"/>
      <c r="BT37" s="8"/>
      <c r="BU37" s="8"/>
      <c r="BV37" s="8"/>
      <c r="BW37" s="8"/>
      <c r="BX37" s="18"/>
      <c r="BY37" s="20" t="s">
        <v>24</v>
      </c>
      <c r="BZ37" s="19"/>
      <c r="CA37" s="8"/>
      <c r="CB37" s="8"/>
      <c r="CC37" s="8"/>
      <c r="CD37" s="8"/>
      <c r="CE37" s="8"/>
      <c r="CF37" s="9"/>
      <c r="CL37">
        <v>27</v>
      </c>
      <c r="CM37" s="7"/>
      <c r="CN37" s="8"/>
      <c r="CO37" s="8"/>
      <c r="CP37" s="8"/>
      <c r="CQ37" s="8"/>
      <c r="CR37" s="8"/>
      <c r="CS37" s="18"/>
      <c r="CT37" s="20" t="s">
        <v>24</v>
      </c>
      <c r="CU37" s="19"/>
      <c r="CV37" s="8"/>
      <c r="CW37" s="8"/>
      <c r="CX37" s="8"/>
      <c r="CY37" s="8"/>
      <c r="CZ37" s="8"/>
      <c r="DA37" s="9"/>
      <c r="DG37">
        <v>27</v>
      </c>
      <c r="DH37" s="7"/>
      <c r="DI37" s="8"/>
      <c r="DJ37" s="8"/>
      <c r="DK37" s="8"/>
      <c r="DL37" s="8"/>
      <c r="DM37" s="8"/>
      <c r="DN37" s="18"/>
      <c r="DO37" s="20" t="s">
        <v>24</v>
      </c>
      <c r="DP37" s="19"/>
      <c r="DQ37" s="8"/>
      <c r="DR37" s="8"/>
      <c r="DS37" s="8"/>
      <c r="DT37" s="8"/>
      <c r="DU37" s="8"/>
      <c r="DV37" s="9"/>
      <c r="EB37">
        <v>27</v>
      </c>
      <c r="EC37" s="7"/>
      <c r="ED37" s="8"/>
      <c r="EE37" s="8"/>
      <c r="EF37" s="8"/>
      <c r="EG37" s="8"/>
      <c r="EH37" s="8"/>
      <c r="EI37" s="18"/>
      <c r="EJ37" s="20" t="s">
        <v>24</v>
      </c>
      <c r="EK37" s="19"/>
      <c r="EL37" s="8"/>
      <c r="EM37" s="8"/>
      <c r="EN37" s="8"/>
      <c r="EO37" s="8"/>
      <c r="EP37" s="8"/>
      <c r="EQ37" s="9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7:BH1228"/>
  <sheetViews>
    <sheetView tabSelected="1" topLeftCell="V62" zoomScale="90" zoomScaleNormal="90" workbookViewId="0">
      <selection activeCell="AK87" sqref="AK87"/>
    </sheetView>
  </sheetViews>
  <sheetFormatPr defaultRowHeight="13.5" x14ac:dyDescent="0.15"/>
  <cols>
    <col min="17" max="17" width="9" style="11"/>
    <col min="23" max="23" width="9" customWidth="1"/>
    <col min="28" max="28" width="9" style="11"/>
    <col min="32" max="32" width="13" bestFit="1" customWidth="1"/>
    <col min="37" max="38" width="9" style="67"/>
    <col min="46" max="46" width="9.25" customWidth="1"/>
    <col min="49" max="49" width="10.5" bestFit="1" customWidth="1"/>
    <col min="51" max="51" width="4.125" style="11" customWidth="1"/>
  </cols>
  <sheetData>
    <row r="7" spans="4:59" x14ac:dyDescent="0.15">
      <c r="D7" s="32" t="s">
        <v>44</v>
      </c>
      <c r="E7" s="32" t="s">
        <v>45</v>
      </c>
    </row>
    <row r="8" spans="4:59" x14ac:dyDescent="0.15">
      <c r="D8" s="29">
        <v>1</v>
      </c>
      <c r="E8" s="29"/>
    </row>
    <row r="9" spans="4:59" x14ac:dyDescent="0.15">
      <c r="D9" s="29">
        <f>D8+E9</f>
        <v>3</v>
      </c>
      <c r="E9" s="29">
        <v>2</v>
      </c>
    </row>
    <row r="10" spans="4:59" x14ac:dyDescent="0.15">
      <c r="D10" s="29">
        <f t="shared" ref="D10:D13" si="0">D9+E10</f>
        <v>6</v>
      </c>
      <c r="E10" s="29">
        <v>3</v>
      </c>
      <c r="BA10" s="15" t="s">
        <v>128</v>
      </c>
      <c r="BB10" s="15" t="s">
        <v>137</v>
      </c>
      <c r="BC10" s="15" t="s">
        <v>129</v>
      </c>
      <c r="BE10" s="15" t="s">
        <v>128</v>
      </c>
      <c r="BF10" s="15" t="s">
        <v>134</v>
      </c>
    </row>
    <row r="11" spans="4:59" x14ac:dyDescent="0.15">
      <c r="D11" s="29">
        <f t="shared" si="0"/>
        <v>10</v>
      </c>
      <c r="E11" s="29">
        <v>4</v>
      </c>
      <c r="BA11" s="15"/>
      <c r="BB11" s="15"/>
      <c r="BC11" s="15"/>
      <c r="BE11" s="15"/>
      <c r="BF11" s="15"/>
    </row>
    <row r="12" spans="4:59" x14ac:dyDescent="0.15">
      <c r="D12" s="29">
        <f t="shared" si="0"/>
        <v>15</v>
      </c>
      <c r="E12" s="29">
        <v>5</v>
      </c>
      <c r="BA12" s="15"/>
      <c r="BB12" s="15"/>
      <c r="BC12" s="15"/>
      <c r="BE12" s="15"/>
      <c r="BF12" s="15"/>
    </row>
    <row r="13" spans="4:59" x14ac:dyDescent="0.15">
      <c r="D13" s="29">
        <f t="shared" si="0"/>
        <v>21</v>
      </c>
      <c r="E13" s="29">
        <v>6</v>
      </c>
      <c r="BA13" s="15"/>
      <c r="BB13" s="15"/>
      <c r="BC13" s="15"/>
      <c r="BE13" s="15"/>
      <c r="BF13" s="15"/>
    </row>
    <row r="14" spans="4:59" x14ac:dyDescent="0.15">
      <c r="BA14" s="15">
        <v>1</v>
      </c>
      <c r="BB14" s="15">
        <f>INDEX(节奏总纲!J:J,MATCH(BA14,节奏总纲!I:I,0))</f>
        <v>7.4349177498517554E-3</v>
      </c>
      <c r="BC14" s="66">
        <f t="shared" ref="BC14:BC45" si="1">INT(求节点($BE$14:$BE$15,$BF$14:$BF$15,BA14))/100</f>
        <v>0.01</v>
      </c>
      <c r="BE14" s="15">
        <v>1</v>
      </c>
      <c r="BF14" s="15">
        <v>1</v>
      </c>
      <c r="BG14">
        <v>1</v>
      </c>
    </row>
    <row r="15" spans="4:59" x14ac:dyDescent="0.15">
      <c r="D15" s="31" t="s">
        <v>60</v>
      </c>
      <c r="BA15" s="15">
        <v>2</v>
      </c>
      <c r="BB15" s="15">
        <f>INDEX(节奏总纲!J:J,MATCH(BA15,节奏总纲!I:I,0))</f>
        <v>2.3963093307967063E-2</v>
      </c>
      <c r="BC15" s="66">
        <f t="shared" si="1"/>
        <v>0.04</v>
      </c>
      <c r="BE15" s="15">
        <v>60</v>
      </c>
      <c r="BF15" s="15">
        <v>200</v>
      </c>
      <c r="BG15">
        <v>2</v>
      </c>
    </row>
    <row r="16" spans="4:59" x14ac:dyDescent="0.15">
      <c r="D16" t="s">
        <v>53</v>
      </c>
      <c r="T16" t="s">
        <v>54</v>
      </c>
      <c r="BA16" s="15">
        <v>3</v>
      </c>
      <c r="BB16" s="15">
        <f>INDEX(节奏总纲!J:J,MATCH(BA16,节奏总纲!I:I,0))</f>
        <v>5.1571656651039799E-2</v>
      </c>
      <c r="BC16" s="66">
        <f t="shared" si="1"/>
        <v>7.0000000000000007E-2</v>
      </c>
      <c r="BE16" s="15"/>
      <c r="BF16" s="15"/>
      <c r="BG16">
        <v>3</v>
      </c>
    </row>
    <row r="17" spans="2:60" x14ac:dyDescent="0.15">
      <c r="D17" t="s">
        <v>56</v>
      </c>
      <c r="AE17" t="s">
        <v>49</v>
      </c>
      <c r="AH17" s="17">
        <v>15</v>
      </c>
      <c r="BA17" s="15">
        <v>4</v>
      </c>
      <c r="BB17" s="15">
        <f>INDEX(节奏总纲!J:J,MATCH(BA17,节奏总纲!I:I,0))</f>
        <v>9.2637640824031031E-2</v>
      </c>
      <c r="BC17" s="66">
        <f t="shared" si="1"/>
        <v>0.11</v>
      </c>
      <c r="BE17" s="15"/>
      <c r="BF17" s="15"/>
      <c r="BG17">
        <v>4</v>
      </c>
      <c r="BH17">
        <v>10</v>
      </c>
    </row>
    <row r="18" spans="2:60" x14ac:dyDescent="0.15">
      <c r="T18" s="40" t="s">
        <v>62</v>
      </c>
      <c r="U18" s="41">
        <v>1.1000000000000001</v>
      </c>
      <c r="AE18" t="s">
        <v>14</v>
      </c>
      <c r="AH18" s="42">
        <v>200</v>
      </c>
      <c r="BA18" s="15">
        <v>5</v>
      </c>
      <c r="BB18" s="15">
        <f>INDEX(节奏总纲!J:J,MATCH(BA18,节奏总纲!I:I,0))</f>
        <v>0.15</v>
      </c>
      <c r="BC18" s="66">
        <f t="shared" si="1"/>
        <v>0.14000000000000001</v>
      </c>
      <c r="BE18" s="15"/>
      <c r="BF18" s="15"/>
      <c r="BG18">
        <v>5</v>
      </c>
      <c r="BH18">
        <v>10</v>
      </c>
    </row>
    <row r="19" spans="2:60" x14ac:dyDescent="0.15">
      <c r="BA19" s="15">
        <v>6</v>
      </c>
      <c r="BB19" s="15">
        <f>INDEX(节奏总纲!J:J,MATCH(BA19,节奏总纲!I:I,0))</f>
        <v>0.22055744069899194</v>
      </c>
      <c r="BC19" s="66">
        <f t="shared" si="1"/>
        <v>0.17</v>
      </c>
      <c r="BE19" s="15"/>
      <c r="BF19" s="15"/>
      <c r="BG19">
        <v>6</v>
      </c>
      <c r="BH19">
        <v>10</v>
      </c>
    </row>
    <row r="20" spans="2:60" x14ac:dyDescent="0.15">
      <c r="D20" s="55" t="s">
        <v>30</v>
      </c>
      <c r="T20" s="55" t="s">
        <v>31</v>
      </c>
      <c r="AE20" s="55" t="s">
        <v>2</v>
      </c>
      <c r="AF20" s="55"/>
      <c r="AG20" s="55"/>
      <c r="BA20" s="15">
        <v>7</v>
      </c>
      <c r="BB20" s="15">
        <f>INDEX(节奏总纲!J:J,MATCH(BA20,节奏总纲!I:I,0))</f>
        <v>0.31141300609369982</v>
      </c>
      <c r="BC20" s="66">
        <f t="shared" si="1"/>
        <v>0.21</v>
      </c>
      <c r="BE20" s="15"/>
      <c r="BF20" s="15"/>
      <c r="BG20">
        <v>7</v>
      </c>
      <c r="BH20">
        <v>10</v>
      </c>
    </row>
    <row r="21" spans="2:60" x14ac:dyDescent="0.15">
      <c r="AQ21" s="37" t="s">
        <v>55</v>
      </c>
      <c r="BA21" s="15">
        <v>8</v>
      </c>
      <c r="BB21" s="15">
        <f>INDEX(节奏总纲!J:J,MATCH(BA21,节奏总纲!I:I,0))</f>
        <v>0.42660095793436714</v>
      </c>
      <c r="BC21" s="66">
        <f t="shared" si="1"/>
        <v>0.24</v>
      </c>
      <c r="BE21" s="15"/>
      <c r="BF21" s="15"/>
      <c r="BG21">
        <v>8</v>
      </c>
      <c r="BH21">
        <v>10</v>
      </c>
    </row>
    <row r="22" spans="2:60" x14ac:dyDescent="0.15">
      <c r="D22" s="12" t="s">
        <v>27</v>
      </c>
      <c r="E22" s="12" t="s">
        <v>28</v>
      </c>
      <c r="F22" s="12" t="s">
        <v>9</v>
      </c>
      <c r="G22" s="12" t="s">
        <v>17</v>
      </c>
      <c r="H22" s="12" t="s">
        <v>41</v>
      </c>
      <c r="I22" s="12" t="s">
        <v>5</v>
      </c>
      <c r="J22" s="12" t="s">
        <v>6</v>
      </c>
      <c r="K22" s="12" t="s">
        <v>7</v>
      </c>
      <c r="L22" s="12" t="s">
        <v>8</v>
      </c>
      <c r="M22" s="12" t="s">
        <v>61</v>
      </c>
      <c r="N22" s="12" t="s">
        <v>43</v>
      </c>
      <c r="T22" s="16" t="s">
        <v>3</v>
      </c>
      <c r="U22" s="12" t="s">
        <v>11</v>
      </c>
      <c r="V22" s="12" t="s">
        <v>12</v>
      </c>
      <c r="W22" s="12" t="s">
        <v>32</v>
      </c>
      <c r="X22" s="35" t="s">
        <v>57</v>
      </c>
      <c r="Y22" s="15" t="s">
        <v>4</v>
      </c>
      <c r="AE22" s="12" t="s">
        <v>42</v>
      </c>
      <c r="AF22" s="60" t="s">
        <v>127</v>
      </c>
      <c r="AG22" s="60" t="s">
        <v>130</v>
      </c>
      <c r="AH22" s="12" t="s">
        <v>33</v>
      </c>
      <c r="AI22" s="12" t="s">
        <v>34</v>
      </c>
      <c r="AJ22" s="12" t="s">
        <v>50</v>
      </c>
      <c r="AK22" s="68" t="s">
        <v>136</v>
      </c>
      <c r="AL22" s="68" t="s">
        <v>135</v>
      </c>
      <c r="AM22" s="12" t="s">
        <v>35</v>
      </c>
      <c r="AN22" s="12" t="s">
        <v>36</v>
      </c>
      <c r="AO22" s="30" t="s">
        <v>48</v>
      </c>
      <c r="AP22" s="29" t="s">
        <v>46</v>
      </c>
      <c r="AQ22" s="30" t="s">
        <v>47</v>
      </c>
      <c r="AS22" s="15" t="s">
        <v>37</v>
      </c>
      <c r="AT22" s="64" t="s">
        <v>132</v>
      </c>
      <c r="AU22" s="64" t="s">
        <v>133</v>
      </c>
      <c r="AV22" s="15" t="s">
        <v>38</v>
      </c>
      <c r="AW22" s="15" t="s">
        <v>131</v>
      </c>
      <c r="BA22" s="15">
        <v>9</v>
      </c>
      <c r="BB22" s="15">
        <f>INDEX(节奏总纲!J:J,MATCH(BA22,节奏总纲!I:I,0))</f>
        <v>0.57090651823243421</v>
      </c>
      <c r="BC22" s="66">
        <f t="shared" si="1"/>
        <v>0.27</v>
      </c>
      <c r="BE22" s="15"/>
      <c r="BF22" s="15"/>
      <c r="BG22">
        <v>9</v>
      </c>
      <c r="BH22">
        <v>10</v>
      </c>
    </row>
    <row r="23" spans="2:60" ht="13.5" hidden="1" customHeight="1" x14ac:dyDescent="0.15">
      <c r="B23" s="17"/>
      <c r="C23" s="86" t="s">
        <v>68</v>
      </c>
      <c r="D23" s="12" t="s">
        <v>64</v>
      </c>
      <c r="E23" s="14"/>
      <c r="F23" s="35">
        <v>1</v>
      </c>
      <c r="G23" s="12">
        <v>45</v>
      </c>
      <c r="H23" s="25">
        <f>IF(F23=1,G23,G23-G22)</f>
        <v>45</v>
      </c>
      <c r="I23" s="29">
        <v>30</v>
      </c>
      <c r="J23" s="35">
        <v>150</v>
      </c>
      <c r="K23" s="13">
        <v>0.1</v>
      </c>
      <c r="L23" s="35">
        <v>180</v>
      </c>
      <c r="M23" s="14">
        <f>(I23*J23*K23*1.5+I23*J23*(1-K23))/G23/100*((L23-180)/180+1)</f>
        <v>1.05</v>
      </c>
      <c r="N23" s="28">
        <f t="shared" ref="N23:N25" si="2">INT(G23*0.5)</f>
        <v>22</v>
      </c>
      <c r="T23" s="12">
        <v>6001</v>
      </c>
      <c r="U23" s="12">
        <v>100</v>
      </c>
      <c r="V23" s="12">
        <v>10</v>
      </c>
      <c r="W23" s="14">
        <f>_xlfn.FLOOR.MATH(V23*U23/15/10/RIGHT(T23,3)^0.3,2)</f>
        <v>6</v>
      </c>
      <c r="X23" s="39">
        <f>U23*V23/15/10</f>
        <v>6.666666666666667</v>
      </c>
      <c r="Y23" s="15">
        <v>1</v>
      </c>
      <c r="AE23" s="79">
        <v>1</v>
      </c>
      <c r="AF23" s="79">
        <v>1</v>
      </c>
      <c r="AG23" s="63">
        <f>INDEX($BC$14:$BC$77,MATCH(AF23,$BA$14:$BA$77))</f>
        <v>0.01</v>
      </c>
      <c r="AH23" s="12">
        <v>11</v>
      </c>
      <c r="AI23" s="12">
        <v>10</v>
      </c>
      <c r="AJ23" s="12">
        <v>6201</v>
      </c>
      <c r="AK23" s="68"/>
      <c r="AL23" s="68"/>
      <c r="AM23" s="30">
        <v>1</v>
      </c>
      <c r="AN23" s="14">
        <f>AO23*AP23</f>
        <v>10</v>
      </c>
      <c r="AO23" s="30">
        <v>10</v>
      </c>
      <c r="AP23" s="30">
        <v>1</v>
      </c>
      <c r="AQ23" s="30">
        <v>1</v>
      </c>
      <c r="AS23" s="60">
        <f>$AH$18</f>
        <v>200</v>
      </c>
      <c r="AT23" s="14">
        <f>ROUND(($AS23*$AH$17*50/4/4),2)</f>
        <v>9375</v>
      </c>
      <c r="AU23" s="14">
        <f t="shared" ref="AU23:AU30" si="3">((INDEX($V:$V,MATCH($AJ23,$T:$T,0))*INDEX($U:$U,MATCH($AJ23,$T:$T,0)))*$AP23/$AM23/$AQ23)</f>
        <v>6000</v>
      </c>
      <c r="AV23" s="14">
        <f>ROUND((AS23*$AH$17*50/4/4)/((INDEX(V:V,MATCH(AJ23,T:T,0))*INDEX(U:U,MATCH(AJ23,T:T,0)))*AP23/AM23/AQ23),2)</f>
        <v>1.56</v>
      </c>
      <c r="AW23" s="14">
        <f>ROUND((AS23*$AH$17*50/4/4*(AG23+1))/((INDEX(V:V,MATCH(AJ23,T:T,0))*INDEX(U:U,MATCH(AJ23,T:T,0)))*AP23/AM23/AQ23),2)</f>
        <v>1.58</v>
      </c>
      <c r="BA23" s="15">
        <v>10</v>
      </c>
      <c r="BB23" s="15">
        <f>INDEX(节奏总纲!J:J,MATCH(BA23,节奏总纲!I:I,0))</f>
        <v>0.75</v>
      </c>
      <c r="BC23" s="66">
        <f t="shared" si="1"/>
        <v>0.31</v>
      </c>
      <c r="BE23" s="15"/>
      <c r="BF23" s="15"/>
      <c r="BG23">
        <v>10</v>
      </c>
      <c r="BH23">
        <v>10</v>
      </c>
    </row>
    <row r="24" spans="2:60" hidden="1" x14ac:dyDescent="0.15">
      <c r="C24" s="87"/>
      <c r="D24" s="35" t="s">
        <v>64</v>
      </c>
      <c r="E24" s="14"/>
      <c r="F24" s="35">
        <v>2</v>
      </c>
      <c r="G24" s="33">
        <f>G23*$D$9</f>
        <v>135</v>
      </c>
      <c r="H24" s="25">
        <f t="shared" ref="H24:H34" si="4">IF(F24=1,G24,G24-G23)</f>
        <v>90</v>
      </c>
      <c r="I24" s="29">
        <v>70</v>
      </c>
      <c r="J24" s="35">
        <v>160</v>
      </c>
      <c r="K24" s="13">
        <v>0.2</v>
      </c>
      <c r="L24" s="35">
        <v>200</v>
      </c>
      <c r="M24" s="14">
        <f t="shared" ref="M24:M25" si="5">(I24*J24*K24*1.5+I24*J24*(1-K24))/G24/100*((L24-180)/180+1)</f>
        <v>1.0139917695473251</v>
      </c>
      <c r="N24" s="28">
        <f t="shared" si="2"/>
        <v>67</v>
      </c>
      <c r="T24" s="28">
        <f>T23+1</f>
        <v>6002</v>
      </c>
      <c r="U24" s="26">
        <f>INT(U23*$U$18)</f>
        <v>110</v>
      </c>
      <c r="V24" s="28">
        <f>V23</f>
        <v>10</v>
      </c>
      <c r="W24" s="14">
        <f t="shared" ref="W24:W87" si="6">_xlfn.FLOOR.MATH(V24*U24/15/10/RIGHT(T24,3)^0.3,2)</f>
        <v>4</v>
      </c>
      <c r="X24" s="39">
        <f t="shared" ref="X24:X87" si="7">U24*V24/15/10</f>
        <v>7.333333333333333</v>
      </c>
      <c r="Y24" s="15">
        <v>1</v>
      </c>
      <c r="AE24" s="80"/>
      <c r="AF24" s="80"/>
      <c r="AG24" s="62">
        <f>AG23</f>
        <v>0.01</v>
      </c>
      <c r="AH24" s="12">
        <v>12</v>
      </c>
      <c r="AI24" s="29">
        <v>10</v>
      </c>
      <c r="AJ24" s="12">
        <v>6203</v>
      </c>
      <c r="AK24" s="68"/>
      <c r="AL24" s="68"/>
      <c r="AM24" s="30">
        <v>1</v>
      </c>
      <c r="AN24" s="14">
        <f t="shared" ref="AN24:AN30" si="8">AO24*AP24</f>
        <v>5</v>
      </c>
      <c r="AO24" s="30">
        <v>5</v>
      </c>
      <c r="AP24" s="30">
        <v>1</v>
      </c>
      <c r="AQ24" s="35">
        <v>1</v>
      </c>
      <c r="AS24" s="84">
        <f>AS23+AN23*INDEX(X:X,MATCH(AJ23,T:T,0))</f>
        <v>600</v>
      </c>
      <c r="AT24" s="14">
        <f t="shared" ref="AT24:AT30" si="9">ROUND(($AS24*$AH$17*50/4/4),2)</f>
        <v>28125</v>
      </c>
      <c r="AU24" s="14">
        <f t="shared" si="3"/>
        <v>7260</v>
      </c>
      <c r="AV24" s="82">
        <f>ROUND((AS24*$AH$17*50/4/4)/(((INDEX(V:V,MATCH(AJ24,T:T,0))*INDEX(U:U,MATCH(AJ24,T:T,0)))*AP24/AM24/AQ24)+((INDEX(V:V,MATCH(AJ25,T:T,0))*INDEX(U:U,MATCH(AJ25,T:T,0)))*AP25/AM25/AQ25)),2)</f>
        <v>0.84</v>
      </c>
      <c r="AW24" s="14">
        <f t="shared" ref="AW24:AW30" si="10">ROUND((AS24*$AH$17*50/4/4*(AG24+1))/((INDEX(V:V,MATCH(AJ24,T:T,0))*INDEX(U:U,MATCH(AJ24,T:T,0)))*AP24/AM24/AQ24),2)</f>
        <v>3.91</v>
      </c>
      <c r="BA24" s="15">
        <v>11</v>
      </c>
      <c r="BB24" s="69">
        <f>INDEX(节奏总纲!J:J,MATCH(BA24,节奏总纲!I:I,0))</f>
        <v>0.93464628919691628</v>
      </c>
      <c r="BC24" s="66">
        <f t="shared" si="1"/>
        <v>0.34</v>
      </c>
      <c r="BE24" s="15"/>
      <c r="BF24" s="15"/>
      <c r="BG24">
        <v>11</v>
      </c>
      <c r="BH24">
        <v>12</v>
      </c>
    </row>
    <row r="25" spans="2:60" hidden="1" x14ac:dyDescent="0.15">
      <c r="C25" s="87"/>
      <c r="D25" s="35" t="s">
        <v>64</v>
      </c>
      <c r="E25" s="14"/>
      <c r="F25" s="35">
        <v>3</v>
      </c>
      <c r="G25" s="33">
        <f>G23*$D$10</f>
        <v>270</v>
      </c>
      <c r="H25" s="25">
        <f t="shared" si="4"/>
        <v>135</v>
      </c>
      <c r="I25" s="29">
        <v>120</v>
      </c>
      <c r="J25" s="35">
        <v>170</v>
      </c>
      <c r="K25" s="13">
        <v>0.3</v>
      </c>
      <c r="L25" s="35">
        <v>220</v>
      </c>
      <c r="M25" s="14">
        <f t="shared" si="5"/>
        <v>1.0619753086419752</v>
      </c>
      <c r="N25" s="28">
        <f t="shared" si="2"/>
        <v>135</v>
      </c>
      <c r="T25" s="28">
        <f t="shared" ref="T25:T88" si="11">T24+1</f>
        <v>6003</v>
      </c>
      <c r="U25" s="26">
        <f t="shared" ref="U25:U88" si="12">INT(U24*$U$18)</f>
        <v>121</v>
      </c>
      <c r="V25" s="28">
        <f t="shared" ref="V25:V88" si="13">V24</f>
        <v>10</v>
      </c>
      <c r="W25" s="14">
        <f t="shared" si="6"/>
        <v>4</v>
      </c>
      <c r="X25" s="39">
        <f t="shared" si="7"/>
        <v>8.0666666666666664</v>
      </c>
      <c r="Y25" s="15">
        <v>1</v>
      </c>
      <c r="AE25" s="80"/>
      <c r="AF25" s="80"/>
      <c r="AG25" s="62">
        <f t="shared" ref="AG25:AG30" si="14">AG24</f>
        <v>0.01</v>
      </c>
      <c r="AH25" s="12">
        <v>12</v>
      </c>
      <c r="AI25" s="29">
        <v>10</v>
      </c>
      <c r="AJ25" s="34">
        <v>6202</v>
      </c>
      <c r="AK25" s="68"/>
      <c r="AL25" s="68"/>
      <c r="AM25" s="30">
        <v>1</v>
      </c>
      <c r="AN25" s="14">
        <f t="shared" si="8"/>
        <v>20</v>
      </c>
      <c r="AO25" s="30">
        <v>5</v>
      </c>
      <c r="AP25" s="30">
        <v>4</v>
      </c>
      <c r="AQ25" s="35">
        <v>1</v>
      </c>
      <c r="AS25" s="85"/>
      <c r="AT25" s="14">
        <f t="shared" si="9"/>
        <v>0</v>
      </c>
      <c r="AU25" s="14">
        <f t="shared" si="3"/>
        <v>26400</v>
      </c>
      <c r="AV25" s="83"/>
      <c r="AW25" s="14">
        <f t="shared" si="10"/>
        <v>0</v>
      </c>
      <c r="BA25" s="15">
        <v>12</v>
      </c>
      <c r="BB25" s="15">
        <f>INDEX(节奏总纲!J:J,MATCH(BA25,节奏总纲!I:I,0))</f>
        <v>1.1550685436347259</v>
      </c>
      <c r="BC25" s="66">
        <f t="shared" si="1"/>
        <v>0.38</v>
      </c>
      <c r="BE25" s="15"/>
      <c r="BF25" s="15"/>
      <c r="BG25">
        <v>12</v>
      </c>
      <c r="BH25">
        <v>14</v>
      </c>
    </row>
    <row r="26" spans="2:60" hidden="1" x14ac:dyDescent="0.15">
      <c r="C26" s="87"/>
      <c r="D26" s="35" t="s">
        <v>64</v>
      </c>
      <c r="E26" s="14"/>
      <c r="F26" s="35"/>
      <c r="G26" s="33"/>
      <c r="H26" s="25"/>
      <c r="I26" s="35"/>
      <c r="J26" s="27"/>
      <c r="K26" s="13"/>
      <c r="L26" s="35"/>
      <c r="M26" s="14"/>
      <c r="N26" s="28"/>
      <c r="T26" s="28">
        <f t="shared" si="11"/>
        <v>6004</v>
      </c>
      <c r="U26" s="26">
        <f t="shared" si="12"/>
        <v>133</v>
      </c>
      <c r="V26" s="28">
        <f t="shared" si="13"/>
        <v>10</v>
      </c>
      <c r="W26" s="14">
        <f t="shared" si="6"/>
        <v>4</v>
      </c>
      <c r="X26" s="39">
        <f t="shared" si="7"/>
        <v>8.8666666666666671</v>
      </c>
      <c r="Y26" s="15">
        <v>1</v>
      </c>
      <c r="AE26" s="80"/>
      <c r="AF26" s="80"/>
      <c r="AG26" s="62">
        <f t="shared" si="14"/>
        <v>0.01</v>
      </c>
      <c r="AH26" s="12">
        <v>13</v>
      </c>
      <c r="AI26" s="29">
        <v>10</v>
      </c>
      <c r="AJ26" s="34">
        <v>6405</v>
      </c>
      <c r="AK26" s="68"/>
      <c r="AL26" s="68"/>
      <c r="AM26" s="30">
        <v>1</v>
      </c>
      <c r="AN26" s="14">
        <f t="shared" si="8"/>
        <v>2</v>
      </c>
      <c r="AO26" s="30">
        <v>2</v>
      </c>
      <c r="AP26" s="30">
        <v>1</v>
      </c>
      <c r="AQ26" s="35">
        <v>1</v>
      </c>
      <c r="AS26" s="89">
        <f>AS24+AN24*INDEX(X:X,MATCH(AJ24,T:T,0))+AN25*INDEX(X:X,MATCH(AJ25,T:T,0))</f>
        <v>1722</v>
      </c>
      <c r="AT26" s="14">
        <f t="shared" si="9"/>
        <v>80718.75</v>
      </c>
      <c r="AU26" s="14">
        <f t="shared" si="3"/>
        <v>14600</v>
      </c>
      <c r="AV26" s="82">
        <f>ROUND((AS26*$AH$17*50/4/4)/(((INDEX(V:V,MATCH(AJ26,T:T,0))*INDEX(U:U,MATCH(AJ26,T:T,0)))*AP26/AM26/AQ26)+((INDEX(V:V,MATCH(AJ27,T:T,0))*INDEX(U:U,MATCH(AJ27,T:T,0)))*AP27/AM27/AQ27)),2)</f>
        <v>0.39</v>
      </c>
      <c r="AW26" s="14">
        <f t="shared" si="10"/>
        <v>5.58</v>
      </c>
      <c r="BA26" s="15">
        <v>13</v>
      </c>
      <c r="BB26" s="15">
        <f>INDEX(节奏总纲!J:J,MATCH(BA26,节奏总纲!I:I,0))</f>
        <v>1.417602554491646</v>
      </c>
      <c r="BC26" s="66">
        <f t="shared" si="1"/>
        <v>0.41</v>
      </c>
      <c r="BG26">
        <v>13</v>
      </c>
      <c r="BH26">
        <v>16</v>
      </c>
    </row>
    <row r="27" spans="2:60" hidden="1" x14ac:dyDescent="0.15">
      <c r="C27" s="87"/>
      <c r="D27" s="35" t="s">
        <v>64</v>
      </c>
      <c r="E27" s="14"/>
      <c r="F27" s="35"/>
      <c r="G27" s="33"/>
      <c r="H27" s="25"/>
      <c r="I27" s="35"/>
      <c r="J27" s="27"/>
      <c r="K27" s="13"/>
      <c r="L27" s="35"/>
      <c r="M27" s="14"/>
      <c r="N27" s="28"/>
      <c r="T27" s="28">
        <f t="shared" si="11"/>
        <v>6005</v>
      </c>
      <c r="U27" s="26">
        <f t="shared" si="12"/>
        <v>146</v>
      </c>
      <c r="V27" s="28">
        <f t="shared" si="13"/>
        <v>10</v>
      </c>
      <c r="W27" s="14">
        <f t="shared" si="6"/>
        <v>6</v>
      </c>
      <c r="X27" s="39">
        <f t="shared" si="7"/>
        <v>9.7333333333333325</v>
      </c>
      <c r="Y27" s="15">
        <v>1</v>
      </c>
      <c r="AE27" s="80"/>
      <c r="AF27" s="80"/>
      <c r="AG27" s="62">
        <f t="shared" si="14"/>
        <v>0.01</v>
      </c>
      <c r="AH27" s="12">
        <v>13</v>
      </c>
      <c r="AI27" s="29">
        <v>10</v>
      </c>
      <c r="AJ27" s="34">
        <v>6403</v>
      </c>
      <c r="AK27" s="68"/>
      <c r="AL27" s="68"/>
      <c r="AM27" s="30">
        <v>1</v>
      </c>
      <c r="AN27" s="14">
        <f t="shared" si="8"/>
        <v>32</v>
      </c>
      <c r="AO27" s="30">
        <v>2</v>
      </c>
      <c r="AP27" s="30">
        <v>16</v>
      </c>
      <c r="AQ27" s="35">
        <v>1</v>
      </c>
      <c r="AS27" s="90"/>
      <c r="AT27" s="14">
        <f t="shared" si="9"/>
        <v>0</v>
      </c>
      <c r="AU27" s="14">
        <f t="shared" si="3"/>
        <v>193600</v>
      </c>
      <c r="AV27" s="83"/>
      <c r="AW27" s="14">
        <f t="shared" si="10"/>
        <v>0</v>
      </c>
      <c r="BA27" s="15">
        <v>14</v>
      </c>
      <c r="BB27" s="15">
        <f>INDEX(节奏总纲!J:J,MATCH(BA27,节奏总纲!I:I,0))</f>
        <v>1.7296773068470075</v>
      </c>
      <c r="BC27" s="66">
        <f t="shared" si="1"/>
        <v>0.44</v>
      </c>
      <c r="BG27">
        <v>14</v>
      </c>
      <c r="BH27">
        <v>18</v>
      </c>
    </row>
    <row r="28" spans="2:60" hidden="1" x14ac:dyDescent="0.15">
      <c r="C28" s="88"/>
      <c r="D28" s="35" t="s">
        <v>64</v>
      </c>
      <c r="E28" s="14"/>
      <c r="F28" s="35"/>
      <c r="G28" s="33"/>
      <c r="H28" s="25"/>
      <c r="I28" s="35"/>
      <c r="J28" s="27"/>
      <c r="K28" s="13"/>
      <c r="L28" s="35"/>
      <c r="M28" s="14"/>
      <c r="N28" s="28"/>
      <c r="T28" s="28">
        <f t="shared" si="11"/>
        <v>6006</v>
      </c>
      <c r="U28" s="26">
        <f t="shared" si="12"/>
        <v>160</v>
      </c>
      <c r="V28" s="28">
        <f t="shared" si="13"/>
        <v>10</v>
      </c>
      <c r="W28" s="14">
        <f t="shared" si="6"/>
        <v>6</v>
      </c>
      <c r="X28" s="39">
        <f t="shared" si="7"/>
        <v>10.666666666666668</v>
      </c>
      <c r="Y28" s="15">
        <v>1</v>
      </c>
      <c r="AE28" s="80"/>
      <c r="AF28" s="80"/>
      <c r="AG28" s="62">
        <f t="shared" si="14"/>
        <v>0.01</v>
      </c>
      <c r="AH28" s="30">
        <v>14</v>
      </c>
      <c r="AI28" s="30">
        <v>10</v>
      </c>
      <c r="AJ28" s="34">
        <v>6139</v>
      </c>
      <c r="AK28" s="68"/>
      <c r="AL28" s="68"/>
      <c r="AM28" s="30">
        <v>1</v>
      </c>
      <c r="AN28" s="14">
        <f t="shared" si="8"/>
        <v>6</v>
      </c>
      <c r="AO28" s="30">
        <v>6</v>
      </c>
      <c r="AP28" s="15">
        <v>1</v>
      </c>
      <c r="AQ28" s="35">
        <v>1</v>
      </c>
      <c r="AS28" s="36">
        <f>AS26+AN26*INDEX(X:X,MATCH(AJ26,T:T,0))+AN27*INDEX(X:X,MATCH(AJ27,T:T,0))</f>
        <v>4498</v>
      </c>
      <c r="AT28" s="14">
        <f t="shared" si="9"/>
        <v>210843.75</v>
      </c>
      <c r="AU28" s="14">
        <f t="shared" si="3"/>
        <v>147000</v>
      </c>
      <c r="AV28" s="14">
        <f>ROUND((AS28*$AH$17*50/4/4)/((INDEX(V:V,MATCH(AJ28,T:T,0))*INDEX(U:U,MATCH(AJ28,T:T,0)))*AP28/AM28/AQ28),2)</f>
        <v>1.43</v>
      </c>
      <c r="AW28" s="14">
        <f t="shared" si="10"/>
        <v>1.45</v>
      </c>
      <c r="BA28" s="15">
        <v>15</v>
      </c>
      <c r="BB28" s="15">
        <f>INDEX(节奏总纲!J:J,MATCH(BA28,节奏总纲!I:I,0))</f>
        <v>2.1</v>
      </c>
      <c r="BC28" s="66">
        <f t="shared" si="1"/>
        <v>0.48</v>
      </c>
      <c r="BG28">
        <v>15</v>
      </c>
      <c r="BH28">
        <v>19</v>
      </c>
    </row>
    <row r="29" spans="2:60" ht="13.5" hidden="1" customHeight="1" x14ac:dyDescent="0.15">
      <c r="C29" s="86" t="s">
        <v>51</v>
      </c>
      <c r="D29" s="15" t="s">
        <v>29</v>
      </c>
      <c r="E29" s="25">
        <f>0.16*3*36/25</f>
        <v>0.69120000000000004</v>
      </c>
      <c r="F29" s="35">
        <v>1</v>
      </c>
      <c r="G29" s="12">
        <v>160</v>
      </c>
      <c r="H29" s="25">
        <f t="shared" si="4"/>
        <v>160</v>
      </c>
      <c r="I29" s="29">
        <v>55</v>
      </c>
      <c r="J29" s="27">
        <v>175</v>
      </c>
      <c r="K29" s="13">
        <v>0.05</v>
      </c>
      <c r="L29" s="35">
        <v>180</v>
      </c>
      <c r="M29" s="25">
        <f>(1+E29)*(I29*J29*K29*1.5+I29*J29*(1-K29))/G29/100*((L29-180)/180+1)</f>
        <v>1.0427965625</v>
      </c>
      <c r="N29" s="28">
        <f t="shared" ref="N29:N34" si="15">INT(G29*0.5)</f>
        <v>80</v>
      </c>
      <c r="T29" s="28">
        <f t="shared" si="11"/>
        <v>6007</v>
      </c>
      <c r="U29" s="26">
        <f t="shared" si="12"/>
        <v>176</v>
      </c>
      <c r="V29" s="28">
        <f t="shared" si="13"/>
        <v>10</v>
      </c>
      <c r="W29" s="14">
        <f t="shared" si="6"/>
        <v>6</v>
      </c>
      <c r="X29" s="39">
        <f t="shared" si="7"/>
        <v>11.733333333333333</v>
      </c>
      <c r="Y29" s="15">
        <v>1</v>
      </c>
      <c r="AE29" s="80"/>
      <c r="AF29" s="80"/>
      <c r="AG29" s="62">
        <f t="shared" si="14"/>
        <v>0.01</v>
      </c>
      <c r="AH29" s="30">
        <v>15</v>
      </c>
      <c r="AI29" s="30">
        <v>10</v>
      </c>
      <c r="AJ29" s="34">
        <v>6724</v>
      </c>
      <c r="AK29" s="68"/>
      <c r="AL29" s="68"/>
      <c r="AM29" s="30">
        <v>1</v>
      </c>
      <c r="AN29" s="14">
        <f t="shared" si="8"/>
        <v>10</v>
      </c>
      <c r="AO29" s="30">
        <v>10</v>
      </c>
      <c r="AP29" s="15">
        <v>1</v>
      </c>
      <c r="AQ29" s="35">
        <v>1</v>
      </c>
      <c r="AS29" s="25">
        <f>AS28+AN28*INDEX(X:X,MATCH(AJ28,T:T,0))</f>
        <v>10378</v>
      </c>
      <c r="AT29" s="14">
        <f t="shared" si="9"/>
        <v>486468.75</v>
      </c>
      <c r="AU29" s="14">
        <f t="shared" si="3"/>
        <v>141040</v>
      </c>
      <c r="AV29" s="14">
        <f>ROUND((AS29*$AH$17*50/4/4)/((INDEX(V:V,MATCH(AJ29,T:T,0))*INDEX(U:U,MATCH(AJ29,T:T,0)))*AP29/AM29/AQ29),2)</f>
        <v>3.45</v>
      </c>
      <c r="AW29" s="14">
        <f t="shared" si="10"/>
        <v>3.48</v>
      </c>
      <c r="BA29" s="15">
        <v>16</v>
      </c>
      <c r="BB29" s="15">
        <f>INDEX(节奏总纲!J:J,MATCH(BA29,节奏总纲!I:I,0))</f>
        <v>2.5387719203926467</v>
      </c>
      <c r="BC29" s="66">
        <f t="shared" si="1"/>
        <v>0.51</v>
      </c>
      <c r="BG29">
        <v>16</v>
      </c>
      <c r="BH29">
        <v>20</v>
      </c>
    </row>
    <row r="30" spans="2:60" hidden="1" x14ac:dyDescent="0.15">
      <c r="C30" s="87"/>
      <c r="D30" s="15" t="s">
        <v>29</v>
      </c>
      <c r="E30" s="25">
        <f t="shared" ref="E30:E34" si="16">0.16*3*36/25</f>
        <v>0.69120000000000004</v>
      </c>
      <c r="F30" s="35">
        <v>2</v>
      </c>
      <c r="G30" s="33">
        <f>G29*$D$9</f>
        <v>480</v>
      </c>
      <c r="H30" s="25">
        <f t="shared" si="4"/>
        <v>320</v>
      </c>
      <c r="I30" s="29">
        <v>130</v>
      </c>
      <c r="J30" s="27">
        <v>190</v>
      </c>
      <c r="K30" s="13">
        <v>0.1</v>
      </c>
      <c r="L30" s="35">
        <v>200</v>
      </c>
      <c r="M30" s="25">
        <f t="shared" ref="M30:M33" si="17">(1+E30)*(I30*J30*K30*1.5+I30*J30*(1-K30))/G30/100*((L30-180)/180+1)</f>
        <v>1.0153072222222224</v>
      </c>
      <c r="N30" s="28">
        <f t="shared" si="15"/>
        <v>240</v>
      </c>
      <c r="T30" s="28">
        <f t="shared" si="11"/>
        <v>6008</v>
      </c>
      <c r="U30" s="26">
        <f t="shared" si="12"/>
        <v>193</v>
      </c>
      <c r="V30" s="28">
        <f t="shared" si="13"/>
        <v>10</v>
      </c>
      <c r="W30" s="14">
        <f t="shared" si="6"/>
        <v>6</v>
      </c>
      <c r="X30" s="39">
        <f t="shared" si="7"/>
        <v>12.866666666666665</v>
      </c>
      <c r="Y30" s="15">
        <v>1</v>
      </c>
      <c r="AE30" s="81"/>
      <c r="AF30" s="81"/>
      <c r="AG30" s="25">
        <f t="shared" si="14"/>
        <v>0.01</v>
      </c>
      <c r="AH30" s="30">
        <v>16</v>
      </c>
      <c r="AI30" s="30">
        <v>10</v>
      </c>
      <c r="AJ30" s="34">
        <v>6259</v>
      </c>
      <c r="AK30" s="68"/>
      <c r="AL30" s="68"/>
      <c r="AM30" s="30">
        <v>1</v>
      </c>
      <c r="AN30" s="14">
        <f t="shared" si="8"/>
        <v>1</v>
      </c>
      <c r="AO30" s="30">
        <v>1</v>
      </c>
      <c r="AP30" s="15">
        <v>1</v>
      </c>
      <c r="AQ30" s="35">
        <v>1</v>
      </c>
      <c r="AS30" s="25">
        <f>AS29+AN29*INDEX(X:X,MATCH(AJ29,T:T,0))</f>
        <v>19780.666666666664</v>
      </c>
      <c r="AT30" s="14">
        <f t="shared" si="9"/>
        <v>927218.75</v>
      </c>
      <c r="AU30" s="14">
        <f t="shared" si="3"/>
        <v>1482840</v>
      </c>
      <c r="AV30" s="14">
        <f>ROUND((AS30*$AH$17*50/4/4)/((INDEX(V:V,MATCH(AJ30,T:T,0))*INDEX(U:U,MATCH(AJ30,T:T,0)))*AP30/AM30/AQ30),2)</f>
        <v>0.63</v>
      </c>
      <c r="AW30" s="14">
        <f t="shared" si="10"/>
        <v>0.63</v>
      </c>
      <c r="BA30" s="15">
        <v>17</v>
      </c>
      <c r="BB30" s="15">
        <f>INDEX(节奏总纲!J:J,MATCH(BA30,节奏总纲!I:I,0))</f>
        <v>3.0579402515786085</v>
      </c>
      <c r="BC30" s="66">
        <f t="shared" si="1"/>
        <v>0.54</v>
      </c>
      <c r="BG30">
        <v>17</v>
      </c>
      <c r="BH30">
        <v>21</v>
      </c>
    </row>
    <row r="31" spans="2:60" hidden="1" x14ac:dyDescent="0.15">
      <c r="C31" s="87"/>
      <c r="D31" s="15" t="s">
        <v>29</v>
      </c>
      <c r="E31" s="25">
        <f t="shared" si="16"/>
        <v>0.69120000000000004</v>
      </c>
      <c r="F31" s="35">
        <v>3</v>
      </c>
      <c r="G31" s="33">
        <f>G29*$D$10</f>
        <v>960</v>
      </c>
      <c r="H31" s="25">
        <f t="shared" si="4"/>
        <v>480</v>
      </c>
      <c r="I31" s="35">
        <v>220</v>
      </c>
      <c r="J31" s="27">
        <v>205</v>
      </c>
      <c r="K31" s="13">
        <v>0.15</v>
      </c>
      <c r="L31" s="35">
        <v>220</v>
      </c>
      <c r="M31" s="25">
        <f t="shared" si="17"/>
        <v>1.043900050925926</v>
      </c>
      <c r="N31" s="28">
        <f t="shared" si="15"/>
        <v>480</v>
      </c>
      <c r="T31" s="28">
        <f t="shared" si="11"/>
        <v>6009</v>
      </c>
      <c r="U31" s="26">
        <f t="shared" si="12"/>
        <v>212</v>
      </c>
      <c r="V31" s="28">
        <f t="shared" si="13"/>
        <v>10</v>
      </c>
      <c r="W31" s="14">
        <f t="shared" si="6"/>
        <v>6</v>
      </c>
      <c r="X31" s="39">
        <f t="shared" si="7"/>
        <v>14.133333333333335</v>
      </c>
      <c r="Y31" s="15">
        <v>1</v>
      </c>
      <c r="BA31" s="15">
        <v>18</v>
      </c>
      <c r="BB31" s="15">
        <f>INDEX(节奏总纲!J:J,MATCH(BA31,节奏总纲!I:I,0))</f>
        <v>3.671491735587451</v>
      </c>
      <c r="BC31" s="66">
        <f t="shared" si="1"/>
        <v>0.57999999999999996</v>
      </c>
      <c r="BG31">
        <v>18</v>
      </c>
      <c r="BH31">
        <v>22</v>
      </c>
    </row>
    <row r="32" spans="2:60" hidden="1" x14ac:dyDescent="0.15">
      <c r="C32" s="87"/>
      <c r="D32" s="15" t="s">
        <v>29</v>
      </c>
      <c r="E32" s="25">
        <f t="shared" si="16"/>
        <v>0.69120000000000004</v>
      </c>
      <c r="F32" s="35">
        <v>4</v>
      </c>
      <c r="G32" s="33">
        <f>G29*$D$11</f>
        <v>1600</v>
      </c>
      <c r="H32" s="25">
        <f t="shared" si="4"/>
        <v>640</v>
      </c>
      <c r="I32" s="35">
        <v>310</v>
      </c>
      <c r="J32" s="27">
        <v>220</v>
      </c>
      <c r="K32" s="13">
        <v>0.2</v>
      </c>
      <c r="L32" s="35">
        <v>240</v>
      </c>
      <c r="M32" s="25">
        <f t="shared" si="17"/>
        <v>1.0572818666666666</v>
      </c>
      <c r="N32" s="28">
        <f t="shared" si="15"/>
        <v>800</v>
      </c>
      <c r="T32" s="28">
        <f t="shared" si="11"/>
        <v>6010</v>
      </c>
      <c r="U32" s="26">
        <f t="shared" si="12"/>
        <v>233</v>
      </c>
      <c r="V32" s="28">
        <f t="shared" si="13"/>
        <v>10</v>
      </c>
      <c r="W32" s="14">
        <f t="shared" si="6"/>
        <v>6</v>
      </c>
      <c r="X32" s="39">
        <f t="shared" si="7"/>
        <v>15.533333333333335</v>
      </c>
      <c r="Y32" s="15">
        <v>1</v>
      </c>
      <c r="AE32" s="79">
        <v>2</v>
      </c>
      <c r="AF32" s="79">
        <v>1</v>
      </c>
      <c r="AG32" s="63">
        <f>INDEX($BC$14:$BC$77,MATCH(AF32,$BA$14:$BA$77))</f>
        <v>0.01</v>
      </c>
      <c r="AH32" s="35">
        <v>21</v>
      </c>
      <c r="AI32" s="35">
        <v>10</v>
      </c>
      <c r="AJ32" s="35">
        <v>6204</v>
      </c>
      <c r="AK32" s="68"/>
      <c r="AL32" s="68"/>
      <c r="AM32" s="35">
        <v>1</v>
      </c>
      <c r="AN32" s="14">
        <f>AO32*AP32</f>
        <v>5</v>
      </c>
      <c r="AO32" s="35">
        <v>5</v>
      </c>
      <c r="AP32" s="35">
        <v>1</v>
      </c>
      <c r="AQ32" s="35">
        <v>1</v>
      </c>
      <c r="AS32" s="60">
        <f>$AH$18</f>
        <v>200</v>
      </c>
      <c r="AT32" s="14"/>
      <c r="AU32" s="14"/>
      <c r="AV32" s="14">
        <f>ROUND((AS32*$AH$17*50/4/4)/((INDEX(V:V,MATCH(AJ32,T:T,0))*INDEX(U:U,MATCH(AJ32,T:T,0)))*AP32/AM32/AQ32),2)</f>
        <v>1.17</v>
      </c>
      <c r="AW32" s="14">
        <f>ROUND((AS32*$AH$17*50/4/4*(AG32+1))/((INDEX(V:V,MATCH(AJ32,T:T,0))*INDEX(U:U,MATCH(AJ32,T:T,0)))*AP32/AM32/AQ32),2)</f>
        <v>1.19</v>
      </c>
      <c r="BA32" s="15">
        <v>19</v>
      </c>
      <c r="BB32" s="15">
        <f>INDEX(节奏总纲!J:J,MATCH(BA32,节奏总纲!I:I,0))</f>
        <v>4.3957950643309154</v>
      </c>
      <c r="BC32" s="66">
        <f t="shared" si="1"/>
        <v>0.61</v>
      </c>
      <c r="BG32">
        <v>19</v>
      </c>
      <c r="BH32">
        <v>23</v>
      </c>
    </row>
    <row r="33" spans="2:60" hidden="1" x14ac:dyDescent="0.15">
      <c r="C33" s="87"/>
      <c r="D33" s="15" t="s">
        <v>29</v>
      </c>
      <c r="E33" s="25">
        <f t="shared" si="16"/>
        <v>0.69120000000000004</v>
      </c>
      <c r="F33" s="35">
        <v>5</v>
      </c>
      <c r="G33" s="33">
        <f>G29*$D$12</f>
        <v>2400</v>
      </c>
      <c r="H33" s="25">
        <f t="shared" si="4"/>
        <v>800</v>
      </c>
      <c r="I33" s="35">
        <v>400</v>
      </c>
      <c r="J33" s="27">
        <v>235</v>
      </c>
      <c r="K33" s="13">
        <v>0.25</v>
      </c>
      <c r="L33" s="35">
        <v>260</v>
      </c>
      <c r="M33" s="25">
        <f t="shared" si="17"/>
        <v>1.0763783333333332</v>
      </c>
      <c r="N33" s="28">
        <f t="shared" si="15"/>
        <v>1200</v>
      </c>
      <c r="T33" s="28">
        <f t="shared" si="11"/>
        <v>6011</v>
      </c>
      <c r="U33" s="26">
        <f t="shared" si="12"/>
        <v>256</v>
      </c>
      <c r="V33" s="28">
        <f t="shared" si="13"/>
        <v>10</v>
      </c>
      <c r="W33" s="14">
        <f t="shared" si="6"/>
        <v>8</v>
      </c>
      <c r="X33" s="39">
        <f t="shared" si="7"/>
        <v>17.066666666666666</v>
      </c>
      <c r="Y33" s="15">
        <v>1</v>
      </c>
      <c r="AE33" s="80"/>
      <c r="AF33" s="80"/>
      <c r="AG33" s="62">
        <f>AG32</f>
        <v>0.01</v>
      </c>
      <c r="AH33" s="35">
        <v>22</v>
      </c>
      <c r="AI33" s="35">
        <v>10</v>
      </c>
      <c r="AJ33" s="35">
        <v>6212</v>
      </c>
      <c r="AK33" s="68"/>
      <c r="AL33" s="68"/>
      <c r="AM33" s="35">
        <v>1</v>
      </c>
      <c r="AN33" s="14">
        <f t="shared" ref="AN33:AN39" si="18">AO33*AP33</f>
        <v>5</v>
      </c>
      <c r="AO33" s="35">
        <v>5</v>
      </c>
      <c r="AP33" s="35">
        <v>1</v>
      </c>
      <c r="AQ33" s="35">
        <v>1</v>
      </c>
      <c r="AS33" s="25">
        <f>AS32+AN32*INDEX(X:X,MATCH(AJ32,T:T,0))</f>
        <v>466</v>
      </c>
      <c r="AT33" s="14"/>
      <c r="AU33" s="14"/>
      <c r="AV33" s="14">
        <f>ROUND((AS33*$AH$17*50/4/4)/((INDEX(V:V,MATCH(AJ33,T:T,0))*INDEX(U:U,MATCH(AJ33,T:T,0)))*AP33/AM33/AQ33),2)</f>
        <v>1.29</v>
      </c>
      <c r="AW33" s="14">
        <f t="shared" ref="AW33:AW39" si="19">ROUND((AS33*$AH$17*50/4/4*(AG33+1))/((INDEX(V:V,MATCH(AJ33,T:T,0))*INDEX(U:U,MATCH(AJ33,T:T,0)))*AP33/AM33/AQ33),2)</f>
        <v>1.3</v>
      </c>
      <c r="BA33" s="15">
        <v>20</v>
      </c>
      <c r="BB33" s="15">
        <f>INDEX(节奏总纲!J:J,MATCH(BA33,节奏总纲!I:I,0))</f>
        <v>5.25</v>
      </c>
      <c r="BC33" s="66">
        <f t="shared" si="1"/>
        <v>0.65</v>
      </c>
      <c r="BG33">
        <v>20</v>
      </c>
      <c r="BH33">
        <v>24</v>
      </c>
    </row>
    <row r="34" spans="2:60" hidden="1" x14ac:dyDescent="0.15">
      <c r="C34" s="88"/>
      <c r="D34" s="15" t="s">
        <v>29</v>
      </c>
      <c r="E34" s="25">
        <f t="shared" si="16"/>
        <v>0.69120000000000004</v>
      </c>
      <c r="F34" s="35">
        <v>6</v>
      </c>
      <c r="G34" s="33">
        <f>G29*$D$13</f>
        <v>3360</v>
      </c>
      <c r="H34" s="25">
        <f t="shared" si="4"/>
        <v>960</v>
      </c>
      <c r="I34" s="35">
        <v>500</v>
      </c>
      <c r="J34" s="27">
        <v>250</v>
      </c>
      <c r="K34" s="13">
        <v>0.3</v>
      </c>
      <c r="L34" s="35">
        <v>280</v>
      </c>
      <c r="M34" s="25">
        <f>(1+E34)*(I34*J34*K34*1.5+I34*J34*(1-K34))/G34/100*((L34-180)/180+1)</f>
        <v>1.1255092592592595</v>
      </c>
      <c r="N34" s="28">
        <f t="shared" si="15"/>
        <v>1680</v>
      </c>
      <c r="T34" s="28">
        <f t="shared" si="11"/>
        <v>6012</v>
      </c>
      <c r="U34" s="26">
        <f t="shared" si="12"/>
        <v>281</v>
      </c>
      <c r="V34" s="28">
        <f t="shared" si="13"/>
        <v>10</v>
      </c>
      <c r="W34" s="14">
        <f t="shared" si="6"/>
        <v>8</v>
      </c>
      <c r="X34" s="39">
        <f t="shared" si="7"/>
        <v>18.733333333333334</v>
      </c>
      <c r="Y34" s="15">
        <v>1</v>
      </c>
      <c r="AE34" s="80"/>
      <c r="AF34" s="80"/>
      <c r="AG34" s="62">
        <f t="shared" ref="AG34:AG39" si="20">AG33</f>
        <v>0.01</v>
      </c>
      <c r="AH34" s="35">
        <v>23</v>
      </c>
      <c r="AI34" s="35">
        <v>10</v>
      </c>
      <c r="AJ34" s="35">
        <v>6207</v>
      </c>
      <c r="AK34" s="68"/>
      <c r="AL34" s="68"/>
      <c r="AM34" s="35">
        <v>1</v>
      </c>
      <c r="AN34" s="14">
        <f t="shared" si="18"/>
        <v>4</v>
      </c>
      <c r="AO34" s="35">
        <v>4</v>
      </c>
      <c r="AP34" s="35">
        <v>1</v>
      </c>
      <c r="AQ34" s="35">
        <v>1</v>
      </c>
      <c r="AS34" s="84">
        <f>AS33+AN33*INDEX(X:X,MATCH(AJ33,T:T,0))</f>
        <v>1031</v>
      </c>
      <c r="AT34" s="82"/>
      <c r="AU34" s="82"/>
      <c r="AV34" s="82">
        <f>ROUND((AS34*$AH$17*50/4/4)/(((INDEX(V:V,MATCH(AJ34,T:T,0))*INDEX(U:U,MATCH(AJ34,T:T,0)))*AP34/AM34/AQ34)+((INDEX(V:V,MATCH(AJ35,T:T,0))*INDEX(U:U,MATCH(AJ35,T:T,0)))*AP35/AM35/AQ35)),2)</f>
        <v>1.06</v>
      </c>
      <c r="AW34" s="14">
        <f t="shared" si="19"/>
        <v>4.6100000000000003</v>
      </c>
      <c r="BA34" s="15">
        <v>21</v>
      </c>
      <c r="BB34" s="15">
        <f>INDEX(节奏总纲!J:J,MATCH(BA34,节奏总纲!I:I,0))</f>
        <v>6.2565025247829205</v>
      </c>
      <c r="BC34" s="66">
        <f t="shared" si="1"/>
        <v>0.68</v>
      </c>
      <c r="BG34">
        <v>21</v>
      </c>
      <c r="BH34">
        <v>24</v>
      </c>
    </row>
    <row r="35" spans="2:60" ht="13.5" hidden="1" customHeight="1" x14ac:dyDescent="0.15">
      <c r="C35" s="86" t="s">
        <v>52</v>
      </c>
      <c r="D35" s="12" t="s">
        <v>10</v>
      </c>
      <c r="E35" s="25">
        <f>(0.2*0.5+1)*4*37/25*0.6</f>
        <v>3.9072</v>
      </c>
      <c r="F35" s="35">
        <v>1</v>
      </c>
      <c r="G35" s="12">
        <v>60</v>
      </c>
      <c r="H35" s="25">
        <f>IF(F35=1,G35,G35-G70)</f>
        <v>60</v>
      </c>
      <c r="I35" s="35">
        <v>12</v>
      </c>
      <c r="J35" s="27">
        <v>200</v>
      </c>
      <c r="K35" s="13">
        <v>0.05</v>
      </c>
      <c r="L35" s="35">
        <v>180</v>
      </c>
      <c r="M35" s="25">
        <f>(((I35*J35*K35*1.5+I35*J35*(1-K35))*3+(I35*J35*K35*1.5+I35*J35*(1-K35))*7*E35)/10)/G35/100*((L35-180)/180+1)</f>
        <v>1.2443663999999999</v>
      </c>
      <c r="N35" s="28">
        <f t="shared" ref="N35:N43" si="21">INT(G35*0.5)</f>
        <v>30</v>
      </c>
      <c r="T35" s="28">
        <f t="shared" si="11"/>
        <v>6013</v>
      </c>
      <c r="U35" s="26">
        <f t="shared" si="12"/>
        <v>309</v>
      </c>
      <c r="V35" s="28">
        <f t="shared" si="13"/>
        <v>10</v>
      </c>
      <c r="W35" s="14">
        <f t="shared" si="6"/>
        <v>8</v>
      </c>
      <c r="X35" s="39">
        <f t="shared" si="7"/>
        <v>20.6</v>
      </c>
      <c r="Y35" s="15">
        <v>1</v>
      </c>
      <c r="AE35" s="80"/>
      <c r="AF35" s="80"/>
      <c r="AG35" s="62">
        <f t="shared" si="20"/>
        <v>0.01</v>
      </c>
      <c r="AH35" s="35">
        <v>23</v>
      </c>
      <c r="AI35" s="35">
        <v>10</v>
      </c>
      <c r="AJ35" s="35">
        <v>6205</v>
      </c>
      <c r="AK35" s="68"/>
      <c r="AL35" s="68"/>
      <c r="AM35" s="35">
        <v>1</v>
      </c>
      <c r="AN35" s="14">
        <f t="shared" si="18"/>
        <v>16</v>
      </c>
      <c r="AO35" s="35">
        <v>4</v>
      </c>
      <c r="AP35" s="35">
        <v>4</v>
      </c>
      <c r="AQ35" s="35">
        <v>1</v>
      </c>
      <c r="AS35" s="85"/>
      <c r="AT35" s="83"/>
      <c r="AU35" s="83"/>
      <c r="AV35" s="83"/>
      <c r="AW35" s="14">
        <f t="shared" si="19"/>
        <v>0</v>
      </c>
      <c r="BA35" s="15">
        <v>22</v>
      </c>
      <c r="BB35" s="15">
        <f>INDEX(节奏总纲!J:J,MATCH(BA35,节奏总纲!I:I,0))</f>
        <v>7.4414868317755332</v>
      </c>
      <c r="BC35" s="66">
        <f t="shared" si="1"/>
        <v>0.71</v>
      </c>
      <c r="BG35">
        <v>22</v>
      </c>
      <c r="BH35">
        <v>24</v>
      </c>
    </row>
    <row r="36" spans="2:60" hidden="1" x14ac:dyDescent="0.15">
      <c r="C36" s="87"/>
      <c r="D36" s="12" t="s">
        <v>10</v>
      </c>
      <c r="E36" s="25">
        <f t="shared" ref="E36:E40" si="22">(0.2*0.5+1)*4*37/25*0.6</f>
        <v>3.9072</v>
      </c>
      <c r="F36" s="35">
        <v>2</v>
      </c>
      <c r="G36" s="33">
        <f>G35*$D$9</f>
        <v>180</v>
      </c>
      <c r="H36" s="25">
        <f t="shared" ref="H36:H41" si="23">IF(F36=1,G36,G36-G35)</f>
        <v>120</v>
      </c>
      <c r="I36" s="35">
        <v>30</v>
      </c>
      <c r="J36" s="27">
        <v>225</v>
      </c>
      <c r="K36" s="13">
        <v>0.1</v>
      </c>
      <c r="L36" s="35">
        <v>190</v>
      </c>
      <c r="M36" s="25">
        <f t="shared" ref="M36:M40" si="24">(((I36*J36*K36*1.5+I36*J36*(1-K36))*3+(I36*J36*K36*1.5+I36*J36*(1-K36))*7*E36)/10)/G36/100*((L36-180)/180+1)</f>
        <v>1.2614384999999997</v>
      </c>
      <c r="N36" s="28">
        <f t="shared" si="21"/>
        <v>90</v>
      </c>
      <c r="T36" s="28">
        <f t="shared" si="11"/>
        <v>6014</v>
      </c>
      <c r="U36" s="26">
        <f t="shared" si="12"/>
        <v>339</v>
      </c>
      <c r="V36" s="28">
        <f t="shared" si="13"/>
        <v>10</v>
      </c>
      <c r="W36" s="14">
        <f t="shared" si="6"/>
        <v>10</v>
      </c>
      <c r="X36" s="39">
        <f t="shared" si="7"/>
        <v>22.6</v>
      </c>
      <c r="Y36" s="15">
        <v>1</v>
      </c>
      <c r="AE36" s="80"/>
      <c r="AF36" s="80"/>
      <c r="AG36" s="62">
        <f t="shared" si="20"/>
        <v>0.01</v>
      </c>
      <c r="AH36" s="35">
        <v>24</v>
      </c>
      <c r="AI36" s="35">
        <v>10</v>
      </c>
      <c r="AJ36" s="35">
        <v>6628</v>
      </c>
      <c r="AK36" s="68"/>
      <c r="AL36" s="68"/>
      <c r="AM36" s="35">
        <v>1</v>
      </c>
      <c r="AN36" s="14">
        <f t="shared" si="18"/>
        <v>5</v>
      </c>
      <c r="AO36" s="35">
        <v>5</v>
      </c>
      <c r="AP36" s="35">
        <v>1</v>
      </c>
      <c r="AQ36" s="35">
        <v>1</v>
      </c>
      <c r="AS36" s="36">
        <f>AS34+AN34*INDEX(X:X,MATCH(AJ34,T:T,0))+AN35*INDEX(X:X,MATCH(AJ35,T:T,0))</f>
        <v>2247.8000000000002</v>
      </c>
      <c r="AT36" s="14"/>
      <c r="AU36" s="14"/>
      <c r="AV36" s="14">
        <f>ROUND((AS36*$AH$17*50/4/4)/((INDEX(V:V,MATCH(AJ36,T:T,0))*INDEX(U:U,MATCH(AJ36,T:T,0)))*AP36/AM36/AQ36),2)</f>
        <v>0.57999999999999996</v>
      </c>
      <c r="AW36" s="14">
        <f t="shared" si="19"/>
        <v>0.59</v>
      </c>
      <c r="BA36" s="15">
        <v>23</v>
      </c>
      <c r="BB36" s="15">
        <f>INDEX(节奏总纲!J:J,MATCH(BA36,节奏总纲!I:I,0))</f>
        <v>8.8355567243832152</v>
      </c>
      <c r="BC36" s="66">
        <f t="shared" si="1"/>
        <v>0.75</v>
      </c>
      <c r="BG36">
        <v>23</v>
      </c>
      <c r="BH36">
        <v>24</v>
      </c>
    </row>
    <row r="37" spans="2:60" hidden="1" x14ac:dyDescent="0.15">
      <c r="C37" s="87"/>
      <c r="D37" s="12" t="s">
        <v>10</v>
      </c>
      <c r="E37" s="25">
        <f t="shared" si="22"/>
        <v>3.9072</v>
      </c>
      <c r="F37" s="35">
        <v>3</v>
      </c>
      <c r="G37" s="33">
        <f>G35*$D$10</f>
        <v>360</v>
      </c>
      <c r="H37" s="25">
        <f t="shared" si="23"/>
        <v>180</v>
      </c>
      <c r="I37" s="35">
        <v>50</v>
      </c>
      <c r="J37" s="27">
        <v>250</v>
      </c>
      <c r="K37" s="13">
        <v>0.15</v>
      </c>
      <c r="L37" s="35">
        <v>200</v>
      </c>
      <c r="M37" s="25">
        <f t="shared" si="24"/>
        <v>1.2587453703703704</v>
      </c>
      <c r="N37" s="28">
        <f t="shared" si="21"/>
        <v>180</v>
      </c>
      <c r="T37" s="28">
        <f t="shared" si="11"/>
        <v>6015</v>
      </c>
      <c r="U37" s="26">
        <f t="shared" si="12"/>
        <v>372</v>
      </c>
      <c r="V37" s="28">
        <f t="shared" si="13"/>
        <v>10</v>
      </c>
      <c r="W37" s="14">
        <f t="shared" si="6"/>
        <v>10</v>
      </c>
      <c r="X37" s="39">
        <f t="shared" si="7"/>
        <v>24.8</v>
      </c>
      <c r="Y37" s="15">
        <v>1</v>
      </c>
      <c r="AE37" s="80"/>
      <c r="AF37" s="80"/>
      <c r="AG37" s="62">
        <f t="shared" si="20"/>
        <v>0.01</v>
      </c>
      <c r="AH37" s="35">
        <v>25</v>
      </c>
      <c r="AI37" s="35">
        <v>10</v>
      </c>
      <c r="AJ37" s="35">
        <v>6320</v>
      </c>
      <c r="AK37" s="68"/>
      <c r="AL37" s="68"/>
      <c r="AM37" s="35">
        <v>1</v>
      </c>
      <c r="AN37" s="14">
        <f t="shared" si="18"/>
        <v>3</v>
      </c>
      <c r="AO37" s="35">
        <v>3</v>
      </c>
      <c r="AP37" s="15">
        <v>1</v>
      </c>
      <c r="AQ37" s="35">
        <v>1</v>
      </c>
      <c r="AS37" s="84">
        <f>AS36+AN36*INDEX(X:X,MATCH(AJ36,T:T,0))</f>
        <v>8265.4666666666672</v>
      </c>
      <c r="AT37" s="82"/>
      <c r="AU37" s="82"/>
      <c r="AV37" s="82">
        <f>ROUND((AS37*$AH$17*50/4/4)/(((INDEX(V:V,MATCH(AJ37,T:T,0))*INDEX(U:U,MATCH(AJ37,T:T,0)))*AP37/AM37/AQ37)+((INDEX(V:V,MATCH(AJ38,T:T,0))*INDEX(U:U,MATCH(AJ38,T:T,0)))*AP38/AM38/AQ38)),2)</f>
        <v>1.44</v>
      </c>
      <c r="AW37" s="14">
        <f t="shared" si="19"/>
        <v>8.11</v>
      </c>
      <c r="BA37" s="15">
        <v>24</v>
      </c>
      <c r="BB37" s="36">
        <f>INDEX(节奏总纲!J:J,MATCH(BA37,节奏总纲!I:I,0))</f>
        <v>10.47447102993563</v>
      </c>
      <c r="BC37" s="66">
        <f t="shared" si="1"/>
        <v>0.78</v>
      </c>
      <c r="BG37">
        <v>24</v>
      </c>
      <c r="BH37">
        <v>25</v>
      </c>
    </row>
    <row r="38" spans="2:60" hidden="1" x14ac:dyDescent="0.15">
      <c r="C38" s="87"/>
      <c r="D38" s="12" t="s">
        <v>10</v>
      </c>
      <c r="E38" s="25">
        <f t="shared" si="22"/>
        <v>3.9072</v>
      </c>
      <c r="F38" s="35">
        <v>4</v>
      </c>
      <c r="G38" s="33">
        <f>G35*$D$11</f>
        <v>600</v>
      </c>
      <c r="H38" s="25">
        <f t="shared" si="23"/>
        <v>240</v>
      </c>
      <c r="I38" s="35">
        <v>70</v>
      </c>
      <c r="J38" s="27">
        <v>275</v>
      </c>
      <c r="K38" s="13">
        <v>0.2</v>
      </c>
      <c r="L38" s="35">
        <v>210</v>
      </c>
      <c r="M38" s="25">
        <f t="shared" si="24"/>
        <v>1.2496355666666665</v>
      </c>
      <c r="N38" s="28">
        <f t="shared" si="21"/>
        <v>300</v>
      </c>
      <c r="T38" s="28">
        <f t="shared" si="11"/>
        <v>6016</v>
      </c>
      <c r="U38" s="26">
        <f t="shared" si="12"/>
        <v>409</v>
      </c>
      <c r="V38" s="28">
        <f t="shared" si="13"/>
        <v>10</v>
      </c>
      <c r="W38" s="14">
        <f t="shared" si="6"/>
        <v>10</v>
      </c>
      <c r="X38" s="39">
        <f t="shared" si="7"/>
        <v>27.266666666666669</v>
      </c>
      <c r="Y38" s="15">
        <v>1</v>
      </c>
      <c r="AE38" s="80"/>
      <c r="AF38" s="80"/>
      <c r="AG38" s="62">
        <f t="shared" si="20"/>
        <v>0.01</v>
      </c>
      <c r="AH38" s="35">
        <v>25</v>
      </c>
      <c r="AI38" s="35">
        <v>10</v>
      </c>
      <c r="AJ38" s="35">
        <v>6336</v>
      </c>
      <c r="AK38" s="68"/>
      <c r="AL38" s="68"/>
      <c r="AM38" s="35">
        <v>1</v>
      </c>
      <c r="AN38" s="14">
        <f t="shared" si="18"/>
        <v>3</v>
      </c>
      <c r="AO38" s="35">
        <v>3</v>
      </c>
      <c r="AP38" s="15">
        <v>1</v>
      </c>
      <c r="AQ38" s="35">
        <v>1</v>
      </c>
      <c r="AS38" s="85"/>
      <c r="AT38" s="83"/>
      <c r="AU38" s="83"/>
      <c r="AV38" s="83"/>
      <c r="AW38" s="14">
        <f t="shared" si="19"/>
        <v>0</v>
      </c>
      <c r="BA38" s="15">
        <v>25</v>
      </c>
      <c r="BB38" s="15">
        <f>INDEX(节奏总纲!J:J,MATCH(BA38,节奏总纲!I:I,0))</f>
        <v>12.4</v>
      </c>
      <c r="BC38" s="66">
        <f t="shared" si="1"/>
        <v>0.81</v>
      </c>
      <c r="BG38">
        <v>25</v>
      </c>
      <c r="BH38">
        <v>25</v>
      </c>
    </row>
    <row r="39" spans="2:60" hidden="1" x14ac:dyDescent="0.15">
      <c r="C39" s="87"/>
      <c r="D39" s="12" t="s">
        <v>10</v>
      </c>
      <c r="E39" s="25">
        <f t="shared" si="22"/>
        <v>3.9072</v>
      </c>
      <c r="F39" s="35">
        <v>5</v>
      </c>
      <c r="G39" s="33">
        <f>G35*$D$12</f>
        <v>900</v>
      </c>
      <c r="H39" s="25">
        <f t="shared" si="23"/>
        <v>300</v>
      </c>
      <c r="I39" s="35">
        <v>90</v>
      </c>
      <c r="J39" s="27">
        <v>300</v>
      </c>
      <c r="K39" s="13">
        <v>0.25</v>
      </c>
      <c r="L39" s="35">
        <v>220</v>
      </c>
      <c r="M39" s="25">
        <f t="shared" si="24"/>
        <v>1.251954</v>
      </c>
      <c r="N39" s="28">
        <f t="shared" si="21"/>
        <v>450</v>
      </c>
      <c r="T39" s="28">
        <f t="shared" si="11"/>
        <v>6017</v>
      </c>
      <c r="U39" s="26">
        <f t="shared" si="12"/>
        <v>449</v>
      </c>
      <c r="V39" s="28">
        <f t="shared" si="13"/>
        <v>10</v>
      </c>
      <c r="W39" s="14">
        <f t="shared" si="6"/>
        <v>12</v>
      </c>
      <c r="X39" s="39">
        <f t="shared" si="7"/>
        <v>29.93333333333333</v>
      </c>
      <c r="Y39" s="15">
        <v>1</v>
      </c>
      <c r="AE39" s="81"/>
      <c r="AF39" s="81"/>
      <c r="AG39" s="25">
        <f t="shared" si="20"/>
        <v>0.01</v>
      </c>
      <c r="AH39" s="35">
        <v>26</v>
      </c>
      <c r="AI39" s="35">
        <v>10</v>
      </c>
      <c r="AJ39" s="35">
        <v>6355</v>
      </c>
      <c r="AK39" s="68"/>
      <c r="AL39" s="68"/>
      <c r="AM39" s="35">
        <v>1</v>
      </c>
      <c r="AN39" s="14">
        <f t="shared" si="18"/>
        <v>1</v>
      </c>
      <c r="AO39" s="35">
        <v>1</v>
      </c>
      <c r="AP39" s="15">
        <v>1</v>
      </c>
      <c r="AQ39" s="35">
        <v>1</v>
      </c>
      <c r="AS39" s="36">
        <f>AS37+AN37*INDEX(X:X,MATCH(AJ37,T:T,0))+AN38*INDEX(X:X,MATCH(AJ38,T:T,0))</f>
        <v>13648.666666666666</v>
      </c>
      <c r="AT39" s="14"/>
      <c r="AU39" s="14"/>
      <c r="AV39" s="14">
        <f>ROUND((AS39*$AH$17*50/4/4)/((INDEX(V:V,MATCH(AJ39,T:T,0))*INDEX(U:U,MATCH(AJ39,T:T,0)))*AP39/AM39/AQ39),2)</f>
        <v>0.47</v>
      </c>
      <c r="AW39" s="14">
        <f t="shared" si="19"/>
        <v>0.48</v>
      </c>
      <c r="BA39" s="15">
        <v>26</v>
      </c>
      <c r="BB39" s="15">
        <f>INDEX(节奏总纲!J:J,MATCH(BA39,节奏总纲!I:I,0))</f>
        <v>14.6609224175611</v>
      </c>
      <c r="BC39" s="66">
        <f t="shared" si="1"/>
        <v>0.85</v>
      </c>
      <c r="BG39">
        <v>26</v>
      </c>
      <c r="BH39">
        <v>25</v>
      </c>
    </row>
    <row r="40" spans="2:60" hidden="1" x14ac:dyDescent="0.15">
      <c r="C40" s="88"/>
      <c r="D40" s="12" t="s">
        <v>10</v>
      </c>
      <c r="E40" s="25">
        <f t="shared" si="22"/>
        <v>3.9072</v>
      </c>
      <c r="F40" s="35">
        <v>6</v>
      </c>
      <c r="G40" s="33">
        <f>G35*$D$13</f>
        <v>1260</v>
      </c>
      <c r="H40" s="25">
        <f t="shared" si="23"/>
        <v>360</v>
      </c>
      <c r="I40" s="35">
        <v>110</v>
      </c>
      <c r="J40" s="27">
        <v>325</v>
      </c>
      <c r="K40" s="13">
        <v>0.3</v>
      </c>
      <c r="L40" s="35">
        <v>230</v>
      </c>
      <c r="M40" s="25">
        <f t="shared" si="24"/>
        <v>1.2653861931216932</v>
      </c>
      <c r="N40" s="28">
        <f t="shared" si="21"/>
        <v>630</v>
      </c>
      <c r="T40" s="28">
        <f t="shared" si="11"/>
        <v>6018</v>
      </c>
      <c r="U40" s="26">
        <f t="shared" si="12"/>
        <v>493</v>
      </c>
      <c r="V40" s="28">
        <f t="shared" si="13"/>
        <v>10</v>
      </c>
      <c r="W40" s="14">
        <f t="shared" si="6"/>
        <v>12</v>
      </c>
      <c r="X40" s="39">
        <f t="shared" si="7"/>
        <v>32.866666666666667</v>
      </c>
      <c r="Y40" s="15">
        <v>1</v>
      </c>
      <c r="BA40" s="15">
        <v>27</v>
      </c>
      <c r="BB40" s="15">
        <f>INDEX(节奏总纲!J:J,MATCH(BA40,节奏总纲!I:I,0))</f>
        <v>17.314186320787698</v>
      </c>
      <c r="BC40" s="66">
        <f t="shared" si="1"/>
        <v>0.88</v>
      </c>
      <c r="BG40">
        <v>27</v>
      </c>
      <c r="BH40">
        <v>26</v>
      </c>
    </row>
    <row r="41" spans="2:60" ht="13.5" hidden="1" customHeight="1" x14ac:dyDescent="0.15">
      <c r="C41" s="86" t="s">
        <v>65</v>
      </c>
      <c r="D41" s="35" t="s">
        <v>63</v>
      </c>
      <c r="E41" s="14"/>
      <c r="F41" s="35">
        <v>1</v>
      </c>
      <c r="G41" s="35">
        <v>40</v>
      </c>
      <c r="H41" s="25">
        <f t="shared" si="23"/>
        <v>40</v>
      </c>
      <c r="I41" s="35">
        <v>14</v>
      </c>
      <c r="J41" s="35">
        <v>150</v>
      </c>
      <c r="K41" s="13">
        <v>0.1</v>
      </c>
      <c r="L41" s="35">
        <v>225</v>
      </c>
      <c r="M41" s="14">
        <f>(I41*J41*K41*1.5+I41*J41*(1-K41))*1.5/G41/100*((L41-180)/180+1)</f>
        <v>1.0335937500000001</v>
      </c>
      <c r="N41" s="28">
        <f t="shared" si="21"/>
        <v>20</v>
      </c>
      <c r="T41" s="28">
        <f t="shared" si="11"/>
        <v>6019</v>
      </c>
      <c r="U41" s="26">
        <f t="shared" si="12"/>
        <v>542</v>
      </c>
      <c r="V41" s="28">
        <f t="shared" si="13"/>
        <v>10</v>
      </c>
      <c r="W41" s="14">
        <f t="shared" si="6"/>
        <v>14</v>
      </c>
      <c r="X41" s="39">
        <f t="shared" si="7"/>
        <v>36.133333333333333</v>
      </c>
      <c r="Y41" s="15">
        <v>1</v>
      </c>
      <c r="AD41">
        <v>1</v>
      </c>
      <c r="AE41" s="79">
        <f>AE32+1</f>
        <v>3</v>
      </c>
      <c r="AF41" s="79">
        <v>1</v>
      </c>
      <c r="AG41" s="63">
        <f>INDEX($BC$14:$BC$77,MATCH(AF41,$BA$14:$BA$77))</f>
        <v>0.01</v>
      </c>
      <c r="AH41" s="35">
        <v>1</v>
      </c>
      <c r="AI41" s="35">
        <v>10</v>
      </c>
      <c r="AJ41" s="35">
        <v>6106</v>
      </c>
      <c r="AK41" s="68"/>
      <c r="AL41" s="68"/>
      <c r="AM41" s="35">
        <v>1</v>
      </c>
      <c r="AN41" s="14">
        <f>AO41*AP41</f>
        <v>10</v>
      </c>
      <c r="AO41" s="35">
        <v>10</v>
      </c>
      <c r="AP41" s="35">
        <v>1</v>
      </c>
      <c r="AQ41" s="35">
        <v>1</v>
      </c>
      <c r="AS41" s="60">
        <f>$AH$18</f>
        <v>200</v>
      </c>
      <c r="AT41" s="14"/>
      <c r="AU41" s="14"/>
      <c r="AV41" s="14">
        <f>ROUND((AS41*$AH$17*50/4/4)/((INDEX(V:V,MATCH(AJ41,T:T,0))*INDEX(U:U,MATCH(AJ41,T:T,0)))*AP41/AM41/AQ41),2)</f>
        <v>1.46</v>
      </c>
      <c r="AW41" s="14">
        <f>ROUND((AS41*$AH$17*50/4/4*(AG41+1))/((INDEX(V:V,MATCH(AJ41,T:T,0))*INDEX(U:U,MATCH(AJ41,T:T,0)))*AP41/AM41/AQ41),2)</f>
        <v>1.47</v>
      </c>
      <c r="BA41" s="15">
        <v>28</v>
      </c>
      <c r="BB41" s="36">
        <f>INDEX(节奏总纲!J:J,MATCH(BA41,节奏总纲!I:I,0))</f>
        <v>20.42625995518307</v>
      </c>
      <c r="BC41" s="66">
        <f t="shared" si="1"/>
        <v>0.92</v>
      </c>
      <c r="BG41">
        <v>28</v>
      </c>
      <c r="BH41">
        <v>27</v>
      </c>
    </row>
    <row r="42" spans="2:60" hidden="1" x14ac:dyDescent="0.15">
      <c r="C42" s="87"/>
      <c r="D42" s="35" t="s">
        <v>63</v>
      </c>
      <c r="E42" s="14"/>
      <c r="F42" s="35">
        <v>2</v>
      </c>
      <c r="G42" s="33">
        <f>G41*$D$9</f>
        <v>120</v>
      </c>
      <c r="H42" s="25">
        <f t="shared" ref="H42:H43" si="25">IF(F42=1,G42,G42-G41)</f>
        <v>80</v>
      </c>
      <c r="I42" s="35">
        <v>35</v>
      </c>
      <c r="J42" s="35">
        <v>160</v>
      </c>
      <c r="K42" s="13">
        <v>0.2</v>
      </c>
      <c r="L42" s="35">
        <v>250</v>
      </c>
      <c r="M42" s="14">
        <f t="shared" ref="M42:M43" si="26">(I42*J42*K42*1.5+I42*J42*(1-K42))*1.5/G42/100*((L42-180)/180+1)</f>
        <v>1.0694444444444444</v>
      </c>
      <c r="N42" s="28">
        <f t="shared" si="21"/>
        <v>60</v>
      </c>
      <c r="T42" s="28">
        <f t="shared" si="11"/>
        <v>6020</v>
      </c>
      <c r="U42" s="26">
        <f t="shared" si="12"/>
        <v>596</v>
      </c>
      <c r="V42" s="28">
        <f t="shared" si="13"/>
        <v>10</v>
      </c>
      <c r="W42" s="14">
        <f t="shared" si="6"/>
        <v>16</v>
      </c>
      <c r="X42" s="39">
        <f t="shared" si="7"/>
        <v>39.733333333333334</v>
      </c>
      <c r="Y42" s="15">
        <v>1</v>
      </c>
      <c r="AD42">
        <v>2</v>
      </c>
      <c r="AE42" s="80"/>
      <c r="AF42" s="80"/>
      <c r="AG42" s="62">
        <f>AG41</f>
        <v>0.01</v>
      </c>
      <c r="AH42" s="35">
        <v>2</v>
      </c>
      <c r="AI42" s="35">
        <v>10</v>
      </c>
      <c r="AJ42" s="35">
        <v>6216</v>
      </c>
      <c r="AK42" s="68"/>
      <c r="AL42" s="68"/>
      <c r="AM42" s="35">
        <v>1</v>
      </c>
      <c r="AN42" s="14">
        <f t="shared" ref="AN42:AN48" si="27">AO42*AP42</f>
        <v>5</v>
      </c>
      <c r="AO42" s="35">
        <v>5</v>
      </c>
      <c r="AP42" s="35">
        <v>1</v>
      </c>
      <c r="AQ42" s="35">
        <v>1</v>
      </c>
      <c r="AS42" s="25">
        <f>AS41+AN41*INDEX(X:X,MATCH(AJ41,T:T,0))</f>
        <v>628</v>
      </c>
      <c r="AT42" s="14"/>
      <c r="AU42" s="14"/>
      <c r="AV42" s="14">
        <f>ROUND((AS42*$AH$17*50/4/4)/((INDEX(V:V,MATCH(AJ42,T:T,0))*INDEX(U:U,MATCH(AJ42,T:T,0)))*AP42/AM42/AQ42),2)</f>
        <v>1.19</v>
      </c>
      <c r="AW42" s="14">
        <f t="shared" ref="AW42:AW48" si="28">ROUND((AS42*$AH$17*50/4/4*(AG42+1))/((INDEX(V:V,MATCH(AJ42,T:T,0))*INDEX(U:U,MATCH(AJ42,T:T,0)))*AP42/AM42/AQ42),2)</f>
        <v>1.2</v>
      </c>
      <c r="BA42" s="15">
        <v>29</v>
      </c>
      <c r="BB42" s="15">
        <f>INDEX(节奏总纲!J:J,MATCH(BA42,节奏总纲!I:I,0))</f>
        <v>24.074703862418847</v>
      </c>
      <c r="BC42" s="66">
        <f t="shared" si="1"/>
        <v>0.95</v>
      </c>
      <c r="BG42">
        <v>29</v>
      </c>
      <c r="BH42">
        <v>27</v>
      </c>
    </row>
    <row r="43" spans="2:60" hidden="1" x14ac:dyDescent="0.15">
      <c r="C43" s="87"/>
      <c r="D43" s="35" t="s">
        <v>63</v>
      </c>
      <c r="E43" s="14"/>
      <c r="F43" s="35">
        <v>3</v>
      </c>
      <c r="G43" s="33">
        <f>G41*$D$10</f>
        <v>240</v>
      </c>
      <c r="H43" s="25">
        <f t="shared" si="25"/>
        <v>120</v>
      </c>
      <c r="I43" s="35">
        <v>56</v>
      </c>
      <c r="J43" s="35">
        <v>170</v>
      </c>
      <c r="K43" s="13">
        <v>0.3</v>
      </c>
      <c r="L43" s="35">
        <v>275</v>
      </c>
      <c r="M43" s="14">
        <f t="shared" si="26"/>
        <v>1.0453819444444443</v>
      </c>
      <c r="N43" s="28">
        <f t="shared" si="21"/>
        <v>120</v>
      </c>
      <c r="T43" s="28">
        <f t="shared" si="11"/>
        <v>6021</v>
      </c>
      <c r="U43" s="26">
        <f t="shared" si="12"/>
        <v>655</v>
      </c>
      <c r="V43" s="28">
        <f t="shared" si="13"/>
        <v>10</v>
      </c>
      <c r="W43" s="14">
        <f t="shared" si="6"/>
        <v>16</v>
      </c>
      <c r="X43" s="39">
        <f t="shared" si="7"/>
        <v>43.666666666666671</v>
      </c>
      <c r="Y43" s="15">
        <v>1</v>
      </c>
      <c r="AD43">
        <v>3</v>
      </c>
      <c r="AE43" s="80"/>
      <c r="AF43" s="80"/>
      <c r="AG43" s="62">
        <f t="shared" ref="AG43:AG48" si="29">AG42</f>
        <v>0.01</v>
      </c>
      <c r="AH43" s="35">
        <v>3</v>
      </c>
      <c r="AI43" s="35">
        <v>10</v>
      </c>
      <c r="AJ43" s="35">
        <v>6302</v>
      </c>
      <c r="AK43" s="68"/>
      <c r="AL43" s="68"/>
      <c r="AM43" s="35">
        <v>1</v>
      </c>
      <c r="AN43" s="14">
        <f t="shared" si="27"/>
        <v>3</v>
      </c>
      <c r="AO43" s="35">
        <v>3</v>
      </c>
      <c r="AP43" s="35">
        <v>1</v>
      </c>
      <c r="AQ43" s="35">
        <v>1</v>
      </c>
      <c r="AS43" s="84">
        <f>AS42+AN42*INDEX(X:X,MATCH(AJ42,T:T,0))</f>
        <v>1454</v>
      </c>
      <c r="AT43" s="82"/>
      <c r="AU43" s="82"/>
      <c r="AV43" s="82">
        <f>ROUND((AS43*$AH$17*50/4/4)/(((INDEX(V:V,MATCH(AJ43,T:T,0))*INDEX(U:U,MATCH(AJ43,T:T,0)))*AP43/AM43/AQ43)+((INDEX(V:V,MATCH(AJ44,T:T,0))*INDEX(U:U,MATCH(AJ44,T:T,0)))*AP44/AM44/AQ44)),2)</f>
        <v>0.84</v>
      </c>
      <c r="AW43" s="14">
        <f t="shared" si="28"/>
        <v>7.82</v>
      </c>
      <c r="BA43" s="15">
        <v>30</v>
      </c>
      <c r="BB43" s="15">
        <f>INDEX(节奏总纲!J:J,MATCH(BA43,节奏总纲!I:I,0))</f>
        <v>28.35</v>
      </c>
      <c r="BC43" s="66">
        <f t="shared" si="1"/>
        <v>0.98</v>
      </c>
      <c r="BG43">
        <v>30</v>
      </c>
      <c r="BH43">
        <v>28</v>
      </c>
    </row>
    <row r="44" spans="2:60" hidden="1" x14ac:dyDescent="0.15">
      <c r="C44" s="87"/>
      <c r="D44" s="35" t="s">
        <v>63</v>
      </c>
      <c r="E44" s="14"/>
      <c r="F44" s="35"/>
      <c r="G44" s="33"/>
      <c r="H44" s="25"/>
      <c r="I44" s="35"/>
      <c r="J44" s="27"/>
      <c r="K44" s="13"/>
      <c r="L44" s="35"/>
      <c r="M44" s="14"/>
      <c r="N44" s="28"/>
      <c r="T44" s="28">
        <f t="shared" si="11"/>
        <v>6022</v>
      </c>
      <c r="U44" s="26">
        <f t="shared" si="12"/>
        <v>720</v>
      </c>
      <c r="V44" s="28">
        <f t="shared" si="13"/>
        <v>10</v>
      </c>
      <c r="W44" s="14">
        <f t="shared" si="6"/>
        <v>18</v>
      </c>
      <c r="X44" s="39">
        <f t="shared" si="7"/>
        <v>48</v>
      </c>
      <c r="Y44" s="15">
        <v>1</v>
      </c>
      <c r="AD44">
        <v>4</v>
      </c>
      <c r="AE44" s="80"/>
      <c r="AF44" s="80"/>
      <c r="AG44" s="62">
        <f t="shared" si="29"/>
        <v>0.01</v>
      </c>
      <c r="AH44" s="35">
        <v>3</v>
      </c>
      <c r="AI44" s="35">
        <v>10</v>
      </c>
      <c r="AJ44" s="35">
        <v>6301</v>
      </c>
      <c r="AK44" s="68"/>
      <c r="AL44" s="68"/>
      <c r="AM44" s="35">
        <v>1</v>
      </c>
      <c r="AN44" s="14">
        <f t="shared" si="27"/>
        <v>27</v>
      </c>
      <c r="AO44" s="35">
        <v>3</v>
      </c>
      <c r="AP44" s="35">
        <v>9</v>
      </c>
      <c r="AQ44" s="35">
        <v>1</v>
      </c>
      <c r="AS44" s="85"/>
      <c r="AT44" s="83"/>
      <c r="AU44" s="83"/>
      <c r="AV44" s="83"/>
      <c r="AW44" s="14">
        <f t="shared" si="28"/>
        <v>0</v>
      </c>
      <c r="BA44" s="15">
        <v>31</v>
      </c>
      <c r="BB44" s="36">
        <f>INDEX(节奏总纲!J:J,MATCH(BA44,节奏总纲!I:I,0))</f>
        <v>33.357679571112705</v>
      </c>
      <c r="BC44" s="66">
        <f t="shared" si="1"/>
        <v>1.02</v>
      </c>
    </row>
    <row r="45" spans="2:60" hidden="1" x14ac:dyDescent="0.15">
      <c r="C45" s="87"/>
      <c r="D45" s="35" t="s">
        <v>63</v>
      </c>
      <c r="E45" s="14"/>
      <c r="F45" s="35"/>
      <c r="G45" s="33"/>
      <c r="H45" s="25"/>
      <c r="I45" s="35"/>
      <c r="J45" s="27"/>
      <c r="K45" s="13"/>
      <c r="L45" s="35"/>
      <c r="M45" s="14"/>
      <c r="N45" s="28"/>
      <c r="T45" s="28">
        <f t="shared" si="11"/>
        <v>6023</v>
      </c>
      <c r="U45" s="26">
        <f t="shared" si="12"/>
        <v>792</v>
      </c>
      <c r="V45" s="28">
        <f t="shared" si="13"/>
        <v>10</v>
      </c>
      <c r="W45" s="14">
        <f t="shared" si="6"/>
        <v>20</v>
      </c>
      <c r="X45" s="39">
        <f t="shared" si="7"/>
        <v>52.8</v>
      </c>
      <c r="Y45" s="15">
        <v>1</v>
      </c>
      <c r="AD45">
        <v>5</v>
      </c>
      <c r="AE45" s="80"/>
      <c r="AF45" s="80"/>
      <c r="AG45" s="62">
        <f t="shared" si="29"/>
        <v>0.01</v>
      </c>
      <c r="AH45" s="35">
        <v>4</v>
      </c>
      <c r="AI45" s="35">
        <v>10</v>
      </c>
      <c r="AJ45" s="35">
        <v>6218</v>
      </c>
      <c r="AK45" s="68"/>
      <c r="AL45" s="68"/>
      <c r="AM45" s="35">
        <v>1</v>
      </c>
      <c r="AN45" s="14">
        <f t="shared" si="27"/>
        <v>12</v>
      </c>
      <c r="AO45" s="35">
        <v>3</v>
      </c>
      <c r="AP45" s="35">
        <v>4</v>
      </c>
      <c r="AQ45" s="35">
        <v>1</v>
      </c>
      <c r="AS45" s="89">
        <f>AS43+AN43*INDEX(X:X,MATCH(AJ43,T:T,0))+AN44*INDEX(X:X,MATCH(AJ44,T:T,0))</f>
        <v>3070</v>
      </c>
      <c r="AT45" s="82"/>
      <c r="AU45" s="82"/>
      <c r="AV45" s="82">
        <f>ROUND((AS45*$AH$17*50/4/4)/(((INDEX(V:V,MATCH(AJ45,T:T,0))*INDEX(U:U,MATCH(AJ45,T:T,0)))*AP45/AM45/AQ45)+((INDEX(V:V,MATCH(AJ46,T:T,0))*INDEX(U:U,MATCH(AJ46,T:T,0)))*AP46/AM46/AQ46)),2)</f>
        <v>0.75</v>
      </c>
      <c r="AW45" s="14">
        <f t="shared" si="28"/>
        <v>1.21</v>
      </c>
      <c r="BA45" s="15">
        <v>32</v>
      </c>
      <c r="BB45" s="15">
        <f>INDEX(节奏总纲!J:J,MATCH(BA45,节奏总纲!I:I,0))</f>
        <v>39.220797956048642</v>
      </c>
      <c r="BC45" s="66">
        <f t="shared" si="1"/>
        <v>1.05</v>
      </c>
    </row>
    <row r="46" spans="2:60" hidden="1" x14ac:dyDescent="0.15">
      <c r="C46" s="88"/>
      <c r="D46" s="35" t="s">
        <v>63</v>
      </c>
      <c r="E46" s="14"/>
      <c r="F46" s="35"/>
      <c r="G46" s="33"/>
      <c r="H46" s="25"/>
      <c r="I46" s="35"/>
      <c r="J46" s="27"/>
      <c r="K46" s="13"/>
      <c r="L46" s="35"/>
      <c r="M46" s="14"/>
      <c r="N46" s="28"/>
      <c r="T46" s="28">
        <f t="shared" si="11"/>
        <v>6024</v>
      </c>
      <c r="U46" s="26">
        <f t="shared" si="12"/>
        <v>871</v>
      </c>
      <c r="V46" s="28">
        <f t="shared" si="13"/>
        <v>10</v>
      </c>
      <c r="W46" s="14">
        <f t="shared" si="6"/>
        <v>22</v>
      </c>
      <c r="X46" s="39">
        <f t="shared" si="7"/>
        <v>58.066666666666663</v>
      </c>
      <c r="Y46" s="15">
        <v>1</v>
      </c>
      <c r="AD46">
        <v>6</v>
      </c>
      <c r="AE46" s="80"/>
      <c r="AF46" s="80"/>
      <c r="AG46" s="62">
        <f t="shared" si="29"/>
        <v>0.01</v>
      </c>
      <c r="AH46" s="35">
        <v>4</v>
      </c>
      <c r="AI46" s="35">
        <v>10</v>
      </c>
      <c r="AJ46" s="35">
        <v>6301</v>
      </c>
      <c r="AK46" s="68"/>
      <c r="AL46" s="68"/>
      <c r="AM46" s="35">
        <v>1</v>
      </c>
      <c r="AN46" s="14">
        <f t="shared" si="27"/>
        <v>27</v>
      </c>
      <c r="AO46" s="35">
        <v>3</v>
      </c>
      <c r="AP46" s="15">
        <v>9</v>
      </c>
      <c r="AQ46" s="35">
        <v>1</v>
      </c>
      <c r="AS46" s="90"/>
      <c r="AT46" s="83"/>
      <c r="AU46" s="83"/>
      <c r="AV46" s="83"/>
      <c r="AW46" s="14">
        <f t="shared" si="28"/>
        <v>0</v>
      </c>
      <c r="BA46" s="15">
        <v>33</v>
      </c>
      <c r="BB46" s="15">
        <f>INDEX(节奏总纲!J:J,MATCH(BA46,节奏总纲!I:I,0))</f>
        <v>46.082812923199413</v>
      </c>
      <c r="BC46" s="66">
        <f t="shared" ref="BC46:BC62" si="30">INT(求节点($BE$14:$BE$15,$BF$14:$BF$15,BA46))/100</f>
        <v>1.08</v>
      </c>
    </row>
    <row r="47" spans="2:60" ht="13.5" hidden="1" customHeight="1" x14ac:dyDescent="0.15">
      <c r="B47" s="17"/>
      <c r="C47" s="86" t="s">
        <v>65</v>
      </c>
      <c r="D47" s="35" t="s">
        <v>117</v>
      </c>
      <c r="E47" s="14"/>
      <c r="F47" s="35">
        <v>1</v>
      </c>
      <c r="G47" s="35">
        <v>80</v>
      </c>
      <c r="H47" s="25">
        <f>IF(F47=1,G47,G47-G46)</f>
        <v>80</v>
      </c>
      <c r="I47" s="35">
        <v>28</v>
      </c>
      <c r="J47" s="35">
        <v>150</v>
      </c>
      <c r="K47" s="13">
        <v>0.1</v>
      </c>
      <c r="L47" s="35">
        <v>225</v>
      </c>
      <c r="M47" s="25">
        <f>(I47*J47*K47*1.5+I47*J47*(1-K47))*1.5/G47/100*((L47-180)/180+1)</f>
        <v>1.0335937500000001</v>
      </c>
      <c r="N47" s="28">
        <f t="shared" ref="N47:N49" si="31">INT(G47*0.5)</f>
        <v>40</v>
      </c>
      <c r="T47" s="28">
        <f t="shared" si="11"/>
        <v>6025</v>
      </c>
      <c r="U47" s="26">
        <f t="shared" si="12"/>
        <v>958</v>
      </c>
      <c r="V47" s="28">
        <f t="shared" si="13"/>
        <v>10</v>
      </c>
      <c r="W47" s="14">
        <f t="shared" si="6"/>
        <v>24</v>
      </c>
      <c r="X47" s="39">
        <f t="shared" si="7"/>
        <v>63.86666666666666</v>
      </c>
      <c r="Y47" s="15">
        <v>1</v>
      </c>
      <c r="AD47">
        <v>7</v>
      </c>
      <c r="AE47" s="80"/>
      <c r="AF47" s="80"/>
      <c r="AG47" s="62">
        <f t="shared" si="29"/>
        <v>0.01</v>
      </c>
      <c r="AH47" s="35">
        <v>5</v>
      </c>
      <c r="AI47" s="35">
        <v>10</v>
      </c>
      <c r="AJ47" s="35">
        <v>6224</v>
      </c>
      <c r="AK47" s="68"/>
      <c r="AL47" s="68"/>
      <c r="AM47" s="35">
        <v>1</v>
      </c>
      <c r="AN47" s="14">
        <f t="shared" si="27"/>
        <v>4</v>
      </c>
      <c r="AO47" s="35">
        <v>4</v>
      </c>
      <c r="AP47" s="15">
        <v>1</v>
      </c>
      <c r="AQ47" s="35">
        <v>1</v>
      </c>
      <c r="AS47" s="89">
        <f>AS45+AN45*INDEX(X:X,MATCH(AJ45,T:T,0))+AN46*INDEX(X:X,MATCH(AJ46,T:T,0))</f>
        <v>6905.2</v>
      </c>
      <c r="AT47" s="82"/>
      <c r="AU47" s="82"/>
      <c r="AV47" s="82">
        <f>ROUND((AS47*$AH$17*50/4/4)/(((INDEX(V:V,MATCH(AJ47,T:T,0))*INDEX(U:U,MATCH(AJ47,T:T,0)))*AP47/AM47/AQ47)+((INDEX(V:V,MATCH(AJ48,T:T,0))*INDEX(U:U,MATCH(AJ48,T:T,0)))*AP48/AM48/AQ48)),2)</f>
        <v>0.78</v>
      </c>
      <c r="AW47" s="14">
        <f t="shared" si="28"/>
        <v>6.18</v>
      </c>
      <c r="BA47" s="15">
        <v>34</v>
      </c>
      <c r="BB47" s="15">
        <f>INDEX(节奏总纲!J:J,MATCH(BA47,节奏总纲!I:I,0))</f>
        <v>54.110931329932889</v>
      </c>
      <c r="BC47" s="66">
        <f t="shared" si="30"/>
        <v>1.1200000000000001</v>
      </c>
    </row>
    <row r="48" spans="2:60" hidden="1" x14ac:dyDescent="0.15">
      <c r="C48" s="87"/>
      <c r="D48" s="35" t="s">
        <v>117</v>
      </c>
      <c r="E48" s="14"/>
      <c r="F48" s="35">
        <v>2</v>
      </c>
      <c r="G48" s="33">
        <f>G47*$D$9</f>
        <v>240</v>
      </c>
      <c r="H48" s="25">
        <f t="shared" ref="H48:H49" si="32">IF(F48=1,G48,G48-G47)</f>
        <v>160</v>
      </c>
      <c r="I48" s="35">
        <v>70</v>
      </c>
      <c r="J48" s="35">
        <v>160</v>
      </c>
      <c r="K48" s="13">
        <v>0.2</v>
      </c>
      <c r="L48" s="35">
        <v>250</v>
      </c>
      <c r="M48" s="25">
        <f t="shared" ref="M48:M52" si="33">(I48*J48*K48*1.5+I48*J48*(1-K48))*1.5/G48/100*((L48-180)/180+1)</f>
        <v>1.0694444444444444</v>
      </c>
      <c r="N48" s="28">
        <f t="shared" si="31"/>
        <v>120</v>
      </c>
      <c r="T48" s="28">
        <f t="shared" si="11"/>
        <v>6026</v>
      </c>
      <c r="U48" s="26">
        <f t="shared" si="12"/>
        <v>1053</v>
      </c>
      <c r="V48" s="28">
        <f t="shared" si="13"/>
        <v>10</v>
      </c>
      <c r="W48" s="14">
        <f t="shared" si="6"/>
        <v>26</v>
      </c>
      <c r="X48" s="39">
        <f t="shared" si="7"/>
        <v>70.2</v>
      </c>
      <c r="Y48" s="15">
        <v>1</v>
      </c>
      <c r="AD48">
        <v>8</v>
      </c>
      <c r="AE48" s="81"/>
      <c r="AF48" s="81"/>
      <c r="AG48" s="25">
        <f t="shared" si="29"/>
        <v>0.01</v>
      </c>
      <c r="AH48" s="35">
        <v>5</v>
      </c>
      <c r="AI48" s="35">
        <v>10</v>
      </c>
      <c r="AJ48" s="35">
        <v>6215</v>
      </c>
      <c r="AK48" s="68"/>
      <c r="AL48" s="68"/>
      <c r="AM48" s="35">
        <v>1</v>
      </c>
      <c r="AN48" s="14">
        <f t="shared" si="27"/>
        <v>64</v>
      </c>
      <c r="AO48" s="35">
        <v>4</v>
      </c>
      <c r="AP48" s="15">
        <v>16</v>
      </c>
      <c r="AQ48" s="35">
        <v>1</v>
      </c>
      <c r="AS48" s="90"/>
      <c r="AT48" s="83"/>
      <c r="AU48" s="83"/>
      <c r="AV48" s="83"/>
      <c r="AW48" s="14">
        <f t="shared" si="28"/>
        <v>0</v>
      </c>
      <c r="BA48" s="15">
        <v>35</v>
      </c>
      <c r="BB48" s="15">
        <f>INDEX(节奏总纲!J:J,MATCH(BA48,节奏总纲!I:I,0))</f>
        <v>63.5</v>
      </c>
      <c r="BC48" s="66">
        <f t="shared" si="30"/>
        <v>1.1499999999999999</v>
      </c>
    </row>
    <row r="49" spans="3:55" hidden="1" x14ac:dyDescent="0.15">
      <c r="C49" s="87"/>
      <c r="D49" s="35" t="s">
        <v>117</v>
      </c>
      <c r="E49" s="14"/>
      <c r="F49" s="35">
        <v>3</v>
      </c>
      <c r="G49" s="33">
        <f>G47*$D$10</f>
        <v>480</v>
      </c>
      <c r="H49" s="25">
        <f t="shared" si="32"/>
        <v>240</v>
      </c>
      <c r="I49" s="35">
        <v>110</v>
      </c>
      <c r="J49" s="35">
        <v>170</v>
      </c>
      <c r="K49" s="13">
        <v>0.3</v>
      </c>
      <c r="L49" s="35">
        <v>275</v>
      </c>
      <c r="M49" s="25">
        <f t="shared" si="33"/>
        <v>1.0267144097222221</v>
      </c>
      <c r="N49" s="28">
        <f t="shared" si="31"/>
        <v>240</v>
      </c>
      <c r="T49" s="28">
        <f t="shared" si="11"/>
        <v>6027</v>
      </c>
      <c r="U49" s="26">
        <f t="shared" si="12"/>
        <v>1158</v>
      </c>
      <c r="V49" s="28">
        <f t="shared" si="13"/>
        <v>10</v>
      </c>
      <c r="W49" s="14">
        <f t="shared" si="6"/>
        <v>28</v>
      </c>
      <c r="X49" s="39">
        <f t="shared" si="7"/>
        <v>77.2</v>
      </c>
      <c r="Y49" s="15">
        <v>1</v>
      </c>
      <c r="AE49" s="71"/>
      <c r="AF49" s="71"/>
      <c r="AG49" s="72"/>
      <c r="AH49" s="71"/>
      <c r="AI49" s="71"/>
      <c r="AJ49" s="71"/>
      <c r="AK49" s="73"/>
      <c r="AL49" s="73"/>
      <c r="AM49" s="71"/>
      <c r="AN49" s="74"/>
      <c r="AO49" s="71"/>
      <c r="AP49" s="75"/>
      <c r="AQ49" s="71"/>
      <c r="AS49" s="72"/>
      <c r="AT49" s="74"/>
      <c r="AU49" s="74"/>
      <c r="AV49" s="74"/>
      <c r="AW49" s="74"/>
      <c r="BA49" s="15">
        <v>36</v>
      </c>
      <c r="BB49" s="15">
        <f>INDEX(节奏总纲!J:J,MATCH(BA49,节奏总纲!I:I,0))</f>
        <v>73.746861667008318</v>
      </c>
      <c r="BC49" s="66">
        <f t="shared" si="30"/>
        <v>1.19</v>
      </c>
    </row>
    <row r="50" spans="3:55" x14ac:dyDescent="0.15">
      <c r="C50" s="87"/>
      <c r="D50" s="35" t="s">
        <v>117</v>
      </c>
      <c r="E50" s="14"/>
      <c r="F50" s="35">
        <v>4</v>
      </c>
      <c r="G50" s="33">
        <f>G47*$D$11</f>
        <v>800</v>
      </c>
      <c r="H50" s="25">
        <f t="shared" ref="H50:H52" si="34">IF(F50=1,G50,G50-G49)</f>
        <v>320</v>
      </c>
      <c r="I50" s="35">
        <v>155</v>
      </c>
      <c r="J50" s="35">
        <v>180</v>
      </c>
      <c r="K50" s="13">
        <v>0.4</v>
      </c>
      <c r="L50" s="35">
        <v>300</v>
      </c>
      <c r="M50" s="25">
        <f t="shared" si="33"/>
        <v>1.0462499999999999</v>
      </c>
      <c r="N50" s="28">
        <f t="shared" ref="N50:N55" si="35">INT(G50*0.5)</f>
        <v>400</v>
      </c>
      <c r="T50" s="28">
        <f t="shared" si="11"/>
        <v>6028</v>
      </c>
      <c r="U50" s="26">
        <f t="shared" si="12"/>
        <v>1273</v>
      </c>
      <c r="V50" s="28">
        <f t="shared" si="13"/>
        <v>10</v>
      </c>
      <c r="W50" s="14">
        <f t="shared" si="6"/>
        <v>30</v>
      </c>
      <c r="X50" s="39">
        <f t="shared" si="7"/>
        <v>84.86666666666666</v>
      </c>
      <c r="Y50" s="15">
        <v>1</v>
      </c>
      <c r="AD50" s="37" t="s">
        <v>144</v>
      </c>
      <c r="AE50" s="79">
        <v>1</v>
      </c>
      <c r="AF50" s="79">
        <v>1</v>
      </c>
      <c r="AG50" s="63">
        <f>INDEX($BC$14:$BC$77,MATCH(AF50,$BA$14:$BA$77))</f>
        <v>0.01</v>
      </c>
      <c r="AH50" s="60">
        <v>1</v>
      </c>
      <c r="AI50" s="60">
        <v>10</v>
      </c>
      <c r="AJ50" s="60">
        <v>6205</v>
      </c>
      <c r="AK50" s="68">
        <f>INDEX(U:U,MATCH($AJ50,T:T,0))</f>
        <v>292</v>
      </c>
      <c r="AL50" s="68">
        <f>INDEX(V:V,MATCH($AJ50,T:T,0))</f>
        <v>30</v>
      </c>
      <c r="AM50" s="60">
        <v>10</v>
      </c>
      <c r="AN50" s="14">
        <f>AO50*AP50</f>
        <v>1</v>
      </c>
      <c r="AO50" s="60">
        <v>1</v>
      </c>
      <c r="AP50" s="60">
        <v>1</v>
      </c>
      <c r="AQ50" s="60">
        <v>1</v>
      </c>
      <c r="AS50" s="15">
        <f>$AH$18</f>
        <v>200</v>
      </c>
      <c r="AT50" s="14">
        <f>ROUND(($AS50*$AH$17*50/4/4),2)*AP50^0.5</f>
        <v>9375</v>
      </c>
      <c r="AU50" s="14">
        <f>((INDEX($V:$V,MATCH($AJ50,$T:$T,0))*INDEX($U:$U,MATCH($AJ50,$T:$T,0)))*$AP50/$AM50/$AQ50*5)</f>
        <v>4380</v>
      </c>
      <c r="AV50" s="65">
        <f>AT50/AU50*10/AL50</f>
        <v>0.7134703196347032</v>
      </c>
      <c r="AW50" s="65">
        <f>(1+AG50)*AV50</f>
        <v>0.72060502283105021</v>
      </c>
      <c r="BA50" s="15">
        <v>37</v>
      </c>
      <c r="BB50" s="15">
        <f>INDEX(节奏总纲!J:J,MATCH(BA50,节奏总纲!I:I,0))</f>
        <v>85.62747641525452</v>
      </c>
      <c r="BC50" s="66">
        <f t="shared" si="30"/>
        <v>1.22</v>
      </c>
    </row>
    <row r="51" spans="3:55" x14ac:dyDescent="0.15">
      <c r="C51" s="87"/>
      <c r="D51" s="35" t="s">
        <v>117</v>
      </c>
      <c r="E51" s="14"/>
      <c r="F51" s="35">
        <v>5</v>
      </c>
      <c r="G51" s="33">
        <f>G47*$D$12</f>
        <v>1200</v>
      </c>
      <c r="H51" s="25">
        <f t="shared" si="34"/>
        <v>400</v>
      </c>
      <c r="I51" s="35">
        <v>200</v>
      </c>
      <c r="J51" s="35">
        <v>190</v>
      </c>
      <c r="K51" s="13">
        <v>0.5</v>
      </c>
      <c r="L51" s="35">
        <v>325</v>
      </c>
      <c r="M51" s="25">
        <f t="shared" si="33"/>
        <v>1.0720486111111112</v>
      </c>
      <c r="N51" s="28">
        <f t="shared" si="35"/>
        <v>600</v>
      </c>
      <c r="T51" s="28">
        <f t="shared" si="11"/>
        <v>6029</v>
      </c>
      <c r="U51" s="26">
        <f t="shared" si="12"/>
        <v>1400</v>
      </c>
      <c r="V51" s="28">
        <f t="shared" si="13"/>
        <v>10</v>
      </c>
      <c r="W51" s="14">
        <f t="shared" si="6"/>
        <v>32</v>
      </c>
      <c r="X51" s="39">
        <f t="shared" si="7"/>
        <v>93.333333333333343</v>
      </c>
      <c r="Y51" s="15">
        <v>1</v>
      </c>
      <c r="AE51" s="80"/>
      <c r="AF51" s="80"/>
      <c r="AG51" s="70">
        <f>AG50</f>
        <v>0.01</v>
      </c>
      <c r="AH51" s="60">
        <v>2</v>
      </c>
      <c r="AI51" s="60">
        <v>10</v>
      </c>
      <c r="AJ51" s="60">
        <v>6208</v>
      </c>
      <c r="AK51" s="68">
        <f t="shared" ref="AK51:AK52" si="36">INDEX(U:U,MATCH($AJ51,T:T,0))</f>
        <v>388</v>
      </c>
      <c r="AL51" s="68">
        <f t="shared" ref="AL51:AL52" si="37">INDEX(V:V,MATCH($AJ51,T:T,0))</f>
        <v>30</v>
      </c>
      <c r="AM51" s="60">
        <v>10</v>
      </c>
      <c r="AN51" s="14">
        <f t="shared" ref="AN51:AN52" si="38">AO51*AP51</f>
        <v>1</v>
      </c>
      <c r="AO51" s="60">
        <v>1</v>
      </c>
      <c r="AP51" s="60">
        <v>1</v>
      </c>
      <c r="AQ51" s="60">
        <v>1</v>
      </c>
      <c r="AS51" s="25">
        <f t="shared" ref="AS51:AS56" si="39">AS50+AN50*INDEX(X:X,MATCH(AJ50,T:T,0))</f>
        <v>258.39999999999998</v>
      </c>
      <c r="AT51" s="14">
        <f t="shared" ref="AT51:AT57" si="40">ROUND(($AS51*$AH$17*50/4/4),2)*AP51^0.5</f>
        <v>12112.5</v>
      </c>
      <c r="AU51" s="14">
        <f t="shared" ref="AU51:AU57" si="41">((INDEX($V:$V,MATCH($AJ51,$T:$T,0))*INDEX($U:$U,MATCH($AJ51,$T:$T,0)))*$AP51/$AM51/$AQ51*5)</f>
        <v>5820</v>
      </c>
      <c r="AV51" s="65">
        <f t="shared" ref="AV51:AV57" si="42">AT51/AU51*10/AL51</f>
        <v>0.69372852233676974</v>
      </c>
      <c r="AW51" s="65">
        <f t="shared" ref="AW51:AW56" si="43">(1+AG51)*AV51</f>
        <v>0.70066580756013741</v>
      </c>
      <c r="BA51" s="15">
        <v>38</v>
      </c>
      <c r="BB51" s="15">
        <f>INDEX(节奏总纲!J:J,MATCH(BA51,节奏总纲!I:I,0))</f>
        <v>99.401036064365428</v>
      </c>
      <c r="BC51" s="66">
        <f t="shared" si="30"/>
        <v>1.25</v>
      </c>
    </row>
    <row r="52" spans="3:55" x14ac:dyDescent="0.15">
      <c r="C52" s="88"/>
      <c r="D52" s="35" t="s">
        <v>117</v>
      </c>
      <c r="E52" s="14"/>
      <c r="F52" s="35">
        <v>6</v>
      </c>
      <c r="G52" s="33">
        <f>G47*$D$13</f>
        <v>1680</v>
      </c>
      <c r="H52" s="25">
        <f t="shared" si="34"/>
        <v>480</v>
      </c>
      <c r="I52" s="35">
        <v>240</v>
      </c>
      <c r="J52" s="35">
        <v>200</v>
      </c>
      <c r="K52" s="13">
        <v>0.6</v>
      </c>
      <c r="L52" s="35">
        <v>350</v>
      </c>
      <c r="M52" s="25">
        <f t="shared" si="33"/>
        <v>1.0833333333333333</v>
      </c>
      <c r="N52" s="28">
        <f t="shared" si="35"/>
        <v>840</v>
      </c>
      <c r="T52" s="28">
        <f t="shared" si="11"/>
        <v>6030</v>
      </c>
      <c r="U52" s="26">
        <f t="shared" si="12"/>
        <v>1540</v>
      </c>
      <c r="V52" s="28">
        <f t="shared" si="13"/>
        <v>10</v>
      </c>
      <c r="W52" s="14">
        <f t="shared" si="6"/>
        <v>36</v>
      </c>
      <c r="X52" s="39">
        <f t="shared" si="7"/>
        <v>102.66666666666667</v>
      </c>
      <c r="Y52" s="15">
        <v>1</v>
      </c>
      <c r="AE52" s="80"/>
      <c r="AF52" s="80"/>
      <c r="AG52" s="70">
        <f t="shared" ref="AG52:AG56" si="44">AG51</f>
        <v>0.01</v>
      </c>
      <c r="AH52" s="60">
        <v>3</v>
      </c>
      <c r="AI52" s="60">
        <v>10</v>
      </c>
      <c r="AJ52" s="60">
        <v>6213</v>
      </c>
      <c r="AK52" s="68">
        <f t="shared" si="36"/>
        <v>621</v>
      </c>
      <c r="AL52" s="68">
        <f t="shared" si="37"/>
        <v>30</v>
      </c>
      <c r="AM52" s="60">
        <v>10</v>
      </c>
      <c r="AN52" s="14">
        <f t="shared" si="38"/>
        <v>1</v>
      </c>
      <c r="AO52" s="60">
        <v>1</v>
      </c>
      <c r="AP52" s="60">
        <v>1</v>
      </c>
      <c r="AQ52" s="60">
        <v>1</v>
      </c>
      <c r="AS52" s="25">
        <f t="shared" si="39"/>
        <v>336</v>
      </c>
      <c r="AT52" s="14">
        <f t="shared" si="40"/>
        <v>15750</v>
      </c>
      <c r="AU52" s="14">
        <f t="shared" si="41"/>
        <v>9315</v>
      </c>
      <c r="AV52" s="65">
        <f t="shared" si="42"/>
        <v>0.56360708534621584</v>
      </c>
      <c r="AW52" s="65">
        <f t="shared" si="43"/>
        <v>0.56924315619967802</v>
      </c>
      <c r="BA52" s="15">
        <v>39</v>
      </c>
      <c r="BB52" s="15">
        <f>INDEX(节奏总纲!J:J,MATCH(BA52,节奏总纲!I:I,0))</f>
        <v>115.36769098598003</v>
      </c>
      <c r="BC52" s="66">
        <f t="shared" si="30"/>
        <v>1.29</v>
      </c>
    </row>
    <row r="53" spans="3:55" ht="13.5" customHeight="1" x14ac:dyDescent="0.15">
      <c r="C53" s="86" t="s">
        <v>66</v>
      </c>
      <c r="D53" s="35" t="s">
        <v>69</v>
      </c>
      <c r="E53" s="14"/>
      <c r="F53" s="35">
        <v>1</v>
      </c>
      <c r="G53" s="35">
        <v>40</v>
      </c>
      <c r="H53" s="25">
        <f>IF(F53=1,G53,G53-G64)</f>
        <v>40</v>
      </c>
      <c r="I53" s="35">
        <v>18</v>
      </c>
      <c r="J53" s="27">
        <v>175</v>
      </c>
      <c r="K53" s="13">
        <v>0.1</v>
      </c>
      <c r="L53" s="35">
        <v>225</v>
      </c>
      <c r="M53" s="14">
        <f t="shared" ref="M53:M59" si="45">(I53*J53*K53*1.5+I53*J53*(1-K53))/G53/100*((L53-180)/180+1)</f>
        <v>1.0335937500000001</v>
      </c>
      <c r="N53" s="28">
        <f t="shared" si="35"/>
        <v>20</v>
      </c>
      <c r="T53" s="28">
        <f t="shared" si="11"/>
        <v>6031</v>
      </c>
      <c r="U53" s="26">
        <f t="shared" si="12"/>
        <v>1694</v>
      </c>
      <c r="V53" s="28">
        <f t="shared" si="13"/>
        <v>10</v>
      </c>
      <c r="W53" s="14">
        <f t="shared" si="6"/>
        <v>40</v>
      </c>
      <c r="X53" s="39">
        <f t="shared" si="7"/>
        <v>112.93333333333332</v>
      </c>
      <c r="Y53" s="15">
        <v>1</v>
      </c>
      <c r="AE53" s="80"/>
      <c r="AF53" s="80"/>
      <c r="AG53" s="70">
        <f t="shared" si="44"/>
        <v>0.01</v>
      </c>
      <c r="AH53" s="60"/>
      <c r="AI53" s="60"/>
      <c r="AJ53" s="60"/>
      <c r="AK53" s="68"/>
      <c r="AL53" s="68"/>
      <c r="AM53" s="60"/>
      <c r="AN53" s="14"/>
      <c r="AO53" s="60"/>
      <c r="AP53" s="60"/>
      <c r="AQ53" s="60"/>
      <c r="AS53" s="25">
        <f t="shared" si="39"/>
        <v>460.2</v>
      </c>
      <c r="AT53" s="14">
        <f t="shared" si="40"/>
        <v>0</v>
      </c>
      <c r="AU53" s="14" t="e">
        <f t="shared" si="41"/>
        <v>#N/A</v>
      </c>
      <c r="AV53" s="65" t="e">
        <f t="shared" si="42"/>
        <v>#N/A</v>
      </c>
      <c r="AW53" s="65" t="e">
        <f t="shared" si="43"/>
        <v>#N/A</v>
      </c>
      <c r="BA53" s="15">
        <v>40</v>
      </c>
      <c r="BB53" s="15">
        <f>INDEX(节奏总纲!J:J,MATCH(BA53,节奏总纲!I:I,0))</f>
        <v>133.875</v>
      </c>
      <c r="BC53" s="66">
        <f t="shared" si="30"/>
        <v>1.32</v>
      </c>
    </row>
    <row r="54" spans="3:55" x14ac:dyDescent="0.15">
      <c r="C54" s="87"/>
      <c r="D54" s="35" t="s">
        <v>69</v>
      </c>
      <c r="E54" s="14"/>
      <c r="F54" s="35">
        <v>2</v>
      </c>
      <c r="G54" s="33">
        <f>G53*$D$9</f>
        <v>120</v>
      </c>
      <c r="H54" s="25">
        <f t="shared" ref="H54:H58" si="46">IF(F54=1,G54,G54-G53)</f>
        <v>80</v>
      </c>
      <c r="I54" s="35">
        <v>50</v>
      </c>
      <c r="J54" s="27">
        <v>190</v>
      </c>
      <c r="K54" s="13">
        <v>0.2</v>
      </c>
      <c r="L54" s="35">
        <v>225</v>
      </c>
      <c r="M54" s="14">
        <f t="shared" si="45"/>
        <v>1.0885416666666665</v>
      </c>
      <c r="N54" s="28">
        <f t="shared" si="35"/>
        <v>60</v>
      </c>
      <c r="T54" s="28">
        <f t="shared" si="11"/>
        <v>6032</v>
      </c>
      <c r="U54" s="26">
        <f t="shared" si="12"/>
        <v>1863</v>
      </c>
      <c r="V54" s="28">
        <f t="shared" si="13"/>
        <v>10</v>
      </c>
      <c r="W54" s="14">
        <f t="shared" si="6"/>
        <v>42</v>
      </c>
      <c r="X54" s="39">
        <f t="shared" si="7"/>
        <v>124.2</v>
      </c>
      <c r="Y54" s="15">
        <v>1</v>
      </c>
      <c r="AE54" s="80"/>
      <c r="AF54" s="80"/>
      <c r="AG54" s="70">
        <f t="shared" si="44"/>
        <v>0.01</v>
      </c>
      <c r="AH54" s="60"/>
      <c r="AI54" s="60"/>
      <c r="AJ54" s="60"/>
      <c r="AK54" s="68"/>
      <c r="AL54" s="68"/>
      <c r="AM54" s="60"/>
      <c r="AN54" s="14"/>
      <c r="AO54" s="60"/>
      <c r="AP54" s="60"/>
      <c r="AQ54" s="60"/>
      <c r="AS54" s="25" t="e">
        <f t="shared" si="39"/>
        <v>#N/A</v>
      </c>
      <c r="AT54" s="14" t="e">
        <f t="shared" si="40"/>
        <v>#N/A</v>
      </c>
      <c r="AU54" s="14" t="e">
        <f t="shared" si="41"/>
        <v>#N/A</v>
      </c>
      <c r="AV54" s="65" t="e">
        <f t="shared" si="42"/>
        <v>#N/A</v>
      </c>
      <c r="AW54" s="65" t="e">
        <f t="shared" si="43"/>
        <v>#N/A</v>
      </c>
      <c r="BA54" s="15">
        <v>41</v>
      </c>
      <c r="BB54" s="15">
        <f>INDEX(节奏总纲!J:J,MATCH(BA54,节奏总纲!I:I,0))</f>
        <v>155.32539280599755</v>
      </c>
      <c r="BC54" s="66">
        <f t="shared" si="30"/>
        <v>1.35</v>
      </c>
    </row>
    <row r="55" spans="3:55" x14ac:dyDescent="0.15">
      <c r="C55" s="87"/>
      <c r="D55" s="35" t="s">
        <v>69</v>
      </c>
      <c r="E55" s="14"/>
      <c r="F55" s="35">
        <v>3</v>
      </c>
      <c r="G55" s="33">
        <f>G53*$D$10</f>
        <v>240</v>
      </c>
      <c r="H55" s="25">
        <f t="shared" si="46"/>
        <v>120</v>
      </c>
      <c r="I55" s="35">
        <v>85</v>
      </c>
      <c r="J55" s="27">
        <v>205</v>
      </c>
      <c r="K55" s="13">
        <v>0.3</v>
      </c>
      <c r="L55" s="35">
        <v>225</v>
      </c>
      <c r="M55" s="14">
        <f t="shared" si="45"/>
        <v>1.0436848958333333</v>
      </c>
      <c r="N55" s="28">
        <f t="shared" si="35"/>
        <v>120</v>
      </c>
      <c r="T55" s="28">
        <f t="shared" si="11"/>
        <v>6033</v>
      </c>
      <c r="U55" s="26">
        <f t="shared" si="12"/>
        <v>2049</v>
      </c>
      <c r="V55" s="28">
        <f t="shared" si="13"/>
        <v>10</v>
      </c>
      <c r="W55" s="14">
        <f t="shared" si="6"/>
        <v>46</v>
      </c>
      <c r="X55" s="39">
        <f t="shared" si="7"/>
        <v>136.6</v>
      </c>
      <c r="Y55" s="15">
        <v>1</v>
      </c>
      <c r="AE55" s="80"/>
      <c r="AF55" s="80"/>
      <c r="AG55" s="70">
        <f t="shared" si="44"/>
        <v>0.01</v>
      </c>
      <c r="AH55" s="60"/>
      <c r="AI55" s="60"/>
      <c r="AJ55" s="60"/>
      <c r="AK55" s="68"/>
      <c r="AL55" s="68"/>
      <c r="AM55" s="60"/>
      <c r="AN55" s="14"/>
      <c r="AO55" s="60"/>
      <c r="AP55" s="15"/>
      <c r="AQ55" s="60"/>
      <c r="AS55" s="25" t="e">
        <f t="shared" si="39"/>
        <v>#N/A</v>
      </c>
      <c r="AT55" s="14" t="e">
        <f t="shared" si="40"/>
        <v>#N/A</v>
      </c>
      <c r="AU55" s="14" t="e">
        <f t="shared" si="41"/>
        <v>#N/A</v>
      </c>
      <c r="AV55" s="65" t="e">
        <f t="shared" si="42"/>
        <v>#N/A</v>
      </c>
      <c r="AW55" s="65" t="e">
        <f t="shared" si="43"/>
        <v>#N/A</v>
      </c>
      <c r="BA55" s="15">
        <v>42</v>
      </c>
      <c r="BB55" s="15">
        <f>INDEX(节奏总纲!J:J,MATCH(BA55,节奏总纲!I:I,0))</f>
        <v>180.18480345945557</v>
      </c>
      <c r="BC55" s="66">
        <f t="shared" si="30"/>
        <v>1.39</v>
      </c>
    </row>
    <row r="56" spans="3:55" x14ac:dyDescent="0.15">
      <c r="C56" s="87"/>
      <c r="D56" s="35" t="s">
        <v>69</v>
      </c>
      <c r="E56" s="14"/>
      <c r="F56" s="35">
        <v>4</v>
      </c>
      <c r="G56" s="33">
        <f>G53*$D$11</f>
        <v>400</v>
      </c>
      <c r="H56" s="25">
        <f t="shared" si="46"/>
        <v>160</v>
      </c>
      <c r="I56" s="35">
        <v>125</v>
      </c>
      <c r="J56" s="27">
        <v>220</v>
      </c>
      <c r="K56" s="13">
        <v>0.4</v>
      </c>
      <c r="L56" s="35">
        <v>225</v>
      </c>
      <c r="M56" s="14">
        <f t="shared" si="45"/>
        <v>1.03125</v>
      </c>
      <c r="N56" s="28">
        <f t="shared" ref="N56:N58" si="47">INT(G56*0.5)</f>
        <v>200</v>
      </c>
      <c r="T56" s="28">
        <f t="shared" si="11"/>
        <v>6034</v>
      </c>
      <c r="U56" s="26">
        <f t="shared" si="12"/>
        <v>2253</v>
      </c>
      <c r="V56" s="28">
        <f t="shared" si="13"/>
        <v>10</v>
      </c>
      <c r="W56" s="14">
        <f t="shared" si="6"/>
        <v>52</v>
      </c>
      <c r="X56" s="39">
        <f t="shared" si="7"/>
        <v>150.19999999999999</v>
      </c>
      <c r="Y56" s="15">
        <v>1</v>
      </c>
      <c r="AE56" s="80"/>
      <c r="AF56" s="80"/>
      <c r="AG56" s="70">
        <f t="shared" si="44"/>
        <v>0.01</v>
      </c>
      <c r="AH56" s="60"/>
      <c r="AI56" s="60"/>
      <c r="AJ56" s="60"/>
      <c r="AK56" s="68"/>
      <c r="AL56" s="68"/>
      <c r="AM56" s="60"/>
      <c r="AN56" s="14"/>
      <c r="AO56" s="60"/>
      <c r="AP56" s="15"/>
      <c r="AQ56" s="60"/>
      <c r="AS56" s="25" t="e">
        <f t="shared" si="39"/>
        <v>#N/A</v>
      </c>
      <c r="AT56" s="14" t="e">
        <f t="shared" si="40"/>
        <v>#N/A</v>
      </c>
      <c r="AU56" s="14" t="e">
        <f t="shared" si="41"/>
        <v>#N/A</v>
      </c>
      <c r="AV56" s="65" t="e">
        <f t="shared" si="42"/>
        <v>#N/A</v>
      </c>
      <c r="AW56" s="65" t="e">
        <f t="shared" si="43"/>
        <v>#N/A</v>
      </c>
      <c r="BA56" s="15">
        <v>43</v>
      </c>
      <c r="BB56" s="15">
        <f>INDEX(节奏总纲!J:J,MATCH(BA56,节奏总纲!I:I,0))</f>
        <v>208.99265815439742</v>
      </c>
      <c r="BC56" s="66">
        <f t="shared" si="30"/>
        <v>1.42</v>
      </c>
    </row>
    <row r="57" spans="3:55" x14ac:dyDescent="0.15">
      <c r="C57" s="87"/>
      <c r="D57" s="35" t="s">
        <v>69</v>
      </c>
      <c r="E57" s="14"/>
      <c r="F57" s="35">
        <v>5</v>
      </c>
      <c r="G57" s="33">
        <f>G53*$D$12</f>
        <v>600</v>
      </c>
      <c r="H57" s="25">
        <f t="shared" si="46"/>
        <v>200</v>
      </c>
      <c r="I57" s="35">
        <v>175</v>
      </c>
      <c r="J57" s="27">
        <v>235</v>
      </c>
      <c r="K57" s="13">
        <v>0.5</v>
      </c>
      <c r="L57" s="35">
        <v>225</v>
      </c>
      <c r="M57" s="14">
        <f t="shared" si="45"/>
        <v>1.0709635416666665</v>
      </c>
      <c r="N57" s="28">
        <f t="shared" si="47"/>
        <v>300</v>
      </c>
      <c r="T57" s="28">
        <f t="shared" si="11"/>
        <v>6035</v>
      </c>
      <c r="U57" s="26">
        <f t="shared" si="12"/>
        <v>2478</v>
      </c>
      <c r="V57" s="28">
        <f t="shared" si="13"/>
        <v>10</v>
      </c>
      <c r="W57" s="14">
        <f t="shared" si="6"/>
        <v>56</v>
      </c>
      <c r="X57" s="39">
        <f t="shared" si="7"/>
        <v>165.2</v>
      </c>
      <c r="Y57" s="15">
        <v>1</v>
      </c>
      <c r="AE57" s="81"/>
      <c r="AF57" s="81"/>
      <c r="AG57" s="25"/>
      <c r="AH57" s="60"/>
      <c r="AI57" s="60"/>
      <c r="AJ57" s="60"/>
      <c r="AK57" s="68"/>
      <c r="AL57" s="68"/>
      <c r="AM57" s="60" t="str">
        <f t="shared" ref="AM57" si="48">IF(AP57="","",IF(AP57=1,5,10))</f>
        <v/>
      </c>
      <c r="AN57" s="14"/>
      <c r="AO57" s="60"/>
      <c r="AP57" s="15"/>
      <c r="AQ57" s="60"/>
      <c r="AS57" s="25"/>
      <c r="AT57" s="14">
        <f t="shared" si="40"/>
        <v>0</v>
      </c>
      <c r="AU57" s="14" t="e">
        <f t="shared" si="41"/>
        <v>#N/A</v>
      </c>
      <c r="AV57" s="65" t="e">
        <f t="shared" si="42"/>
        <v>#N/A</v>
      </c>
      <c r="AW57" s="65" t="e">
        <f>(1+AG57)*AV57</f>
        <v>#N/A</v>
      </c>
      <c r="BA57" s="15">
        <v>44</v>
      </c>
      <c r="BB57" s="15">
        <f>INDEX(节奏总纲!J:J,MATCH(BA57,节奏总纲!I:I,0))</f>
        <v>242.37342918215046</v>
      </c>
      <c r="BC57" s="66">
        <f t="shared" si="30"/>
        <v>1.46</v>
      </c>
    </row>
    <row r="58" spans="3:55" x14ac:dyDescent="0.15">
      <c r="C58" s="88"/>
      <c r="D58" s="35" t="s">
        <v>69</v>
      </c>
      <c r="E58" s="14"/>
      <c r="F58" s="35">
        <v>6</v>
      </c>
      <c r="G58" s="33">
        <f>G53*$D$13</f>
        <v>840</v>
      </c>
      <c r="H58" s="25">
        <f t="shared" si="46"/>
        <v>240</v>
      </c>
      <c r="I58" s="35">
        <v>215</v>
      </c>
      <c r="J58" s="27">
        <v>250</v>
      </c>
      <c r="K58" s="13">
        <v>0.6</v>
      </c>
      <c r="L58" s="35">
        <v>225</v>
      </c>
      <c r="M58" s="14">
        <f t="shared" si="45"/>
        <v>1.0398065476190477</v>
      </c>
      <c r="N58" s="28">
        <f t="shared" si="47"/>
        <v>420</v>
      </c>
      <c r="T58" s="28">
        <f t="shared" si="11"/>
        <v>6036</v>
      </c>
      <c r="U58" s="26">
        <f t="shared" si="12"/>
        <v>2725</v>
      </c>
      <c r="V58" s="28">
        <f t="shared" si="13"/>
        <v>10</v>
      </c>
      <c r="W58" s="14">
        <f t="shared" si="6"/>
        <v>60</v>
      </c>
      <c r="X58" s="39">
        <f t="shared" si="7"/>
        <v>181.66666666666669</v>
      </c>
      <c r="Y58" s="15">
        <v>1</v>
      </c>
      <c r="AE58" s="71"/>
      <c r="AF58" s="71"/>
      <c r="AG58" s="72"/>
      <c r="AH58" s="71"/>
      <c r="AI58" s="71"/>
      <c r="AJ58" s="71"/>
      <c r="AK58" s="73"/>
      <c r="AL58" s="73"/>
      <c r="AM58" s="71"/>
      <c r="AN58" s="74"/>
      <c r="AO58" s="71"/>
      <c r="AP58" s="75"/>
      <c r="AQ58" s="71"/>
      <c r="AS58" s="72"/>
      <c r="AT58" s="74"/>
      <c r="AU58" s="74"/>
      <c r="AV58" s="74"/>
      <c r="AW58" s="74"/>
      <c r="BA58" s="15">
        <v>45</v>
      </c>
      <c r="BB58" s="15">
        <f>INDEX(节奏总纲!J:J,MATCH(BA58,节奏总纲!I:I,0))</f>
        <v>281.05</v>
      </c>
      <c r="BC58" s="66">
        <f t="shared" si="30"/>
        <v>1.49</v>
      </c>
    </row>
    <row r="59" spans="3:55" x14ac:dyDescent="0.15">
      <c r="C59" s="86" t="s">
        <v>66</v>
      </c>
      <c r="D59" s="35" t="s">
        <v>67</v>
      </c>
      <c r="E59" s="14"/>
      <c r="F59" s="35">
        <v>1</v>
      </c>
      <c r="G59" s="35">
        <v>80</v>
      </c>
      <c r="H59" s="25">
        <f>IF(F59=1,G59,G59-G52)</f>
        <v>80</v>
      </c>
      <c r="I59" s="35">
        <v>36</v>
      </c>
      <c r="J59" s="27">
        <v>175</v>
      </c>
      <c r="K59" s="13">
        <v>0.1</v>
      </c>
      <c r="L59" s="35">
        <v>225</v>
      </c>
      <c r="M59" s="14">
        <f t="shared" si="45"/>
        <v>1.0335937500000001</v>
      </c>
      <c r="N59" s="28">
        <f t="shared" ref="N59:N61" si="49">INT(G59*0.5)</f>
        <v>40</v>
      </c>
      <c r="T59" s="28">
        <f t="shared" si="11"/>
        <v>6037</v>
      </c>
      <c r="U59" s="26">
        <f t="shared" si="12"/>
        <v>2997</v>
      </c>
      <c r="V59" s="28">
        <f t="shared" si="13"/>
        <v>10</v>
      </c>
      <c r="W59" s="14">
        <f t="shared" si="6"/>
        <v>66</v>
      </c>
      <c r="X59" s="39">
        <f t="shared" si="7"/>
        <v>199.8</v>
      </c>
      <c r="Y59" s="15">
        <v>1</v>
      </c>
      <c r="AE59" s="79">
        <f>AE50+1</f>
        <v>2</v>
      </c>
      <c r="AF59" s="79">
        <v>1</v>
      </c>
      <c r="AG59" s="63">
        <f>INDEX($BC$14:$BC$77,MATCH(AF59,$BA$14:$BA$77))</f>
        <v>0.01</v>
      </c>
      <c r="AH59" s="60">
        <v>1</v>
      </c>
      <c r="AI59" s="60">
        <v>10</v>
      </c>
      <c r="AJ59" s="60">
        <v>6106</v>
      </c>
      <c r="AK59" s="68">
        <f>INDEX(U:U,MATCH($AJ59,T:T,0))</f>
        <v>321</v>
      </c>
      <c r="AL59" s="68">
        <f>INDEX(V:V,MATCH($AJ59,T:T,0))</f>
        <v>20</v>
      </c>
      <c r="AM59" s="60">
        <v>10</v>
      </c>
      <c r="AN59" s="14">
        <f>AO59*AP59</f>
        <v>1</v>
      </c>
      <c r="AO59" s="60">
        <v>1</v>
      </c>
      <c r="AP59" s="60">
        <v>1</v>
      </c>
      <c r="AQ59" s="60">
        <v>1</v>
      </c>
      <c r="AS59" s="15">
        <f>$AH$18</f>
        <v>200</v>
      </c>
      <c r="AT59" s="14">
        <f>ROUND(($AS59*$AH$17*50/4/4),2)*AP59^0.5</f>
        <v>9375</v>
      </c>
      <c r="AU59" s="14">
        <f>((INDEX($V:$V,MATCH($AJ59,$T:$T,0))*INDEX($U:$U,MATCH($AJ59,$T:$T,0)))*$AP59/$AM59/$AQ59*5)</f>
        <v>3210</v>
      </c>
      <c r="AV59" s="65">
        <f>AT59/AU59*10/AL59</f>
        <v>1.4602803738317758</v>
      </c>
      <c r="AW59" s="65">
        <f>(1+AG59)*AV59</f>
        <v>1.4748831775700935</v>
      </c>
      <c r="BA59" s="15">
        <v>46</v>
      </c>
      <c r="BB59" s="15">
        <f>INDEX(节奏总纲!J:J,MATCH(BA59,节奏总纲!I:I,0))</f>
        <v>325.85912455595718</v>
      </c>
      <c r="BC59" s="66">
        <f t="shared" si="30"/>
        <v>1.52</v>
      </c>
    </row>
    <row r="60" spans="3:55" x14ac:dyDescent="0.15">
      <c r="C60" s="87"/>
      <c r="D60" s="35" t="s">
        <v>67</v>
      </c>
      <c r="E60" s="14"/>
      <c r="F60" s="35">
        <v>2</v>
      </c>
      <c r="G60" s="33">
        <f>G59*$D$9</f>
        <v>240</v>
      </c>
      <c r="H60" s="25">
        <f t="shared" ref="H60:H64" si="50">IF(F60=1,G60,G60-G59)</f>
        <v>160</v>
      </c>
      <c r="I60" s="35">
        <v>100</v>
      </c>
      <c r="J60" s="27">
        <v>190</v>
      </c>
      <c r="K60" s="13">
        <v>0.2</v>
      </c>
      <c r="L60" s="35">
        <v>225</v>
      </c>
      <c r="M60" s="14">
        <f t="shared" ref="M60:M64" si="51">(I60*J60*K60*1.5+I60*J60*(1-K60))/G60/100*((L60-180)/180+1)</f>
        <v>1.0885416666666665</v>
      </c>
      <c r="N60" s="28">
        <f t="shared" si="49"/>
        <v>120</v>
      </c>
      <c r="T60" s="28">
        <f t="shared" si="11"/>
        <v>6038</v>
      </c>
      <c r="U60" s="26">
        <f t="shared" si="12"/>
        <v>3296</v>
      </c>
      <c r="V60" s="28">
        <f t="shared" si="13"/>
        <v>10</v>
      </c>
      <c r="W60" s="14">
        <f t="shared" si="6"/>
        <v>72</v>
      </c>
      <c r="X60" s="39">
        <f t="shared" si="7"/>
        <v>219.73333333333335</v>
      </c>
      <c r="Y60" s="15">
        <v>1</v>
      </c>
      <c r="AE60" s="80"/>
      <c r="AF60" s="80"/>
      <c r="AG60" s="70">
        <f>AG59</f>
        <v>0.01</v>
      </c>
      <c r="AH60" s="60">
        <v>2</v>
      </c>
      <c r="AI60" s="60">
        <v>10</v>
      </c>
      <c r="AJ60" s="60">
        <v>6112</v>
      </c>
      <c r="AK60" s="68">
        <f t="shared" ref="AK60:AK61" si="52">INDEX(U:U,MATCH($AJ60,T:T,0))</f>
        <v>565</v>
      </c>
      <c r="AL60" s="68">
        <f t="shared" ref="AL60:AL61" si="53">INDEX(V:V,MATCH($AJ60,T:T,0))</f>
        <v>20</v>
      </c>
      <c r="AM60" s="60">
        <v>10</v>
      </c>
      <c r="AN60" s="14">
        <f t="shared" ref="AN60:AN61" si="54">AO60*AP60</f>
        <v>1</v>
      </c>
      <c r="AO60" s="60">
        <v>1</v>
      </c>
      <c r="AP60" s="60">
        <v>1</v>
      </c>
      <c r="AQ60" s="60">
        <v>1</v>
      </c>
      <c r="AS60" s="25">
        <f t="shared" ref="AS60:AS65" si="55">AS59+AN59*INDEX(X:X,MATCH(AJ59,T:T,0))</f>
        <v>242.8</v>
      </c>
      <c r="AT60" s="14">
        <f t="shared" ref="AT60:AT66" si="56">ROUND(($AS60*$AH$17*50/4/4),2)*AP60^0.5</f>
        <v>11381.25</v>
      </c>
      <c r="AU60" s="14">
        <f t="shared" ref="AU60:AU66" si="57">((INDEX($V:$V,MATCH($AJ60,$T:$T,0))*INDEX($U:$U,MATCH($AJ60,$T:$T,0)))*$AP60/$AM60/$AQ60*5)</f>
        <v>5650</v>
      </c>
      <c r="AV60" s="65">
        <f t="shared" ref="AV60:AV66" si="58">AT60/AU60*10/AL60</f>
        <v>1.0071902654867257</v>
      </c>
      <c r="AW60" s="65">
        <f t="shared" ref="AW60:AW65" si="59">(1+AG60)*AV60</f>
        <v>1.017262168141593</v>
      </c>
      <c r="BA60" s="15">
        <v>47</v>
      </c>
      <c r="BB60" s="15">
        <f>INDEX(节奏总纲!J:J,MATCH(BA60,节奏总纲!I:I,0))</f>
        <v>377.76930817680426</v>
      </c>
      <c r="BC60" s="66">
        <f t="shared" si="30"/>
        <v>1.56</v>
      </c>
    </row>
    <row r="61" spans="3:55" x14ac:dyDescent="0.15">
      <c r="C61" s="87"/>
      <c r="D61" s="35" t="s">
        <v>67</v>
      </c>
      <c r="E61" s="14"/>
      <c r="F61" s="35">
        <v>3</v>
      </c>
      <c r="G61" s="33">
        <f>G59*$D$10</f>
        <v>480</v>
      </c>
      <c r="H61" s="25">
        <f t="shared" si="50"/>
        <v>240</v>
      </c>
      <c r="I61" s="35">
        <v>170</v>
      </c>
      <c r="J61" s="27">
        <v>205</v>
      </c>
      <c r="K61" s="13">
        <v>0.3</v>
      </c>
      <c r="L61" s="35">
        <v>225</v>
      </c>
      <c r="M61" s="14">
        <f t="shared" si="51"/>
        <v>1.0436848958333333</v>
      </c>
      <c r="N61" s="28">
        <f t="shared" si="49"/>
        <v>240</v>
      </c>
      <c r="T61" s="28">
        <f t="shared" si="11"/>
        <v>6039</v>
      </c>
      <c r="U61" s="26">
        <f t="shared" si="12"/>
        <v>3625</v>
      </c>
      <c r="V61" s="28">
        <f t="shared" si="13"/>
        <v>10</v>
      </c>
      <c r="W61" s="14">
        <f t="shared" si="6"/>
        <v>80</v>
      </c>
      <c r="X61" s="39">
        <f t="shared" si="7"/>
        <v>241.66666666666666</v>
      </c>
      <c r="Y61" s="15">
        <v>1</v>
      </c>
      <c r="AE61" s="80"/>
      <c r="AF61" s="80"/>
      <c r="AG61" s="70">
        <f t="shared" ref="AG61:AG65" si="60">AG60</f>
        <v>0.01</v>
      </c>
      <c r="AH61" s="60">
        <v>3</v>
      </c>
      <c r="AI61" s="60">
        <v>10</v>
      </c>
      <c r="AJ61" s="60">
        <v>6118</v>
      </c>
      <c r="AK61" s="68">
        <f t="shared" si="52"/>
        <v>998</v>
      </c>
      <c r="AL61" s="68">
        <f t="shared" si="53"/>
        <v>20</v>
      </c>
      <c r="AM61" s="60">
        <v>10</v>
      </c>
      <c r="AN61" s="14">
        <f t="shared" si="54"/>
        <v>1</v>
      </c>
      <c r="AO61" s="60">
        <v>1</v>
      </c>
      <c r="AP61" s="60">
        <v>1</v>
      </c>
      <c r="AQ61" s="60">
        <v>1</v>
      </c>
      <c r="AS61" s="25">
        <f t="shared" si="55"/>
        <v>318.13333333333333</v>
      </c>
      <c r="AT61" s="14">
        <f t="shared" si="56"/>
        <v>14912.5</v>
      </c>
      <c r="AU61" s="14">
        <f t="shared" si="57"/>
        <v>9980</v>
      </c>
      <c r="AV61" s="65">
        <f t="shared" si="58"/>
        <v>0.74711923847695394</v>
      </c>
      <c r="AW61" s="65">
        <f t="shared" si="59"/>
        <v>0.7545904308617235</v>
      </c>
      <c r="BA61" s="15">
        <v>48</v>
      </c>
      <c r="BB61" s="15">
        <f>INDEX(节奏总纲!J:J,MATCH(BA61,节奏总纲!I:I,0))</f>
        <v>437.90148836012787</v>
      </c>
      <c r="BC61" s="66">
        <f t="shared" si="30"/>
        <v>1.59</v>
      </c>
    </row>
    <row r="62" spans="3:55" x14ac:dyDescent="0.15">
      <c r="C62" s="87"/>
      <c r="D62" s="35" t="s">
        <v>67</v>
      </c>
      <c r="E62" s="14"/>
      <c r="F62" s="35">
        <v>4</v>
      </c>
      <c r="G62" s="33">
        <f>G59*$D$11</f>
        <v>800</v>
      </c>
      <c r="H62" s="25">
        <f t="shared" si="50"/>
        <v>320</v>
      </c>
      <c r="I62" s="35">
        <v>250</v>
      </c>
      <c r="J62" s="27">
        <v>220</v>
      </c>
      <c r="K62" s="13">
        <v>0.4</v>
      </c>
      <c r="L62" s="35">
        <v>225</v>
      </c>
      <c r="M62" s="14">
        <f t="shared" si="51"/>
        <v>1.03125</v>
      </c>
      <c r="N62" s="28">
        <f t="shared" ref="N62:N64" si="61">INT(G62*0.5)</f>
        <v>400</v>
      </c>
      <c r="T62" s="28">
        <f t="shared" si="11"/>
        <v>6040</v>
      </c>
      <c r="U62" s="26">
        <f t="shared" si="12"/>
        <v>3987</v>
      </c>
      <c r="V62" s="28">
        <f t="shared" si="13"/>
        <v>10</v>
      </c>
      <c r="W62" s="14">
        <f t="shared" si="6"/>
        <v>86</v>
      </c>
      <c r="X62" s="39">
        <f t="shared" si="7"/>
        <v>265.8</v>
      </c>
      <c r="Y62" s="15">
        <v>1</v>
      </c>
      <c r="AE62" s="80"/>
      <c r="AF62" s="80"/>
      <c r="AG62" s="70">
        <f t="shared" si="60"/>
        <v>0.01</v>
      </c>
      <c r="AH62" s="60"/>
      <c r="AI62" s="60"/>
      <c r="AJ62" s="60"/>
      <c r="AK62" s="68"/>
      <c r="AL62" s="68"/>
      <c r="AM62" s="60"/>
      <c r="AN62" s="14"/>
      <c r="AO62" s="60"/>
      <c r="AP62" s="60"/>
      <c r="AQ62" s="60"/>
      <c r="AS62" s="25">
        <f t="shared" si="55"/>
        <v>451.2</v>
      </c>
      <c r="AT62" s="14">
        <f t="shared" si="56"/>
        <v>0</v>
      </c>
      <c r="AU62" s="14" t="e">
        <f t="shared" si="57"/>
        <v>#N/A</v>
      </c>
      <c r="AV62" s="65" t="e">
        <f t="shared" si="58"/>
        <v>#N/A</v>
      </c>
      <c r="AW62" s="65" t="e">
        <f t="shared" si="59"/>
        <v>#N/A</v>
      </c>
      <c r="BA62" s="15">
        <v>49</v>
      </c>
      <c r="BB62" s="15">
        <f>INDEX(节奏总纲!J:J,MATCH(BA62,节奏总纲!I:I,0))</f>
        <v>507.55295278468168</v>
      </c>
      <c r="BC62" s="66">
        <f t="shared" si="30"/>
        <v>1.62</v>
      </c>
    </row>
    <row r="63" spans="3:55" x14ac:dyDescent="0.15">
      <c r="C63" s="87"/>
      <c r="D63" s="35" t="s">
        <v>67</v>
      </c>
      <c r="E63" s="14"/>
      <c r="F63" s="35">
        <v>5</v>
      </c>
      <c r="G63" s="33">
        <f>G59*$D$12</f>
        <v>1200</v>
      </c>
      <c r="H63" s="25">
        <f t="shared" si="50"/>
        <v>400</v>
      </c>
      <c r="I63" s="35">
        <v>340</v>
      </c>
      <c r="J63" s="27">
        <v>235</v>
      </c>
      <c r="K63" s="13">
        <v>0.5</v>
      </c>
      <c r="L63" s="35">
        <v>225</v>
      </c>
      <c r="M63" s="14">
        <f t="shared" si="51"/>
        <v>1.0403645833333335</v>
      </c>
      <c r="N63" s="28">
        <f t="shared" si="61"/>
        <v>600</v>
      </c>
      <c r="T63" s="28">
        <f t="shared" si="11"/>
        <v>6041</v>
      </c>
      <c r="U63" s="26">
        <f t="shared" si="12"/>
        <v>4385</v>
      </c>
      <c r="V63" s="28">
        <f t="shared" si="13"/>
        <v>10</v>
      </c>
      <c r="W63" s="14">
        <f t="shared" si="6"/>
        <v>94</v>
      </c>
      <c r="X63" s="39">
        <f t="shared" si="7"/>
        <v>292.33333333333337</v>
      </c>
      <c r="Y63" s="15">
        <v>1</v>
      </c>
      <c r="AE63" s="80"/>
      <c r="AF63" s="80"/>
      <c r="AG63" s="70">
        <f t="shared" si="60"/>
        <v>0.01</v>
      </c>
      <c r="AH63" s="60"/>
      <c r="AI63" s="60"/>
      <c r="AJ63" s="60"/>
      <c r="AK63" s="68"/>
      <c r="AL63" s="68"/>
      <c r="AM63" s="60"/>
      <c r="AN63" s="14"/>
      <c r="AO63" s="60"/>
      <c r="AP63" s="60"/>
      <c r="AQ63" s="60"/>
      <c r="AS63" s="25" t="e">
        <f t="shared" si="55"/>
        <v>#N/A</v>
      </c>
      <c r="AT63" s="14" t="e">
        <f t="shared" si="56"/>
        <v>#N/A</v>
      </c>
      <c r="AU63" s="14" t="e">
        <f t="shared" si="57"/>
        <v>#N/A</v>
      </c>
      <c r="AV63" s="65" t="e">
        <f t="shared" si="58"/>
        <v>#N/A</v>
      </c>
      <c r="AW63" s="65" t="e">
        <f t="shared" si="59"/>
        <v>#N/A</v>
      </c>
      <c r="BA63" s="15">
        <v>50</v>
      </c>
      <c r="BB63" s="15">
        <f>INDEX(节奏总纲!J:J,MATCH(BA63,节奏总纲!I:I,0))</f>
        <v>588.22499999999991</v>
      </c>
      <c r="BC63" s="66">
        <f t="shared" ref="BC63:BC73" si="62">INT(求节点($BE$14:$BE$15,$BF$14:$BF$15,BA63))/100</f>
        <v>1.66</v>
      </c>
    </row>
    <row r="64" spans="3:55" x14ac:dyDescent="0.15">
      <c r="C64" s="88"/>
      <c r="D64" s="35" t="s">
        <v>67</v>
      </c>
      <c r="E64" s="14"/>
      <c r="F64" s="35">
        <v>6</v>
      </c>
      <c r="G64" s="33">
        <f>G59*$D$13</f>
        <v>1680</v>
      </c>
      <c r="H64" s="25">
        <f t="shared" si="50"/>
        <v>480</v>
      </c>
      <c r="I64" s="35">
        <v>430</v>
      </c>
      <c r="J64" s="27">
        <v>250</v>
      </c>
      <c r="K64" s="13">
        <v>0.6</v>
      </c>
      <c r="L64" s="35">
        <v>225</v>
      </c>
      <c r="M64" s="14">
        <f t="shared" si="51"/>
        <v>1.0398065476190477</v>
      </c>
      <c r="N64" s="28">
        <f t="shared" si="61"/>
        <v>840</v>
      </c>
      <c r="T64" s="28">
        <f t="shared" si="11"/>
        <v>6042</v>
      </c>
      <c r="U64" s="26">
        <f t="shared" si="12"/>
        <v>4823</v>
      </c>
      <c r="V64" s="28">
        <f t="shared" si="13"/>
        <v>10</v>
      </c>
      <c r="W64" s="14">
        <f t="shared" si="6"/>
        <v>104</v>
      </c>
      <c r="X64" s="39">
        <f t="shared" si="7"/>
        <v>321.53333333333336</v>
      </c>
      <c r="Y64" s="15">
        <v>1</v>
      </c>
      <c r="AE64" s="80"/>
      <c r="AF64" s="80"/>
      <c r="AG64" s="70">
        <f t="shared" si="60"/>
        <v>0.01</v>
      </c>
      <c r="AH64" s="60"/>
      <c r="AI64" s="60"/>
      <c r="AJ64" s="60"/>
      <c r="AK64" s="68"/>
      <c r="AL64" s="68"/>
      <c r="AM64" s="60"/>
      <c r="AN64" s="14"/>
      <c r="AO64" s="60"/>
      <c r="AP64" s="15"/>
      <c r="AQ64" s="60"/>
      <c r="AS64" s="25" t="e">
        <f t="shared" si="55"/>
        <v>#N/A</v>
      </c>
      <c r="AT64" s="14" t="e">
        <f t="shared" si="56"/>
        <v>#N/A</v>
      </c>
      <c r="AU64" s="14" t="e">
        <f t="shared" si="57"/>
        <v>#N/A</v>
      </c>
      <c r="AV64" s="65" t="e">
        <f t="shared" si="58"/>
        <v>#N/A</v>
      </c>
      <c r="AW64" s="65" t="e">
        <f t="shared" si="59"/>
        <v>#N/A</v>
      </c>
      <c r="BA64" s="15">
        <v>51</v>
      </c>
      <c r="BB64" s="15"/>
      <c r="BC64" s="66">
        <f t="shared" si="62"/>
        <v>1.69</v>
      </c>
    </row>
    <row r="65" spans="3:55" ht="13.5" customHeight="1" x14ac:dyDescent="0.15">
      <c r="C65" s="86" t="s">
        <v>58</v>
      </c>
      <c r="D65" s="12" t="s">
        <v>59</v>
      </c>
      <c r="E65" s="14">
        <f>27*10/25</f>
        <v>10.8</v>
      </c>
      <c r="F65" s="12">
        <v>1</v>
      </c>
      <c r="G65" s="12">
        <v>60</v>
      </c>
      <c r="H65" s="25">
        <f>IF(F65=1,G65,G65-G34)</f>
        <v>60</v>
      </c>
      <c r="I65" s="35">
        <v>18</v>
      </c>
      <c r="J65" s="56">
        <v>150</v>
      </c>
      <c r="K65" s="13">
        <v>0.05</v>
      </c>
      <c r="L65" s="35">
        <v>300</v>
      </c>
      <c r="M65" s="25">
        <f>(((I65*J65*K65*1.5+I65*J65*(1-K65))*7+(I65*J65*K65*1.5+I65*J65*(1-K65))*1*E65)/8)/G65/100*((L65-300)/300+1)</f>
        <v>1.02628125</v>
      </c>
      <c r="N65" s="28">
        <f t="shared" ref="N65:N76" si="63">INT(G65*0.5)</f>
        <v>30</v>
      </c>
      <c r="T65" s="28">
        <f t="shared" si="11"/>
        <v>6043</v>
      </c>
      <c r="U65" s="26">
        <f t="shared" si="12"/>
        <v>5305</v>
      </c>
      <c r="V65" s="28">
        <f t="shared" si="13"/>
        <v>10</v>
      </c>
      <c r="W65" s="14">
        <f t="shared" si="6"/>
        <v>114</v>
      </c>
      <c r="X65" s="39">
        <f t="shared" si="7"/>
        <v>353.66666666666663</v>
      </c>
      <c r="Y65" s="15">
        <v>1</v>
      </c>
      <c r="AE65" s="80"/>
      <c r="AF65" s="80"/>
      <c r="AG65" s="70">
        <f t="shared" si="60"/>
        <v>0.01</v>
      </c>
      <c r="AH65" s="60"/>
      <c r="AI65" s="60"/>
      <c r="AJ65" s="60"/>
      <c r="AK65" s="68"/>
      <c r="AL65" s="68"/>
      <c r="AM65" s="60"/>
      <c r="AN65" s="14"/>
      <c r="AO65" s="60"/>
      <c r="AP65" s="15"/>
      <c r="AQ65" s="60"/>
      <c r="AS65" s="25" t="e">
        <f t="shared" si="55"/>
        <v>#N/A</v>
      </c>
      <c r="AT65" s="14" t="e">
        <f t="shared" si="56"/>
        <v>#N/A</v>
      </c>
      <c r="AU65" s="14" t="e">
        <f t="shared" si="57"/>
        <v>#N/A</v>
      </c>
      <c r="AV65" s="65" t="e">
        <f t="shared" si="58"/>
        <v>#N/A</v>
      </c>
      <c r="AW65" s="65" t="e">
        <f t="shared" si="59"/>
        <v>#N/A</v>
      </c>
      <c r="BA65" s="15">
        <v>52</v>
      </c>
      <c r="BB65" s="15"/>
      <c r="BC65" s="66">
        <f t="shared" si="62"/>
        <v>1.73</v>
      </c>
    </row>
    <row r="66" spans="3:55" x14ac:dyDescent="0.15">
      <c r="C66" s="87"/>
      <c r="D66" s="35" t="s">
        <v>59</v>
      </c>
      <c r="E66" s="14">
        <f t="shared" ref="E66:E70" si="64">27*10/25</f>
        <v>10.8</v>
      </c>
      <c r="F66" s="12">
        <v>2</v>
      </c>
      <c r="G66" s="33">
        <f>G65*$D$9</f>
        <v>180</v>
      </c>
      <c r="H66" s="25">
        <f>IF(F66=1,G66,G66-G65)</f>
        <v>120</v>
      </c>
      <c r="I66" s="35">
        <v>46</v>
      </c>
      <c r="J66" s="56">
        <v>160</v>
      </c>
      <c r="K66" s="13">
        <v>0.1</v>
      </c>
      <c r="L66" s="35">
        <v>320</v>
      </c>
      <c r="M66" s="25">
        <f t="shared" ref="M66:M76" si="65">(((I66*J66*K66*1.5+I66*J66*(1-K66))*7+(I66*J66*K66*1.5+I66*J66*(1-K66))*1*E66)/8)/G66/100*((L66-300)/300+1)</f>
        <v>1.0189511111111114</v>
      </c>
      <c r="N66" s="28">
        <f t="shared" si="63"/>
        <v>90</v>
      </c>
      <c r="T66" s="28">
        <f t="shared" si="11"/>
        <v>6044</v>
      </c>
      <c r="U66" s="26">
        <f t="shared" si="12"/>
        <v>5835</v>
      </c>
      <c r="V66" s="28">
        <f t="shared" si="13"/>
        <v>10</v>
      </c>
      <c r="W66" s="14">
        <f t="shared" si="6"/>
        <v>124</v>
      </c>
      <c r="X66" s="39">
        <f t="shared" si="7"/>
        <v>389</v>
      </c>
      <c r="Y66" s="15">
        <v>1</v>
      </c>
      <c r="AE66" s="81"/>
      <c r="AF66" s="81"/>
      <c r="AG66" s="25"/>
      <c r="AH66" s="60"/>
      <c r="AI66" s="60"/>
      <c r="AJ66" s="60"/>
      <c r="AK66" s="68"/>
      <c r="AL66" s="68"/>
      <c r="AM66" s="60" t="str">
        <f t="shared" ref="AM66" si="66">IF(AP66="","",IF(AP66=1,5,10))</f>
        <v/>
      </c>
      <c r="AN66" s="14"/>
      <c r="AO66" s="60"/>
      <c r="AP66" s="15"/>
      <c r="AQ66" s="60"/>
      <c r="AS66" s="25"/>
      <c r="AT66" s="14">
        <f t="shared" si="56"/>
        <v>0</v>
      </c>
      <c r="AU66" s="14" t="e">
        <f t="shared" si="57"/>
        <v>#N/A</v>
      </c>
      <c r="AV66" s="65" t="e">
        <f t="shared" si="58"/>
        <v>#N/A</v>
      </c>
      <c r="AW66" s="65" t="e">
        <f>(1+AG66)*AV66</f>
        <v>#N/A</v>
      </c>
      <c r="BA66" s="15">
        <v>53</v>
      </c>
      <c r="BB66" s="15"/>
      <c r="BC66" s="66">
        <f t="shared" si="62"/>
        <v>1.76</v>
      </c>
    </row>
    <row r="67" spans="3:55" x14ac:dyDescent="0.15">
      <c r="C67" s="87"/>
      <c r="D67" s="35" t="s">
        <v>59</v>
      </c>
      <c r="E67" s="14">
        <f t="shared" si="64"/>
        <v>10.8</v>
      </c>
      <c r="F67" s="29">
        <v>3</v>
      </c>
      <c r="G67" s="33">
        <f>G65*$D$10</f>
        <v>360</v>
      </c>
      <c r="H67" s="25">
        <f>IF(F67=1,G67,G67-G66)</f>
        <v>180</v>
      </c>
      <c r="I67" s="35">
        <v>80</v>
      </c>
      <c r="J67" s="56">
        <v>170</v>
      </c>
      <c r="K67" s="13">
        <v>0.15</v>
      </c>
      <c r="L67" s="35">
        <v>340</v>
      </c>
      <c r="M67" s="25">
        <f t="shared" si="65"/>
        <v>1.0240768518518517</v>
      </c>
      <c r="N67" s="28">
        <f t="shared" si="63"/>
        <v>180</v>
      </c>
      <c r="T67" s="28">
        <f t="shared" si="11"/>
        <v>6045</v>
      </c>
      <c r="U67" s="26">
        <f t="shared" si="12"/>
        <v>6418</v>
      </c>
      <c r="V67" s="28">
        <f t="shared" si="13"/>
        <v>10</v>
      </c>
      <c r="W67" s="14">
        <f t="shared" si="6"/>
        <v>136</v>
      </c>
      <c r="X67" s="39">
        <f t="shared" si="7"/>
        <v>427.86666666666667</v>
      </c>
      <c r="Y67" s="15">
        <v>1</v>
      </c>
      <c r="AE67" s="71"/>
      <c r="AF67" s="71"/>
      <c r="AG67" s="72"/>
      <c r="AH67" s="71"/>
      <c r="AI67" s="71"/>
      <c r="AJ67" s="71"/>
      <c r="AK67" s="73"/>
      <c r="AL67" s="73"/>
      <c r="AM67" s="71"/>
      <c r="AN67" s="74"/>
      <c r="AO67" s="71"/>
      <c r="AP67" s="75"/>
      <c r="AQ67" s="71"/>
      <c r="AS67" s="72"/>
      <c r="AT67" s="74"/>
      <c r="AU67" s="74"/>
      <c r="AV67" s="74"/>
      <c r="AW67" s="74"/>
      <c r="BA67" s="15">
        <v>54</v>
      </c>
      <c r="BB67" s="15"/>
      <c r="BC67" s="66">
        <f t="shared" si="62"/>
        <v>1.79</v>
      </c>
    </row>
    <row r="68" spans="3:55" x14ac:dyDescent="0.15">
      <c r="C68" s="87"/>
      <c r="D68" s="35" t="s">
        <v>59</v>
      </c>
      <c r="E68" s="14">
        <f t="shared" si="64"/>
        <v>10.8</v>
      </c>
      <c r="F68" s="29">
        <v>4</v>
      </c>
      <c r="G68" s="33">
        <f>G65*$D$11</f>
        <v>600</v>
      </c>
      <c r="H68" s="25">
        <f>IF(F68=1,G68,G68-G67)</f>
        <v>240</v>
      </c>
      <c r="I68" s="35">
        <v>120</v>
      </c>
      <c r="J68" s="56">
        <v>180</v>
      </c>
      <c r="K68" s="13">
        <v>0.2</v>
      </c>
      <c r="L68" s="35">
        <v>360</v>
      </c>
      <c r="M68" s="25">
        <f t="shared" si="65"/>
        <v>1.05732</v>
      </c>
      <c r="N68" s="28">
        <f t="shared" si="63"/>
        <v>300</v>
      </c>
      <c r="T68" s="28">
        <f t="shared" si="11"/>
        <v>6046</v>
      </c>
      <c r="U68" s="26">
        <f t="shared" si="12"/>
        <v>7059</v>
      </c>
      <c r="V68" s="28">
        <f t="shared" si="13"/>
        <v>10</v>
      </c>
      <c r="W68" s="14">
        <f t="shared" si="6"/>
        <v>148</v>
      </c>
      <c r="X68" s="39">
        <f t="shared" si="7"/>
        <v>470.6</v>
      </c>
      <c r="Y68" s="15">
        <v>1</v>
      </c>
      <c r="AD68">
        <v>1</v>
      </c>
      <c r="AE68" s="79">
        <f>AE59+1</f>
        <v>3</v>
      </c>
      <c r="AF68" s="79">
        <v>1</v>
      </c>
      <c r="AG68" s="63">
        <f>INDEX($BC$14:$BC$77,MATCH(AF68,$BA$14:$BA$77))</f>
        <v>0.01</v>
      </c>
      <c r="AH68" s="60">
        <v>1</v>
      </c>
      <c r="AI68" s="60">
        <v>10</v>
      </c>
      <c r="AJ68" s="60">
        <v>6104</v>
      </c>
      <c r="AK68" s="68">
        <f>INDEX(U:U,MATCH($AJ68,T:T,0))</f>
        <v>266</v>
      </c>
      <c r="AL68" s="68">
        <f>INDEX(V:V,MATCH($AJ68,T:T,0))</f>
        <v>20</v>
      </c>
      <c r="AM68" s="60">
        <v>10</v>
      </c>
      <c r="AN68" s="14">
        <f>AO68*AP68</f>
        <v>4</v>
      </c>
      <c r="AO68" s="60">
        <v>1</v>
      </c>
      <c r="AP68" s="60">
        <v>4</v>
      </c>
      <c r="AQ68" s="60">
        <v>1</v>
      </c>
      <c r="AS68" s="15">
        <f>$AH$18</f>
        <v>200</v>
      </c>
      <c r="AT68" s="14">
        <f>ROUND(($AS68*$AH$17*50/4/4),2)*AP68^0.5</f>
        <v>18750</v>
      </c>
      <c r="AU68" s="14">
        <f>((INDEX($V:$V,MATCH($AJ68,$T:$T,0))*INDEX($U:$U,MATCH($AJ68,$T:$T,0)))*$AP68/$AM68/$AQ68*5)</f>
        <v>10640</v>
      </c>
      <c r="AV68" s="65">
        <f>AT68/AU68*10/AL68</f>
        <v>0.88110902255639112</v>
      </c>
      <c r="AW68" s="65">
        <f>(1+AG68)*AV68</f>
        <v>0.88992011278195504</v>
      </c>
      <c r="BA68" s="15">
        <v>55</v>
      </c>
      <c r="BB68" s="15"/>
      <c r="BC68" s="66">
        <f t="shared" si="62"/>
        <v>1.83</v>
      </c>
    </row>
    <row r="69" spans="3:55" x14ac:dyDescent="0.15">
      <c r="C69" s="87"/>
      <c r="D69" s="35" t="s">
        <v>59</v>
      </c>
      <c r="E69" s="14">
        <f t="shared" si="64"/>
        <v>10.8</v>
      </c>
      <c r="F69" s="29">
        <v>5</v>
      </c>
      <c r="G69" s="33">
        <f>G65*$D$12</f>
        <v>900</v>
      </c>
      <c r="H69" s="25">
        <f>IF(F69=1,G69,G69-G68)</f>
        <v>300</v>
      </c>
      <c r="I69" s="35">
        <v>150</v>
      </c>
      <c r="J69" s="56">
        <v>190</v>
      </c>
      <c r="K69" s="13">
        <v>0.25</v>
      </c>
      <c r="L69" s="35">
        <v>380</v>
      </c>
      <c r="M69" s="25">
        <f t="shared" si="65"/>
        <v>1.0040312499999999</v>
      </c>
      <c r="N69" s="28">
        <f t="shared" si="63"/>
        <v>450</v>
      </c>
      <c r="T69" s="28">
        <f t="shared" si="11"/>
        <v>6047</v>
      </c>
      <c r="U69" s="26">
        <f t="shared" si="12"/>
        <v>7764</v>
      </c>
      <c r="V69" s="28">
        <f t="shared" si="13"/>
        <v>10</v>
      </c>
      <c r="W69" s="14">
        <f t="shared" si="6"/>
        <v>162</v>
      </c>
      <c r="X69" s="39">
        <f t="shared" si="7"/>
        <v>517.6</v>
      </c>
      <c r="Y69" s="15">
        <v>1</v>
      </c>
      <c r="AD69">
        <v>2</v>
      </c>
      <c r="AE69" s="80"/>
      <c r="AF69" s="80"/>
      <c r="AG69" s="70">
        <f>AG68</f>
        <v>0.01</v>
      </c>
      <c r="AH69" s="60">
        <v>2</v>
      </c>
      <c r="AI69" s="60">
        <v>10</v>
      </c>
      <c r="AJ69" s="60">
        <v>6113</v>
      </c>
      <c r="AK69" s="68">
        <f t="shared" ref="AK69:AK70" si="67">INDEX(U:U,MATCH($AJ69,T:T,0))</f>
        <v>621</v>
      </c>
      <c r="AL69" s="68">
        <f t="shared" ref="AL69:AL70" si="68">INDEX(V:V,MATCH($AJ69,T:T,0))</f>
        <v>20</v>
      </c>
      <c r="AM69" s="60">
        <v>10</v>
      </c>
      <c r="AN69" s="14">
        <f t="shared" ref="AN69:AN70" si="69">AO69*AP69</f>
        <v>4</v>
      </c>
      <c r="AO69" s="60">
        <v>1</v>
      </c>
      <c r="AP69" s="60">
        <v>4</v>
      </c>
      <c r="AQ69" s="60">
        <v>1</v>
      </c>
      <c r="AS69" s="25">
        <f t="shared" ref="AS69:AS74" si="70">AS68+AN68*INDEX(X:X,MATCH(AJ68,T:T,0))</f>
        <v>341.86666666666667</v>
      </c>
      <c r="AT69" s="14">
        <f t="shared" ref="AT69:AT75" si="71">ROUND(($AS69*$AH$17*50/4/4),2)*AP69^0.5</f>
        <v>32050</v>
      </c>
      <c r="AU69" s="14">
        <f t="shared" ref="AU69:AU75" si="72">((INDEX($V:$V,MATCH($AJ69,$T:$T,0))*INDEX($U:$U,MATCH($AJ69,$T:$T,0)))*$AP69/$AM69/$AQ69*5)</f>
        <v>24840</v>
      </c>
      <c r="AV69" s="65">
        <f t="shared" ref="AV69:AV75" si="73">AT69/AU69*10/AL69</f>
        <v>0.64512882447665054</v>
      </c>
      <c r="AW69" s="65">
        <f t="shared" ref="AW69:AW74" si="74">(1+AG69)*AV69</f>
        <v>0.65158011272141703</v>
      </c>
      <c r="BA69" s="15">
        <v>56</v>
      </c>
      <c r="BB69" s="15"/>
      <c r="BC69" s="66">
        <f t="shared" si="62"/>
        <v>1.86</v>
      </c>
    </row>
    <row r="70" spans="3:55" x14ac:dyDescent="0.15">
      <c r="C70" s="88"/>
      <c r="D70" s="35" t="s">
        <v>59</v>
      </c>
      <c r="E70" s="14">
        <f t="shared" si="64"/>
        <v>10.8</v>
      </c>
      <c r="F70" s="29">
        <v>6</v>
      </c>
      <c r="G70" s="33">
        <f>G65*$D$13</f>
        <v>1260</v>
      </c>
      <c r="H70" s="25">
        <f>IF(F70=1,G70,G70-G69)</f>
        <v>360</v>
      </c>
      <c r="I70" s="35">
        <v>186</v>
      </c>
      <c r="J70" s="56">
        <v>200</v>
      </c>
      <c r="K70" s="13">
        <v>0.3</v>
      </c>
      <c r="L70" s="35">
        <v>400</v>
      </c>
      <c r="M70" s="25">
        <f t="shared" si="65"/>
        <v>1.0072539682539681</v>
      </c>
      <c r="N70" s="28">
        <f t="shared" si="63"/>
        <v>630</v>
      </c>
      <c r="T70" s="28">
        <f t="shared" si="11"/>
        <v>6048</v>
      </c>
      <c r="U70" s="26">
        <f t="shared" si="12"/>
        <v>8540</v>
      </c>
      <c r="V70" s="28">
        <f t="shared" si="13"/>
        <v>10</v>
      </c>
      <c r="W70" s="14">
        <f t="shared" si="6"/>
        <v>178</v>
      </c>
      <c r="X70" s="39">
        <f t="shared" si="7"/>
        <v>569.33333333333326</v>
      </c>
      <c r="Y70" s="15">
        <v>1</v>
      </c>
      <c r="AD70">
        <v>3</v>
      </c>
      <c r="AE70" s="80"/>
      <c r="AF70" s="80"/>
      <c r="AG70" s="70">
        <f t="shared" ref="AG70:AG74" si="75">AG69</f>
        <v>0.01</v>
      </c>
      <c r="AH70" s="60">
        <v>3</v>
      </c>
      <c r="AI70" s="60">
        <v>10</v>
      </c>
      <c r="AJ70" s="60">
        <v>6119</v>
      </c>
      <c r="AK70" s="68">
        <f t="shared" si="67"/>
        <v>1097</v>
      </c>
      <c r="AL70" s="68">
        <f t="shared" si="68"/>
        <v>20</v>
      </c>
      <c r="AM70" s="60">
        <v>10</v>
      </c>
      <c r="AN70" s="14">
        <f t="shared" si="69"/>
        <v>1</v>
      </c>
      <c r="AO70" s="60">
        <v>1</v>
      </c>
      <c r="AP70" s="60">
        <v>1</v>
      </c>
      <c r="AQ70" s="60">
        <v>1</v>
      </c>
      <c r="AS70" s="25">
        <f t="shared" si="70"/>
        <v>673.06666666666661</v>
      </c>
      <c r="AT70" s="14">
        <f t="shared" si="71"/>
        <v>31550</v>
      </c>
      <c r="AU70" s="14">
        <f t="shared" si="72"/>
        <v>10970</v>
      </c>
      <c r="AV70" s="65">
        <f t="shared" si="73"/>
        <v>1.4380127620783956</v>
      </c>
      <c r="AW70" s="65">
        <f t="shared" si="74"/>
        <v>1.4523928896991796</v>
      </c>
      <c r="BA70" s="15">
        <v>57</v>
      </c>
      <c r="BB70" s="15"/>
      <c r="BC70" s="66">
        <f t="shared" si="62"/>
        <v>1.89</v>
      </c>
    </row>
    <row r="71" spans="3:55" x14ac:dyDescent="0.15">
      <c r="C71" s="86" t="s">
        <v>119</v>
      </c>
      <c r="D71" s="35" t="s">
        <v>118</v>
      </c>
      <c r="E71" s="14">
        <f>27*3/25</f>
        <v>3.24</v>
      </c>
      <c r="F71" s="35">
        <v>1</v>
      </c>
      <c r="G71" s="35">
        <v>60</v>
      </c>
      <c r="H71" s="25">
        <f>IF(F71=1,G71,G71-G40)</f>
        <v>60</v>
      </c>
      <c r="I71" s="57">
        <v>35</v>
      </c>
      <c r="J71" s="56">
        <v>150</v>
      </c>
      <c r="K71" s="13">
        <v>0.05</v>
      </c>
      <c r="L71" s="35">
        <v>300</v>
      </c>
      <c r="M71" s="25">
        <f t="shared" si="65"/>
        <v>1.1479999999999999</v>
      </c>
      <c r="N71" s="28">
        <f t="shared" si="63"/>
        <v>30</v>
      </c>
      <c r="T71" s="28">
        <f t="shared" si="11"/>
        <v>6049</v>
      </c>
      <c r="U71" s="26">
        <f t="shared" si="12"/>
        <v>9394</v>
      </c>
      <c r="V71" s="28">
        <f t="shared" si="13"/>
        <v>10</v>
      </c>
      <c r="W71" s="14">
        <f t="shared" si="6"/>
        <v>194</v>
      </c>
      <c r="X71" s="39">
        <f t="shared" si="7"/>
        <v>626.26666666666665</v>
      </c>
      <c r="Y71" s="15">
        <v>1</v>
      </c>
      <c r="AD71">
        <v>4</v>
      </c>
      <c r="AE71" s="80"/>
      <c r="AF71" s="80"/>
      <c r="AG71" s="70">
        <f t="shared" si="75"/>
        <v>0.01</v>
      </c>
      <c r="AH71" s="60"/>
      <c r="AI71" s="60"/>
      <c r="AJ71" s="60"/>
      <c r="AK71" s="68"/>
      <c r="AL71" s="68"/>
      <c r="AM71" s="60"/>
      <c r="AN71" s="14"/>
      <c r="AO71" s="60"/>
      <c r="AP71" s="60"/>
      <c r="AQ71" s="60"/>
      <c r="AS71" s="25">
        <f t="shared" si="70"/>
        <v>819.33333333333326</v>
      </c>
      <c r="AT71" s="14">
        <f t="shared" si="71"/>
        <v>0</v>
      </c>
      <c r="AU71" s="14" t="e">
        <f t="shared" si="72"/>
        <v>#N/A</v>
      </c>
      <c r="AV71" s="65" t="e">
        <f t="shared" si="73"/>
        <v>#N/A</v>
      </c>
      <c r="AW71" s="65" t="e">
        <f t="shared" si="74"/>
        <v>#N/A</v>
      </c>
      <c r="BA71" s="15">
        <v>58</v>
      </c>
      <c r="BB71" s="15"/>
      <c r="BC71" s="66">
        <f t="shared" si="62"/>
        <v>1.93</v>
      </c>
    </row>
    <row r="72" spans="3:55" x14ac:dyDescent="0.15">
      <c r="C72" s="87"/>
      <c r="D72" s="35" t="s">
        <v>118</v>
      </c>
      <c r="E72" s="14">
        <f t="shared" ref="E72:E76" si="76">27*3/25</f>
        <v>3.24</v>
      </c>
      <c r="F72" s="35">
        <v>2</v>
      </c>
      <c r="G72" s="33">
        <f>G71*$D$9</f>
        <v>180</v>
      </c>
      <c r="H72" s="25">
        <f>IF(F72=1,G72,G72-G71)</f>
        <v>120</v>
      </c>
      <c r="I72" s="57">
        <v>86</v>
      </c>
      <c r="J72" s="56">
        <v>160</v>
      </c>
      <c r="K72" s="13">
        <v>0.1</v>
      </c>
      <c r="L72" s="35">
        <v>320</v>
      </c>
      <c r="M72" s="25">
        <f t="shared" si="65"/>
        <v>1.0959075555555557</v>
      </c>
      <c r="N72" s="28">
        <f t="shared" si="63"/>
        <v>90</v>
      </c>
      <c r="T72" s="28">
        <f t="shared" si="11"/>
        <v>6050</v>
      </c>
      <c r="U72" s="26">
        <f t="shared" si="12"/>
        <v>10333</v>
      </c>
      <c r="V72" s="28">
        <f t="shared" si="13"/>
        <v>10</v>
      </c>
      <c r="W72" s="14">
        <f t="shared" si="6"/>
        <v>212</v>
      </c>
      <c r="X72" s="39">
        <f t="shared" si="7"/>
        <v>688.86666666666667</v>
      </c>
      <c r="Y72" s="15">
        <v>1</v>
      </c>
      <c r="AD72">
        <v>5</v>
      </c>
      <c r="AE72" s="80"/>
      <c r="AF72" s="80"/>
      <c r="AG72" s="70">
        <f t="shared" si="75"/>
        <v>0.01</v>
      </c>
      <c r="AH72" s="60"/>
      <c r="AI72" s="60"/>
      <c r="AJ72" s="60"/>
      <c r="AK72" s="68"/>
      <c r="AL72" s="68"/>
      <c r="AM72" s="60"/>
      <c r="AN72" s="14"/>
      <c r="AO72" s="60"/>
      <c r="AP72" s="60"/>
      <c r="AQ72" s="60"/>
      <c r="AS72" s="25" t="e">
        <f t="shared" si="70"/>
        <v>#N/A</v>
      </c>
      <c r="AT72" s="14" t="e">
        <f t="shared" si="71"/>
        <v>#N/A</v>
      </c>
      <c r="AU72" s="14" t="e">
        <f t="shared" si="72"/>
        <v>#N/A</v>
      </c>
      <c r="AV72" s="65" t="e">
        <f t="shared" si="73"/>
        <v>#N/A</v>
      </c>
      <c r="AW72" s="65" t="e">
        <f t="shared" si="74"/>
        <v>#N/A</v>
      </c>
      <c r="BA72" s="15">
        <v>59</v>
      </c>
      <c r="BB72" s="15"/>
      <c r="BC72" s="66">
        <f t="shared" si="62"/>
        <v>1.96</v>
      </c>
    </row>
    <row r="73" spans="3:55" x14ac:dyDescent="0.15">
      <c r="C73" s="87"/>
      <c r="D73" s="35" t="s">
        <v>118</v>
      </c>
      <c r="E73" s="14">
        <f t="shared" si="76"/>
        <v>3.24</v>
      </c>
      <c r="F73" s="35">
        <v>3</v>
      </c>
      <c r="G73" s="33">
        <f>G71*$D$10</f>
        <v>360</v>
      </c>
      <c r="H73" s="25">
        <f>IF(F73=1,G73,G73-G72)</f>
        <v>180</v>
      </c>
      <c r="I73" s="57">
        <v>150</v>
      </c>
      <c r="J73" s="56">
        <v>170</v>
      </c>
      <c r="K73" s="13">
        <v>0.15</v>
      </c>
      <c r="L73" s="35">
        <v>340</v>
      </c>
      <c r="M73" s="25">
        <f t="shared" si="65"/>
        <v>1.1046222222222222</v>
      </c>
      <c r="N73" s="28">
        <f t="shared" si="63"/>
        <v>180</v>
      </c>
      <c r="T73" s="28">
        <f t="shared" si="11"/>
        <v>6051</v>
      </c>
      <c r="U73" s="26">
        <f t="shared" si="12"/>
        <v>11366</v>
      </c>
      <c r="V73" s="28">
        <f t="shared" si="13"/>
        <v>10</v>
      </c>
      <c r="W73" s="14">
        <f t="shared" si="6"/>
        <v>232</v>
      </c>
      <c r="X73" s="39">
        <f t="shared" si="7"/>
        <v>757.73333333333335</v>
      </c>
      <c r="Y73" s="15">
        <v>1</v>
      </c>
      <c r="AD73">
        <v>6</v>
      </c>
      <c r="AE73" s="80"/>
      <c r="AF73" s="80"/>
      <c r="AG73" s="70">
        <f t="shared" si="75"/>
        <v>0.01</v>
      </c>
      <c r="AH73" s="60"/>
      <c r="AI73" s="60"/>
      <c r="AJ73" s="60"/>
      <c r="AK73" s="68"/>
      <c r="AL73" s="68"/>
      <c r="AM73" s="60"/>
      <c r="AN73" s="14"/>
      <c r="AO73" s="60"/>
      <c r="AP73" s="15"/>
      <c r="AQ73" s="60"/>
      <c r="AS73" s="25" t="e">
        <f t="shared" si="70"/>
        <v>#N/A</v>
      </c>
      <c r="AT73" s="14" t="e">
        <f t="shared" si="71"/>
        <v>#N/A</v>
      </c>
      <c r="AU73" s="14" t="e">
        <f t="shared" si="72"/>
        <v>#N/A</v>
      </c>
      <c r="AV73" s="65" t="e">
        <f t="shared" si="73"/>
        <v>#N/A</v>
      </c>
      <c r="AW73" s="65" t="e">
        <f t="shared" si="74"/>
        <v>#N/A</v>
      </c>
      <c r="BA73" s="15">
        <v>60</v>
      </c>
      <c r="BB73" s="15"/>
      <c r="BC73" s="66">
        <f t="shared" si="62"/>
        <v>2</v>
      </c>
    </row>
    <row r="74" spans="3:55" x14ac:dyDescent="0.15">
      <c r="C74" s="87"/>
      <c r="D74" s="35" t="s">
        <v>118</v>
      </c>
      <c r="E74" s="14">
        <f t="shared" si="76"/>
        <v>3.24</v>
      </c>
      <c r="F74" s="35">
        <v>4</v>
      </c>
      <c r="G74" s="33">
        <f>G71*$D$11</f>
        <v>600</v>
      </c>
      <c r="H74" s="25">
        <f>IF(F74=1,G74,G74-G73)</f>
        <v>240</v>
      </c>
      <c r="I74" s="57">
        <v>215</v>
      </c>
      <c r="J74" s="56">
        <v>180</v>
      </c>
      <c r="K74" s="13">
        <v>0.2</v>
      </c>
      <c r="L74" s="35">
        <v>360</v>
      </c>
      <c r="M74" s="25">
        <f t="shared" si="65"/>
        <v>1.0897920000000001</v>
      </c>
      <c r="N74" s="28">
        <f t="shared" si="63"/>
        <v>300</v>
      </c>
      <c r="T74" s="28">
        <f t="shared" si="11"/>
        <v>6052</v>
      </c>
      <c r="U74" s="26">
        <f t="shared" si="12"/>
        <v>12502</v>
      </c>
      <c r="V74" s="28">
        <f t="shared" si="13"/>
        <v>10</v>
      </c>
      <c r="W74" s="14">
        <f t="shared" si="6"/>
        <v>254</v>
      </c>
      <c r="X74" s="39">
        <f t="shared" si="7"/>
        <v>833.46666666666658</v>
      </c>
      <c r="Y74" s="15">
        <v>1</v>
      </c>
      <c r="AD74">
        <v>7</v>
      </c>
      <c r="AE74" s="80"/>
      <c r="AF74" s="80"/>
      <c r="AG74" s="70">
        <f t="shared" si="75"/>
        <v>0.01</v>
      </c>
      <c r="AH74" s="60"/>
      <c r="AI74" s="60"/>
      <c r="AJ74" s="60"/>
      <c r="AK74" s="68"/>
      <c r="AL74" s="68"/>
      <c r="AM74" s="60"/>
      <c r="AN74" s="14"/>
      <c r="AO74" s="60"/>
      <c r="AP74" s="15"/>
      <c r="AQ74" s="60"/>
      <c r="AS74" s="25" t="e">
        <f t="shared" si="70"/>
        <v>#N/A</v>
      </c>
      <c r="AT74" s="14" t="e">
        <f t="shared" si="71"/>
        <v>#N/A</v>
      </c>
      <c r="AU74" s="14" t="e">
        <f t="shared" si="72"/>
        <v>#N/A</v>
      </c>
      <c r="AV74" s="65" t="e">
        <f t="shared" si="73"/>
        <v>#N/A</v>
      </c>
      <c r="AW74" s="65" t="e">
        <f t="shared" si="74"/>
        <v>#N/A</v>
      </c>
      <c r="BA74" s="15"/>
      <c r="BB74" s="15"/>
      <c r="BC74" s="15"/>
    </row>
    <row r="75" spans="3:55" x14ac:dyDescent="0.15">
      <c r="C75" s="87"/>
      <c r="D75" s="35" t="s">
        <v>118</v>
      </c>
      <c r="E75" s="14">
        <f t="shared" si="76"/>
        <v>3.24</v>
      </c>
      <c r="F75" s="35">
        <v>5</v>
      </c>
      <c r="G75" s="33">
        <f>G71*$D$12</f>
        <v>900</v>
      </c>
      <c r="H75" s="25">
        <f>IF(F75=1,G75,G75-G74)</f>
        <v>300</v>
      </c>
      <c r="I75" s="57">
        <v>280</v>
      </c>
      <c r="J75" s="56">
        <v>190</v>
      </c>
      <c r="K75" s="13">
        <v>0.25</v>
      </c>
      <c r="L75" s="35">
        <v>380</v>
      </c>
      <c r="M75" s="25">
        <f t="shared" si="65"/>
        <v>1.0781866666666666</v>
      </c>
      <c r="N75" s="28">
        <f t="shared" si="63"/>
        <v>450</v>
      </c>
      <c r="T75" s="28">
        <f t="shared" si="11"/>
        <v>6053</v>
      </c>
      <c r="U75" s="26">
        <f t="shared" si="12"/>
        <v>13752</v>
      </c>
      <c r="V75" s="28">
        <f t="shared" si="13"/>
        <v>10</v>
      </c>
      <c r="W75" s="14">
        <f t="shared" si="6"/>
        <v>278</v>
      </c>
      <c r="X75" s="39">
        <f t="shared" si="7"/>
        <v>916.8</v>
      </c>
      <c r="Y75" s="15">
        <v>1</v>
      </c>
      <c r="AD75">
        <v>8</v>
      </c>
      <c r="AE75" s="81"/>
      <c r="AF75" s="81"/>
      <c r="AG75" s="25"/>
      <c r="AH75" s="60"/>
      <c r="AI75" s="60"/>
      <c r="AJ75" s="60"/>
      <c r="AK75" s="68"/>
      <c r="AL75" s="68"/>
      <c r="AM75" s="60" t="str">
        <f t="shared" ref="AM75" si="77">IF(AP75="","",IF(AP75=1,5,10))</f>
        <v/>
      </c>
      <c r="AN75" s="14"/>
      <c r="AO75" s="60"/>
      <c r="AP75" s="15"/>
      <c r="AQ75" s="60"/>
      <c r="AS75" s="25"/>
      <c r="AT75" s="14">
        <f t="shared" si="71"/>
        <v>0</v>
      </c>
      <c r="AU75" s="14" t="e">
        <f t="shared" si="72"/>
        <v>#N/A</v>
      </c>
      <c r="AV75" s="65" t="e">
        <f t="shared" si="73"/>
        <v>#N/A</v>
      </c>
      <c r="AW75" s="65" t="e">
        <f>(1+AG75)*AV75</f>
        <v>#N/A</v>
      </c>
      <c r="BA75" s="15"/>
      <c r="BB75" s="15"/>
      <c r="BC75" s="15"/>
    </row>
    <row r="76" spans="3:55" x14ac:dyDescent="0.15">
      <c r="C76" s="88"/>
      <c r="D76" s="35" t="s">
        <v>118</v>
      </c>
      <c r="E76" s="14">
        <f t="shared" si="76"/>
        <v>3.24</v>
      </c>
      <c r="F76" s="35">
        <v>6</v>
      </c>
      <c r="G76" s="33">
        <f>G71*$D$13</f>
        <v>1260</v>
      </c>
      <c r="H76" s="25">
        <f>IF(F76=1,G76,G76-G75)</f>
        <v>360</v>
      </c>
      <c r="I76" s="57">
        <v>350</v>
      </c>
      <c r="J76" s="56">
        <v>200</v>
      </c>
      <c r="K76" s="13">
        <v>0.3</v>
      </c>
      <c r="L76" s="35">
        <v>400</v>
      </c>
      <c r="M76" s="25">
        <f t="shared" si="65"/>
        <v>1.0903703703703702</v>
      </c>
      <c r="N76" s="28">
        <f t="shared" si="63"/>
        <v>630</v>
      </c>
      <c r="T76" s="28">
        <f t="shared" si="11"/>
        <v>6054</v>
      </c>
      <c r="U76" s="26">
        <f t="shared" si="12"/>
        <v>15127</v>
      </c>
      <c r="V76" s="28">
        <f t="shared" si="13"/>
        <v>10</v>
      </c>
      <c r="W76" s="14">
        <f t="shared" si="6"/>
        <v>304</v>
      </c>
      <c r="X76" s="39">
        <f t="shared" si="7"/>
        <v>1008.4666666666666</v>
      </c>
      <c r="Y76" s="15">
        <v>1</v>
      </c>
      <c r="BA76" s="15"/>
      <c r="BB76" s="15"/>
      <c r="BC76" s="15"/>
    </row>
    <row r="77" spans="3:55" x14ac:dyDescent="0.15">
      <c r="C77" s="86" t="s">
        <v>121</v>
      </c>
      <c r="D77" s="57" t="s">
        <v>120</v>
      </c>
      <c r="E77" s="14">
        <f>10*5/25*1.2</f>
        <v>2.4</v>
      </c>
      <c r="F77" s="57">
        <v>1</v>
      </c>
      <c r="G77" s="57">
        <v>60</v>
      </c>
      <c r="H77" s="25">
        <f>IF(F77=1,G77,G77-G46)</f>
        <v>60</v>
      </c>
      <c r="I77" s="57">
        <v>35</v>
      </c>
      <c r="J77" s="57">
        <v>150</v>
      </c>
      <c r="K77" s="13">
        <v>0.05</v>
      </c>
      <c r="L77" s="57">
        <v>300</v>
      </c>
      <c r="M77" s="25">
        <f t="shared" ref="M77:M82" si="78">(((I77*J77*K77*1.5+I77*J77*(1-K77))*7+(I77*J77*K77*1.5+I77*J77*(1-K77))*1*E77)/8)/G77/100*((L77-300)/300+1)</f>
        <v>1.0538281249999999</v>
      </c>
      <c r="N77" s="28">
        <f t="shared" ref="N77:N88" si="79">INT(G77*0.5)</f>
        <v>30</v>
      </c>
      <c r="T77" s="28">
        <f t="shared" si="11"/>
        <v>6055</v>
      </c>
      <c r="U77" s="26">
        <f t="shared" si="12"/>
        <v>16639</v>
      </c>
      <c r="V77" s="28">
        <f t="shared" si="13"/>
        <v>10</v>
      </c>
      <c r="W77" s="14">
        <f t="shared" si="6"/>
        <v>332</v>
      </c>
      <c r="X77" s="39">
        <f t="shared" si="7"/>
        <v>1109.2666666666667</v>
      </c>
      <c r="Y77" s="15">
        <v>1</v>
      </c>
      <c r="AE77" s="79">
        <f>AE68+1</f>
        <v>4</v>
      </c>
      <c r="AF77" s="79">
        <v>10</v>
      </c>
      <c r="AG77" s="63">
        <f>INDEX($BC$14:$BC$77,MATCH(AF77,$BA$14:$BA$77))</f>
        <v>0.31</v>
      </c>
      <c r="AH77" s="60">
        <v>1</v>
      </c>
      <c r="AI77" s="60">
        <v>10</v>
      </c>
      <c r="AJ77" s="60">
        <v>6002</v>
      </c>
      <c r="AK77" s="68">
        <f>INDEX(U:U,MATCH($AJ77,T:T,0))</f>
        <v>110</v>
      </c>
      <c r="AL77" s="68">
        <f>INDEX(V:V,MATCH($AJ77,T:T,0))</f>
        <v>10</v>
      </c>
      <c r="AM77" s="60">
        <f>IF(AP77="","",IF(AP77=1,3,10))</f>
        <v>3</v>
      </c>
      <c r="AN77" s="14">
        <f>AO77*AP77</f>
        <v>10</v>
      </c>
      <c r="AO77" s="60">
        <v>10</v>
      </c>
      <c r="AP77" s="60">
        <v>1</v>
      </c>
      <c r="AQ77" s="60">
        <v>1</v>
      </c>
      <c r="AS77" s="15">
        <f>$AH$18</f>
        <v>200</v>
      </c>
      <c r="AT77" s="14">
        <f>ROUND(($AS77*$AH$17*50/4/4),2)*AP77^0.5</f>
        <v>9375</v>
      </c>
      <c r="AU77" s="14">
        <f>((INDEX($V:$V,MATCH($AJ77,$T:$T,0))*INDEX($U:$U,MATCH($AJ77,$T:$T,0)))*$AP77/$AM77/$AQ77*5)</f>
        <v>1833.3333333333335</v>
      </c>
      <c r="AV77" s="65">
        <f>AT77/AU77*10/AL77</f>
        <v>5.1136363636363633</v>
      </c>
      <c r="AW77" s="65">
        <f>(1+AG77)*AV77</f>
        <v>6.6988636363636358</v>
      </c>
      <c r="BA77" s="15"/>
      <c r="BB77" s="15"/>
      <c r="BC77" s="15"/>
    </row>
    <row r="78" spans="3:55" x14ac:dyDescent="0.15">
      <c r="C78" s="87"/>
      <c r="D78" s="57" t="s">
        <v>120</v>
      </c>
      <c r="E78" s="14">
        <f t="shared" ref="E78:E82" si="80">10*6/25*1.2</f>
        <v>2.88</v>
      </c>
      <c r="F78" s="57">
        <v>2</v>
      </c>
      <c r="G78" s="33">
        <f>G77*$D$9</f>
        <v>180</v>
      </c>
      <c r="H78" s="25">
        <f>IF(F78=1,G78,G78-G77)</f>
        <v>120</v>
      </c>
      <c r="I78" s="57">
        <v>86</v>
      </c>
      <c r="J78" s="57">
        <v>160</v>
      </c>
      <c r="K78" s="13">
        <v>0.1</v>
      </c>
      <c r="L78" s="57">
        <v>320</v>
      </c>
      <c r="M78" s="25">
        <f t="shared" si="78"/>
        <v>1.0573795555555554</v>
      </c>
      <c r="N78" s="28">
        <f t="shared" si="79"/>
        <v>90</v>
      </c>
      <c r="T78" s="28">
        <f t="shared" si="11"/>
        <v>6056</v>
      </c>
      <c r="U78" s="26">
        <f t="shared" si="12"/>
        <v>18302</v>
      </c>
      <c r="V78" s="28">
        <f t="shared" si="13"/>
        <v>10</v>
      </c>
      <c r="W78" s="14">
        <f t="shared" si="6"/>
        <v>364</v>
      </c>
      <c r="X78" s="39">
        <f t="shared" si="7"/>
        <v>1220.1333333333334</v>
      </c>
      <c r="Y78" s="15">
        <v>1</v>
      </c>
      <c r="AE78" s="80"/>
      <c r="AF78" s="80"/>
      <c r="AG78" s="62">
        <f>AG77</f>
        <v>0.31</v>
      </c>
      <c r="AH78" s="60">
        <v>2</v>
      </c>
      <c r="AI78" s="60">
        <v>10</v>
      </c>
      <c r="AJ78" s="60">
        <v>6007</v>
      </c>
      <c r="AK78" s="68">
        <f t="shared" ref="AK78:AK79" si="81">INDEX(U:U,MATCH($AJ78,T:T,0))</f>
        <v>176</v>
      </c>
      <c r="AL78" s="68">
        <f t="shared" ref="AL78:AL79" si="82">INDEX(V:V,MATCH($AJ78,T:T,0))</f>
        <v>10</v>
      </c>
      <c r="AM78" s="60">
        <f t="shared" ref="AM78:AM81" si="83">IF(AP78="","",IF(AP78=1,3,10))</f>
        <v>3</v>
      </c>
      <c r="AN78" s="14">
        <f t="shared" ref="AN78:AN79" si="84">AO78*AP78</f>
        <v>5</v>
      </c>
      <c r="AO78" s="60">
        <v>5</v>
      </c>
      <c r="AP78" s="60">
        <v>1</v>
      </c>
      <c r="AQ78" s="60">
        <v>1</v>
      </c>
      <c r="AS78" s="25">
        <f t="shared" ref="AS78:AS83" si="85">AS77+AN77*INDEX(X:X,MATCH(AJ77,T:T,0))</f>
        <v>273.33333333333331</v>
      </c>
      <c r="AT78" s="14">
        <f t="shared" ref="AT78:AT141" si="86">ROUND(($AS78*$AH$17*50/4/4),2)*AP78^0.5</f>
        <v>12812.5</v>
      </c>
      <c r="AU78" s="14">
        <f t="shared" ref="AU78:AU141" si="87">((INDEX($V:$V,MATCH($AJ78,$T:$T,0))*INDEX($U:$U,MATCH($AJ78,$T:$T,0)))*$AP78/$AM78/$AQ78*5)</f>
        <v>2933.333333333333</v>
      </c>
      <c r="AV78" s="65">
        <f t="shared" ref="AV78:AV84" si="88">AT78/AU78*10/AL78</f>
        <v>4.3678977272727275</v>
      </c>
      <c r="AW78" s="65">
        <f t="shared" ref="AW78:AW83" si="89">(1+AG78)*AV78</f>
        <v>5.7219460227272734</v>
      </c>
    </row>
    <row r="79" spans="3:55" x14ac:dyDescent="0.15">
      <c r="C79" s="87"/>
      <c r="D79" s="57" t="s">
        <v>120</v>
      </c>
      <c r="E79" s="14">
        <f t="shared" si="80"/>
        <v>2.88</v>
      </c>
      <c r="F79" s="57">
        <v>3</v>
      </c>
      <c r="G79" s="33">
        <f>G77*$D$10</f>
        <v>360</v>
      </c>
      <c r="H79" s="25">
        <f>IF(F79=1,G79,G79-G78)</f>
        <v>180</v>
      </c>
      <c r="I79" s="57">
        <v>150</v>
      </c>
      <c r="J79" s="57">
        <v>170</v>
      </c>
      <c r="K79" s="13">
        <v>0.15</v>
      </c>
      <c r="L79" s="57">
        <v>340</v>
      </c>
      <c r="M79" s="25">
        <f t="shared" si="78"/>
        <v>1.0657878472222222</v>
      </c>
      <c r="N79" s="28">
        <f t="shared" si="79"/>
        <v>180</v>
      </c>
      <c r="T79" s="28">
        <f t="shared" si="11"/>
        <v>6057</v>
      </c>
      <c r="U79" s="26">
        <f t="shared" si="12"/>
        <v>20132</v>
      </c>
      <c r="V79" s="28">
        <f t="shared" si="13"/>
        <v>10</v>
      </c>
      <c r="W79" s="14">
        <f t="shared" si="6"/>
        <v>398</v>
      </c>
      <c r="X79" s="39">
        <f t="shared" si="7"/>
        <v>1342.1333333333334</v>
      </c>
      <c r="Y79" s="15">
        <v>1</v>
      </c>
      <c r="AE79" s="80"/>
      <c r="AF79" s="80"/>
      <c r="AG79" s="62">
        <f t="shared" ref="AG79:AG83" si="90">AG78</f>
        <v>0.31</v>
      </c>
      <c r="AH79" s="60">
        <v>3</v>
      </c>
      <c r="AI79" s="60">
        <v>10</v>
      </c>
      <c r="AJ79" s="60">
        <v>6010</v>
      </c>
      <c r="AK79" s="68">
        <f t="shared" si="81"/>
        <v>233</v>
      </c>
      <c r="AL79" s="68">
        <f t="shared" si="82"/>
        <v>10</v>
      </c>
      <c r="AM79" s="60">
        <f t="shared" si="83"/>
        <v>3</v>
      </c>
      <c r="AN79" s="14">
        <f t="shared" si="84"/>
        <v>3</v>
      </c>
      <c r="AO79" s="60">
        <v>3</v>
      </c>
      <c r="AP79" s="60">
        <v>1</v>
      </c>
      <c r="AQ79" s="60">
        <v>1</v>
      </c>
      <c r="AS79" s="25">
        <f t="shared" si="85"/>
        <v>332</v>
      </c>
      <c r="AT79" s="14">
        <f t="shared" si="86"/>
        <v>15562.5</v>
      </c>
      <c r="AU79" s="14">
        <f t="shared" si="87"/>
        <v>3883.333333333333</v>
      </c>
      <c r="AV79" s="65">
        <f t="shared" si="88"/>
        <v>4.0075107296137338</v>
      </c>
      <c r="AW79" s="65">
        <f t="shared" si="89"/>
        <v>5.2498390557939913</v>
      </c>
    </row>
    <row r="80" spans="3:55" x14ac:dyDescent="0.15">
      <c r="C80" s="87"/>
      <c r="D80" s="57" t="s">
        <v>120</v>
      </c>
      <c r="E80" s="14">
        <f t="shared" si="80"/>
        <v>2.88</v>
      </c>
      <c r="F80" s="57">
        <v>4</v>
      </c>
      <c r="G80" s="33">
        <f>G77*$D$11</f>
        <v>600</v>
      </c>
      <c r="H80" s="25">
        <f>IF(F80=1,G80,G80-G79)</f>
        <v>240</v>
      </c>
      <c r="I80" s="57">
        <v>215</v>
      </c>
      <c r="J80" s="57">
        <v>180</v>
      </c>
      <c r="K80" s="13">
        <v>0.2</v>
      </c>
      <c r="L80" s="57">
        <v>360</v>
      </c>
      <c r="M80" s="25">
        <f t="shared" si="78"/>
        <v>1.0514789999999998</v>
      </c>
      <c r="N80" s="28">
        <f t="shared" si="79"/>
        <v>300</v>
      </c>
      <c r="T80" s="28">
        <f t="shared" si="11"/>
        <v>6058</v>
      </c>
      <c r="U80" s="26">
        <f t="shared" si="12"/>
        <v>22145</v>
      </c>
      <c r="V80" s="28">
        <f t="shared" si="13"/>
        <v>10</v>
      </c>
      <c r="W80" s="14">
        <f t="shared" si="6"/>
        <v>436</v>
      </c>
      <c r="X80" s="39">
        <f t="shared" si="7"/>
        <v>1476.3333333333335</v>
      </c>
      <c r="Y80" s="15">
        <v>1</v>
      </c>
      <c r="AE80" s="80"/>
      <c r="AF80" s="80"/>
      <c r="AG80" s="62">
        <f t="shared" si="90"/>
        <v>0.31</v>
      </c>
      <c r="AH80" s="60">
        <v>4</v>
      </c>
      <c r="AI80" s="60">
        <v>10</v>
      </c>
      <c r="AJ80" s="60">
        <v>6008</v>
      </c>
      <c r="AK80" s="68">
        <f t="shared" ref="AK80:AK81" si="91">INDEX(U:U,MATCH($AJ80,T:T,0))</f>
        <v>193</v>
      </c>
      <c r="AL80" s="68">
        <f t="shared" ref="AL80:AL81" si="92">INDEX(V:V,MATCH($AJ80,T:T,0))</f>
        <v>10</v>
      </c>
      <c r="AM80" s="60">
        <f t="shared" si="83"/>
        <v>10</v>
      </c>
      <c r="AN80" s="14">
        <f t="shared" ref="AN80:AN81" si="93">AO80*AP80</f>
        <v>27</v>
      </c>
      <c r="AO80" s="60">
        <v>3</v>
      </c>
      <c r="AP80" s="15">
        <v>9</v>
      </c>
      <c r="AQ80" s="60">
        <v>1</v>
      </c>
      <c r="AS80" s="25">
        <f t="shared" si="85"/>
        <v>378.6</v>
      </c>
      <c r="AT80" s="14">
        <f t="shared" si="86"/>
        <v>53240.639999999999</v>
      </c>
      <c r="AU80" s="14">
        <f t="shared" si="87"/>
        <v>8685</v>
      </c>
      <c r="AV80" s="65">
        <f t="shared" si="88"/>
        <v>6.1301830742659762</v>
      </c>
      <c r="AW80" s="65">
        <f t="shared" si="89"/>
        <v>8.030539827288429</v>
      </c>
    </row>
    <row r="81" spans="3:49" x14ac:dyDescent="0.15">
      <c r="C81" s="87"/>
      <c r="D81" s="57" t="s">
        <v>120</v>
      </c>
      <c r="E81" s="14">
        <f t="shared" si="80"/>
        <v>2.88</v>
      </c>
      <c r="F81" s="57">
        <v>5</v>
      </c>
      <c r="G81" s="33">
        <f>G77*$D$12</f>
        <v>900</v>
      </c>
      <c r="H81" s="25">
        <f>IF(F81=1,G81,G81-G80)</f>
        <v>300</v>
      </c>
      <c r="I81" s="57">
        <v>280</v>
      </c>
      <c r="J81" s="57">
        <v>190</v>
      </c>
      <c r="K81" s="13">
        <v>0.25</v>
      </c>
      <c r="L81" s="57">
        <v>380</v>
      </c>
      <c r="M81" s="25">
        <f t="shared" si="78"/>
        <v>1.0402816666666665</v>
      </c>
      <c r="N81" s="28">
        <f t="shared" si="79"/>
        <v>450</v>
      </c>
      <c r="T81" s="28">
        <f t="shared" si="11"/>
        <v>6059</v>
      </c>
      <c r="U81" s="26">
        <f t="shared" si="12"/>
        <v>24359</v>
      </c>
      <c r="V81" s="28">
        <f t="shared" si="13"/>
        <v>10</v>
      </c>
      <c r="W81" s="14">
        <f t="shared" si="6"/>
        <v>476</v>
      </c>
      <c r="X81" s="39">
        <f t="shared" si="7"/>
        <v>1623.9333333333334</v>
      </c>
      <c r="Y81" s="15">
        <v>1</v>
      </c>
      <c r="AE81" s="80"/>
      <c r="AF81" s="80"/>
      <c r="AG81" s="62">
        <f t="shared" si="90"/>
        <v>0.31</v>
      </c>
      <c r="AH81" s="60">
        <v>5</v>
      </c>
      <c r="AI81" s="60">
        <v>10</v>
      </c>
      <c r="AJ81" s="60">
        <v>6026</v>
      </c>
      <c r="AK81" s="68">
        <f t="shared" si="91"/>
        <v>1053</v>
      </c>
      <c r="AL81" s="68">
        <f t="shared" si="92"/>
        <v>10</v>
      </c>
      <c r="AM81" s="60">
        <f t="shared" si="83"/>
        <v>3</v>
      </c>
      <c r="AN81" s="14">
        <f t="shared" si="93"/>
        <v>4</v>
      </c>
      <c r="AO81" s="60">
        <v>4</v>
      </c>
      <c r="AP81" s="15">
        <v>1</v>
      </c>
      <c r="AQ81" s="60">
        <v>1</v>
      </c>
      <c r="AS81" s="25">
        <f t="shared" si="85"/>
        <v>726</v>
      </c>
      <c r="AT81" s="14">
        <f t="shared" si="86"/>
        <v>34031.25</v>
      </c>
      <c r="AU81" s="14">
        <f t="shared" si="87"/>
        <v>17550</v>
      </c>
      <c r="AV81" s="65">
        <f t="shared" si="88"/>
        <v>1.9391025641025643</v>
      </c>
      <c r="AW81" s="65">
        <f t="shared" si="89"/>
        <v>2.5402243589743594</v>
      </c>
    </row>
    <row r="82" spans="3:49" x14ac:dyDescent="0.15">
      <c r="C82" s="88"/>
      <c r="D82" s="57" t="s">
        <v>120</v>
      </c>
      <c r="E82" s="14">
        <f t="shared" si="80"/>
        <v>2.88</v>
      </c>
      <c r="F82" s="57">
        <v>6</v>
      </c>
      <c r="G82" s="33">
        <f>G77*$D$13</f>
        <v>1260</v>
      </c>
      <c r="H82" s="25">
        <f>IF(F82=1,G82,G82-G81)</f>
        <v>360</v>
      </c>
      <c r="I82" s="57">
        <v>350</v>
      </c>
      <c r="J82" s="57">
        <v>200</v>
      </c>
      <c r="K82" s="13">
        <v>0.3</v>
      </c>
      <c r="L82" s="57">
        <v>400</v>
      </c>
      <c r="M82" s="25">
        <f t="shared" si="78"/>
        <v>1.0520370370370369</v>
      </c>
      <c r="N82" s="28">
        <f t="shared" si="79"/>
        <v>630</v>
      </c>
      <c r="T82" s="28">
        <f t="shared" si="11"/>
        <v>6060</v>
      </c>
      <c r="U82" s="26">
        <f t="shared" si="12"/>
        <v>26794</v>
      </c>
      <c r="V82" s="28">
        <f t="shared" si="13"/>
        <v>10</v>
      </c>
      <c r="W82" s="14">
        <f t="shared" si="6"/>
        <v>522</v>
      </c>
      <c r="X82" s="39">
        <f t="shared" si="7"/>
        <v>1786.2666666666669</v>
      </c>
      <c r="Y82" s="15">
        <v>1</v>
      </c>
      <c r="AE82" s="80"/>
      <c r="AF82" s="80"/>
      <c r="AG82" s="62">
        <f t="shared" si="90"/>
        <v>0.31</v>
      </c>
      <c r="AH82" s="60"/>
      <c r="AI82" s="60"/>
      <c r="AJ82" s="60"/>
      <c r="AK82" s="68"/>
      <c r="AL82" s="68"/>
      <c r="AM82" s="60"/>
      <c r="AN82" s="14"/>
      <c r="AO82" s="60"/>
      <c r="AP82" s="15"/>
      <c r="AQ82" s="60"/>
      <c r="AS82" s="25">
        <f t="shared" si="85"/>
        <v>1006.8</v>
      </c>
      <c r="AT82" s="14">
        <f t="shared" si="86"/>
        <v>0</v>
      </c>
      <c r="AU82" s="14" t="e">
        <f t="shared" si="87"/>
        <v>#N/A</v>
      </c>
      <c r="AV82" s="65" t="e">
        <f t="shared" si="88"/>
        <v>#N/A</v>
      </c>
      <c r="AW82" s="65" t="e">
        <f t="shared" si="89"/>
        <v>#N/A</v>
      </c>
    </row>
    <row r="83" spans="3:49" x14ac:dyDescent="0.15">
      <c r="C83" s="86" t="s">
        <v>122</v>
      </c>
      <c r="D83" s="57" t="s">
        <v>123</v>
      </c>
      <c r="E83" s="14">
        <f>(28*10+1.2*10)/25</f>
        <v>11.68</v>
      </c>
      <c r="F83" s="57">
        <v>1</v>
      </c>
      <c r="G83" s="57">
        <v>60</v>
      </c>
      <c r="H83" s="25">
        <f>IF(F83=1,G83,G83-G52)</f>
        <v>60</v>
      </c>
      <c r="I83" s="57">
        <v>18</v>
      </c>
      <c r="J83" s="57">
        <v>150</v>
      </c>
      <c r="K83" s="13">
        <v>0.05</v>
      </c>
      <c r="L83" s="57">
        <v>300</v>
      </c>
      <c r="M83" s="25">
        <f>(((I83*J83*K83*1.5+I83*J83*(1-K83))*7+(I83*J83*K83*1.5+I83*J83*(1-K83))*1*E83)/8)/G83/100*((L83-300)/300+1)</f>
        <v>1.0770187499999999</v>
      </c>
      <c r="N83" s="28">
        <f t="shared" si="79"/>
        <v>30</v>
      </c>
      <c r="T83" s="28">
        <f t="shared" si="11"/>
        <v>6061</v>
      </c>
      <c r="U83" s="26">
        <f t="shared" si="12"/>
        <v>29473</v>
      </c>
      <c r="V83" s="28">
        <f t="shared" si="13"/>
        <v>10</v>
      </c>
      <c r="W83" s="14">
        <f t="shared" si="6"/>
        <v>572</v>
      </c>
      <c r="X83" s="39">
        <f t="shared" si="7"/>
        <v>1964.8666666666668</v>
      </c>
      <c r="Y83" s="15">
        <v>1</v>
      </c>
      <c r="AE83" s="80"/>
      <c r="AF83" s="80"/>
      <c r="AG83" s="62">
        <f t="shared" si="90"/>
        <v>0.31</v>
      </c>
      <c r="AH83" s="60"/>
      <c r="AI83" s="60"/>
      <c r="AJ83" s="60"/>
      <c r="AK83" s="68"/>
      <c r="AL83" s="68"/>
      <c r="AM83" s="60"/>
      <c r="AN83" s="14"/>
      <c r="AO83" s="60"/>
      <c r="AP83" s="15"/>
      <c r="AQ83" s="60"/>
      <c r="AS83" s="25" t="e">
        <f t="shared" si="85"/>
        <v>#N/A</v>
      </c>
      <c r="AT83" s="14" t="e">
        <f t="shared" si="86"/>
        <v>#N/A</v>
      </c>
      <c r="AU83" s="14" t="e">
        <f t="shared" si="87"/>
        <v>#N/A</v>
      </c>
      <c r="AV83" s="65" t="e">
        <f t="shared" si="88"/>
        <v>#N/A</v>
      </c>
      <c r="AW83" s="65" t="e">
        <f t="shared" si="89"/>
        <v>#N/A</v>
      </c>
    </row>
    <row r="84" spans="3:49" x14ac:dyDescent="0.15">
      <c r="C84" s="87"/>
      <c r="D84" s="57" t="s">
        <v>123</v>
      </c>
      <c r="E84" s="14">
        <f t="shared" ref="E84:E88" si="94">(28*10+1.2*10)/25</f>
        <v>11.68</v>
      </c>
      <c r="F84" s="57">
        <v>2</v>
      </c>
      <c r="G84" s="33">
        <f>G83*$D$9</f>
        <v>180</v>
      </c>
      <c r="H84" s="25">
        <f>IF(F84=1,G84,G84-G83)</f>
        <v>120</v>
      </c>
      <c r="I84" s="57">
        <v>46</v>
      </c>
      <c r="J84" s="57">
        <v>160</v>
      </c>
      <c r="K84" s="13">
        <v>0.1</v>
      </c>
      <c r="L84" s="57">
        <v>320</v>
      </c>
      <c r="M84" s="25">
        <f t="shared" ref="M84:M88" si="95">(((I84*J84*K84*1.5+I84*J84*(1-K84))*7+(I84*J84*K84*1.5+I84*J84*(1-K84))*1*E84)/8)/G84/100*((L84-300)/300+1)</f>
        <v>1.0693262222222222</v>
      </c>
      <c r="N84" s="28">
        <f t="shared" si="79"/>
        <v>90</v>
      </c>
      <c r="T84" s="28">
        <f t="shared" si="11"/>
        <v>6062</v>
      </c>
      <c r="U84" s="26">
        <f t="shared" si="12"/>
        <v>32420</v>
      </c>
      <c r="V84" s="28">
        <f t="shared" si="13"/>
        <v>10</v>
      </c>
      <c r="W84" s="14">
        <f t="shared" si="6"/>
        <v>626</v>
      </c>
      <c r="X84" s="39">
        <f t="shared" si="7"/>
        <v>2161.333333333333</v>
      </c>
      <c r="Y84" s="15">
        <v>1</v>
      </c>
      <c r="AE84" s="81"/>
      <c r="AF84" s="81"/>
      <c r="AG84" s="25"/>
      <c r="AH84" s="60"/>
      <c r="AI84" s="60"/>
      <c r="AJ84" s="60"/>
      <c r="AK84" s="68"/>
      <c r="AL84" s="68"/>
      <c r="AM84" s="60" t="str">
        <f t="shared" ref="AM84:AM85" si="96">IF(AP84="","",IF(AP84=1,5,10))</f>
        <v/>
      </c>
      <c r="AN84" s="14"/>
      <c r="AO84" s="60"/>
      <c r="AP84" s="15"/>
      <c r="AQ84" s="60"/>
      <c r="AS84" s="25"/>
      <c r="AT84" s="14">
        <f t="shared" si="86"/>
        <v>0</v>
      </c>
      <c r="AU84" s="14" t="e">
        <f t="shared" si="87"/>
        <v>#N/A</v>
      </c>
      <c r="AV84" s="65" t="e">
        <f t="shared" si="88"/>
        <v>#N/A</v>
      </c>
      <c r="AW84" s="65" t="e">
        <f>(1+AG84)*AV84</f>
        <v>#N/A</v>
      </c>
    </row>
    <row r="85" spans="3:49" x14ac:dyDescent="0.15">
      <c r="C85" s="87"/>
      <c r="D85" s="57" t="s">
        <v>123</v>
      </c>
      <c r="E85" s="14">
        <f t="shared" si="94"/>
        <v>11.68</v>
      </c>
      <c r="F85" s="57">
        <v>3</v>
      </c>
      <c r="G85" s="33">
        <f>G83*$D$10</f>
        <v>360</v>
      </c>
      <c r="H85" s="25">
        <f>IF(F85=1,G85,G85-G84)</f>
        <v>180</v>
      </c>
      <c r="I85" s="57">
        <v>80</v>
      </c>
      <c r="J85" s="57">
        <v>170</v>
      </c>
      <c r="K85" s="13">
        <v>0.15</v>
      </c>
      <c r="L85" s="57">
        <v>340</v>
      </c>
      <c r="M85" s="25">
        <f t="shared" si="95"/>
        <v>1.0747053703703702</v>
      </c>
      <c r="N85" s="28">
        <f t="shared" si="79"/>
        <v>180</v>
      </c>
      <c r="T85" s="28">
        <f t="shared" si="11"/>
        <v>6063</v>
      </c>
      <c r="U85" s="26">
        <f t="shared" si="12"/>
        <v>35662</v>
      </c>
      <c r="V85" s="28">
        <f t="shared" si="13"/>
        <v>10</v>
      </c>
      <c r="W85" s="14">
        <f t="shared" si="6"/>
        <v>684</v>
      </c>
      <c r="X85" s="39">
        <f t="shared" si="7"/>
        <v>2377.4666666666667</v>
      </c>
      <c r="Y85" s="15">
        <v>1</v>
      </c>
      <c r="AM85" s="60" t="str">
        <f t="shared" si="96"/>
        <v/>
      </c>
      <c r="AT85" s="14">
        <f t="shared" si="86"/>
        <v>0</v>
      </c>
      <c r="AU85" s="14" t="e">
        <f t="shared" si="87"/>
        <v>#N/A</v>
      </c>
    </row>
    <row r="86" spans="3:49" x14ac:dyDescent="0.15">
      <c r="C86" s="87"/>
      <c r="D86" s="57" t="s">
        <v>123</v>
      </c>
      <c r="E86" s="14">
        <f t="shared" si="94"/>
        <v>11.68</v>
      </c>
      <c r="F86" s="57">
        <v>4</v>
      </c>
      <c r="G86" s="33">
        <f>G83*$D$11</f>
        <v>600</v>
      </c>
      <c r="H86" s="25">
        <f>IF(F86=1,G86,G86-G85)</f>
        <v>240</v>
      </c>
      <c r="I86" s="57">
        <v>120</v>
      </c>
      <c r="J86" s="57">
        <v>180</v>
      </c>
      <c r="K86" s="13">
        <v>0.2</v>
      </c>
      <c r="L86" s="57">
        <v>360</v>
      </c>
      <c r="M86" s="25">
        <f t="shared" si="95"/>
        <v>1.1095919999999999</v>
      </c>
      <c r="N86" s="28">
        <f t="shared" si="79"/>
        <v>300</v>
      </c>
      <c r="T86" s="28">
        <f t="shared" si="11"/>
        <v>6064</v>
      </c>
      <c r="U86" s="26">
        <f t="shared" si="12"/>
        <v>39228</v>
      </c>
      <c r="V86" s="28">
        <f t="shared" si="13"/>
        <v>10</v>
      </c>
      <c r="W86" s="14">
        <f t="shared" si="6"/>
        <v>750</v>
      </c>
      <c r="X86" s="39">
        <f t="shared" si="7"/>
        <v>2615.1999999999998</v>
      </c>
      <c r="Y86" s="15">
        <v>1</v>
      </c>
      <c r="AE86" s="79">
        <f>AE77+1</f>
        <v>5</v>
      </c>
      <c r="AF86" s="79">
        <v>10</v>
      </c>
      <c r="AG86" s="63">
        <f>INDEX($BC$14:$BC$77,MATCH(AF86,$BA$14:$BA$77))</f>
        <v>0.31</v>
      </c>
      <c r="AH86" s="60">
        <v>1</v>
      </c>
      <c r="AI86" s="60">
        <v>10</v>
      </c>
      <c r="AJ86" s="60">
        <v>6003</v>
      </c>
      <c r="AK86" s="68">
        <f>INDEX(U:U,MATCH($AJ86,T:T,0))</f>
        <v>121</v>
      </c>
      <c r="AL86" s="68">
        <f>INDEX(V:V,MATCH($AJ86,T:T,0))</f>
        <v>10</v>
      </c>
      <c r="AM86" s="60">
        <f>IF(AP86="","",IF(AP86=1,5,10))</f>
        <v>5</v>
      </c>
      <c r="AN86" s="14">
        <f>AO86*AP86</f>
        <v>5</v>
      </c>
      <c r="AO86" s="60">
        <v>5</v>
      </c>
      <c r="AP86" s="60">
        <v>1</v>
      </c>
      <c r="AQ86" s="60">
        <v>1</v>
      </c>
      <c r="AS86" s="15">
        <f>$AH$18</f>
        <v>200</v>
      </c>
      <c r="AT86" s="14">
        <f>ROUND(($AS86*$AH$17*50/4/4),2)*AP86^0.5</f>
        <v>9375</v>
      </c>
      <c r="AU86" s="14">
        <f t="shared" si="87"/>
        <v>1210</v>
      </c>
      <c r="AV86" s="65">
        <f>AT86/AU86*10/AL86</f>
        <v>7.7479338842975212</v>
      </c>
      <c r="AW86" s="65">
        <f>(1+AG86)*AV86</f>
        <v>10.149793388429753</v>
      </c>
    </row>
    <row r="87" spans="3:49" x14ac:dyDescent="0.15">
      <c r="C87" s="87"/>
      <c r="D87" s="57" t="s">
        <v>123</v>
      </c>
      <c r="E87" s="14">
        <f t="shared" si="94"/>
        <v>11.68</v>
      </c>
      <c r="F87" s="57">
        <v>5</v>
      </c>
      <c r="G87" s="33">
        <f>G83*$D$12</f>
        <v>900</v>
      </c>
      <c r="H87" s="25">
        <f>IF(F87=1,G87,G87-G86)</f>
        <v>300</v>
      </c>
      <c r="I87" s="57">
        <v>150</v>
      </c>
      <c r="J87" s="57">
        <v>190</v>
      </c>
      <c r="K87" s="13">
        <v>0.25</v>
      </c>
      <c r="L87" s="57">
        <v>380</v>
      </c>
      <c r="M87" s="25">
        <f t="shared" si="95"/>
        <v>1.0536687499999999</v>
      </c>
      <c r="N87" s="28">
        <f t="shared" si="79"/>
        <v>450</v>
      </c>
      <c r="T87" s="28">
        <f t="shared" si="11"/>
        <v>6065</v>
      </c>
      <c r="U87" s="26">
        <f t="shared" si="12"/>
        <v>43150</v>
      </c>
      <c r="V87" s="28">
        <f t="shared" si="13"/>
        <v>10</v>
      </c>
      <c r="W87" s="14">
        <f t="shared" si="6"/>
        <v>822</v>
      </c>
      <c r="X87" s="39">
        <f t="shared" si="7"/>
        <v>2876.666666666667</v>
      </c>
      <c r="Y87" s="15">
        <v>1</v>
      </c>
      <c r="AE87" s="80"/>
      <c r="AF87" s="80"/>
      <c r="AG87" s="62">
        <f>AG86</f>
        <v>0.31</v>
      </c>
      <c r="AH87" s="60">
        <v>2</v>
      </c>
      <c r="AI87" s="60">
        <v>10</v>
      </c>
      <c r="AJ87" s="60">
        <v>6005</v>
      </c>
      <c r="AK87" s="68">
        <f t="shared" ref="AK87:AK91" si="97">INDEX(U:U,MATCH($AJ87,T:T,0))</f>
        <v>146</v>
      </c>
      <c r="AL87" s="68">
        <f t="shared" ref="AL87:AL91" si="98">INDEX(V:V,MATCH($AJ87,T:T,0))</f>
        <v>10</v>
      </c>
      <c r="AM87" s="60">
        <f t="shared" ref="AM87:AM150" si="99">IF(AP87="","",IF(AP87=1,5,10))</f>
        <v>5</v>
      </c>
      <c r="AN87" s="14">
        <f t="shared" ref="AN87:AN91" si="100">AO87*AP87</f>
        <v>5</v>
      </c>
      <c r="AO87" s="60">
        <v>5</v>
      </c>
      <c r="AP87" s="60">
        <v>1</v>
      </c>
      <c r="AQ87" s="60">
        <v>1</v>
      </c>
      <c r="AS87" s="25">
        <f t="shared" ref="AS87:AS92" si="101">AS86+AN86*INDEX(X:X,MATCH(AJ86,T:T,0))</f>
        <v>240.33333333333331</v>
      </c>
      <c r="AT87" s="14">
        <f t="shared" si="86"/>
        <v>11265.63</v>
      </c>
      <c r="AU87" s="14">
        <f t="shared" si="87"/>
        <v>1460</v>
      </c>
      <c r="AV87" s="65">
        <f t="shared" ref="AV87:AV93" si="102">AT87/AU87*10/AL87</f>
        <v>7.7161849315068478</v>
      </c>
      <c r="AW87" s="65">
        <f t="shared" ref="AW87:AW92" si="103">(1+AG87)*AV87</f>
        <v>10.108202260273972</v>
      </c>
    </row>
    <row r="88" spans="3:49" x14ac:dyDescent="0.15">
      <c r="C88" s="88"/>
      <c r="D88" s="57" t="s">
        <v>123</v>
      </c>
      <c r="E88" s="14">
        <f t="shared" si="94"/>
        <v>11.68</v>
      </c>
      <c r="F88" s="57">
        <v>6</v>
      </c>
      <c r="G88" s="33">
        <f>G83*$D$13</f>
        <v>1260</v>
      </c>
      <c r="H88" s="25">
        <f>IF(F88=1,G88,G88-G87)</f>
        <v>360</v>
      </c>
      <c r="I88" s="57">
        <v>186</v>
      </c>
      <c r="J88" s="57">
        <v>200</v>
      </c>
      <c r="K88" s="13">
        <v>0.3</v>
      </c>
      <c r="L88" s="57">
        <v>400</v>
      </c>
      <c r="M88" s="25">
        <f t="shared" si="95"/>
        <v>1.0570507936507934</v>
      </c>
      <c r="N88" s="28">
        <f t="shared" si="79"/>
        <v>630</v>
      </c>
      <c r="T88" s="28">
        <f t="shared" si="11"/>
        <v>6066</v>
      </c>
      <c r="U88" s="26">
        <f t="shared" si="12"/>
        <v>47465</v>
      </c>
      <c r="V88" s="28">
        <f t="shared" si="13"/>
        <v>10</v>
      </c>
      <c r="W88" s="14">
        <f t="shared" ref="W88:W151" si="104">_xlfn.FLOOR.MATH(V88*U88/15/10/RIGHT(T88,3)^0.3,2)</f>
        <v>900</v>
      </c>
      <c r="X88" s="39">
        <f t="shared" ref="X88:X151" si="105">U88*V88/15/10</f>
        <v>3164.333333333333</v>
      </c>
      <c r="Y88" s="15">
        <v>1</v>
      </c>
      <c r="AE88" s="80"/>
      <c r="AF88" s="80"/>
      <c r="AG88" s="62">
        <f t="shared" ref="AG88:AG93" si="106">AG87</f>
        <v>0.31</v>
      </c>
      <c r="AH88" s="60">
        <v>3</v>
      </c>
      <c r="AI88" s="60">
        <v>10</v>
      </c>
      <c r="AJ88" s="60">
        <v>6018</v>
      </c>
      <c r="AK88" s="68">
        <f t="shared" si="97"/>
        <v>493</v>
      </c>
      <c r="AL88" s="68">
        <f t="shared" si="98"/>
        <v>10</v>
      </c>
      <c r="AM88" s="60">
        <f t="shared" si="99"/>
        <v>5</v>
      </c>
      <c r="AN88" s="14">
        <f t="shared" si="100"/>
        <v>3</v>
      </c>
      <c r="AO88" s="60">
        <v>3</v>
      </c>
      <c r="AP88" s="60">
        <v>1</v>
      </c>
      <c r="AQ88" s="60">
        <v>1</v>
      </c>
      <c r="AS88" s="25">
        <f t="shared" si="101"/>
        <v>289</v>
      </c>
      <c r="AT88" s="14">
        <f t="shared" si="86"/>
        <v>13546.88</v>
      </c>
      <c r="AU88" s="14">
        <f t="shared" si="87"/>
        <v>4930</v>
      </c>
      <c r="AV88" s="65">
        <f t="shared" si="102"/>
        <v>2.7478458417849896</v>
      </c>
      <c r="AW88" s="65">
        <f t="shared" si="103"/>
        <v>3.5996780527383363</v>
      </c>
    </row>
    <row r="89" spans="3:49" x14ac:dyDescent="0.15">
      <c r="T89" s="28">
        <f t="shared" ref="T89:T152" si="107">T88+1</f>
        <v>6067</v>
      </c>
      <c r="U89" s="26">
        <f t="shared" ref="U89:U152" si="108">INT(U88*$U$18)</f>
        <v>52211</v>
      </c>
      <c r="V89" s="28">
        <f t="shared" ref="V89:V152" si="109">V88</f>
        <v>10</v>
      </c>
      <c r="W89" s="14">
        <f t="shared" si="104"/>
        <v>984</v>
      </c>
      <c r="X89" s="39">
        <f t="shared" si="105"/>
        <v>3480.7333333333336</v>
      </c>
      <c r="Y89" s="15">
        <v>1</v>
      </c>
      <c r="AE89" s="80"/>
      <c r="AF89" s="80"/>
      <c r="AG89" s="62">
        <f t="shared" si="106"/>
        <v>0.31</v>
      </c>
      <c r="AH89" s="60">
        <v>4</v>
      </c>
      <c r="AI89" s="60">
        <v>10</v>
      </c>
      <c r="AJ89" s="60">
        <v>6022</v>
      </c>
      <c r="AK89" s="68">
        <f t="shared" si="97"/>
        <v>720</v>
      </c>
      <c r="AL89" s="68">
        <f t="shared" si="98"/>
        <v>10</v>
      </c>
      <c r="AM89" s="60">
        <f t="shared" si="99"/>
        <v>5</v>
      </c>
      <c r="AN89" s="14">
        <f t="shared" si="100"/>
        <v>3</v>
      </c>
      <c r="AO89" s="60">
        <v>3</v>
      </c>
      <c r="AP89" s="60">
        <v>1</v>
      </c>
      <c r="AQ89" s="60">
        <v>1</v>
      </c>
      <c r="AS89" s="25">
        <f t="shared" si="101"/>
        <v>387.6</v>
      </c>
      <c r="AT89" s="14">
        <f t="shared" si="86"/>
        <v>18168.75</v>
      </c>
      <c r="AU89" s="14">
        <f t="shared" si="87"/>
        <v>7200</v>
      </c>
      <c r="AV89" s="65">
        <f t="shared" si="102"/>
        <v>2.5234375</v>
      </c>
      <c r="AW89" s="65">
        <f t="shared" si="103"/>
        <v>3.305703125</v>
      </c>
    </row>
    <row r="90" spans="3:49" x14ac:dyDescent="0.15">
      <c r="T90" s="28">
        <f t="shared" si="107"/>
        <v>6068</v>
      </c>
      <c r="U90" s="26">
        <f t="shared" si="108"/>
        <v>57432</v>
      </c>
      <c r="V90" s="28">
        <f t="shared" si="109"/>
        <v>10</v>
      </c>
      <c r="W90" s="14">
        <f t="shared" si="104"/>
        <v>1078</v>
      </c>
      <c r="X90" s="39">
        <f t="shared" si="105"/>
        <v>3828.8</v>
      </c>
      <c r="Y90" s="15">
        <v>1</v>
      </c>
      <c r="AE90" s="80"/>
      <c r="AF90" s="80"/>
      <c r="AG90" s="62">
        <f t="shared" si="106"/>
        <v>0.31</v>
      </c>
      <c r="AH90" s="60">
        <v>5</v>
      </c>
      <c r="AI90" s="60">
        <v>10</v>
      </c>
      <c r="AJ90" s="60">
        <v>6025</v>
      </c>
      <c r="AK90" s="68">
        <f t="shared" si="97"/>
        <v>958</v>
      </c>
      <c r="AL90" s="68">
        <f t="shared" si="98"/>
        <v>10</v>
      </c>
      <c r="AM90" s="60">
        <f t="shared" si="99"/>
        <v>5</v>
      </c>
      <c r="AN90" s="14">
        <f t="shared" si="100"/>
        <v>3</v>
      </c>
      <c r="AO90" s="60">
        <v>3</v>
      </c>
      <c r="AP90" s="60">
        <v>1</v>
      </c>
      <c r="AQ90" s="60">
        <v>1</v>
      </c>
      <c r="AS90" s="25">
        <f t="shared" si="101"/>
        <v>531.6</v>
      </c>
      <c r="AT90" s="14">
        <f t="shared" si="86"/>
        <v>24918.75</v>
      </c>
      <c r="AU90" s="14">
        <f t="shared" si="87"/>
        <v>9580</v>
      </c>
      <c r="AV90" s="65">
        <f t="shared" si="102"/>
        <v>2.6011221294363258</v>
      </c>
      <c r="AW90" s="65">
        <f t="shared" si="103"/>
        <v>3.4074699895615868</v>
      </c>
    </row>
    <row r="91" spans="3:49" x14ac:dyDescent="0.15">
      <c r="T91" s="28">
        <f t="shared" si="107"/>
        <v>6069</v>
      </c>
      <c r="U91" s="26">
        <f t="shared" si="108"/>
        <v>63175</v>
      </c>
      <c r="V91" s="28">
        <f t="shared" si="109"/>
        <v>10</v>
      </c>
      <c r="W91" s="14">
        <f t="shared" si="104"/>
        <v>1182</v>
      </c>
      <c r="X91" s="39">
        <f t="shared" si="105"/>
        <v>4211.6666666666661</v>
      </c>
      <c r="Y91" s="15">
        <v>1</v>
      </c>
      <c r="AE91" s="80"/>
      <c r="AF91" s="80"/>
      <c r="AG91" s="62">
        <f t="shared" si="106"/>
        <v>0.31</v>
      </c>
      <c r="AH91" s="60">
        <v>6</v>
      </c>
      <c r="AI91" s="60">
        <v>10</v>
      </c>
      <c r="AJ91" s="60">
        <v>6039</v>
      </c>
      <c r="AK91" s="68">
        <f t="shared" si="97"/>
        <v>3625</v>
      </c>
      <c r="AL91" s="68">
        <f t="shared" si="98"/>
        <v>10</v>
      </c>
      <c r="AM91" s="60">
        <f t="shared" si="99"/>
        <v>5</v>
      </c>
      <c r="AN91" s="14">
        <f t="shared" si="100"/>
        <v>5</v>
      </c>
      <c r="AO91" s="60">
        <v>5</v>
      </c>
      <c r="AP91" s="15">
        <v>1</v>
      </c>
      <c r="AQ91" s="60">
        <v>1</v>
      </c>
      <c r="AS91" s="25">
        <f t="shared" si="101"/>
        <v>723.2</v>
      </c>
      <c r="AT91" s="14">
        <f t="shared" si="86"/>
        <v>33900</v>
      </c>
      <c r="AU91" s="14">
        <f t="shared" si="87"/>
        <v>36250</v>
      </c>
      <c r="AV91" s="65">
        <f t="shared" si="102"/>
        <v>0.93517241379310345</v>
      </c>
      <c r="AW91" s="65">
        <f t="shared" si="103"/>
        <v>1.2250758620689657</v>
      </c>
    </row>
    <row r="92" spans="3:49" x14ac:dyDescent="0.15">
      <c r="T92" s="28">
        <f t="shared" si="107"/>
        <v>6070</v>
      </c>
      <c r="U92" s="26">
        <f t="shared" si="108"/>
        <v>69492</v>
      </c>
      <c r="V92" s="28">
        <f t="shared" si="109"/>
        <v>10</v>
      </c>
      <c r="W92" s="14">
        <f t="shared" si="104"/>
        <v>1294</v>
      </c>
      <c r="X92" s="39">
        <f t="shared" si="105"/>
        <v>4632.8</v>
      </c>
      <c r="Y92" s="15">
        <v>1</v>
      </c>
      <c r="AE92" s="80"/>
      <c r="AF92" s="80"/>
      <c r="AG92" s="62">
        <f t="shared" si="106"/>
        <v>0.31</v>
      </c>
      <c r="AH92" s="60"/>
      <c r="AI92" s="60"/>
      <c r="AJ92" s="60"/>
      <c r="AK92" s="68"/>
      <c r="AL92" s="68"/>
      <c r="AM92" s="60" t="str">
        <f t="shared" si="99"/>
        <v/>
      </c>
      <c r="AN92" s="14"/>
      <c r="AO92" s="60"/>
      <c r="AP92" s="15"/>
      <c r="AQ92" s="60"/>
      <c r="AS92" s="25">
        <f t="shared" si="101"/>
        <v>1931.5333333333333</v>
      </c>
      <c r="AT92" s="14">
        <f t="shared" si="86"/>
        <v>0</v>
      </c>
      <c r="AU92" s="14" t="e">
        <f t="shared" si="87"/>
        <v>#N/A</v>
      </c>
      <c r="AV92" s="65" t="e">
        <f t="shared" si="102"/>
        <v>#N/A</v>
      </c>
      <c r="AW92" s="65" t="e">
        <f t="shared" si="103"/>
        <v>#N/A</v>
      </c>
    </row>
    <row r="93" spans="3:49" x14ac:dyDescent="0.15">
      <c r="T93" s="28">
        <f t="shared" si="107"/>
        <v>6071</v>
      </c>
      <c r="U93" s="26">
        <f t="shared" si="108"/>
        <v>76441</v>
      </c>
      <c r="V93" s="28">
        <f t="shared" si="109"/>
        <v>10</v>
      </c>
      <c r="W93" s="14">
        <f t="shared" si="104"/>
        <v>1418</v>
      </c>
      <c r="X93" s="39">
        <f t="shared" si="105"/>
        <v>5096.0666666666666</v>
      </c>
      <c r="Y93" s="15">
        <v>1</v>
      </c>
      <c r="AE93" s="81"/>
      <c r="AF93" s="81"/>
      <c r="AG93" s="25">
        <f t="shared" si="106"/>
        <v>0.31</v>
      </c>
      <c r="AH93" s="60"/>
      <c r="AI93" s="60"/>
      <c r="AJ93" s="60"/>
      <c r="AK93" s="68"/>
      <c r="AL93" s="68"/>
      <c r="AM93" s="60" t="str">
        <f t="shared" si="99"/>
        <v/>
      </c>
      <c r="AN93" s="14"/>
      <c r="AO93" s="60"/>
      <c r="AP93" s="15"/>
      <c r="AQ93" s="60"/>
      <c r="AS93" s="25"/>
      <c r="AT93" s="14">
        <f t="shared" si="86"/>
        <v>0</v>
      </c>
      <c r="AU93" s="14" t="e">
        <f t="shared" si="87"/>
        <v>#N/A</v>
      </c>
      <c r="AV93" s="65" t="e">
        <f t="shared" si="102"/>
        <v>#N/A</v>
      </c>
      <c r="AW93" s="65"/>
    </row>
    <row r="94" spans="3:49" x14ac:dyDescent="0.15">
      <c r="T94" s="28">
        <f t="shared" si="107"/>
        <v>6072</v>
      </c>
      <c r="U94" s="26">
        <f t="shared" si="108"/>
        <v>84085</v>
      </c>
      <c r="V94" s="28">
        <f t="shared" si="109"/>
        <v>10</v>
      </c>
      <c r="W94" s="14">
        <f t="shared" si="104"/>
        <v>1552</v>
      </c>
      <c r="X94" s="39">
        <f t="shared" si="105"/>
        <v>5605.6666666666661</v>
      </c>
      <c r="Y94" s="15">
        <v>1</v>
      </c>
      <c r="AM94" s="60" t="str">
        <f t="shared" si="99"/>
        <v/>
      </c>
      <c r="AT94" s="14">
        <f t="shared" si="86"/>
        <v>0</v>
      </c>
      <c r="AU94" s="14" t="e">
        <f t="shared" si="87"/>
        <v>#N/A</v>
      </c>
    </row>
    <row r="95" spans="3:49" x14ac:dyDescent="0.15">
      <c r="T95" s="28">
        <f t="shared" si="107"/>
        <v>6073</v>
      </c>
      <c r="U95" s="26">
        <f t="shared" si="108"/>
        <v>92493</v>
      </c>
      <c r="V95" s="28">
        <f t="shared" si="109"/>
        <v>10</v>
      </c>
      <c r="W95" s="14">
        <f t="shared" si="104"/>
        <v>1702</v>
      </c>
      <c r="X95" s="39">
        <f t="shared" si="105"/>
        <v>6166.2</v>
      </c>
      <c r="Y95" s="15">
        <v>1</v>
      </c>
      <c r="AE95" s="79">
        <f>AE86+1</f>
        <v>6</v>
      </c>
      <c r="AF95" s="79">
        <v>10</v>
      </c>
      <c r="AG95" s="63">
        <f>INDEX($BC$14:$BC$77,MATCH(AF95,$BA$14:$BA$77))</f>
        <v>0.31</v>
      </c>
      <c r="AH95" s="60">
        <v>1</v>
      </c>
      <c r="AI95" s="60">
        <v>10</v>
      </c>
      <c r="AJ95" s="60">
        <v>6002</v>
      </c>
      <c r="AK95" s="68">
        <f>INDEX(U:U,MATCH($AJ95,T:T,0))</f>
        <v>110</v>
      </c>
      <c r="AL95" s="68">
        <f>INDEX(V:V,MATCH($AJ95,T:T,0))</f>
        <v>10</v>
      </c>
      <c r="AM95" s="60">
        <f t="shared" si="99"/>
        <v>10</v>
      </c>
      <c r="AN95" s="14">
        <f>AO95*AP95</f>
        <v>40</v>
      </c>
      <c r="AO95" s="60">
        <v>10</v>
      </c>
      <c r="AP95" s="60">
        <v>4</v>
      </c>
      <c r="AQ95" s="60">
        <v>1</v>
      </c>
      <c r="AS95" s="15">
        <f>$AH$18</f>
        <v>200</v>
      </c>
      <c r="AT95" s="14">
        <f t="shared" si="86"/>
        <v>18750</v>
      </c>
      <c r="AU95" s="14">
        <f t="shared" si="87"/>
        <v>2200</v>
      </c>
      <c r="AV95" s="65">
        <f>AT95/AU95*10/AL95</f>
        <v>8.5227272727272734</v>
      </c>
      <c r="AW95" s="65">
        <f>(1+AG95)*AV95</f>
        <v>11.164772727272728</v>
      </c>
    </row>
    <row r="96" spans="3:49" x14ac:dyDescent="0.15">
      <c r="T96" s="28">
        <f t="shared" si="107"/>
        <v>6074</v>
      </c>
      <c r="U96" s="26">
        <f t="shared" si="108"/>
        <v>101742</v>
      </c>
      <c r="V96" s="28">
        <f t="shared" si="109"/>
        <v>10</v>
      </c>
      <c r="W96" s="14">
        <f t="shared" si="104"/>
        <v>1864</v>
      </c>
      <c r="X96" s="39">
        <f t="shared" si="105"/>
        <v>6782.8</v>
      </c>
      <c r="Y96" s="15">
        <v>1</v>
      </c>
      <c r="AE96" s="80"/>
      <c r="AF96" s="80"/>
      <c r="AG96" s="62">
        <f>AG95</f>
        <v>0.31</v>
      </c>
      <c r="AH96" s="60">
        <v>2</v>
      </c>
      <c r="AI96" s="60">
        <v>10</v>
      </c>
      <c r="AJ96" s="60">
        <v>6015</v>
      </c>
      <c r="AK96" s="68">
        <f t="shared" ref="AK96:AK99" si="110">INDEX(U:U,MATCH($AJ96,T:T,0))</f>
        <v>372</v>
      </c>
      <c r="AL96" s="68">
        <f t="shared" ref="AL96:AL99" si="111">INDEX(V:V,MATCH($AJ96,T:T,0))</f>
        <v>10</v>
      </c>
      <c r="AM96" s="60">
        <f t="shared" si="99"/>
        <v>10</v>
      </c>
      <c r="AN96" s="14">
        <f t="shared" ref="AN96:AN99" si="112">AO96*AP96</f>
        <v>20</v>
      </c>
      <c r="AO96" s="60">
        <v>5</v>
      </c>
      <c r="AP96" s="60">
        <v>4</v>
      </c>
      <c r="AQ96" s="60">
        <v>1</v>
      </c>
      <c r="AS96" s="25">
        <f t="shared" ref="AS96:AS101" si="113">AS95+AN95*INDEX(X:X,MATCH(AJ95,T:T,0))</f>
        <v>493.33333333333331</v>
      </c>
      <c r="AT96" s="14">
        <f t="shared" si="86"/>
        <v>46250</v>
      </c>
      <c r="AU96" s="14">
        <f t="shared" si="87"/>
        <v>7440</v>
      </c>
      <c r="AV96" s="65">
        <f t="shared" ref="AV96:AV102" si="114">AT96/AU96*10/AL96</f>
        <v>6.216397849462366</v>
      </c>
      <c r="AW96" s="65">
        <f t="shared" ref="AW96:AW101" si="115">(1+AG96)*AV96</f>
        <v>8.1434811827956999</v>
      </c>
    </row>
    <row r="97" spans="20:49" x14ac:dyDescent="0.15">
      <c r="T97" s="28">
        <f t="shared" si="107"/>
        <v>6075</v>
      </c>
      <c r="U97" s="26">
        <f t="shared" si="108"/>
        <v>111916</v>
      </c>
      <c r="V97" s="28">
        <f t="shared" si="109"/>
        <v>10</v>
      </c>
      <c r="W97" s="14">
        <f t="shared" si="104"/>
        <v>2042</v>
      </c>
      <c r="X97" s="39">
        <f t="shared" si="105"/>
        <v>7461.0666666666675</v>
      </c>
      <c r="Y97" s="15">
        <v>1</v>
      </c>
      <c r="AE97" s="80"/>
      <c r="AF97" s="80"/>
      <c r="AG97" s="62">
        <f t="shared" ref="AG97:AG101" si="116">AG96</f>
        <v>0.31</v>
      </c>
      <c r="AH97" s="60">
        <v>3</v>
      </c>
      <c r="AI97" s="60">
        <v>10</v>
      </c>
      <c r="AJ97" s="60">
        <v>6101</v>
      </c>
      <c r="AK97" s="68">
        <f t="shared" si="110"/>
        <v>200</v>
      </c>
      <c r="AL97" s="68">
        <f t="shared" si="111"/>
        <v>20</v>
      </c>
      <c r="AM97" s="60">
        <f t="shared" si="99"/>
        <v>10</v>
      </c>
      <c r="AN97" s="14">
        <f t="shared" si="112"/>
        <v>12</v>
      </c>
      <c r="AO97" s="60">
        <v>3</v>
      </c>
      <c r="AP97" s="60">
        <v>4</v>
      </c>
      <c r="AQ97" s="60">
        <v>1</v>
      </c>
      <c r="AS97" s="25">
        <f t="shared" si="113"/>
        <v>989.33333333333326</v>
      </c>
      <c r="AT97" s="14">
        <f t="shared" si="86"/>
        <v>92750</v>
      </c>
      <c r="AU97" s="14">
        <f t="shared" si="87"/>
        <v>8000</v>
      </c>
      <c r="AV97" s="65">
        <f t="shared" si="114"/>
        <v>5.796875</v>
      </c>
      <c r="AW97" s="65">
        <f t="shared" si="115"/>
        <v>7.5939062500000007</v>
      </c>
    </row>
    <row r="98" spans="20:49" x14ac:dyDescent="0.15">
      <c r="T98" s="28">
        <f t="shared" si="107"/>
        <v>6076</v>
      </c>
      <c r="U98" s="26">
        <f t="shared" si="108"/>
        <v>123107</v>
      </c>
      <c r="V98" s="28">
        <f t="shared" si="109"/>
        <v>10</v>
      </c>
      <c r="W98" s="14">
        <f t="shared" si="104"/>
        <v>2238</v>
      </c>
      <c r="X98" s="39">
        <f t="shared" si="105"/>
        <v>8207.1333333333332</v>
      </c>
      <c r="Y98" s="15">
        <v>1</v>
      </c>
      <c r="AE98" s="80"/>
      <c r="AF98" s="80"/>
      <c r="AG98" s="62">
        <f t="shared" si="116"/>
        <v>0.31</v>
      </c>
      <c r="AH98" s="60">
        <v>4</v>
      </c>
      <c r="AI98" s="60">
        <v>10</v>
      </c>
      <c r="AJ98" s="60">
        <v>6022</v>
      </c>
      <c r="AK98" s="68">
        <f t="shared" si="110"/>
        <v>720</v>
      </c>
      <c r="AL98" s="68">
        <f t="shared" si="111"/>
        <v>10</v>
      </c>
      <c r="AM98" s="60">
        <f t="shared" si="99"/>
        <v>10</v>
      </c>
      <c r="AN98" s="14">
        <f t="shared" si="112"/>
        <v>27</v>
      </c>
      <c r="AO98" s="60">
        <v>3</v>
      </c>
      <c r="AP98" s="60">
        <v>9</v>
      </c>
      <c r="AQ98" s="60">
        <v>1</v>
      </c>
      <c r="AS98" s="25">
        <f t="shared" si="113"/>
        <v>1309.3333333333333</v>
      </c>
      <c r="AT98" s="14">
        <f t="shared" si="86"/>
        <v>184125</v>
      </c>
      <c r="AU98" s="14">
        <f t="shared" si="87"/>
        <v>32400</v>
      </c>
      <c r="AV98" s="65">
        <f t="shared" si="114"/>
        <v>5.6828703703703702</v>
      </c>
      <c r="AW98" s="65">
        <f t="shared" si="115"/>
        <v>7.4445601851851855</v>
      </c>
    </row>
    <row r="99" spans="20:49" x14ac:dyDescent="0.15">
      <c r="T99" s="28">
        <f t="shared" si="107"/>
        <v>6077</v>
      </c>
      <c r="U99" s="26">
        <f t="shared" si="108"/>
        <v>135417</v>
      </c>
      <c r="V99" s="28">
        <f t="shared" si="109"/>
        <v>10</v>
      </c>
      <c r="W99" s="14">
        <f t="shared" si="104"/>
        <v>2452</v>
      </c>
      <c r="X99" s="39">
        <f t="shared" si="105"/>
        <v>9027.7999999999993</v>
      </c>
      <c r="Y99" s="15">
        <v>1</v>
      </c>
      <c r="AE99" s="80"/>
      <c r="AF99" s="80"/>
      <c r="AG99" s="62">
        <f t="shared" si="116"/>
        <v>0.31</v>
      </c>
      <c r="AH99" s="60">
        <v>5</v>
      </c>
      <c r="AI99" s="60">
        <v>10</v>
      </c>
      <c r="AJ99" s="60">
        <v>6047</v>
      </c>
      <c r="AK99" s="68">
        <f t="shared" si="110"/>
        <v>7764</v>
      </c>
      <c r="AL99" s="68">
        <f t="shared" si="111"/>
        <v>10</v>
      </c>
      <c r="AM99" s="60">
        <f t="shared" si="99"/>
        <v>5</v>
      </c>
      <c r="AN99" s="14">
        <f t="shared" si="112"/>
        <v>5</v>
      </c>
      <c r="AO99" s="60">
        <v>5</v>
      </c>
      <c r="AP99" s="60">
        <v>1</v>
      </c>
      <c r="AQ99" s="60">
        <v>1</v>
      </c>
      <c r="AS99" s="25">
        <f t="shared" si="113"/>
        <v>2605.333333333333</v>
      </c>
      <c r="AT99" s="14">
        <f t="shared" si="86"/>
        <v>122125</v>
      </c>
      <c r="AU99" s="14">
        <f t="shared" si="87"/>
        <v>77640</v>
      </c>
      <c r="AV99" s="65">
        <f t="shared" si="114"/>
        <v>1.5729649665121073</v>
      </c>
      <c r="AW99" s="65">
        <f t="shared" si="115"/>
        <v>2.0605841061308605</v>
      </c>
    </row>
    <row r="100" spans="20:49" x14ac:dyDescent="0.15">
      <c r="T100" s="28">
        <f t="shared" si="107"/>
        <v>6078</v>
      </c>
      <c r="U100" s="26">
        <f t="shared" si="108"/>
        <v>148958</v>
      </c>
      <c r="V100" s="28">
        <f t="shared" si="109"/>
        <v>10</v>
      </c>
      <c r="W100" s="14">
        <f t="shared" si="104"/>
        <v>2686</v>
      </c>
      <c r="X100" s="39">
        <f t="shared" si="105"/>
        <v>9930.5333333333328</v>
      </c>
      <c r="Y100" s="15">
        <v>1</v>
      </c>
      <c r="AE100" s="80"/>
      <c r="AF100" s="80"/>
      <c r="AG100" s="62">
        <f t="shared" si="116"/>
        <v>0.31</v>
      </c>
      <c r="AH100" s="60">
        <v>6</v>
      </c>
      <c r="AI100" s="60"/>
      <c r="AJ100" s="60"/>
      <c r="AK100" s="68"/>
      <c r="AL100" s="68"/>
      <c r="AM100" s="60"/>
      <c r="AN100" s="14"/>
      <c r="AO100" s="60"/>
      <c r="AP100" s="15"/>
      <c r="AQ100" s="60"/>
      <c r="AS100" s="25">
        <f t="shared" si="113"/>
        <v>5193.333333333333</v>
      </c>
      <c r="AT100" s="14">
        <f t="shared" si="86"/>
        <v>0</v>
      </c>
      <c r="AU100" s="14" t="e">
        <f t="shared" si="87"/>
        <v>#N/A</v>
      </c>
      <c r="AV100" s="65" t="e">
        <f t="shared" si="114"/>
        <v>#N/A</v>
      </c>
      <c r="AW100" s="65" t="e">
        <f t="shared" si="115"/>
        <v>#N/A</v>
      </c>
    </row>
    <row r="101" spans="20:49" x14ac:dyDescent="0.15">
      <c r="T101" s="28">
        <f t="shared" si="107"/>
        <v>6079</v>
      </c>
      <c r="U101" s="26">
        <f t="shared" si="108"/>
        <v>163853</v>
      </c>
      <c r="V101" s="28">
        <f t="shared" si="109"/>
        <v>10</v>
      </c>
      <c r="W101" s="14">
        <f t="shared" si="104"/>
        <v>2944</v>
      </c>
      <c r="X101" s="39">
        <f t="shared" si="105"/>
        <v>10923.533333333333</v>
      </c>
      <c r="Y101" s="15">
        <v>1</v>
      </c>
      <c r="AE101" s="80"/>
      <c r="AF101" s="80"/>
      <c r="AG101" s="62">
        <f t="shared" si="116"/>
        <v>0.31</v>
      </c>
      <c r="AH101" s="60"/>
      <c r="AI101" s="60"/>
      <c r="AJ101" s="60"/>
      <c r="AK101" s="68"/>
      <c r="AL101" s="68"/>
      <c r="AM101" s="60" t="str">
        <f t="shared" si="99"/>
        <v/>
      </c>
      <c r="AN101" s="14"/>
      <c r="AO101" s="60"/>
      <c r="AP101" s="15"/>
      <c r="AQ101" s="60"/>
      <c r="AS101" s="25" t="e">
        <f t="shared" si="113"/>
        <v>#N/A</v>
      </c>
      <c r="AT101" s="14" t="e">
        <f t="shared" si="86"/>
        <v>#N/A</v>
      </c>
      <c r="AU101" s="14" t="e">
        <f t="shared" si="87"/>
        <v>#N/A</v>
      </c>
      <c r="AV101" s="65" t="e">
        <f t="shared" si="114"/>
        <v>#N/A</v>
      </c>
      <c r="AW101" s="65" t="e">
        <f t="shared" si="115"/>
        <v>#N/A</v>
      </c>
    </row>
    <row r="102" spans="20:49" x14ac:dyDescent="0.15">
      <c r="T102" s="28">
        <f t="shared" si="107"/>
        <v>6080</v>
      </c>
      <c r="U102" s="26">
        <f t="shared" si="108"/>
        <v>180238</v>
      </c>
      <c r="V102" s="28">
        <f t="shared" si="109"/>
        <v>10</v>
      </c>
      <c r="W102" s="14">
        <f t="shared" si="104"/>
        <v>3226</v>
      </c>
      <c r="X102" s="39">
        <f t="shared" si="105"/>
        <v>12015.866666666667</v>
      </c>
      <c r="Y102" s="15">
        <v>1</v>
      </c>
      <c r="AE102" s="81"/>
      <c r="AF102" s="81"/>
      <c r="AG102" s="25"/>
      <c r="AH102" s="60"/>
      <c r="AI102" s="60"/>
      <c r="AJ102" s="60"/>
      <c r="AK102" s="68"/>
      <c r="AL102" s="68"/>
      <c r="AM102" s="60" t="str">
        <f t="shared" si="99"/>
        <v/>
      </c>
      <c r="AN102" s="14"/>
      <c r="AO102" s="60"/>
      <c r="AP102" s="15"/>
      <c r="AQ102" s="60"/>
      <c r="AS102" s="25"/>
      <c r="AT102" s="14">
        <f t="shared" si="86"/>
        <v>0</v>
      </c>
      <c r="AU102" s="14" t="e">
        <f t="shared" si="87"/>
        <v>#N/A</v>
      </c>
      <c r="AV102" s="65" t="e">
        <f t="shared" si="114"/>
        <v>#N/A</v>
      </c>
      <c r="AW102" s="65" t="e">
        <f>(1+AG102)*AV102</f>
        <v>#N/A</v>
      </c>
    </row>
    <row r="103" spans="20:49" x14ac:dyDescent="0.15">
      <c r="T103" s="28">
        <f t="shared" si="107"/>
        <v>6081</v>
      </c>
      <c r="U103" s="26">
        <f t="shared" si="108"/>
        <v>198261</v>
      </c>
      <c r="V103" s="28">
        <f t="shared" si="109"/>
        <v>10</v>
      </c>
      <c r="W103" s="14">
        <f t="shared" si="104"/>
        <v>3536</v>
      </c>
      <c r="X103" s="39">
        <f t="shared" si="105"/>
        <v>13217.4</v>
      </c>
      <c r="Y103" s="15">
        <v>1</v>
      </c>
      <c r="AM103" s="60" t="str">
        <f t="shared" si="99"/>
        <v/>
      </c>
      <c r="AT103" s="14">
        <f t="shared" si="86"/>
        <v>0</v>
      </c>
      <c r="AU103" s="14" t="e">
        <f t="shared" si="87"/>
        <v>#N/A</v>
      </c>
    </row>
    <row r="104" spans="20:49" x14ac:dyDescent="0.15">
      <c r="T104" s="28">
        <f t="shared" si="107"/>
        <v>6082</v>
      </c>
      <c r="U104" s="26">
        <f t="shared" si="108"/>
        <v>218087</v>
      </c>
      <c r="V104" s="28">
        <f t="shared" si="109"/>
        <v>10</v>
      </c>
      <c r="W104" s="14">
        <f t="shared" si="104"/>
        <v>3876</v>
      </c>
      <c r="X104" s="39">
        <f t="shared" si="105"/>
        <v>14539.133333333335</v>
      </c>
      <c r="Y104" s="15">
        <v>1</v>
      </c>
      <c r="AE104" s="79">
        <f>AE95+1</f>
        <v>7</v>
      </c>
      <c r="AF104" s="79">
        <v>10</v>
      </c>
      <c r="AG104" s="63">
        <f>INDEX($BC$14:$BC$77,MATCH(AF104,$BA$14:$BA$77))</f>
        <v>0.31</v>
      </c>
      <c r="AH104" s="60">
        <v>1</v>
      </c>
      <c r="AI104" s="60">
        <v>10</v>
      </c>
      <c r="AJ104" s="60">
        <v>6104</v>
      </c>
      <c r="AK104" s="68">
        <f>INDEX(U:U,MATCH($AJ104,T:T,0))</f>
        <v>266</v>
      </c>
      <c r="AL104" s="68">
        <f>INDEX(V:V,MATCH($AJ104,T:T,0))</f>
        <v>20</v>
      </c>
      <c r="AM104" s="60">
        <f t="shared" si="99"/>
        <v>5</v>
      </c>
      <c r="AN104" s="14">
        <f>AO104*AP104</f>
        <v>10</v>
      </c>
      <c r="AO104" s="60">
        <v>10</v>
      </c>
      <c r="AP104" s="60">
        <v>1</v>
      </c>
      <c r="AQ104" s="60">
        <v>1</v>
      </c>
      <c r="AS104" s="15">
        <f>$AH$18</f>
        <v>200</v>
      </c>
      <c r="AT104" s="14">
        <f t="shared" si="86"/>
        <v>9375</v>
      </c>
      <c r="AU104" s="14">
        <f t="shared" si="87"/>
        <v>5320</v>
      </c>
      <c r="AV104" s="65">
        <f>AT104/AU104*10/AL104</f>
        <v>0.88110902255639112</v>
      </c>
      <c r="AW104" s="65">
        <f>(1+AG104)*AV104</f>
        <v>1.1542528195488724</v>
      </c>
    </row>
    <row r="105" spans="20:49" x14ac:dyDescent="0.15">
      <c r="T105" s="28">
        <f t="shared" si="107"/>
        <v>6083</v>
      </c>
      <c r="U105" s="26">
        <f t="shared" si="108"/>
        <v>239895</v>
      </c>
      <c r="V105" s="28">
        <f t="shared" si="109"/>
        <v>10</v>
      </c>
      <c r="W105" s="14">
        <f t="shared" si="104"/>
        <v>4248</v>
      </c>
      <c r="X105" s="39">
        <f t="shared" si="105"/>
        <v>15993</v>
      </c>
      <c r="Y105" s="15">
        <v>1</v>
      </c>
      <c r="AE105" s="80"/>
      <c r="AF105" s="80"/>
      <c r="AG105" s="62">
        <f>AG104</f>
        <v>0.31</v>
      </c>
      <c r="AH105" s="60">
        <v>2</v>
      </c>
      <c r="AI105" s="60">
        <v>10</v>
      </c>
      <c r="AJ105" s="60">
        <v>6035</v>
      </c>
      <c r="AK105" s="68">
        <f t="shared" ref="AK105:AK108" si="117">INDEX(U:U,MATCH($AJ105,T:T,0))</f>
        <v>2478</v>
      </c>
      <c r="AL105" s="68">
        <f t="shared" ref="AL105:AL108" si="118">INDEX(V:V,MATCH($AJ105,T:T,0))</f>
        <v>10</v>
      </c>
      <c r="AM105" s="60">
        <f t="shared" si="99"/>
        <v>5</v>
      </c>
      <c r="AN105" s="14">
        <f t="shared" ref="AN105:AN108" si="119">AO105*AP105</f>
        <v>5</v>
      </c>
      <c r="AO105" s="60">
        <v>5</v>
      </c>
      <c r="AP105" s="60">
        <v>1</v>
      </c>
      <c r="AQ105" s="60">
        <v>1</v>
      </c>
      <c r="AS105" s="25">
        <f t="shared" ref="AS105:AS111" si="120">AS104+AN104*INDEX(X:X,MATCH(AJ104,T:T,0))</f>
        <v>554.66666666666674</v>
      </c>
      <c r="AT105" s="14">
        <f t="shared" si="86"/>
        <v>26000</v>
      </c>
      <c r="AU105" s="14">
        <f t="shared" si="87"/>
        <v>24780</v>
      </c>
      <c r="AV105" s="65">
        <f t="shared" ref="AV105:AV111" si="121">AT105/AU105*10/AL105</f>
        <v>1.0492332526230832</v>
      </c>
      <c r="AW105" s="65">
        <f t="shared" ref="AW105:AW110" si="122">(1+AG105)*AV105</f>
        <v>1.374495560936239</v>
      </c>
    </row>
    <row r="106" spans="20:49" x14ac:dyDescent="0.15">
      <c r="T106" s="28">
        <f t="shared" si="107"/>
        <v>6084</v>
      </c>
      <c r="U106" s="26">
        <f t="shared" si="108"/>
        <v>263884</v>
      </c>
      <c r="V106" s="28">
        <f t="shared" si="109"/>
        <v>10</v>
      </c>
      <c r="W106" s="14">
        <f t="shared" si="104"/>
        <v>4656</v>
      </c>
      <c r="X106" s="39">
        <f t="shared" si="105"/>
        <v>17592.266666666666</v>
      </c>
      <c r="Y106" s="15">
        <v>1</v>
      </c>
      <c r="AE106" s="80"/>
      <c r="AF106" s="80"/>
      <c r="AG106" s="62">
        <f t="shared" ref="AG106:AG110" si="123">AG105</f>
        <v>0.31</v>
      </c>
      <c r="AH106" s="60">
        <v>3</v>
      </c>
      <c r="AI106" s="60">
        <v>10</v>
      </c>
      <c r="AJ106" s="60">
        <v>6108</v>
      </c>
      <c r="AK106" s="68">
        <f t="shared" si="117"/>
        <v>388</v>
      </c>
      <c r="AL106" s="68">
        <f t="shared" si="118"/>
        <v>20</v>
      </c>
      <c r="AM106" s="60">
        <f t="shared" si="99"/>
        <v>10</v>
      </c>
      <c r="AN106" s="14">
        <f t="shared" si="119"/>
        <v>12</v>
      </c>
      <c r="AO106" s="60">
        <v>3</v>
      </c>
      <c r="AP106" s="60">
        <v>4</v>
      </c>
      <c r="AQ106" s="60">
        <v>1</v>
      </c>
      <c r="AS106" s="25">
        <f t="shared" si="120"/>
        <v>1380.6666666666667</v>
      </c>
      <c r="AT106" s="14">
        <f t="shared" si="86"/>
        <v>129437.5</v>
      </c>
      <c r="AU106" s="14">
        <f t="shared" si="87"/>
        <v>15520</v>
      </c>
      <c r="AV106" s="65">
        <f t="shared" si="121"/>
        <v>4.170022551546392</v>
      </c>
      <c r="AW106" s="65">
        <f t="shared" si="122"/>
        <v>5.462729542525774</v>
      </c>
    </row>
    <row r="107" spans="20:49" x14ac:dyDescent="0.15">
      <c r="T107" s="28">
        <f t="shared" si="107"/>
        <v>6085</v>
      </c>
      <c r="U107" s="26">
        <f t="shared" si="108"/>
        <v>290272</v>
      </c>
      <c r="V107" s="28">
        <f t="shared" si="109"/>
        <v>10</v>
      </c>
      <c r="W107" s="14">
        <f t="shared" si="104"/>
        <v>5102</v>
      </c>
      <c r="X107" s="39">
        <f t="shared" si="105"/>
        <v>19351.466666666667</v>
      </c>
      <c r="Y107" s="15">
        <v>1</v>
      </c>
      <c r="AE107" s="80"/>
      <c r="AF107" s="80"/>
      <c r="AG107" s="62">
        <f t="shared" si="123"/>
        <v>0.31</v>
      </c>
      <c r="AH107" s="60">
        <v>4</v>
      </c>
      <c r="AI107" s="60">
        <v>10</v>
      </c>
      <c r="AJ107" s="60">
        <v>6028</v>
      </c>
      <c r="AK107" s="68">
        <f t="shared" si="117"/>
        <v>1273</v>
      </c>
      <c r="AL107" s="68">
        <f t="shared" si="118"/>
        <v>10</v>
      </c>
      <c r="AM107" s="60">
        <f t="shared" si="99"/>
        <v>10</v>
      </c>
      <c r="AN107" s="14">
        <f t="shared" si="119"/>
        <v>27</v>
      </c>
      <c r="AO107" s="60">
        <v>3</v>
      </c>
      <c r="AP107" s="60">
        <v>9</v>
      </c>
      <c r="AQ107" s="60">
        <v>1</v>
      </c>
      <c r="AS107" s="25">
        <f t="shared" si="120"/>
        <v>2001.4666666666667</v>
      </c>
      <c r="AT107" s="14">
        <f t="shared" si="86"/>
        <v>281456.25</v>
      </c>
      <c r="AU107" s="14">
        <f t="shared" si="87"/>
        <v>57285</v>
      </c>
      <c r="AV107" s="65">
        <f t="shared" si="121"/>
        <v>4.9132626341974337</v>
      </c>
      <c r="AW107" s="65">
        <f t="shared" si="122"/>
        <v>6.436374050798638</v>
      </c>
    </row>
    <row r="108" spans="20:49" x14ac:dyDescent="0.15">
      <c r="T108" s="28">
        <f t="shared" si="107"/>
        <v>6086</v>
      </c>
      <c r="U108" s="26">
        <f t="shared" si="108"/>
        <v>319299</v>
      </c>
      <c r="V108" s="28">
        <f t="shared" si="109"/>
        <v>10</v>
      </c>
      <c r="W108" s="14">
        <f t="shared" si="104"/>
        <v>5594</v>
      </c>
      <c r="X108" s="39">
        <f t="shared" si="105"/>
        <v>21286.6</v>
      </c>
      <c r="Y108" s="15">
        <v>1</v>
      </c>
      <c r="AE108" s="80"/>
      <c r="AF108" s="80"/>
      <c r="AG108" s="62">
        <f t="shared" si="123"/>
        <v>0.31</v>
      </c>
      <c r="AH108" s="60">
        <v>5</v>
      </c>
      <c r="AI108" s="60">
        <v>10</v>
      </c>
      <c r="AJ108" s="60">
        <v>6044</v>
      </c>
      <c r="AK108" s="68">
        <f t="shared" si="117"/>
        <v>5835</v>
      </c>
      <c r="AL108" s="68">
        <f t="shared" si="118"/>
        <v>10</v>
      </c>
      <c r="AM108" s="60">
        <f t="shared" si="99"/>
        <v>10</v>
      </c>
      <c r="AN108" s="14">
        <f t="shared" si="119"/>
        <v>12</v>
      </c>
      <c r="AO108" s="60">
        <v>3</v>
      </c>
      <c r="AP108" s="60">
        <v>4</v>
      </c>
      <c r="AQ108" s="60">
        <v>1</v>
      </c>
      <c r="AS108" s="25">
        <f t="shared" si="120"/>
        <v>4292.8666666666668</v>
      </c>
      <c r="AT108" s="14">
        <f t="shared" si="86"/>
        <v>402456.26</v>
      </c>
      <c r="AU108" s="14">
        <f t="shared" si="87"/>
        <v>116700</v>
      </c>
      <c r="AV108" s="65">
        <f t="shared" si="121"/>
        <v>3.4486397600685521</v>
      </c>
      <c r="AW108" s="65">
        <f t="shared" si="122"/>
        <v>4.5177180856898032</v>
      </c>
    </row>
    <row r="109" spans="20:49" x14ac:dyDescent="0.15">
      <c r="T109" s="28">
        <f t="shared" si="107"/>
        <v>6087</v>
      </c>
      <c r="U109" s="26">
        <f t="shared" si="108"/>
        <v>351228</v>
      </c>
      <c r="V109" s="28">
        <f t="shared" si="109"/>
        <v>10</v>
      </c>
      <c r="W109" s="14">
        <f t="shared" si="104"/>
        <v>6132</v>
      </c>
      <c r="X109" s="39">
        <f t="shared" si="105"/>
        <v>23415.200000000001</v>
      </c>
      <c r="Y109" s="15">
        <v>1</v>
      </c>
      <c r="AE109" s="80"/>
      <c r="AF109" s="80"/>
      <c r="AG109" s="62">
        <f t="shared" si="123"/>
        <v>0.31</v>
      </c>
      <c r="AH109" s="60"/>
      <c r="AI109" s="60"/>
      <c r="AJ109" s="60"/>
      <c r="AK109" s="68"/>
      <c r="AL109" s="68"/>
      <c r="AM109" s="60" t="str">
        <f t="shared" si="99"/>
        <v/>
      </c>
      <c r="AN109" s="14"/>
      <c r="AO109" s="60"/>
      <c r="AP109" s="15"/>
      <c r="AQ109" s="60"/>
      <c r="AS109" s="25">
        <f t="shared" si="120"/>
        <v>8960.8666666666668</v>
      </c>
      <c r="AT109" s="14">
        <f t="shared" si="86"/>
        <v>0</v>
      </c>
      <c r="AU109" s="14" t="e">
        <f t="shared" si="87"/>
        <v>#N/A</v>
      </c>
      <c r="AV109" s="65" t="e">
        <f t="shared" si="121"/>
        <v>#N/A</v>
      </c>
      <c r="AW109" s="65" t="e">
        <f t="shared" si="122"/>
        <v>#N/A</v>
      </c>
    </row>
    <row r="110" spans="20:49" x14ac:dyDescent="0.15">
      <c r="T110" s="28">
        <f t="shared" si="107"/>
        <v>6088</v>
      </c>
      <c r="U110" s="26">
        <f t="shared" si="108"/>
        <v>386350</v>
      </c>
      <c r="V110" s="28">
        <f t="shared" si="109"/>
        <v>10</v>
      </c>
      <c r="W110" s="14">
        <f t="shared" si="104"/>
        <v>6722</v>
      </c>
      <c r="X110" s="39">
        <f t="shared" si="105"/>
        <v>25756.666666666664</v>
      </c>
      <c r="Y110" s="15">
        <v>1</v>
      </c>
      <c r="AE110" s="80"/>
      <c r="AF110" s="80"/>
      <c r="AG110" s="62">
        <f t="shared" si="123"/>
        <v>0.31</v>
      </c>
      <c r="AH110" s="60"/>
      <c r="AI110" s="60"/>
      <c r="AJ110" s="60"/>
      <c r="AK110" s="68"/>
      <c r="AL110" s="68"/>
      <c r="AM110" s="60" t="str">
        <f t="shared" si="99"/>
        <v/>
      </c>
      <c r="AN110" s="14"/>
      <c r="AO110" s="60"/>
      <c r="AP110" s="15"/>
      <c r="AQ110" s="60"/>
      <c r="AS110" s="25" t="e">
        <f t="shared" si="120"/>
        <v>#N/A</v>
      </c>
      <c r="AT110" s="14" t="e">
        <f t="shared" si="86"/>
        <v>#N/A</v>
      </c>
      <c r="AU110" s="14" t="e">
        <f t="shared" si="87"/>
        <v>#N/A</v>
      </c>
      <c r="AV110" s="65" t="e">
        <f t="shared" si="121"/>
        <v>#N/A</v>
      </c>
      <c r="AW110" s="65" t="e">
        <f t="shared" si="122"/>
        <v>#N/A</v>
      </c>
    </row>
    <row r="111" spans="20:49" x14ac:dyDescent="0.15">
      <c r="T111" s="28">
        <f t="shared" si="107"/>
        <v>6089</v>
      </c>
      <c r="U111" s="26">
        <f t="shared" si="108"/>
        <v>424985</v>
      </c>
      <c r="V111" s="28">
        <f t="shared" si="109"/>
        <v>10</v>
      </c>
      <c r="W111" s="14">
        <f t="shared" si="104"/>
        <v>7368</v>
      </c>
      <c r="X111" s="39">
        <f t="shared" si="105"/>
        <v>28332.333333333332</v>
      </c>
      <c r="Y111" s="15">
        <v>1</v>
      </c>
      <c r="AE111" s="81"/>
      <c r="AF111" s="81"/>
      <c r="AG111" s="25"/>
      <c r="AH111" s="60"/>
      <c r="AI111" s="60"/>
      <c r="AJ111" s="60"/>
      <c r="AK111" s="68"/>
      <c r="AL111" s="68"/>
      <c r="AM111" s="60" t="str">
        <f t="shared" si="99"/>
        <v/>
      </c>
      <c r="AN111" s="14"/>
      <c r="AO111" s="60"/>
      <c r="AP111" s="15"/>
      <c r="AQ111" s="60"/>
      <c r="AS111" s="25" t="e">
        <f t="shared" si="120"/>
        <v>#N/A</v>
      </c>
      <c r="AT111" s="14" t="e">
        <f t="shared" si="86"/>
        <v>#N/A</v>
      </c>
      <c r="AU111" s="14" t="e">
        <f t="shared" si="87"/>
        <v>#N/A</v>
      </c>
      <c r="AV111" s="65" t="e">
        <f t="shared" si="121"/>
        <v>#N/A</v>
      </c>
      <c r="AW111" s="65" t="e">
        <f>(1+AG111)*AV111</f>
        <v>#N/A</v>
      </c>
    </row>
    <row r="112" spans="20:49" x14ac:dyDescent="0.15">
      <c r="T112" s="28">
        <f t="shared" si="107"/>
        <v>6090</v>
      </c>
      <c r="U112" s="26">
        <f t="shared" si="108"/>
        <v>467483</v>
      </c>
      <c r="V112" s="28">
        <f t="shared" si="109"/>
        <v>10</v>
      </c>
      <c r="W112" s="14">
        <f t="shared" si="104"/>
        <v>8078</v>
      </c>
      <c r="X112" s="39">
        <f t="shared" si="105"/>
        <v>31165.533333333333</v>
      </c>
      <c r="Y112" s="15">
        <v>1</v>
      </c>
      <c r="AM112" s="60" t="str">
        <f t="shared" si="99"/>
        <v/>
      </c>
      <c r="AT112" s="14">
        <f t="shared" si="86"/>
        <v>0</v>
      </c>
      <c r="AU112" s="14" t="e">
        <f t="shared" si="87"/>
        <v>#N/A</v>
      </c>
    </row>
    <row r="113" spans="20:49" x14ac:dyDescent="0.15">
      <c r="T113" s="28">
        <f t="shared" si="107"/>
        <v>6091</v>
      </c>
      <c r="U113" s="26">
        <f t="shared" si="108"/>
        <v>514231</v>
      </c>
      <c r="V113" s="28">
        <f t="shared" si="109"/>
        <v>10</v>
      </c>
      <c r="W113" s="14">
        <f t="shared" si="104"/>
        <v>8858</v>
      </c>
      <c r="X113" s="39">
        <f t="shared" si="105"/>
        <v>34282.066666666666</v>
      </c>
      <c r="Y113" s="15">
        <v>1</v>
      </c>
      <c r="AE113" s="79">
        <f>AE104+1</f>
        <v>8</v>
      </c>
      <c r="AF113" s="79">
        <v>10</v>
      </c>
      <c r="AG113" s="63">
        <f>INDEX($BC$14:$BC$77,MATCH(AF113,$BA$14:$BA$77))</f>
        <v>0.31</v>
      </c>
      <c r="AH113" s="60">
        <v>1</v>
      </c>
      <c r="AI113" s="60">
        <v>10</v>
      </c>
      <c r="AJ113" s="60">
        <v>6022</v>
      </c>
      <c r="AK113" s="68">
        <f>INDEX(U:U,MATCH($AJ113,T:T,0))</f>
        <v>720</v>
      </c>
      <c r="AL113" s="68">
        <f>INDEX(V:V,MATCH($AJ113,T:T,0))</f>
        <v>10</v>
      </c>
      <c r="AM113" s="60">
        <f t="shared" si="99"/>
        <v>5</v>
      </c>
      <c r="AN113" s="14">
        <f>AO113*AP113</f>
        <v>10</v>
      </c>
      <c r="AO113" s="60">
        <v>10</v>
      </c>
      <c r="AP113" s="60">
        <v>1</v>
      </c>
      <c r="AQ113" s="60">
        <v>1</v>
      </c>
      <c r="AS113" s="15">
        <f>$AH$18</f>
        <v>200</v>
      </c>
      <c r="AT113" s="14">
        <f t="shared" si="86"/>
        <v>9375</v>
      </c>
      <c r="AU113" s="14">
        <f t="shared" si="87"/>
        <v>7200</v>
      </c>
      <c r="AV113" s="65">
        <f>AT113/AU113*10/AL113</f>
        <v>1.3020833333333333</v>
      </c>
      <c r="AW113" s="65">
        <f>(1+AG113)*AV113</f>
        <v>1.7057291666666667</v>
      </c>
    </row>
    <row r="114" spans="20:49" x14ac:dyDescent="0.15">
      <c r="T114" s="28">
        <f t="shared" si="107"/>
        <v>6092</v>
      </c>
      <c r="U114" s="26">
        <f t="shared" si="108"/>
        <v>565654</v>
      </c>
      <c r="V114" s="28">
        <f t="shared" si="109"/>
        <v>10</v>
      </c>
      <c r="W114" s="14">
        <f t="shared" si="104"/>
        <v>9712</v>
      </c>
      <c r="X114" s="39">
        <f t="shared" si="105"/>
        <v>37710.26666666667</v>
      </c>
      <c r="Y114" s="15">
        <v>1</v>
      </c>
      <c r="AE114" s="80"/>
      <c r="AF114" s="80"/>
      <c r="AG114" s="62">
        <f>AG113</f>
        <v>0.31</v>
      </c>
      <c r="AH114" s="60">
        <v>2</v>
      </c>
      <c r="AI114" s="60">
        <v>10</v>
      </c>
      <c r="AJ114" s="60">
        <v>6024</v>
      </c>
      <c r="AK114" s="68">
        <f t="shared" ref="AK114:AK117" si="124">INDEX(U:U,MATCH($AJ114,T:T,0))</f>
        <v>871</v>
      </c>
      <c r="AL114" s="68">
        <f t="shared" ref="AL114:AL117" si="125">INDEX(V:V,MATCH($AJ114,T:T,0))</f>
        <v>10</v>
      </c>
      <c r="AM114" s="60">
        <f t="shared" si="99"/>
        <v>10</v>
      </c>
      <c r="AN114" s="14">
        <f t="shared" ref="AN114:AN117" si="126">AO114*AP114</f>
        <v>20</v>
      </c>
      <c r="AO114" s="60">
        <v>5</v>
      </c>
      <c r="AP114" s="60">
        <v>4</v>
      </c>
      <c r="AQ114" s="60">
        <v>1</v>
      </c>
      <c r="AS114" s="25">
        <f t="shared" ref="AS114:AS120" si="127">AS113+AN113*INDEX(X:X,MATCH(AJ113,T:T,0))</f>
        <v>680</v>
      </c>
      <c r="AT114" s="14">
        <f t="shared" si="86"/>
        <v>63750</v>
      </c>
      <c r="AU114" s="14">
        <f t="shared" si="87"/>
        <v>17420</v>
      </c>
      <c r="AV114" s="65">
        <f t="shared" ref="AV114:AV120" si="128">AT114/AU114*10/AL114</f>
        <v>3.6595866819747416</v>
      </c>
      <c r="AW114" s="65">
        <f t="shared" ref="AW114:AW119" si="129">(1+AG114)*AV114</f>
        <v>4.794058553386912</v>
      </c>
    </row>
    <row r="115" spans="20:49" x14ac:dyDescent="0.15">
      <c r="T115" s="28">
        <f t="shared" si="107"/>
        <v>6093</v>
      </c>
      <c r="U115" s="26">
        <f t="shared" si="108"/>
        <v>622219</v>
      </c>
      <c r="V115" s="28">
        <f t="shared" si="109"/>
        <v>10</v>
      </c>
      <c r="W115" s="14">
        <f t="shared" si="104"/>
        <v>10648</v>
      </c>
      <c r="X115" s="39">
        <f t="shared" si="105"/>
        <v>41481.26666666667</v>
      </c>
      <c r="Y115" s="15">
        <v>1</v>
      </c>
      <c r="AE115" s="80"/>
      <c r="AF115" s="80"/>
      <c r="AG115" s="62">
        <f t="shared" ref="AG115:AG120" si="130">AG114</f>
        <v>0.31</v>
      </c>
      <c r="AH115" s="60">
        <v>3</v>
      </c>
      <c r="AI115" s="60">
        <v>10</v>
      </c>
      <c r="AJ115" s="60">
        <v>6118</v>
      </c>
      <c r="AK115" s="68">
        <f t="shared" si="124"/>
        <v>998</v>
      </c>
      <c r="AL115" s="68">
        <f t="shared" si="125"/>
        <v>20</v>
      </c>
      <c r="AM115" s="60">
        <f t="shared" si="99"/>
        <v>10</v>
      </c>
      <c r="AN115" s="14">
        <f t="shared" si="126"/>
        <v>12</v>
      </c>
      <c r="AO115" s="60">
        <v>3</v>
      </c>
      <c r="AP115" s="60">
        <v>4</v>
      </c>
      <c r="AQ115" s="60">
        <v>1</v>
      </c>
      <c r="AS115" s="25">
        <f t="shared" si="127"/>
        <v>1841.3333333333333</v>
      </c>
      <c r="AT115" s="14">
        <f t="shared" si="86"/>
        <v>172625</v>
      </c>
      <c r="AU115" s="14">
        <f t="shared" si="87"/>
        <v>39920</v>
      </c>
      <c r="AV115" s="65">
        <f t="shared" si="128"/>
        <v>2.1621367735470942</v>
      </c>
      <c r="AW115" s="65">
        <f t="shared" si="129"/>
        <v>2.8323991733466936</v>
      </c>
    </row>
    <row r="116" spans="20:49" x14ac:dyDescent="0.15">
      <c r="T116" s="28">
        <f t="shared" si="107"/>
        <v>6094</v>
      </c>
      <c r="U116" s="26">
        <f t="shared" si="108"/>
        <v>684440</v>
      </c>
      <c r="V116" s="28">
        <f t="shared" si="109"/>
        <v>10</v>
      </c>
      <c r="W116" s="14">
        <f t="shared" si="104"/>
        <v>11676</v>
      </c>
      <c r="X116" s="39">
        <f t="shared" si="105"/>
        <v>45629.333333333328</v>
      </c>
      <c r="Y116" s="15">
        <v>1</v>
      </c>
      <c r="AE116" s="80"/>
      <c r="AF116" s="80"/>
      <c r="AG116" s="62">
        <f t="shared" si="130"/>
        <v>0.31</v>
      </c>
      <c r="AH116" s="60">
        <v>4</v>
      </c>
      <c r="AI116" s="60">
        <v>10</v>
      </c>
      <c r="AJ116" s="60">
        <v>6135</v>
      </c>
      <c r="AK116" s="68">
        <f t="shared" si="124"/>
        <v>5021</v>
      </c>
      <c r="AL116" s="68">
        <f t="shared" si="125"/>
        <v>20</v>
      </c>
      <c r="AM116" s="60">
        <f t="shared" si="99"/>
        <v>10</v>
      </c>
      <c r="AN116" s="14">
        <f t="shared" si="126"/>
        <v>12</v>
      </c>
      <c r="AO116" s="60">
        <v>3</v>
      </c>
      <c r="AP116" s="60">
        <v>4</v>
      </c>
      <c r="AQ116" s="60">
        <v>1</v>
      </c>
      <c r="AS116" s="25">
        <f t="shared" si="127"/>
        <v>3438.1333333333332</v>
      </c>
      <c r="AT116" s="14">
        <f t="shared" si="86"/>
        <v>322325</v>
      </c>
      <c r="AU116" s="14">
        <f t="shared" si="87"/>
        <v>200840</v>
      </c>
      <c r="AV116" s="65">
        <f t="shared" si="128"/>
        <v>0.80244224258115915</v>
      </c>
      <c r="AW116" s="65">
        <f t="shared" si="129"/>
        <v>1.0511993377813185</v>
      </c>
    </row>
    <row r="117" spans="20:49" x14ac:dyDescent="0.15">
      <c r="T117" s="28">
        <f t="shared" si="107"/>
        <v>6095</v>
      </c>
      <c r="U117" s="26">
        <f t="shared" si="108"/>
        <v>752884</v>
      </c>
      <c r="V117" s="28">
        <f t="shared" si="109"/>
        <v>10</v>
      </c>
      <c r="W117" s="14">
        <f t="shared" si="104"/>
        <v>12802</v>
      </c>
      <c r="X117" s="39">
        <f t="shared" si="105"/>
        <v>50192.26666666667</v>
      </c>
      <c r="Y117" s="15">
        <v>1</v>
      </c>
      <c r="AE117" s="80"/>
      <c r="AF117" s="80"/>
      <c r="AG117" s="62">
        <f t="shared" si="130"/>
        <v>0.31</v>
      </c>
      <c r="AH117" s="60">
        <v>5</v>
      </c>
      <c r="AI117" s="60">
        <v>10</v>
      </c>
      <c r="AJ117" s="60">
        <v>6149</v>
      </c>
      <c r="AK117" s="68">
        <f t="shared" si="124"/>
        <v>19059</v>
      </c>
      <c r="AL117" s="68">
        <f t="shared" si="125"/>
        <v>20</v>
      </c>
      <c r="AM117" s="60">
        <f t="shared" si="99"/>
        <v>5</v>
      </c>
      <c r="AN117" s="14">
        <f t="shared" si="126"/>
        <v>5</v>
      </c>
      <c r="AO117" s="60">
        <v>5</v>
      </c>
      <c r="AP117" s="60">
        <v>1</v>
      </c>
      <c r="AQ117" s="60">
        <v>1</v>
      </c>
      <c r="AS117" s="25">
        <f t="shared" si="127"/>
        <v>11471.733333333334</v>
      </c>
      <c r="AT117" s="14">
        <f t="shared" si="86"/>
        <v>537737.5</v>
      </c>
      <c r="AU117" s="14">
        <f t="shared" si="87"/>
        <v>381180</v>
      </c>
      <c r="AV117" s="65">
        <f t="shared" si="128"/>
        <v>0.70535901673749934</v>
      </c>
      <c r="AW117" s="65">
        <f t="shared" si="129"/>
        <v>0.92402031192612422</v>
      </c>
    </row>
    <row r="118" spans="20:49" x14ac:dyDescent="0.15">
      <c r="T118" s="28">
        <f t="shared" si="107"/>
        <v>6096</v>
      </c>
      <c r="U118" s="26">
        <f t="shared" si="108"/>
        <v>828172</v>
      </c>
      <c r="V118" s="28">
        <f t="shared" si="109"/>
        <v>10</v>
      </c>
      <c r="W118" s="14">
        <f t="shared" si="104"/>
        <v>14038</v>
      </c>
      <c r="X118" s="39">
        <f t="shared" si="105"/>
        <v>55211.46666666666</v>
      </c>
      <c r="Y118" s="15">
        <v>1</v>
      </c>
      <c r="AE118" s="80"/>
      <c r="AF118" s="80"/>
      <c r="AG118" s="62">
        <f t="shared" si="130"/>
        <v>0.31</v>
      </c>
      <c r="AH118" s="60"/>
      <c r="AI118" s="60"/>
      <c r="AJ118" s="60"/>
      <c r="AK118" s="68"/>
      <c r="AL118" s="68"/>
      <c r="AM118" s="60" t="str">
        <f t="shared" si="99"/>
        <v/>
      </c>
      <c r="AN118" s="14"/>
      <c r="AO118" s="60"/>
      <c r="AP118" s="15"/>
      <c r="AQ118" s="60"/>
      <c r="AS118" s="25">
        <f t="shared" si="127"/>
        <v>24177.733333333334</v>
      </c>
      <c r="AT118" s="14">
        <f t="shared" si="86"/>
        <v>0</v>
      </c>
      <c r="AU118" s="14" t="e">
        <f t="shared" si="87"/>
        <v>#N/A</v>
      </c>
      <c r="AV118" s="65" t="e">
        <f t="shared" si="128"/>
        <v>#N/A</v>
      </c>
      <c r="AW118" s="65" t="e">
        <f t="shared" si="129"/>
        <v>#N/A</v>
      </c>
    </row>
    <row r="119" spans="20:49" x14ac:dyDescent="0.15">
      <c r="T119" s="28">
        <f t="shared" si="107"/>
        <v>6097</v>
      </c>
      <c r="U119" s="26">
        <f t="shared" si="108"/>
        <v>910989</v>
      </c>
      <c r="V119" s="28">
        <f t="shared" si="109"/>
        <v>10</v>
      </c>
      <c r="W119" s="14">
        <f t="shared" si="104"/>
        <v>15394</v>
      </c>
      <c r="X119" s="39">
        <f t="shared" si="105"/>
        <v>60732.6</v>
      </c>
      <c r="Y119" s="15">
        <v>1</v>
      </c>
      <c r="AE119" s="80"/>
      <c r="AF119" s="80"/>
      <c r="AG119" s="62">
        <f t="shared" si="130"/>
        <v>0.31</v>
      </c>
      <c r="AH119" s="60"/>
      <c r="AI119" s="60"/>
      <c r="AJ119" s="60"/>
      <c r="AK119" s="68"/>
      <c r="AL119" s="68"/>
      <c r="AM119" s="60" t="str">
        <f t="shared" si="99"/>
        <v/>
      </c>
      <c r="AN119" s="14"/>
      <c r="AO119" s="60"/>
      <c r="AP119" s="15"/>
      <c r="AQ119" s="60"/>
      <c r="AS119" s="25" t="e">
        <f t="shared" si="127"/>
        <v>#N/A</v>
      </c>
      <c r="AT119" s="14" t="e">
        <f t="shared" si="86"/>
        <v>#N/A</v>
      </c>
      <c r="AU119" s="14" t="e">
        <f t="shared" si="87"/>
        <v>#N/A</v>
      </c>
      <c r="AV119" s="65" t="e">
        <f t="shared" si="128"/>
        <v>#N/A</v>
      </c>
      <c r="AW119" s="65" t="e">
        <f t="shared" si="129"/>
        <v>#N/A</v>
      </c>
    </row>
    <row r="120" spans="20:49" x14ac:dyDescent="0.15">
      <c r="T120" s="28">
        <f t="shared" si="107"/>
        <v>6098</v>
      </c>
      <c r="U120" s="26">
        <f t="shared" si="108"/>
        <v>1002087</v>
      </c>
      <c r="V120" s="28">
        <f t="shared" si="109"/>
        <v>10</v>
      </c>
      <c r="W120" s="14">
        <f t="shared" si="104"/>
        <v>16882</v>
      </c>
      <c r="X120" s="39">
        <f t="shared" si="105"/>
        <v>66805.8</v>
      </c>
      <c r="Y120" s="15">
        <v>1</v>
      </c>
      <c r="AE120" s="81"/>
      <c r="AF120" s="81"/>
      <c r="AG120" s="25">
        <f t="shared" si="130"/>
        <v>0.31</v>
      </c>
      <c r="AH120" s="60"/>
      <c r="AI120" s="60"/>
      <c r="AJ120" s="60"/>
      <c r="AK120" s="68"/>
      <c r="AL120" s="68"/>
      <c r="AM120" s="60" t="str">
        <f t="shared" si="99"/>
        <v/>
      </c>
      <c r="AN120" s="14"/>
      <c r="AO120" s="60"/>
      <c r="AP120" s="15"/>
      <c r="AQ120" s="60"/>
      <c r="AS120" s="25" t="e">
        <f t="shared" si="127"/>
        <v>#N/A</v>
      </c>
      <c r="AT120" s="14" t="e">
        <f t="shared" si="86"/>
        <v>#N/A</v>
      </c>
      <c r="AU120" s="14" t="e">
        <f t="shared" si="87"/>
        <v>#N/A</v>
      </c>
      <c r="AV120" s="65" t="e">
        <f t="shared" si="128"/>
        <v>#N/A</v>
      </c>
      <c r="AW120" s="65" t="e">
        <f>(1+AG120)*AV120</f>
        <v>#N/A</v>
      </c>
    </row>
    <row r="121" spans="20:49" x14ac:dyDescent="0.15">
      <c r="T121" s="28">
        <f t="shared" si="107"/>
        <v>6099</v>
      </c>
      <c r="U121" s="26">
        <f t="shared" si="108"/>
        <v>1102295</v>
      </c>
      <c r="V121" s="28">
        <f t="shared" si="109"/>
        <v>10</v>
      </c>
      <c r="W121" s="14">
        <f t="shared" si="104"/>
        <v>18514</v>
      </c>
      <c r="X121" s="39">
        <f t="shared" si="105"/>
        <v>73486.333333333343</v>
      </c>
      <c r="Y121" s="15">
        <v>1</v>
      </c>
      <c r="AM121" s="60" t="str">
        <f t="shared" si="99"/>
        <v/>
      </c>
      <c r="AT121" s="14">
        <f t="shared" si="86"/>
        <v>0</v>
      </c>
      <c r="AU121" s="14" t="e">
        <f t="shared" si="87"/>
        <v>#N/A</v>
      </c>
    </row>
    <row r="122" spans="20:49" x14ac:dyDescent="0.15">
      <c r="T122" s="28">
        <f t="shared" si="107"/>
        <v>6100</v>
      </c>
      <c r="U122" s="26">
        <f t="shared" si="108"/>
        <v>1212524</v>
      </c>
      <c r="V122" s="28">
        <f t="shared" si="109"/>
        <v>10</v>
      </c>
      <c r="W122" s="14">
        <f t="shared" si="104"/>
        <v>20304</v>
      </c>
      <c r="X122" s="39">
        <f t="shared" si="105"/>
        <v>80834.933333333334</v>
      </c>
      <c r="Y122" s="15">
        <v>1</v>
      </c>
      <c r="AE122" s="79">
        <f>AE113+1</f>
        <v>9</v>
      </c>
      <c r="AF122" s="79">
        <v>10</v>
      </c>
      <c r="AG122" s="63">
        <f>INDEX($BC$14:$BC$77,MATCH(AF122,$BA$14:$BA$77))</f>
        <v>0.31</v>
      </c>
      <c r="AH122" s="60">
        <v>1</v>
      </c>
      <c r="AI122" s="60">
        <v>10</v>
      </c>
      <c r="AJ122" s="60">
        <v>6102</v>
      </c>
      <c r="AK122" s="68">
        <f>INDEX(U:U,MATCH($AJ122,T:T,0))</f>
        <v>220</v>
      </c>
      <c r="AL122" s="68">
        <f>INDEX(V:V,MATCH($AJ122,T:T,0))</f>
        <v>20</v>
      </c>
      <c r="AM122" s="60">
        <f t="shared" si="99"/>
        <v>5</v>
      </c>
      <c r="AN122" s="14">
        <f>AO122*AP122</f>
        <v>10</v>
      </c>
      <c r="AO122" s="60">
        <v>10</v>
      </c>
      <c r="AP122" s="60">
        <v>1</v>
      </c>
      <c r="AQ122" s="60">
        <v>1</v>
      </c>
      <c r="AS122" s="15">
        <f>$AH$18</f>
        <v>200</v>
      </c>
      <c r="AT122" s="14">
        <f t="shared" si="86"/>
        <v>9375</v>
      </c>
      <c r="AU122" s="14">
        <f t="shared" si="87"/>
        <v>4400</v>
      </c>
      <c r="AV122" s="65">
        <f>AT122/AU122*10/AL122</f>
        <v>1.0653409090909092</v>
      </c>
      <c r="AW122" s="65">
        <f>(1+AG122)*AV122</f>
        <v>1.3955965909090911</v>
      </c>
    </row>
    <row r="123" spans="20:49" x14ac:dyDescent="0.15">
      <c r="T123" s="28">
        <f t="shared" si="107"/>
        <v>6101</v>
      </c>
      <c r="U123" s="38">
        <v>200</v>
      </c>
      <c r="V123" s="36">
        <f>V23+10</f>
        <v>20</v>
      </c>
      <c r="W123" s="14">
        <f t="shared" si="104"/>
        <v>6</v>
      </c>
      <c r="X123" s="39">
        <f t="shared" si="105"/>
        <v>26.666666666666668</v>
      </c>
      <c r="Y123" s="15">
        <v>1</v>
      </c>
      <c r="AE123" s="80"/>
      <c r="AF123" s="80"/>
      <c r="AG123" s="62">
        <f>AG122</f>
        <v>0.31</v>
      </c>
      <c r="AH123" s="60">
        <v>2</v>
      </c>
      <c r="AI123" s="60">
        <v>10</v>
      </c>
      <c r="AJ123" s="60">
        <v>6035</v>
      </c>
      <c r="AK123" s="68">
        <f t="shared" ref="AK123:AK126" si="131">INDEX(U:U,MATCH($AJ123,T:T,0))</f>
        <v>2478</v>
      </c>
      <c r="AL123" s="68">
        <f t="shared" ref="AL123:AL126" si="132">INDEX(V:V,MATCH($AJ123,T:T,0))</f>
        <v>10</v>
      </c>
      <c r="AM123" s="60">
        <f t="shared" si="99"/>
        <v>5</v>
      </c>
      <c r="AN123" s="14">
        <f t="shared" ref="AN123:AN126" si="133">AO123*AP123</f>
        <v>5</v>
      </c>
      <c r="AO123" s="60">
        <v>5</v>
      </c>
      <c r="AP123" s="60">
        <v>1</v>
      </c>
      <c r="AQ123" s="60">
        <v>1</v>
      </c>
      <c r="AS123" s="25">
        <f t="shared" ref="AS123:AS129" si="134">AS122+AN122*INDEX(X:X,MATCH(AJ122,T:T,0))</f>
        <v>493.33333333333331</v>
      </c>
      <c r="AT123" s="14">
        <f t="shared" si="86"/>
        <v>23125</v>
      </c>
      <c r="AU123" s="14">
        <f t="shared" si="87"/>
        <v>24780</v>
      </c>
      <c r="AV123" s="65">
        <f t="shared" ref="AV123:AV129" si="135">AT123/AU123*10/AL123</f>
        <v>0.93321226795803069</v>
      </c>
      <c r="AW123" s="65">
        <f t="shared" ref="AW123:AW128" si="136">(1+AG123)*AV123</f>
        <v>1.2225080710250202</v>
      </c>
    </row>
    <row r="124" spans="20:49" x14ac:dyDescent="0.15">
      <c r="T124" s="28">
        <f t="shared" si="107"/>
        <v>6102</v>
      </c>
      <c r="U124" s="26">
        <f t="shared" si="108"/>
        <v>220</v>
      </c>
      <c r="V124" s="28">
        <f t="shared" si="109"/>
        <v>20</v>
      </c>
      <c r="W124" s="14">
        <f t="shared" si="104"/>
        <v>6</v>
      </c>
      <c r="X124" s="39">
        <f t="shared" si="105"/>
        <v>29.333333333333332</v>
      </c>
      <c r="Y124" s="15">
        <v>1</v>
      </c>
      <c r="AE124" s="80"/>
      <c r="AF124" s="80"/>
      <c r="AG124" s="62">
        <f t="shared" ref="AG124:AG129" si="137">AG123</f>
        <v>0.31</v>
      </c>
      <c r="AH124" s="60">
        <v>3</v>
      </c>
      <c r="AI124" s="60">
        <v>10</v>
      </c>
      <c r="AJ124" s="60">
        <v>6123</v>
      </c>
      <c r="AK124" s="68">
        <f t="shared" si="131"/>
        <v>1603</v>
      </c>
      <c r="AL124" s="68">
        <f t="shared" si="132"/>
        <v>20</v>
      </c>
      <c r="AM124" s="60">
        <f t="shared" si="99"/>
        <v>5</v>
      </c>
      <c r="AN124" s="14">
        <f t="shared" si="133"/>
        <v>3</v>
      </c>
      <c r="AO124" s="60">
        <v>3</v>
      </c>
      <c r="AP124" s="60">
        <v>1</v>
      </c>
      <c r="AQ124" s="60">
        <v>1</v>
      </c>
      <c r="AS124" s="25">
        <f t="shared" si="134"/>
        <v>1319.3333333333333</v>
      </c>
      <c r="AT124" s="14">
        <f t="shared" si="86"/>
        <v>61843.75</v>
      </c>
      <c r="AU124" s="14">
        <f t="shared" si="87"/>
        <v>32060</v>
      </c>
      <c r="AV124" s="65">
        <f t="shared" si="135"/>
        <v>0.96450015595757965</v>
      </c>
      <c r="AW124" s="65">
        <f t="shared" si="136"/>
        <v>1.2634952043044294</v>
      </c>
    </row>
    <row r="125" spans="20:49" x14ac:dyDescent="0.15">
      <c r="T125" s="28">
        <f t="shared" si="107"/>
        <v>6103</v>
      </c>
      <c r="U125" s="26">
        <f t="shared" si="108"/>
        <v>242</v>
      </c>
      <c r="V125" s="28">
        <f t="shared" si="109"/>
        <v>20</v>
      </c>
      <c r="W125" s="14">
        <f t="shared" si="104"/>
        <v>8</v>
      </c>
      <c r="X125" s="39">
        <f t="shared" si="105"/>
        <v>32.266666666666666</v>
      </c>
      <c r="Y125" s="15">
        <v>1</v>
      </c>
      <c r="AE125" s="80"/>
      <c r="AF125" s="80"/>
      <c r="AG125" s="62">
        <f t="shared" si="137"/>
        <v>0.31</v>
      </c>
      <c r="AH125" s="60">
        <v>4</v>
      </c>
      <c r="AI125" s="60">
        <v>10</v>
      </c>
      <c r="AJ125" s="60">
        <v>6113</v>
      </c>
      <c r="AK125" s="68">
        <f t="shared" si="131"/>
        <v>621</v>
      </c>
      <c r="AL125" s="68">
        <f t="shared" si="132"/>
        <v>20</v>
      </c>
      <c r="AM125" s="60">
        <f t="shared" si="99"/>
        <v>10</v>
      </c>
      <c r="AN125" s="14">
        <f t="shared" si="133"/>
        <v>12</v>
      </c>
      <c r="AO125" s="60">
        <v>3</v>
      </c>
      <c r="AP125" s="60">
        <v>4</v>
      </c>
      <c r="AQ125" s="60">
        <v>1</v>
      </c>
      <c r="AS125" s="25">
        <f t="shared" si="134"/>
        <v>1960.5333333333333</v>
      </c>
      <c r="AT125" s="14">
        <f t="shared" si="86"/>
        <v>183800</v>
      </c>
      <c r="AU125" s="14">
        <f t="shared" si="87"/>
        <v>24840</v>
      </c>
      <c r="AV125" s="65">
        <f t="shared" si="135"/>
        <v>3.6996779388083736</v>
      </c>
      <c r="AW125" s="65">
        <f t="shared" si="136"/>
        <v>4.84657809983897</v>
      </c>
    </row>
    <row r="126" spans="20:49" x14ac:dyDescent="0.15">
      <c r="T126" s="28">
        <f t="shared" si="107"/>
        <v>6104</v>
      </c>
      <c r="U126" s="26">
        <f t="shared" si="108"/>
        <v>266</v>
      </c>
      <c r="V126" s="28">
        <f t="shared" si="109"/>
        <v>20</v>
      </c>
      <c r="W126" s="14">
        <f t="shared" si="104"/>
        <v>8</v>
      </c>
      <c r="X126" s="39">
        <f t="shared" si="105"/>
        <v>35.466666666666669</v>
      </c>
      <c r="Y126" s="15">
        <v>1</v>
      </c>
      <c r="AE126" s="80"/>
      <c r="AF126" s="80"/>
      <c r="AG126" s="62">
        <f t="shared" si="137"/>
        <v>0.31</v>
      </c>
      <c r="AH126" s="60">
        <v>5</v>
      </c>
      <c r="AI126" s="60">
        <v>10</v>
      </c>
      <c r="AJ126" s="60">
        <v>6046</v>
      </c>
      <c r="AK126" s="68">
        <f t="shared" si="131"/>
        <v>7059</v>
      </c>
      <c r="AL126" s="68">
        <f t="shared" si="132"/>
        <v>10</v>
      </c>
      <c r="AM126" s="60">
        <f t="shared" si="99"/>
        <v>10</v>
      </c>
      <c r="AN126" s="14">
        <f t="shared" si="133"/>
        <v>12</v>
      </c>
      <c r="AO126" s="60">
        <v>3</v>
      </c>
      <c r="AP126" s="60">
        <v>4</v>
      </c>
      <c r="AQ126" s="60">
        <v>1</v>
      </c>
      <c r="AS126" s="25">
        <f t="shared" si="134"/>
        <v>2954.1333333333332</v>
      </c>
      <c r="AT126" s="14">
        <f t="shared" si="86"/>
        <v>276950</v>
      </c>
      <c r="AU126" s="14">
        <f t="shared" si="87"/>
        <v>141180</v>
      </c>
      <c r="AV126" s="65">
        <f t="shared" si="135"/>
        <v>1.96168012466355</v>
      </c>
      <c r="AW126" s="65">
        <f t="shared" si="136"/>
        <v>2.5698009633092505</v>
      </c>
    </row>
    <row r="127" spans="20:49" x14ac:dyDescent="0.15">
      <c r="T127" s="28">
        <f t="shared" si="107"/>
        <v>6105</v>
      </c>
      <c r="U127" s="26">
        <f t="shared" si="108"/>
        <v>292</v>
      </c>
      <c r="V127" s="28">
        <f t="shared" si="109"/>
        <v>20</v>
      </c>
      <c r="W127" s="14">
        <f t="shared" si="104"/>
        <v>8</v>
      </c>
      <c r="X127" s="39">
        <f t="shared" si="105"/>
        <v>38.93333333333333</v>
      </c>
      <c r="Y127" s="15">
        <v>1</v>
      </c>
      <c r="AE127" s="80"/>
      <c r="AF127" s="80"/>
      <c r="AG127" s="62">
        <f t="shared" si="137"/>
        <v>0.31</v>
      </c>
      <c r="AH127" s="60"/>
      <c r="AI127" s="60"/>
      <c r="AJ127" s="60"/>
      <c r="AK127" s="68"/>
      <c r="AL127" s="68"/>
      <c r="AM127" s="60" t="str">
        <f t="shared" si="99"/>
        <v/>
      </c>
      <c r="AN127" s="14"/>
      <c r="AO127" s="60"/>
      <c r="AP127" s="15"/>
      <c r="AQ127" s="60"/>
      <c r="AS127" s="25">
        <f t="shared" si="134"/>
        <v>8601.3333333333339</v>
      </c>
      <c r="AT127" s="14">
        <f t="shared" si="86"/>
        <v>0</v>
      </c>
      <c r="AU127" s="14" t="e">
        <f t="shared" si="87"/>
        <v>#N/A</v>
      </c>
      <c r="AV127" s="65" t="e">
        <f t="shared" si="135"/>
        <v>#N/A</v>
      </c>
      <c r="AW127" s="65" t="e">
        <f t="shared" si="136"/>
        <v>#N/A</v>
      </c>
    </row>
    <row r="128" spans="20:49" x14ac:dyDescent="0.15">
      <c r="T128" s="28">
        <f t="shared" si="107"/>
        <v>6106</v>
      </c>
      <c r="U128" s="26">
        <f t="shared" si="108"/>
        <v>321</v>
      </c>
      <c r="V128" s="28">
        <f t="shared" si="109"/>
        <v>20</v>
      </c>
      <c r="W128" s="14">
        <f t="shared" si="104"/>
        <v>10</v>
      </c>
      <c r="X128" s="39">
        <f t="shared" si="105"/>
        <v>42.8</v>
      </c>
      <c r="Y128" s="15">
        <v>1</v>
      </c>
      <c r="AE128" s="80"/>
      <c r="AF128" s="80"/>
      <c r="AG128" s="62">
        <f t="shared" si="137"/>
        <v>0.31</v>
      </c>
      <c r="AH128" s="60"/>
      <c r="AI128" s="60"/>
      <c r="AJ128" s="60"/>
      <c r="AK128" s="68"/>
      <c r="AL128" s="68"/>
      <c r="AM128" s="60" t="str">
        <f t="shared" si="99"/>
        <v/>
      </c>
      <c r="AN128" s="14"/>
      <c r="AO128" s="60"/>
      <c r="AP128" s="15"/>
      <c r="AQ128" s="60"/>
      <c r="AS128" s="25" t="e">
        <f t="shared" si="134"/>
        <v>#N/A</v>
      </c>
      <c r="AT128" s="14" t="e">
        <f t="shared" si="86"/>
        <v>#N/A</v>
      </c>
      <c r="AU128" s="14" t="e">
        <f t="shared" si="87"/>
        <v>#N/A</v>
      </c>
      <c r="AV128" s="65" t="e">
        <f t="shared" si="135"/>
        <v>#N/A</v>
      </c>
      <c r="AW128" s="65" t="e">
        <f t="shared" si="136"/>
        <v>#N/A</v>
      </c>
    </row>
    <row r="129" spans="20:49" x14ac:dyDescent="0.15">
      <c r="T129" s="28">
        <f t="shared" si="107"/>
        <v>6107</v>
      </c>
      <c r="U129" s="26">
        <f t="shared" si="108"/>
        <v>353</v>
      </c>
      <c r="V129" s="28">
        <f t="shared" si="109"/>
        <v>20</v>
      </c>
      <c r="W129" s="14">
        <f t="shared" si="104"/>
        <v>10</v>
      </c>
      <c r="X129" s="39">
        <f t="shared" si="105"/>
        <v>47.06666666666667</v>
      </c>
      <c r="Y129" s="15">
        <v>1</v>
      </c>
      <c r="AE129" s="81"/>
      <c r="AF129" s="81"/>
      <c r="AG129" s="25">
        <f t="shared" si="137"/>
        <v>0.31</v>
      </c>
      <c r="AH129" s="60"/>
      <c r="AI129" s="60"/>
      <c r="AJ129" s="60"/>
      <c r="AK129" s="68"/>
      <c r="AL129" s="68"/>
      <c r="AM129" s="60" t="str">
        <f t="shared" si="99"/>
        <v/>
      </c>
      <c r="AN129" s="14"/>
      <c r="AO129" s="60"/>
      <c r="AP129" s="15"/>
      <c r="AQ129" s="60"/>
      <c r="AS129" s="25" t="e">
        <f t="shared" si="134"/>
        <v>#N/A</v>
      </c>
      <c r="AT129" s="14" t="e">
        <f t="shared" si="86"/>
        <v>#N/A</v>
      </c>
      <c r="AU129" s="14" t="e">
        <f t="shared" si="87"/>
        <v>#N/A</v>
      </c>
      <c r="AV129" s="65" t="e">
        <f t="shared" si="135"/>
        <v>#N/A</v>
      </c>
      <c r="AW129" s="65" t="e">
        <f>(1+AG129)*AV129</f>
        <v>#N/A</v>
      </c>
    </row>
    <row r="130" spans="20:49" x14ac:dyDescent="0.15">
      <c r="T130" s="28">
        <f t="shared" si="107"/>
        <v>6108</v>
      </c>
      <c r="U130" s="26">
        <f t="shared" si="108"/>
        <v>388</v>
      </c>
      <c r="V130" s="28">
        <f t="shared" si="109"/>
        <v>20</v>
      </c>
      <c r="W130" s="14">
        <f t="shared" si="104"/>
        <v>12</v>
      </c>
      <c r="X130" s="39">
        <f t="shared" si="105"/>
        <v>51.733333333333334</v>
      </c>
      <c r="Y130" s="15">
        <v>1</v>
      </c>
      <c r="AM130" s="60" t="str">
        <f t="shared" si="99"/>
        <v/>
      </c>
      <c r="AT130" s="14">
        <f t="shared" si="86"/>
        <v>0</v>
      </c>
      <c r="AU130" s="14" t="e">
        <f t="shared" si="87"/>
        <v>#N/A</v>
      </c>
    </row>
    <row r="131" spans="20:49" x14ac:dyDescent="0.15">
      <c r="T131" s="28">
        <f t="shared" si="107"/>
        <v>6109</v>
      </c>
      <c r="U131" s="26">
        <f t="shared" si="108"/>
        <v>426</v>
      </c>
      <c r="V131" s="28">
        <f t="shared" si="109"/>
        <v>20</v>
      </c>
      <c r="W131" s="14">
        <f t="shared" si="104"/>
        <v>12</v>
      </c>
      <c r="X131" s="39">
        <f t="shared" si="105"/>
        <v>56.8</v>
      </c>
      <c r="Y131" s="15">
        <v>1</v>
      </c>
      <c r="AE131" s="79">
        <f>AE122+1</f>
        <v>10</v>
      </c>
      <c r="AF131" s="79">
        <v>10</v>
      </c>
      <c r="AG131" s="63">
        <f>INDEX($BC$14:$BC$77,MATCH(AF131,$BA$14:$BA$77))</f>
        <v>0.31</v>
      </c>
      <c r="AH131" s="60">
        <v>1</v>
      </c>
      <c r="AI131" s="60">
        <v>10</v>
      </c>
      <c r="AJ131" s="60">
        <v>6008</v>
      </c>
      <c r="AK131" s="68">
        <f>INDEX(U:U,MATCH($AJ131,T:T,0))</f>
        <v>193</v>
      </c>
      <c r="AL131" s="68">
        <f>INDEX(V:V,MATCH($AJ131,T:T,0))</f>
        <v>10</v>
      </c>
      <c r="AM131" s="60">
        <f t="shared" si="99"/>
        <v>5</v>
      </c>
      <c r="AN131" s="14">
        <f>AO131*AP131</f>
        <v>5</v>
      </c>
      <c r="AO131" s="60">
        <v>5</v>
      </c>
      <c r="AP131" s="60">
        <v>1</v>
      </c>
      <c r="AQ131" s="60">
        <v>1</v>
      </c>
      <c r="AS131" s="15">
        <f>$AH$18</f>
        <v>200</v>
      </c>
      <c r="AT131" s="14">
        <f t="shared" si="86"/>
        <v>9375</v>
      </c>
      <c r="AU131" s="14">
        <f t="shared" si="87"/>
        <v>1930</v>
      </c>
      <c r="AV131" s="65">
        <f>AT131/AU131*10/AL131</f>
        <v>4.857512953367876</v>
      </c>
      <c r="AW131" s="65">
        <f>(1+AG131)*AV131</f>
        <v>6.3633419689119179</v>
      </c>
    </row>
    <row r="132" spans="20:49" x14ac:dyDescent="0.15">
      <c r="T132" s="28">
        <f t="shared" si="107"/>
        <v>6110</v>
      </c>
      <c r="U132" s="26">
        <f t="shared" si="108"/>
        <v>468</v>
      </c>
      <c r="V132" s="28">
        <f t="shared" si="109"/>
        <v>20</v>
      </c>
      <c r="W132" s="14">
        <f t="shared" si="104"/>
        <v>14</v>
      </c>
      <c r="X132" s="39">
        <f t="shared" si="105"/>
        <v>62.4</v>
      </c>
      <c r="Y132" s="15">
        <v>1</v>
      </c>
      <c r="AE132" s="80"/>
      <c r="AF132" s="80"/>
      <c r="AG132" s="62">
        <f>AG131</f>
        <v>0.31</v>
      </c>
      <c r="AH132" s="60">
        <v>2</v>
      </c>
      <c r="AI132" s="60">
        <v>10</v>
      </c>
      <c r="AJ132" s="60">
        <v>6020</v>
      </c>
      <c r="AK132" s="68">
        <f t="shared" ref="AK132:AK137" si="138">INDEX(U:U,MATCH($AJ132,T:T,0))</f>
        <v>596</v>
      </c>
      <c r="AL132" s="68">
        <f t="shared" ref="AL132:AL137" si="139">INDEX(V:V,MATCH($AJ132,T:T,0))</f>
        <v>10</v>
      </c>
      <c r="AM132" s="60">
        <f t="shared" si="99"/>
        <v>10</v>
      </c>
      <c r="AN132" s="14">
        <f t="shared" ref="AN132:AN137" si="140">AO132*AP132</f>
        <v>20</v>
      </c>
      <c r="AO132" s="60">
        <v>5</v>
      </c>
      <c r="AP132" s="60">
        <v>4</v>
      </c>
      <c r="AQ132" s="60">
        <v>1</v>
      </c>
      <c r="AS132" s="25">
        <f t="shared" ref="AS132:AS138" si="141">AS131+AN131*INDEX(X:X,MATCH(AJ131,T:T,0))</f>
        <v>264.33333333333331</v>
      </c>
      <c r="AT132" s="14">
        <f t="shared" si="86"/>
        <v>24781.26</v>
      </c>
      <c r="AU132" s="14">
        <f t="shared" si="87"/>
        <v>11920</v>
      </c>
      <c r="AV132" s="65">
        <f t="shared" ref="AV132:AV138" si="142">AT132/AU132*10/AL132</f>
        <v>2.0789647651006709</v>
      </c>
      <c r="AW132" s="65">
        <f t="shared" ref="AW132:AW137" si="143">(1+AG132)*AV132</f>
        <v>2.723443842281879</v>
      </c>
    </row>
    <row r="133" spans="20:49" x14ac:dyDescent="0.15">
      <c r="T133" s="28">
        <f t="shared" si="107"/>
        <v>6111</v>
      </c>
      <c r="U133" s="26">
        <f t="shared" si="108"/>
        <v>514</v>
      </c>
      <c r="V133" s="28">
        <f t="shared" si="109"/>
        <v>20</v>
      </c>
      <c r="W133" s="14">
        <f t="shared" si="104"/>
        <v>16</v>
      </c>
      <c r="X133" s="39">
        <f t="shared" si="105"/>
        <v>68.533333333333331</v>
      </c>
      <c r="Y133" s="15">
        <v>1</v>
      </c>
      <c r="AE133" s="80"/>
      <c r="AF133" s="80"/>
      <c r="AG133" s="62">
        <f t="shared" ref="AG133:AG138" si="144">AG132</f>
        <v>0.31</v>
      </c>
      <c r="AH133" s="60">
        <v>3</v>
      </c>
      <c r="AI133" s="60">
        <v>10</v>
      </c>
      <c r="AJ133" s="60">
        <v>6040</v>
      </c>
      <c r="AK133" s="68">
        <f t="shared" si="138"/>
        <v>3987</v>
      </c>
      <c r="AL133" s="68">
        <f t="shared" si="139"/>
        <v>10</v>
      </c>
      <c r="AM133" s="60">
        <f t="shared" si="99"/>
        <v>5</v>
      </c>
      <c r="AN133" s="14">
        <f t="shared" si="140"/>
        <v>5</v>
      </c>
      <c r="AO133" s="60">
        <v>5</v>
      </c>
      <c r="AP133" s="60">
        <v>1</v>
      </c>
      <c r="AQ133" s="60">
        <v>1</v>
      </c>
      <c r="AS133" s="25">
        <f t="shared" si="141"/>
        <v>1059</v>
      </c>
      <c r="AT133" s="14">
        <f t="shared" si="86"/>
        <v>49640.63</v>
      </c>
      <c r="AU133" s="14">
        <f t="shared" si="87"/>
        <v>39870</v>
      </c>
      <c r="AV133" s="65">
        <f t="shared" si="142"/>
        <v>1.2450622021570101</v>
      </c>
      <c r="AW133" s="65">
        <f t="shared" si="143"/>
        <v>1.6310314848256833</v>
      </c>
    </row>
    <row r="134" spans="20:49" x14ac:dyDescent="0.15">
      <c r="T134" s="28">
        <f t="shared" si="107"/>
        <v>6112</v>
      </c>
      <c r="U134" s="26">
        <f t="shared" si="108"/>
        <v>565</v>
      </c>
      <c r="V134" s="28">
        <f t="shared" si="109"/>
        <v>20</v>
      </c>
      <c r="W134" s="14">
        <f t="shared" si="104"/>
        <v>18</v>
      </c>
      <c r="X134" s="39">
        <f t="shared" si="105"/>
        <v>75.333333333333343</v>
      </c>
      <c r="Y134" s="15">
        <v>1</v>
      </c>
      <c r="AE134" s="80"/>
      <c r="AF134" s="80"/>
      <c r="AG134" s="62">
        <f t="shared" si="144"/>
        <v>0.31</v>
      </c>
      <c r="AH134" s="60">
        <v>4</v>
      </c>
      <c r="AI134" s="60">
        <v>10</v>
      </c>
      <c r="AJ134" s="60">
        <v>6124</v>
      </c>
      <c r="AK134" s="68">
        <f t="shared" si="138"/>
        <v>1763</v>
      </c>
      <c r="AL134" s="68">
        <f t="shared" si="139"/>
        <v>20</v>
      </c>
      <c r="AM134" s="60">
        <f t="shared" si="99"/>
        <v>10</v>
      </c>
      <c r="AN134" s="14">
        <f t="shared" si="140"/>
        <v>12</v>
      </c>
      <c r="AO134" s="60">
        <v>3</v>
      </c>
      <c r="AP134" s="60">
        <v>4</v>
      </c>
      <c r="AQ134" s="60">
        <v>1</v>
      </c>
      <c r="AS134" s="25">
        <f t="shared" si="141"/>
        <v>2388</v>
      </c>
      <c r="AT134" s="14">
        <f t="shared" si="86"/>
        <v>223875</v>
      </c>
      <c r="AU134" s="14">
        <f t="shared" si="87"/>
        <v>70520</v>
      </c>
      <c r="AV134" s="65">
        <f t="shared" si="142"/>
        <v>1.5873156551332954</v>
      </c>
      <c r="AW134" s="65">
        <f t="shared" si="143"/>
        <v>2.079383508224617</v>
      </c>
    </row>
    <row r="135" spans="20:49" x14ac:dyDescent="0.15">
      <c r="T135" s="28">
        <f t="shared" si="107"/>
        <v>6113</v>
      </c>
      <c r="U135" s="26">
        <f t="shared" si="108"/>
        <v>621</v>
      </c>
      <c r="V135" s="28">
        <f t="shared" si="109"/>
        <v>20</v>
      </c>
      <c r="W135" s="14">
        <f t="shared" si="104"/>
        <v>20</v>
      </c>
      <c r="X135" s="39">
        <f t="shared" si="105"/>
        <v>82.8</v>
      </c>
      <c r="Y135" s="15">
        <v>1</v>
      </c>
      <c r="AE135" s="80"/>
      <c r="AF135" s="80"/>
      <c r="AG135" s="62">
        <f t="shared" si="144"/>
        <v>0.31</v>
      </c>
      <c r="AH135" s="60">
        <v>5</v>
      </c>
      <c r="AI135" s="60">
        <v>10</v>
      </c>
      <c r="AJ135" s="60">
        <v>6132</v>
      </c>
      <c r="AK135" s="68">
        <f t="shared" si="138"/>
        <v>3773</v>
      </c>
      <c r="AL135" s="68">
        <f t="shared" si="139"/>
        <v>20</v>
      </c>
      <c r="AM135" s="60">
        <f t="shared" si="99"/>
        <v>5</v>
      </c>
      <c r="AN135" s="14">
        <f t="shared" si="140"/>
        <v>3</v>
      </c>
      <c r="AO135" s="60">
        <v>3</v>
      </c>
      <c r="AP135" s="60">
        <v>1</v>
      </c>
      <c r="AQ135" s="60">
        <v>1</v>
      </c>
      <c r="AS135" s="25">
        <f t="shared" si="141"/>
        <v>5208.8</v>
      </c>
      <c r="AT135" s="14">
        <f t="shared" si="86"/>
        <v>244162.5</v>
      </c>
      <c r="AU135" s="14">
        <f t="shared" si="87"/>
        <v>75460</v>
      </c>
      <c r="AV135" s="65">
        <f t="shared" si="142"/>
        <v>1.6178273257354889</v>
      </c>
      <c r="AW135" s="65">
        <f t="shared" si="143"/>
        <v>2.1193537967134906</v>
      </c>
    </row>
    <row r="136" spans="20:49" x14ac:dyDescent="0.15">
      <c r="T136" s="28">
        <f t="shared" si="107"/>
        <v>6114</v>
      </c>
      <c r="U136" s="26">
        <f t="shared" si="108"/>
        <v>683</v>
      </c>
      <c r="V136" s="28">
        <f t="shared" si="109"/>
        <v>20</v>
      </c>
      <c r="W136" s="14">
        <f t="shared" si="104"/>
        <v>20</v>
      </c>
      <c r="X136" s="39">
        <f t="shared" si="105"/>
        <v>91.066666666666663</v>
      </c>
      <c r="Y136" s="15">
        <v>1</v>
      </c>
      <c r="AE136" s="80"/>
      <c r="AF136" s="80"/>
      <c r="AG136" s="62">
        <f t="shared" si="144"/>
        <v>0.31</v>
      </c>
      <c r="AH136" s="60">
        <v>6</v>
      </c>
      <c r="AI136" s="60">
        <v>10</v>
      </c>
      <c r="AJ136" s="60">
        <v>6133</v>
      </c>
      <c r="AK136" s="68">
        <f t="shared" si="138"/>
        <v>4150</v>
      </c>
      <c r="AL136" s="68">
        <f t="shared" si="139"/>
        <v>20</v>
      </c>
      <c r="AM136" s="60">
        <f t="shared" si="99"/>
        <v>10</v>
      </c>
      <c r="AN136" s="14">
        <f t="shared" si="140"/>
        <v>27</v>
      </c>
      <c r="AO136" s="60">
        <v>3</v>
      </c>
      <c r="AP136" s="15">
        <v>9</v>
      </c>
      <c r="AQ136" s="60">
        <v>1</v>
      </c>
      <c r="AS136" s="25">
        <f t="shared" si="141"/>
        <v>6718</v>
      </c>
      <c r="AT136" s="14">
        <f t="shared" si="86"/>
        <v>944718.75</v>
      </c>
      <c r="AU136" s="14">
        <f t="shared" si="87"/>
        <v>373500</v>
      </c>
      <c r="AV136" s="65">
        <f t="shared" si="142"/>
        <v>1.2646837349397591</v>
      </c>
      <c r="AW136" s="65">
        <f t="shared" si="143"/>
        <v>1.6567356927710843</v>
      </c>
    </row>
    <row r="137" spans="20:49" x14ac:dyDescent="0.15">
      <c r="T137" s="28">
        <f t="shared" si="107"/>
        <v>6115</v>
      </c>
      <c r="U137" s="26">
        <f t="shared" si="108"/>
        <v>751</v>
      </c>
      <c r="V137" s="28">
        <f t="shared" si="109"/>
        <v>20</v>
      </c>
      <c r="W137" s="14">
        <f t="shared" si="104"/>
        <v>24</v>
      </c>
      <c r="X137" s="39">
        <f t="shared" si="105"/>
        <v>100.13333333333334</v>
      </c>
      <c r="Y137" s="15">
        <v>1</v>
      </c>
      <c r="AE137" s="80"/>
      <c r="AF137" s="80"/>
      <c r="AG137" s="62">
        <f t="shared" si="144"/>
        <v>0.31</v>
      </c>
      <c r="AH137" s="60">
        <v>7</v>
      </c>
      <c r="AI137" s="60">
        <v>10</v>
      </c>
      <c r="AJ137" s="60">
        <v>6072</v>
      </c>
      <c r="AK137" s="68">
        <f t="shared" si="138"/>
        <v>84085</v>
      </c>
      <c r="AL137" s="68">
        <f t="shared" si="139"/>
        <v>10</v>
      </c>
      <c r="AM137" s="60">
        <v>10</v>
      </c>
      <c r="AN137" s="14">
        <f t="shared" si="140"/>
        <v>8</v>
      </c>
      <c r="AO137" s="60">
        <v>8</v>
      </c>
      <c r="AP137" s="15">
        <v>1</v>
      </c>
      <c r="AQ137" s="60">
        <v>1</v>
      </c>
      <c r="AS137" s="25">
        <f t="shared" si="141"/>
        <v>21658</v>
      </c>
      <c r="AT137" s="14">
        <f t="shared" si="86"/>
        <v>1015218.75</v>
      </c>
      <c r="AU137" s="14">
        <f t="shared" si="87"/>
        <v>420425</v>
      </c>
      <c r="AV137" s="65">
        <f t="shared" si="142"/>
        <v>2.4147440090384729</v>
      </c>
      <c r="AW137" s="65">
        <f t="shared" si="143"/>
        <v>3.1633146518403996</v>
      </c>
    </row>
    <row r="138" spans="20:49" x14ac:dyDescent="0.15">
      <c r="T138" s="28">
        <f t="shared" si="107"/>
        <v>6116</v>
      </c>
      <c r="U138" s="26">
        <f t="shared" si="108"/>
        <v>826</v>
      </c>
      <c r="V138" s="28">
        <f t="shared" si="109"/>
        <v>20</v>
      </c>
      <c r="W138" s="14">
        <f t="shared" si="104"/>
        <v>26</v>
      </c>
      <c r="X138" s="39">
        <f t="shared" si="105"/>
        <v>110.13333333333333</v>
      </c>
      <c r="Y138" s="15">
        <v>1</v>
      </c>
      <c r="AE138" s="81"/>
      <c r="AF138" s="81"/>
      <c r="AG138" s="25">
        <f t="shared" si="144"/>
        <v>0.31</v>
      </c>
      <c r="AH138" s="60"/>
      <c r="AI138" s="60"/>
      <c r="AJ138" s="60"/>
      <c r="AK138" s="68"/>
      <c r="AL138" s="68"/>
      <c r="AM138" s="60" t="str">
        <f t="shared" si="99"/>
        <v/>
      </c>
      <c r="AN138" s="14"/>
      <c r="AO138" s="60"/>
      <c r="AP138" s="15"/>
      <c r="AQ138" s="60"/>
      <c r="AS138" s="25">
        <f t="shared" si="141"/>
        <v>66503.333333333328</v>
      </c>
      <c r="AT138" s="14">
        <f t="shared" si="86"/>
        <v>0</v>
      </c>
      <c r="AU138" s="14" t="e">
        <f t="shared" si="87"/>
        <v>#N/A</v>
      </c>
      <c r="AV138" s="65" t="e">
        <f t="shared" si="142"/>
        <v>#N/A</v>
      </c>
      <c r="AW138" s="65" t="e">
        <f>(1+AG138)*AV138</f>
        <v>#N/A</v>
      </c>
    </row>
    <row r="139" spans="20:49" x14ac:dyDescent="0.15">
      <c r="T139" s="28">
        <f t="shared" si="107"/>
        <v>6117</v>
      </c>
      <c r="U139" s="26">
        <f t="shared" si="108"/>
        <v>908</v>
      </c>
      <c r="V139" s="28">
        <f t="shared" si="109"/>
        <v>20</v>
      </c>
      <c r="W139" s="14">
        <f t="shared" si="104"/>
        <v>28</v>
      </c>
      <c r="X139" s="39">
        <f t="shared" si="105"/>
        <v>121.06666666666668</v>
      </c>
      <c r="Y139" s="15">
        <v>1</v>
      </c>
      <c r="AM139" s="60" t="str">
        <f t="shared" si="99"/>
        <v/>
      </c>
      <c r="AT139" s="14">
        <f t="shared" si="86"/>
        <v>0</v>
      </c>
      <c r="AU139" s="14" t="e">
        <f t="shared" si="87"/>
        <v>#N/A</v>
      </c>
    </row>
    <row r="140" spans="20:49" x14ac:dyDescent="0.15">
      <c r="T140" s="28">
        <f t="shared" si="107"/>
        <v>6118</v>
      </c>
      <c r="U140" s="26">
        <f t="shared" si="108"/>
        <v>998</v>
      </c>
      <c r="V140" s="28">
        <f t="shared" si="109"/>
        <v>20</v>
      </c>
      <c r="W140" s="14">
        <f t="shared" si="104"/>
        <v>30</v>
      </c>
      <c r="X140" s="39">
        <f t="shared" si="105"/>
        <v>133.06666666666666</v>
      </c>
      <c r="Y140" s="15">
        <v>1</v>
      </c>
      <c r="AE140" s="79">
        <f>AE131+1</f>
        <v>11</v>
      </c>
      <c r="AF140" s="79">
        <v>12</v>
      </c>
      <c r="AG140" s="63">
        <f>INDEX($BC$14:$BC$77,MATCH(AF140,$BA$14:$BA$77))</f>
        <v>0.38</v>
      </c>
      <c r="AH140" s="60">
        <v>1</v>
      </c>
      <c r="AI140" s="60">
        <v>10</v>
      </c>
      <c r="AJ140" s="60">
        <v>6105</v>
      </c>
      <c r="AK140" s="68">
        <f>INDEX(U:U,MATCH($AJ140,T:T,0))</f>
        <v>292</v>
      </c>
      <c r="AL140" s="68">
        <f>INDEX(V:V,MATCH($AJ140,T:T,0))</f>
        <v>20</v>
      </c>
      <c r="AM140" s="60">
        <f>IF(AP140="","",IF(AP140=1,5,20))</f>
        <v>5</v>
      </c>
      <c r="AN140" s="14">
        <f>AO140*AP140</f>
        <v>10</v>
      </c>
      <c r="AO140" s="60">
        <v>10</v>
      </c>
      <c r="AP140" s="60">
        <v>1</v>
      </c>
      <c r="AQ140" s="60">
        <v>1</v>
      </c>
      <c r="AS140" s="15">
        <f>$AH$18</f>
        <v>200</v>
      </c>
      <c r="AT140" s="14">
        <f t="shared" si="86"/>
        <v>9375</v>
      </c>
      <c r="AU140" s="14">
        <f t="shared" si="87"/>
        <v>5840</v>
      </c>
      <c r="AV140" s="65">
        <f>AT140/AU140*10/AL140</f>
        <v>0.80265410958904104</v>
      </c>
      <c r="AW140" s="65">
        <f>(1+AG140)*AV140</f>
        <v>1.1076626712328765</v>
      </c>
    </row>
    <row r="141" spans="20:49" x14ac:dyDescent="0.15">
      <c r="T141" s="28">
        <f t="shared" si="107"/>
        <v>6119</v>
      </c>
      <c r="U141" s="26">
        <f t="shared" si="108"/>
        <v>1097</v>
      </c>
      <c r="V141" s="28">
        <f t="shared" si="109"/>
        <v>20</v>
      </c>
      <c r="W141" s="14">
        <f t="shared" si="104"/>
        <v>34</v>
      </c>
      <c r="X141" s="39">
        <f t="shared" si="105"/>
        <v>146.26666666666668</v>
      </c>
      <c r="Y141" s="15">
        <v>1</v>
      </c>
      <c r="AE141" s="80"/>
      <c r="AF141" s="80"/>
      <c r="AG141" s="62">
        <f>AG140</f>
        <v>0.38</v>
      </c>
      <c r="AH141" s="60">
        <v>2</v>
      </c>
      <c r="AI141" s="60">
        <v>10</v>
      </c>
      <c r="AJ141" s="60">
        <v>6023</v>
      </c>
      <c r="AK141" s="68">
        <f t="shared" ref="AK141:AK144" si="145">INDEX(U:U,MATCH($AJ141,T:T,0))</f>
        <v>792</v>
      </c>
      <c r="AL141" s="68">
        <f t="shared" ref="AL141:AL144" si="146">INDEX(V:V,MATCH($AJ141,T:T,0))</f>
        <v>10</v>
      </c>
      <c r="AM141" s="60">
        <f t="shared" si="99"/>
        <v>10</v>
      </c>
      <c r="AN141" s="14">
        <f t="shared" ref="AN141:AN144" si="147">AO141*AP141</f>
        <v>20</v>
      </c>
      <c r="AO141" s="60">
        <v>5</v>
      </c>
      <c r="AP141" s="60">
        <v>4</v>
      </c>
      <c r="AQ141" s="60">
        <v>1</v>
      </c>
      <c r="AS141" s="25">
        <f t="shared" ref="AS141:AS147" si="148">AS140+AN140*INDEX(X:X,MATCH(AJ140,T:T,0))</f>
        <v>589.33333333333326</v>
      </c>
      <c r="AT141" s="14">
        <f t="shared" si="86"/>
        <v>55250</v>
      </c>
      <c r="AU141" s="14">
        <f t="shared" si="87"/>
        <v>15840</v>
      </c>
      <c r="AV141" s="65">
        <f t="shared" ref="AV141:AV147" si="149">AT141/AU141*10/AL141</f>
        <v>3.4880050505050506</v>
      </c>
      <c r="AW141" s="65">
        <f t="shared" ref="AW141:AW146" si="150">(1+AG141)*AV141</f>
        <v>4.8134469696969697</v>
      </c>
    </row>
    <row r="142" spans="20:49" x14ac:dyDescent="0.15">
      <c r="T142" s="28">
        <f t="shared" si="107"/>
        <v>6120</v>
      </c>
      <c r="U142" s="26">
        <f t="shared" si="108"/>
        <v>1206</v>
      </c>
      <c r="V142" s="28">
        <f t="shared" si="109"/>
        <v>20</v>
      </c>
      <c r="W142" s="14">
        <f t="shared" si="104"/>
        <v>38</v>
      </c>
      <c r="X142" s="39">
        <f t="shared" si="105"/>
        <v>160.80000000000001</v>
      </c>
      <c r="Y142" s="15">
        <v>1</v>
      </c>
      <c r="AE142" s="80"/>
      <c r="AF142" s="80"/>
      <c r="AG142" s="62">
        <f t="shared" ref="AG142:AG147" si="151">AG141</f>
        <v>0.38</v>
      </c>
      <c r="AH142" s="60">
        <v>3</v>
      </c>
      <c r="AI142" s="60">
        <v>10</v>
      </c>
      <c r="AJ142" s="60">
        <v>6034</v>
      </c>
      <c r="AK142" s="68">
        <f t="shared" si="145"/>
        <v>2253</v>
      </c>
      <c r="AL142" s="68">
        <f t="shared" si="146"/>
        <v>10</v>
      </c>
      <c r="AM142" s="60">
        <f t="shared" si="99"/>
        <v>10</v>
      </c>
      <c r="AN142" s="14">
        <f t="shared" si="147"/>
        <v>20</v>
      </c>
      <c r="AO142" s="60">
        <v>5</v>
      </c>
      <c r="AP142" s="60">
        <v>4</v>
      </c>
      <c r="AQ142" s="60">
        <v>1</v>
      </c>
      <c r="AS142" s="25">
        <f t="shared" si="148"/>
        <v>1645.3333333333333</v>
      </c>
      <c r="AT142" s="14">
        <f t="shared" ref="AT142:AT205" si="152">ROUND(($AS142*$AH$17*50/4/4),2)*AP142^0.5</f>
        <v>154250</v>
      </c>
      <c r="AU142" s="14">
        <f t="shared" ref="AU142:AU205" si="153">((INDEX($V:$V,MATCH($AJ142,$T:$T,0))*INDEX($U:$U,MATCH($AJ142,$T:$T,0)))*$AP142/$AM142/$AQ142*5)</f>
        <v>45060</v>
      </c>
      <c r="AV142" s="65">
        <f t="shared" si="149"/>
        <v>3.4232134931202842</v>
      </c>
      <c r="AW142" s="65">
        <f t="shared" si="150"/>
        <v>4.724034620505992</v>
      </c>
    </row>
    <row r="143" spans="20:49" x14ac:dyDescent="0.15">
      <c r="T143" s="28">
        <f t="shared" si="107"/>
        <v>6121</v>
      </c>
      <c r="U143" s="26">
        <f t="shared" si="108"/>
        <v>1326</v>
      </c>
      <c r="V143" s="28">
        <f t="shared" si="109"/>
        <v>20</v>
      </c>
      <c r="W143" s="14">
        <f t="shared" si="104"/>
        <v>40</v>
      </c>
      <c r="X143" s="39">
        <f t="shared" si="105"/>
        <v>176.8</v>
      </c>
      <c r="Y143" s="15">
        <v>1</v>
      </c>
      <c r="AE143" s="80"/>
      <c r="AF143" s="80"/>
      <c r="AG143" s="62">
        <f t="shared" si="151"/>
        <v>0.38</v>
      </c>
      <c r="AH143" s="60">
        <v>4</v>
      </c>
      <c r="AI143" s="60">
        <v>10</v>
      </c>
      <c r="AJ143" s="60">
        <v>6138</v>
      </c>
      <c r="AK143" s="68">
        <f t="shared" si="145"/>
        <v>6682</v>
      </c>
      <c r="AL143" s="68">
        <f t="shared" si="146"/>
        <v>20</v>
      </c>
      <c r="AM143" s="60">
        <f t="shared" si="99"/>
        <v>5</v>
      </c>
      <c r="AN143" s="14">
        <f t="shared" si="147"/>
        <v>5</v>
      </c>
      <c r="AO143" s="60">
        <v>5</v>
      </c>
      <c r="AP143" s="60">
        <v>1</v>
      </c>
      <c r="AQ143" s="60">
        <v>1</v>
      </c>
      <c r="AS143" s="25">
        <f t="shared" si="148"/>
        <v>4649.333333333333</v>
      </c>
      <c r="AT143" s="14">
        <f t="shared" si="152"/>
        <v>217937.5</v>
      </c>
      <c r="AU143" s="14">
        <f t="shared" si="153"/>
        <v>133640</v>
      </c>
      <c r="AV143" s="65">
        <f t="shared" si="149"/>
        <v>0.81539022747680323</v>
      </c>
      <c r="AW143" s="65">
        <f t="shared" si="150"/>
        <v>1.1252385139179883</v>
      </c>
    </row>
    <row r="144" spans="20:49" x14ac:dyDescent="0.15">
      <c r="T144" s="28">
        <f t="shared" si="107"/>
        <v>6122</v>
      </c>
      <c r="U144" s="26">
        <f t="shared" si="108"/>
        <v>1458</v>
      </c>
      <c r="V144" s="28">
        <f t="shared" si="109"/>
        <v>20</v>
      </c>
      <c r="W144" s="14">
        <f t="shared" si="104"/>
        <v>46</v>
      </c>
      <c r="X144" s="39">
        <f t="shared" si="105"/>
        <v>194.4</v>
      </c>
      <c r="Y144" s="15">
        <v>1</v>
      </c>
      <c r="AE144" s="80"/>
      <c r="AF144" s="80"/>
      <c r="AG144" s="62">
        <f t="shared" si="151"/>
        <v>0.38</v>
      </c>
      <c r="AH144" s="60">
        <v>5</v>
      </c>
      <c r="AI144" s="60">
        <v>10</v>
      </c>
      <c r="AJ144" s="60">
        <v>6044</v>
      </c>
      <c r="AK144" s="68">
        <f t="shared" si="145"/>
        <v>5835</v>
      </c>
      <c r="AL144" s="68">
        <f t="shared" si="146"/>
        <v>10</v>
      </c>
      <c r="AM144" s="60">
        <f t="shared" si="99"/>
        <v>10</v>
      </c>
      <c r="AN144" s="14">
        <f t="shared" si="147"/>
        <v>45</v>
      </c>
      <c r="AO144" s="60">
        <v>5</v>
      </c>
      <c r="AP144" s="60">
        <v>9</v>
      </c>
      <c r="AQ144" s="60">
        <v>1</v>
      </c>
      <c r="AS144" s="25">
        <f t="shared" si="148"/>
        <v>9104</v>
      </c>
      <c r="AT144" s="14">
        <f t="shared" si="152"/>
        <v>1280250</v>
      </c>
      <c r="AU144" s="14">
        <f t="shared" si="153"/>
        <v>262575</v>
      </c>
      <c r="AV144" s="65">
        <f t="shared" si="149"/>
        <v>4.8757497857754926</v>
      </c>
      <c r="AW144" s="65">
        <f t="shared" si="150"/>
        <v>6.7285347043701789</v>
      </c>
    </row>
    <row r="145" spans="20:49" x14ac:dyDescent="0.15">
      <c r="T145" s="28">
        <f t="shared" si="107"/>
        <v>6123</v>
      </c>
      <c r="U145" s="26">
        <f t="shared" si="108"/>
        <v>1603</v>
      </c>
      <c r="V145" s="28">
        <f t="shared" si="109"/>
        <v>20</v>
      </c>
      <c r="W145" s="14">
        <f t="shared" si="104"/>
        <v>50</v>
      </c>
      <c r="X145" s="39">
        <f t="shared" si="105"/>
        <v>213.73333333333335</v>
      </c>
      <c r="Y145" s="15">
        <v>1</v>
      </c>
      <c r="AE145" s="80"/>
      <c r="AF145" s="80"/>
      <c r="AG145" s="62">
        <f t="shared" si="151"/>
        <v>0.38</v>
      </c>
      <c r="AH145" s="60"/>
      <c r="AI145" s="60"/>
      <c r="AJ145" s="60"/>
      <c r="AK145" s="68"/>
      <c r="AL145" s="68"/>
      <c r="AM145" s="60" t="str">
        <f t="shared" si="99"/>
        <v/>
      </c>
      <c r="AN145" s="14"/>
      <c r="AO145" s="60"/>
      <c r="AP145" s="15"/>
      <c r="AQ145" s="60"/>
      <c r="AS145" s="25">
        <f t="shared" si="148"/>
        <v>26609</v>
      </c>
      <c r="AT145" s="14">
        <f t="shared" si="152"/>
        <v>0</v>
      </c>
      <c r="AU145" s="14" t="e">
        <f t="shared" si="153"/>
        <v>#N/A</v>
      </c>
      <c r="AV145" s="65" t="e">
        <f t="shared" si="149"/>
        <v>#N/A</v>
      </c>
      <c r="AW145" s="65" t="e">
        <f t="shared" si="150"/>
        <v>#N/A</v>
      </c>
    </row>
    <row r="146" spans="20:49" x14ac:dyDescent="0.15">
      <c r="T146" s="28">
        <f t="shared" si="107"/>
        <v>6124</v>
      </c>
      <c r="U146" s="26">
        <f t="shared" si="108"/>
        <v>1763</v>
      </c>
      <c r="V146" s="28">
        <f t="shared" si="109"/>
        <v>20</v>
      </c>
      <c r="W146" s="14">
        <f t="shared" si="104"/>
        <v>54</v>
      </c>
      <c r="X146" s="39">
        <f t="shared" si="105"/>
        <v>235.06666666666666</v>
      </c>
      <c r="Y146" s="15">
        <v>1</v>
      </c>
      <c r="AE146" s="80"/>
      <c r="AF146" s="80"/>
      <c r="AG146" s="62">
        <f t="shared" si="151"/>
        <v>0.38</v>
      </c>
      <c r="AH146" s="60"/>
      <c r="AI146" s="60"/>
      <c r="AJ146" s="60"/>
      <c r="AK146" s="68"/>
      <c r="AL146" s="68"/>
      <c r="AM146" s="60" t="str">
        <f t="shared" si="99"/>
        <v/>
      </c>
      <c r="AN146" s="14"/>
      <c r="AO146" s="60"/>
      <c r="AP146" s="15"/>
      <c r="AQ146" s="60"/>
      <c r="AS146" s="25" t="e">
        <f t="shared" si="148"/>
        <v>#N/A</v>
      </c>
      <c r="AT146" s="14" t="e">
        <f t="shared" si="152"/>
        <v>#N/A</v>
      </c>
      <c r="AU146" s="14" t="e">
        <f t="shared" si="153"/>
        <v>#N/A</v>
      </c>
      <c r="AV146" s="65" t="e">
        <f t="shared" si="149"/>
        <v>#N/A</v>
      </c>
      <c r="AW146" s="65" t="e">
        <f t="shared" si="150"/>
        <v>#N/A</v>
      </c>
    </row>
    <row r="147" spans="20:49" x14ac:dyDescent="0.15">
      <c r="T147" s="28">
        <f t="shared" si="107"/>
        <v>6125</v>
      </c>
      <c r="U147" s="26">
        <f t="shared" si="108"/>
        <v>1939</v>
      </c>
      <c r="V147" s="28">
        <f t="shared" si="109"/>
        <v>20</v>
      </c>
      <c r="W147" s="14">
        <f t="shared" si="104"/>
        <v>60</v>
      </c>
      <c r="X147" s="39">
        <f t="shared" si="105"/>
        <v>258.53333333333336</v>
      </c>
      <c r="Y147" s="15">
        <v>1</v>
      </c>
      <c r="AE147" s="81"/>
      <c r="AF147" s="81"/>
      <c r="AG147" s="25">
        <f t="shared" si="151"/>
        <v>0.38</v>
      </c>
      <c r="AH147" s="60"/>
      <c r="AI147" s="60"/>
      <c r="AJ147" s="60"/>
      <c r="AK147" s="68"/>
      <c r="AL147" s="68"/>
      <c r="AM147" s="60" t="str">
        <f t="shared" si="99"/>
        <v/>
      </c>
      <c r="AN147" s="14"/>
      <c r="AO147" s="60"/>
      <c r="AP147" s="15"/>
      <c r="AQ147" s="60"/>
      <c r="AS147" s="25" t="e">
        <f t="shared" si="148"/>
        <v>#N/A</v>
      </c>
      <c r="AT147" s="14" t="e">
        <f t="shared" si="152"/>
        <v>#N/A</v>
      </c>
      <c r="AU147" s="14" t="e">
        <f t="shared" si="153"/>
        <v>#N/A</v>
      </c>
      <c r="AV147" s="65" t="e">
        <f t="shared" si="149"/>
        <v>#N/A</v>
      </c>
      <c r="AW147" s="65" t="e">
        <f>(1+AG147)*AV147</f>
        <v>#N/A</v>
      </c>
    </row>
    <row r="148" spans="20:49" x14ac:dyDescent="0.15">
      <c r="T148" s="28">
        <f t="shared" si="107"/>
        <v>6126</v>
      </c>
      <c r="U148" s="26">
        <f t="shared" si="108"/>
        <v>2132</v>
      </c>
      <c r="V148" s="28">
        <f t="shared" si="109"/>
        <v>20</v>
      </c>
      <c r="W148" s="14">
        <f t="shared" si="104"/>
        <v>66</v>
      </c>
      <c r="X148" s="39">
        <f t="shared" si="105"/>
        <v>284.26666666666665</v>
      </c>
      <c r="Y148" s="15">
        <v>1</v>
      </c>
      <c r="AM148" s="60" t="str">
        <f t="shared" si="99"/>
        <v/>
      </c>
      <c r="AT148" s="14">
        <f t="shared" si="152"/>
        <v>0</v>
      </c>
      <c r="AU148" s="14" t="e">
        <f t="shared" si="153"/>
        <v>#N/A</v>
      </c>
    </row>
    <row r="149" spans="20:49" x14ac:dyDescent="0.15">
      <c r="T149" s="28">
        <f t="shared" si="107"/>
        <v>6127</v>
      </c>
      <c r="U149" s="26">
        <f t="shared" si="108"/>
        <v>2345</v>
      </c>
      <c r="V149" s="28">
        <f t="shared" si="109"/>
        <v>20</v>
      </c>
      <c r="W149" s="14">
        <f t="shared" si="104"/>
        <v>72</v>
      </c>
      <c r="X149" s="39">
        <f t="shared" si="105"/>
        <v>312.66666666666663</v>
      </c>
      <c r="Y149" s="15">
        <v>1</v>
      </c>
      <c r="AE149" s="79">
        <f>AE140+1</f>
        <v>12</v>
      </c>
      <c r="AF149" s="79">
        <v>14</v>
      </c>
      <c r="AG149" s="63">
        <f>INDEX($BC$14:$BC$77,MATCH(AF149,$BA$14:$BA$77))</f>
        <v>0.44</v>
      </c>
      <c r="AH149" s="60">
        <v>1</v>
      </c>
      <c r="AI149" s="60">
        <v>10</v>
      </c>
      <c r="AJ149" s="60">
        <v>6105</v>
      </c>
      <c r="AK149" s="68">
        <f>INDEX(U:U,MATCH($AJ149,T:T,0))</f>
        <v>292</v>
      </c>
      <c r="AL149" s="68">
        <f>INDEX(V:V,MATCH($AJ149,T:T,0))</f>
        <v>20</v>
      </c>
      <c r="AM149" s="60">
        <f t="shared" si="99"/>
        <v>5</v>
      </c>
      <c r="AN149" s="14">
        <f>AO149*AP149</f>
        <v>10</v>
      </c>
      <c r="AO149" s="60">
        <v>10</v>
      </c>
      <c r="AP149" s="60">
        <v>1</v>
      </c>
      <c r="AQ149" s="60">
        <v>1</v>
      </c>
      <c r="AS149" s="15">
        <f>$AH$18</f>
        <v>200</v>
      </c>
      <c r="AT149" s="14">
        <f>ROUND(($AS149*$AH$17*50/4/4),2)*AP149^0.5</f>
        <v>9375</v>
      </c>
      <c r="AU149" s="14">
        <f>((INDEX($V:$V,MATCH($AJ149,$T:$T,0))*INDEX($U:$U,MATCH($AJ149,$T:$T,0)))*$AP149/$AM149/$AQ149*5)</f>
        <v>5840</v>
      </c>
      <c r="AV149" s="65">
        <f>AT149/AU149*10/AL149</f>
        <v>0.80265410958904104</v>
      </c>
      <c r="AW149" s="65">
        <f>(1+AG149)*AV149</f>
        <v>1.155821917808219</v>
      </c>
    </row>
    <row r="150" spans="20:49" x14ac:dyDescent="0.15">
      <c r="T150" s="28">
        <f t="shared" si="107"/>
        <v>6128</v>
      </c>
      <c r="U150" s="26">
        <f t="shared" si="108"/>
        <v>2579</v>
      </c>
      <c r="V150" s="28">
        <f t="shared" si="109"/>
        <v>20</v>
      </c>
      <c r="W150" s="14">
        <f t="shared" si="104"/>
        <v>80</v>
      </c>
      <c r="X150" s="39">
        <f t="shared" si="105"/>
        <v>343.86666666666667</v>
      </c>
      <c r="Y150" s="15">
        <v>1</v>
      </c>
      <c r="AE150" s="80"/>
      <c r="AF150" s="80"/>
      <c r="AG150" s="62">
        <f>AG149</f>
        <v>0.44</v>
      </c>
      <c r="AH150" s="60">
        <v>2</v>
      </c>
      <c r="AI150" s="60">
        <v>10</v>
      </c>
      <c r="AJ150" s="60">
        <v>6023</v>
      </c>
      <c r="AK150" s="68">
        <f t="shared" ref="AK150:AK153" si="154">INDEX(U:U,MATCH($AJ150,T:T,0))</f>
        <v>792</v>
      </c>
      <c r="AL150" s="68">
        <f t="shared" ref="AL150:AL153" si="155">INDEX(V:V,MATCH($AJ150,T:T,0))</f>
        <v>10</v>
      </c>
      <c r="AM150" s="60">
        <f t="shared" si="99"/>
        <v>10</v>
      </c>
      <c r="AN150" s="14">
        <f t="shared" ref="AN150:AN153" si="156">AO150*AP150</f>
        <v>20</v>
      </c>
      <c r="AO150" s="60">
        <v>5</v>
      </c>
      <c r="AP150" s="60">
        <v>4</v>
      </c>
      <c r="AQ150" s="60">
        <v>1</v>
      </c>
      <c r="AS150" s="25">
        <f t="shared" ref="AS150:AS156" si="157">AS149+AN149*INDEX(X:X,MATCH(AJ149,T:T,0))</f>
        <v>589.33333333333326</v>
      </c>
      <c r="AT150" s="14">
        <f t="shared" si="152"/>
        <v>55250</v>
      </c>
      <c r="AU150" s="14">
        <f t="shared" si="153"/>
        <v>15840</v>
      </c>
      <c r="AV150" s="65">
        <f t="shared" ref="AV150:AV156" si="158">AT150/AU150*10/AL150</f>
        <v>3.4880050505050506</v>
      </c>
      <c r="AW150" s="65">
        <f t="shared" ref="AW150:AW155" si="159">(1+AG150)*AV150</f>
        <v>5.0227272727272725</v>
      </c>
    </row>
    <row r="151" spans="20:49" x14ac:dyDescent="0.15">
      <c r="T151" s="28">
        <f t="shared" si="107"/>
        <v>6129</v>
      </c>
      <c r="U151" s="26">
        <f t="shared" si="108"/>
        <v>2836</v>
      </c>
      <c r="V151" s="28">
        <f t="shared" si="109"/>
        <v>20</v>
      </c>
      <c r="W151" s="14">
        <f t="shared" si="104"/>
        <v>86</v>
      </c>
      <c r="X151" s="39">
        <f t="shared" si="105"/>
        <v>378.13333333333333</v>
      </c>
      <c r="Y151" s="15">
        <v>1</v>
      </c>
      <c r="Z151">
        <v>500</v>
      </c>
      <c r="AE151" s="80"/>
      <c r="AF151" s="80"/>
      <c r="AG151" s="62">
        <f t="shared" ref="AG151:AG156" si="160">AG150</f>
        <v>0.44</v>
      </c>
      <c r="AH151" s="60">
        <v>3</v>
      </c>
      <c r="AI151" s="60">
        <v>10</v>
      </c>
      <c r="AJ151" s="60">
        <v>6112</v>
      </c>
      <c r="AK151" s="68">
        <f t="shared" si="154"/>
        <v>565</v>
      </c>
      <c r="AL151" s="68">
        <f t="shared" si="155"/>
        <v>20</v>
      </c>
      <c r="AM151" s="60">
        <f t="shared" ref="AM151:AM214" si="161">IF(AP151="","",IF(AP151=1,5,10))</f>
        <v>10</v>
      </c>
      <c r="AN151" s="14">
        <f t="shared" si="156"/>
        <v>12</v>
      </c>
      <c r="AO151" s="60">
        <v>3</v>
      </c>
      <c r="AP151" s="60">
        <v>4</v>
      </c>
      <c r="AQ151" s="60">
        <v>1</v>
      </c>
      <c r="AS151" s="25">
        <f t="shared" si="157"/>
        <v>1645.3333333333333</v>
      </c>
      <c r="AT151" s="14">
        <f t="shared" si="152"/>
        <v>154250</v>
      </c>
      <c r="AU151" s="14">
        <f t="shared" si="153"/>
        <v>22600</v>
      </c>
      <c r="AV151" s="65">
        <f t="shared" si="158"/>
        <v>3.4126106194690267</v>
      </c>
      <c r="AW151" s="65">
        <f t="shared" si="159"/>
        <v>4.9141592920353983</v>
      </c>
    </row>
    <row r="152" spans="20:49" x14ac:dyDescent="0.15">
      <c r="T152" s="28">
        <f t="shared" si="107"/>
        <v>6130</v>
      </c>
      <c r="U152" s="26">
        <f t="shared" si="108"/>
        <v>3119</v>
      </c>
      <c r="V152" s="28">
        <f t="shared" si="109"/>
        <v>20</v>
      </c>
      <c r="W152" s="14">
        <f t="shared" ref="W152:W215" si="162">_xlfn.FLOOR.MATH(V152*U152/15/10/RIGHT(T152,3)^0.3,2)</f>
        <v>96</v>
      </c>
      <c r="X152" s="39">
        <f t="shared" ref="X152:X215" si="163">U152*V152/15/10</f>
        <v>415.86666666666667</v>
      </c>
      <c r="Y152" s="15">
        <v>1</v>
      </c>
      <c r="Z152">
        <v>50</v>
      </c>
      <c r="AE152" s="80"/>
      <c r="AF152" s="80"/>
      <c r="AG152" s="62">
        <f t="shared" si="160"/>
        <v>0.44</v>
      </c>
      <c r="AH152" s="60">
        <v>4</v>
      </c>
      <c r="AI152" s="60">
        <v>10</v>
      </c>
      <c r="AJ152" s="60">
        <v>6030</v>
      </c>
      <c r="AK152" s="68">
        <f t="shared" si="154"/>
        <v>1540</v>
      </c>
      <c r="AL152" s="68">
        <f t="shared" si="155"/>
        <v>10</v>
      </c>
      <c r="AM152" s="60">
        <f t="shared" si="161"/>
        <v>10</v>
      </c>
      <c r="AN152" s="14">
        <f t="shared" si="156"/>
        <v>27</v>
      </c>
      <c r="AO152" s="60">
        <v>3</v>
      </c>
      <c r="AP152" s="60">
        <v>9</v>
      </c>
      <c r="AQ152" s="60">
        <v>1</v>
      </c>
      <c r="AS152" s="25">
        <f t="shared" si="157"/>
        <v>2549.3333333333335</v>
      </c>
      <c r="AT152" s="14">
        <f t="shared" si="152"/>
        <v>358500</v>
      </c>
      <c r="AU152" s="14">
        <f t="shared" si="153"/>
        <v>69300</v>
      </c>
      <c r="AV152" s="65">
        <f t="shared" si="158"/>
        <v>5.1731601731601735</v>
      </c>
      <c r="AW152" s="65">
        <f t="shared" si="159"/>
        <v>7.4493506493506496</v>
      </c>
    </row>
    <row r="153" spans="20:49" x14ac:dyDescent="0.15">
      <c r="T153" s="28">
        <f t="shared" ref="T153:T216" si="164">T152+1</f>
        <v>6131</v>
      </c>
      <c r="U153" s="26">
        <f t="shared" ref="U153:U216" si="165">INT(U152*$U$18)</f>
        <v>3430</v>
      </c>
      <c r="V153" s="28">
        <f t="shared" ref="V153:V216" si="166">V152</f>
        <v>20</v>
      </c>
      <c r="W153" s="14">
        <f t="shared" si="162"/>
        <v>104</v>
      </c>
      <c r="X153" s="39">
        <f t="shared" si="163"/>
        <v>457.33333333333331</v>
      </c>
      <c r="Y153" s="15">
        <v>1</v>
      </c>
      <c r="AE153" s="80"/>
      <c r="AF153" s="80"/>
      <c r="AG153" s="62">
        <f t="shared" si="160"/>
        <v>0.44</v>
      </c>
      <c r="AH153" s="60">
        <v>5</v>
      </c>
      <c r="AI153" s="60">
        <v>10</v>
      </c>
      <c r="AJ153" s="60">
        <v>6125</v>
      </c>
      <c r="AK153" s="68">
        <f t="shared" si="154"/>
        <v>1939</v>
      </c>
      <c r="AL153" s="68">
        <f t="shared" si="155"/>
        <v>20</v>
      </c>
      <c r="AM153" s="60">
        <f t="shared" si="161"/>
        <v>10</v>
      </c>
      <c r="AN153" s="14">
        <f t="shared" si="156"/>
        <v>12</v>
      </c>
      <c r="AO153" s="60">
        <v>3</v>
      </c>
      <c r="AP153" s="60">
        <v>4</v>
      </c>
      <c r="AQ153" s="60">
        <v>1</v>
      </c>
      <c r="AS153" s="25">
        <f t="shared" si="157"/>
        <v>5321.3333333333339</v>
      </c>
      <c r="AT153" s="14">
        <f t="shared" si="152"/>
        <v>498875</v>
      </c>
      <c r="AU153" s="14">
        <f t="shared" si="153"/>
        <v>77560</v>
      </c>
      <c r="AV153" s="65">
        <f t="shared" si="158"/>
        <v>3.2160585353274884</v>
      </c>
      <c r="AW153" s="65">
        <f t="shared" si="159"/>
        <v>4.6311242908715835</v>
      </c>
    </row>
    <row r="154" spans="20:49" x14ac:dyDescent="0.15">
      <c r="T154" s="28">
        <f t="shared" si="164"/>
        <v>6132</v>
      </c>
      <c r="U154" s="26">
        <f t="shared" si="165"/>
        <v>3773</v>
      </c>
      <c r="V154" s="28">
        <f t="shared" si="166"/>
        <v>20</v>
      </c>
      <c r="W154" s="14">
        <f t="shared" si="162"/>
        <v>116</v>
      </c>
      <c r="X154" s="39">
        <f t="shared" si="163"/>
        <v>503.06666666666672</v>
      </c>
      <c r="Y154" s="15">
        <v>1</v>
      </c>
      <c r="AE154" s="80"/>
      <c r="AF154" s="80"/>
      <c r="AG154" s="62">
        <f t="shared" si="160"/>
        <v>0.44</v>
      </c>
      <c r="AH154" s="60"/>
      <c r="AI154" s="60"/>
      <c r="AJ154" s="60"/>
      <c r="AK154" s="68"/>
      <c r="AL154" s="68"/>
      <c r="AM154" s="60" t="str">
        <f t="shared" si="161"/>
        <v/>
      </c>
      <c r="AN154" s="14"/>
      <c r="AO154" s="60"/>
      <c r="AP154" s="15"/>
      <c r="AQ154" s="60"/>
      <c r="AS154" s="25">
        <f t="shared" si="157"/>
        <v>8423.7333333333336</v>
      </c>
      <c r="AT154" s="14">
        <f t="shared" si="152"/>
        <v>0</v>
      </c>
      <c r="AU154" s="14" t="e">
        <f t="shared" si="153"/>
        <v>#N/A</v>
      </c>
      <c r="AV154" s="65" t="e">
        <f t="shared" si="158"/>
        <v>#N/A</v>
      </c>
      <c r="AW154" s="65" t="e">
        <f t="shared" si="159"/>
        <v>#N/A</v>
      </c>
    </row>
    <row r="155" spans="20:49" x14ac:dyDescent="0.15">
      <c r="T155" s="28">
        <f t="shared" si="164"/>
        <v>6133</v>
      </c>
      <c r="U155" s="26">
        <f t="shared" si="165"/>
        <v>4150</v>
      </c>
      <c r="V155" s="28">
        <f t="shared" si="166"/>
        <v>20</v>
      </c>
      <c r="W155" s="14">
        <f t="shared" si="162"/>
        <v>126</v>
      </c>
      <c r="X155" s="39">
        <f t="shared" si="163"/>
        <v>553.33333333333326</v>
      </c>
      <c r="Y155" s="15">
        <v>1</v>
      </c>
      <c r="AE155" s="80"/>
      <c r="AF155" s="80"/>
      <c r="AG155" s="62">
        <f t="shared" si="160"/>
        <v>0.44</v>
      </c>
      <c r="AH155" s="60"/>
      <c r="AI155" s="60"/>
      <c r="AJ155" s="60"/>
      <c r="AK155" s="68"/>
      <c r="AL155" s="68"/>
      <c r="AM155" s="60" t="str">
        <f t="shared" si="161"/>
        <v/>
      </c>
      <c r="AN155" s="14"/>
      <c r="AO155" s="60"/>
      <c r="AP155" s="15"/>
      <c r="AQ155" s="60"/>
      <c r="AS155" s="25" t="e">
        <f t="shared" si="157"/>
        <v>#N/A</v>
      </c>
      <c r="AT155" s="14" t="e">
        <f t="shared" si="152"/>
        <v>#N/A</v>
      </c>
      <c r="AU155" s="14" t="e">
        <f t="shared" si="153"/>
        <v>#N/A</v>
      </c>
      <c r="AV155" s="65" t="e">
        <f t="shared" si="158"/>
        <v>#N/A</v>
      </c>
      <c r="AW155" s="65" t="e">
        <f t="shared" si="159"/>
        <v>#N/A</v>
      </c>
    </row>
    <row r="156" spans="20:49" x14ac:dyDescent="0.15">
      <c r="T156" s="28">
        <f t="shared" si="164"/>
        <v>6134</v>
      </c>
      <c r="U156" s="26">
        <f t="shared" si="165"/>
        <v>4565</v>
      </c>
      <c r="V156" s="28">
        <f t="shared" si="166"/>
        <v>20</v>
      </c>
      <c r="W156" s="14">
        <f t="shared" si="162"/>
        <v>140</v>
      </c>
      <c r="X156" s="39">
        <f t="shared" si="163"/>
        <v>608.66666666666674</v>
      </c>
      <c r="Y156" s="15">
        <v>1</v>
      </c>
      <c r="AE156" s="81"/>
      <c r="AF156" s="81"/>
      <c r="AG156" s="25">
        <f t="shared" si="160"/>
        <v>0.44</v>
      </c>
      <c r="AH156" s="60"/>
      <c r="AI156" s="60"/>
      <c r="AJ156" s="60"/>
      <c r="AK156" s="68"/>
      <c r="AL156" s="68"/>
      <c r="AM156" s="60" t="str">
        <f t="shared" si="161"/>
        <v/>
      </c>
      <c r="AN156" s="14"/>
      <c r="AO156" s="60"/>
      <c r="AP156" s="15"/>
      <c r="AQ156" s="60"/>
      <c r="AS156" s="25" t="e">
        <f t="shared" si="157"/>
        <v>#N/A</v>
      </c>
      <c r="AT156" s="14" t="e">
        <f t="shared" si="152"/>
        <v>#N/A</v>
      </c>
      <c r="AU156" s="14" t="e">
        <f t="shared" si="153"/>
        <v>#N/A</v>
      </c>
      <c r="AV156" s="65" t="e">
        <f t="shared" si="158"/>
        <v>#N/A</v>
      </c>
      <c r="AW156" s="65" t="e">
        <f>(1+AG156)*AV156</f>
        <v>#N/A</v>
      </c>
    </row>
    <row r="157" spans="20:49" x14ac:dyDescent="0.15">
      <c r="T157" s="28">
        <f t="shared" si="164"/>
        <v>6135</v>
      </c>
      <c r="U157" s="26">
        <f t="shared" si="165"/>
        <v>5021</v>
      </c>
      <c r="V157" s="28">
        <f t="shared" si="166"/>
        <v>20</v>
      </c>
      <c r="W157" s="14">
        <f t="shared" si="162"/>
        <v>152</v>
      </c>
      <c r="X157" s="39">
        <f t="shared" si="163"/>
        <v>669.4666666666667</v>
      </c>
      <c r="Y157" s="15">
        <v>1</v>
      </c>
      <c r="AM157" s="60" t="str">
        <f t="shared" si="161"/>
        <v/>
      </c>
      <c r="AT157" s="14">
        <f t="shared" si="152"/>
        <v>0</v>
      </c>
      <c r="AU157" s="14" t="e">
        <f t="shared" si="153"/>
        <v>#N/A</v>
      </c>
    </row>
    <row r="158" spans="20:49" x14ac:dyDescent="0.15">
      <c r="T158" s="28">
        <f t="shared" si="164"/>
        <v>6136</v>
      </c>
      <c r="U158" s="26">
        <f t="shared" si="165"/>
        <v>5523</v>
      </c>
      <c r="V158" s="28">
        <f t="shared" si="166"/>
        <v>20</v>
      </c>
      <c r="W158" s="14">
        <f t="shared" si="162"/>
        <v>168</v>
      </c>
      <c r="X158" s="39">
        <f t="shared" si="163"/>
        <v>736.4</v>
      </c>
      <c r="Y158" s="15">
        <v>1</v>
      </c>
      <c r="AE158" s="79">
        <f>AE149+1</f>
        <v>13</v>
      </c>
      <c r="AF158" s="79">
        <v>16</v>
      </c>
      <c r="AG158" s="63">
        <f>INDEX($BC$14:$BC$77,MATCH(AF158,$BA$14:$BA$77))</f>
        <v>0.51</v>
      </c>
      <c r="AH158" s="60">
        <v>1</v>
      </c>
      <c r="AI158" s="60">
        <v>10</v>
      </c>
      <c r="AJ158" s="60">
        <v>6106</v>
      </c>
      <c r="AK158" s="68">
        <f>INDEX(U:U,MATCH($AJ158,T:T,0))</f>
        <v>321</v>
      </c>
      <c r="AL158" s="68">
        <f>INDEX(V:V,MATCH($AJ158,T:T,0))</f>
        <v>20</v>
      </c>
      <c r="AM158" s="60">
        <f t="shared" si="161"/>
        <v>5</v>
      </c>
      <c r="AN158" s="14">
        <f>AO158*AP158</f>
        <v>10</v>
      </c>
      <c r="AO158" s="60">
        <v>10</v>
      </c>
      <c r="AP158" s="60">
        <v>1</v>
      </c>
      <c r="AQ158" s="60">
        <v>1</v>
      </c>
      <c r="AS158" s="15">
        <f>$AH$18</f>
        <v>200</v>
      </c>
      <c r="AT158" s="14">
        <f t="shared" si="152"/>
        <v>9375</v>
      </c>
      <c r="AU158" s="14">
        <f>((INDEX($V:$V,MATCH($AJ158,$T:$T,0))*INDEX($U:$U,MATCH($AJ158,$T:$T,0)))*$AP158/$AM158/$AQ158*5)</f>
        <v>6420</v>
      </c>
      <c r="AV158" s="65">
        <f>AT158/AU158*10/AL158</f>
        <v>0.73014018691588789</v>
      </c>
      <c r="AW158" s="65">
        <f>(1+AG158)*AV158</f>
        <v>1.1025116822429908</v>
      </c>
    </row>
    <row r="159" spans="20:49" x14ac:dyDescent="0.15">
      <c r="T159" s="28">
        <f t="shared" si="164"/>
        <v>6137</v>
      </c>
      <c r="U159" s="26">
        <f t="shared" si="165"/>
        <v>6075</v>
      </c>
      <c r="V159" s="28">
        <f t="shared" si="166"/>
        <v>20</v>
      </c>
      <c r="W159" s="14">
        <f t="shared" si="162"/>
        <v>184</v>
      </c>
      <c r="X159" s="39">
        <f t="shared" si="163"/>
        <v>810</v>
      </c>
      <c r="Y159" s="15">
        <v>1</v>
      </c>
      <c r="AE159" s="80"/>
      <c r="AF159" s="80"/>
      <c r="AG159" s="62">
        <f>AG158</f>
        <v>0.51</v>
      </c>
      <c r="AH159" s="60">
        <v>2</v>
      </c>
      <c r="AI159" s="60">
        <v>10</v>
      </c>
      <c r="AJ159" s="60">
        <v>6116</v>
      </c>
      <c r="AK159" s="68">
        <f t="shared" ref="AK159:AK162" si="167">INDEX(U:U,MATCH($AJ159,T:T,0))</f>
        <v>826</v>
      </c>
      <c r="AL159" s="68">
        <f t="shared" ref="AL159:AL162" si="168">INDEX(V:V,MATCH($AJ159,T:T,0))</f>
        <v>20</v>
      </c>
      <c r="AM159" s="60">
        <f t="shared" si="161"/>
        <v>5</v>
      </c>
      <c r="AN159" s="14">
        <f t="shared" ref="AN159:AN162" si="169">AO159*AP159</f>
        <v>5</v>
      </c>
      <c r="AO159" s="60">
        <v>5</v>
      </c>
      <c r="AP159" s="60">
        <v>1</v>
      </c>
      <c r="AQ159" s="60">
        <v>1</v>
      </c>
      <c r="AS159" s="25">
        <f t="shared" ref="AS159:AS165" si="170">AS158+AN158*INDEX(X:X,MATCH(AJ158,T:T,0))</f>
        <v>628</v>
      </c>
      <c r="AT159" s="14">
        <f t="shared" si="152"/>
        <v>29437.5</v>
      </c>
      <c r="AU159" s="14">
        <f t="shared" si="153"/>
        <v>16520</v>
      </c>
      <c r="AV159" s="65">
        <f t="shared" ref="AV159:AV165" si="171">AT159/AU159*10/AL159</f>
        <v>0.8909654963680389</v>
      </c>
      <c r="AW159" s="65">
        <f t="shared" ref="AW159:AW164" si="172">(1+AG159)*AV159</f>
        <v>1.3453578995157387</v>
      </c>
    </row>
    <row r="160" spans="20:49" x14ac:dyDescent="0.15">
      <c r="T160" s="28">
        <f t="shared" si="164"/>
        <v>6138</v>
      </c>
      <c r="U160" s="26">
        <f t="shared" si="165"/>
        <v>6682</v>
      </c>
      <c r="V160" s="28">
        <f t="shared" si="166"/>
        <v>20</v>
      </c>
      <c r="W160" s="14">
        <f t="shared" si="162"/>
        <v>202</v>
      </c>
      <c r="X160" s="39">
        <f t="shared" si="163"/>
        <v>890.93333333333339</v>
      </c>
      <c r="Y160" s="15">
        <v>1</v>
      </c>
      <c r="AE160" s="80"/>
      <c r="AF160" s="80"/>
      <c r="AG160" s="62">
        <f t="shared" ref="AG160:AG165" si="173">AG159</f>
        <v>0.51</v>
      </c>
      <c r="AH160" s="60">
        <v>3</v>
      </c>
      <c r="AI160" s="60">
        <v>10</v>
      </c>
      <c r="AJ160" s="60">
        <v>6045</v>
      </c>
      <c r="AK160" s="68">
        <f t="shared" si="167"/>
        <v>6418</v>
      </c>
      <c r="AL160" s="68">
        <f t="shared" si="168"/>
        <v>10</v>
      </c>
      <c r="AM160" s="60">
        <f t="shared" si="161"/>
        <v>10</v>
      </c>
      <c r="AN160" s="14">
        <f t="shared" si="169"/>
        <v>20</v>
      </c>
      <c r="AO160" s="60">
        <v>5</v>
      </c>
      <c r="AP160" s="60">
        <v>4</v>
      </c>
      <c r="AQ160" s="60">
        <v>1</v>
      </c>
      <c r="AS160" s="25">
        <f t="shared" si="170"/>
        <v>1178.6666666666665</v>
      </c>
      <c r="AT160" s="14">
        <f t="shared" si="152"/>
        <v>110500</v>
      </c>
      <c r="AU160" s="14">
        <f t="shared" si="153"/>
        <v>128360</v>
      </c>
      <c r="AV160" s="65">
        <f t="shared" si="171"/>
        <v>0.8608600810221253</v>
      </c>
      <c r="AW160" s="65">
        <f t="shared" si="172"/>
        <v>1.2998987223434093</v>
      </c>
    </row>
    <row r="161" spans="20:49" x14ac:dyDescent="0.15">
      <c r="T161" s="28">
        <f t="shared" si="164"/>
        <v>6139</v>
      </c>
      <c r="U161" s="26">
        <f t="shared" si="165"/>
        <v>7350</v>
      </c>
      <c r="V161" s="28">
        <f t="shared" si="166"/>
        <v>20</v>
      </c>
      <c r="W161" s="14">
        <f t="shared" si="162"/>
        <v>222</v>
      </c>
      <c r="X161" s="39">
        <f t="shared" si="163"/>
        <v>980</v>
      </c>
      <c r="Y161" s="15">
        <v>1</v>
      </c>
      <c r="AE161" s="80"/>
      <c r="AF161" s="80"/>
      <c r="AG161" s="62">
        <f t="shared" si="173"/>
        <v>0.51</v>
      </c>
      <c r="AH161" s="60">
        <v>4</v>
      </c>
      <c r="AI161" s="60">
        <v>10</v>
      </c>
      <c r="AJ161" s="60">
        <v>6141</v>
      </c>
      <c r="AK161" s="68">
        <f t="shared" si="167"/>
        <v>8893</v>
      </c>
      <c r="AL161" s="68">
        <f t="shared" si="168"/>
        <v>20</v>
      </c>
      <c r="AM161" s="60">
        <f t="shared" si="161"/>
        <v>10</v>
      </c>
      <c r="AN161" s="14">
        <f t="shared" si="169"/>
        <v>27</v>
      </c>
      <c r="AO161" s="60">
        <v>3</v>
      </c>
      <c r="AP161" s="60">
        <v>9</v>
      </c>
      <c r="AQ161" s="60">
        <v>1</v>
      </c>
      <c r="AS161" s="25">
        <f t="shared" si="170"/>
        <v>9736</v>
      </c>
      <c r="AT161" s="14">
        <f t="shared" si="152"/>
        <v>1369125</v>
      </c>
      <c r="AU161" s="14">
        <f t="shared" si="153"/>
        <v>800370</v>
      </c>
      <c r="AV161" s="65">
        <f t="shared" si="171"/>
        <v>0.85530754526031705</v>
      </c>
      <c r="AW161" s="65">
        <f t="shared" si="172"/>
        <v>1.2915143933430788</v>
      </c>
    </row>
    <row r="162" spans="20:49" x14ac:dyDescent="0.15">
      <c r="T162" s="28">
        <f t="shared" si="164"/>
        <v>6140</v>
      </c>
      <c r="U162" s="26">
        <f t="shared" si="165"/>
        <v>8085</v>
      </c>
      <c r="V162" s="28">
        <f t="shared" si="166"/>
        <v>20</v>
      </c>
      <c r="W162" s="14">
        <f t="shared" si="162"/>
        <v>244</v>
      </c>
      <c r="X162" s="39">
        <f t="shared" si="163"/>
        <v>1078</v>
      </c>
      <c r="Y162" s="15">
        <v>1</v>
      </c>
      <c r="AE162" s="80"/>
      <c r="AF162" s="80"/>
      <c r="AG162" s="62">
        <f t="shared" si="173"/>
        <v>0.51</v>
      </c>
      <c r="AH162" s="60">
        <v>5</v>
      </c>
      <c r="AI162" s="60">
        <v>10</v>
      </c>
      <c r="AJ162" s="60">
        <v>6082</v>
      </c>
      <c r="AK162" s="68">
        <f t="shared" si="167"/>
        <v>218087</v>
      </c>
      <c r="AL162" s="68">
        <f t="shared" si="168"/>
        <v>10</v>
      </c>
      <c r="AM162" s="60">
        <f t="shared" si="161"/>
        <v>5</v>
      </c>
      <c r="AN162" s="14">
        <f t="shared" si="169"/>
        <v>4</v>
      </c>
      <c r="AO162" s="60">
        <v>4</v>
      </c>
      <c r="AP162" s="60">
        <v>1</v>
      </c>
      <c r="AQ162" s="60">
        <v>1</v>
      </c>
      <c r="AS162" s="25">
        <f t="shared" si="170"/>
        <v>41750.800000000003</v>
      </c>
      <c r="AT162" s="14">
        <f t="shared" si="152"/>
        <v>1957068.75</v>
      </c>
      <c r="AU162" s="14">
        <f t="shared" si="153"/>
        <v>2180870</v>
      </c>
      <c r="AV162" s="65">
        <f t="shared" si="171"/>
        <v>0.89737983006781685</v>
      </c>
      <c r="AW162" s="65">
        <f t="shared" si="172"/>
        <v>1.3550435434024035</v>
      </c>
    </row>
    <row r="163" spans="20:49" x14ac:dyDescent="0.15">
      <c r="T163" s="28">
        <f t="shared" si="164"/>
        <v>6141</v>
      </c>
      <c r="U163" s="26">
        <f t="shared" si="165"/>
        <v>8893</v>
      </c>
      <c r="V163" s="28">
        <f t="shared" si="166"/>
        <v>20</v>
      </c>
      <c r="W163" s="14">
        <f t="shared" si="162"/>
        <v>268</v>
      </c>
      <c r="X163" s="39">
        <f t="shared" si="163"/>
        <v>1185.7333333333333</v>
      </c>
      <c r="Y163" s="15">
        <v>1</v>
      </c>
      <c r="AE163" s="80"/>
      <c r="AF163" s="80"/>
      <c r="AG163" s="62">
        <f t="shared" si="173"/>
        <v>0.51</v>
      </c>
      <c r="AH163" s="60"/>
      <c r="AI163" s="60"/>
      <c r="AJ163" s="60"/>
      <c r="AK163" s="68"/>
      <c r="AL163" s="68"/>
      <c r="AM163" s="60" t="str">
        <f t="shared" si="161"/>
        <v/>
      </c>
      <c r="AN163" s="14"/>
      <c r="AO163" s="60"/>
      <c r="AP163" s="15"/>
      <c r="AQ163" s="60"/>
      <c r="AS163" s="25">
        <f t="shared" si="170"/>
        <v>99907.333333333343</v>
      </c>
      <c r="AT163" s="14">
        <f t="shared" si="152"/>
        <v>0</v>
      </c>
      <c r="AU163" s="14" t="e">
        <f t="shared" si="153"/>
        <v>#N/A</v>
      </c>
      <c r="AV163" s="65" t="e">
        <f t="shared" si="171"/>
        <v>#N/A</v>
      </c>
      <c r="AW163" s="65" t="e">
        <f t="shared" si="172"/>
        <v>#N/A</v>
      </c>
    </row>
    <row r="164" spans="20:49" x14ac:dyDescent="0.15">
      <c r="T164" s="28">
        <f t="shared" si="164"/>
        <v>6142</v>
      </c>
      <c r="U164" s="26">
        <f t="shared" si="165"/>
        <v>9782</v>
      </c>
      <c r="V164" s="28">
        <f t="shared" si="166"/>
        <v>20</v>
      </c>
      <c r="W164" s="14">
        <f t="shared" si="162"/>
        <v>294</v>
      </c>
      <c r="X164" s="39">
        <f t="shared" si="163"/>
        <v>1304.2666666666667</v>
      </c>
      <c r="Y164" s="15">
        <v>1</v>
      </c>
      <c r="AE164" s="80"/>
      <c r="AF164" s="80"/>
      <c r="AG164" s="62">
        <f t="shared" si="173"/>
        <v>0.51</v>
      </c>
      <c r="AH164" s="60"/>
      <c r="AI164" s="60"/>
      <c r="AJ164" s="60"/>
      <c r="AK164" s="68"/>
      <c r="AL164" s="68"/>
      <c r="AM164" s="60" t="str">
        <f t="shared" si="161"/>
        <v/>
      </c>
      <c r="AN164" s="14"/>
      <c r="AO164" s="60"/>
      <c r="AP164" s="15"/>
      <c r="AQ164" s="60"/>
      <c r="AS164" s="25" t="e">
        <f t="shared" si="170"/>
        <v>#N/A</v>
      </c>
      <c r="AT164" s="14" t="e">
        <f t="shared" si="152"/>
        <v>#N/A</v>
      </c>
      <c r="AU164" s="14" t="e">
        <f t="shared" si="153"/>
        <v>#N/A</v>
      </c>
      <c r="AV164" s="65" t="e">
        <f t="shared" si="171"/>
        <v>#N/A</v>
      </c>
      <c r="AW164" s="65" t="e">
        <f t="shared" si="172"/>
        <v>#N/A</v>
      </c>
    </row>
    <row r="165" spans="20:49" x14ac:dyDescent="0.15">
      <c r="T165" s="28">
        <f t="shared" si="164"/>
        <v>6143</v>
      </c>
      <c r="U165" s="26">
        <f t="shared" si="165"/>
        <v>10760</v>
      </c>
      <c r="V165" s="28">
        <f t="shared" si="166"/>
        <v>20</v>
      </c>
      <c r="W165" s="14">
        <f t="shared" si="162"/>
        <v>322</v>
      </c>
      <c r="X165" s="39">
        <f t="shared" si="163"/>
        <v>1434.6666666666665</v>
      </c>
      <c r="Y165" s="15">
        <v>1</v>
      </c>
      <c r="AE165" s="81"/>
      <c r="AF165" s="81"/>
      <c r="AG165" s="25">
        <f t="shared" si="173"/>
        <v>0.51</v>
      </c>
      <c r="AH165" s="60"/>
      <c r="AI165" s="60"/>
      <c r="AJ165" s="60"/>
      <c r="AK165" s="68"/>
      <c r="AL165" s="68"/>
      <c r="AM165" s="60" t="str">
        <f t="shared" si="161"/>
        <v/>
      </c>
      <c r="AN165" s="14"/>
      <c r="AO165" s="60"/>
      <c r="AP165" s="15"/>
      <c r="AQ165" s="60"/>
      <c r="AS165" s="25" t="e">
        <f t="shared" si="170"/>
        <v>#N/A</v>
      </c>
      <c r="AT165" s="14" t="e">
        <f t="shared" si="152"/>
        <v>#N/A</v>
      </c>
      <c r="AU165" s="14" t="e">
        <f t="shared" si="153"/>
        <v>#N/A</v>
      </c>
      <c r="AV165" s="65" t="e">
        <f t="shared" si="171"/>
        <v>#N/A</v>
      </c>
      <c r="AW165" s="65" t="e">
        <f>(1+AG165)*AV165</f>
        <v>#N/A</v>
      </c>
    </row>
    <row r="166" spans="20:49" x14ac:dyDescent="0.15">
      <c r="T166" s="28">
        <f t="shared" si="164"/>
        <v>6144</v>
      </c>
      <c r="U166" s="26">
        <f t="shared" si="165"/>
        <v>11836</v>
      </c>
      <c r="V166" s="28">
        <f t="shared" si="166"/>
        <v>20</v>
      </c>
      <c r="W166" s="14">
        <f t="shared" si="162"/>
        <v>354</v>
      </c>
      <c r="X166" s="39">
        <f t="shared" si="163"/>
        <v>1578.1333333333334</v>
      </c>
      <c r="Y166" s="15">
        <v>1</v>
      </c>
      <c r="AM166" s="60" t="str">
        <f t="shared" si="161"/>
        <v/>
      </c>
      <c r="AT166" s="14">
        <f t="shared" si="152"/>
        <v>0</v>
      </c>
      <c r="AU166" s="14" t="e">
        <f t="shared" si="153"/>
        <v>#N/A</v>
      </c>
    </row>
    <row r="167" spans="20:49" x14ac:dyDescent="0.15">
      <c r="T167" s="28">
        <f t="shared" si="164"/>
        <v>6145</v>
      </c>
      <c r="U167" s="26">
        <f t="shared" si="165"/>
        <v>13019</v>
      </c>
      <c r="V167" s="28">
        <f t="shared" si="166"/>
        <v>20</v>
      </c>
      <c r="W167" s="14">
        <f t="shared" si="162"/>
        <v>390</v>
      </c>
      <c r="X167" s="39">
        <f t="shared" si="163"/>
        <v>1735.8666666666668</v>
      </c>
      <c r="Y167" s="15">
        <v>1</v>
      </c>
      <c r="AE167" s="79">
        <f>AE158+1</f>
        <v>14</v>
      </c>
      <c r="AF167" s="79">
        <v>18</v>
      </c>
      <c r="AG167" s="63">
        <f>INDEX($BC$14:$BC$77,MATCH(AF167,$BA$14:$BA$77))</f>
        <v>0.57999999999999996</v>
      </c>
      <c r="AH167" s="60">
        <v>1</v>
      </c>
      <c r="AI167" s="60">
        <v>10</v>
      </c>
      <c r="AJ167" s="60">
        <v>6009</v>
      </c>
      <c r="AK167" s="68">
        <f>INDEX(U:U,MATCH($AJ167,T:T,0))</f>
        <v>212</v>
      </c>
      <c r="AL167" s="68">
        <f>INDEX(V:V,MATCH($AJ167,T:T,0))</f>
        <v>10</v>
      </c>
      <c r="AM167" s="60">
        <f t="shared" ref="AM167:AM170" si="174">IF(AP167="","",IF(AP167=1,5,10))</f>
        <v>10</v>
      </c>
      <c r="AN167" s="14">
        <f>AO167*AP167</f>
        <v>20</v>
      </c>
      <c r="AO167" s="60">
        <v>5</v>
      </c>
      <c r="AP167" s="60">
        <v>4</v>
      </c>
      <c r="AQ167" s="60">
        <v>1</v>
      </c>
      <c r="AS167" s="15">
        <f>$AH$18</f>
        <v>200</v>
      </c>
      <c r="AT167" s="14">
        <f>ROUND(($AS167*$AH$17*50/4/4),2)*AP167^0.5</f>
        <v>18750</v>
      </c>
      <c r="AU167" s="14">
        <f>((INDEX($V:$V,MATCH($AJ167,$T:$T,0))*INDEX($U:$U,MATCH($AJ167,$T:$T,0)))*$AP167/$AM167/$AQ167*5)</f>
        <v>4240</v>
      </c>
      <c r="AV167" s="65">
        <f>AT167/AU167*10/AL167</f>
        <v>4.4221698113207548</v>
      </c>
      <c r="AW167" s="65">
        <f>(1+AG167)*AV167</f>
        <v>6.9870283018867934</v>
      </c>
    </row>
    <row r="168" spans="20:49" x14ac:dyDescent="0.15">
      <c r="T168" s="28">
        <f t="shared" si="164"/>
        <v>6146</v>
      </c>
      <c r="U168" s="26">
        <f t="shared" si="165"/>
        <v>14320</v>
      </c>
      <c r="V168" s="28">
        <f t="shared" si="166"/>
        <v>20</v>
      </c>
      <c r="W168" s="14">
        <f t="shared" si="162"/>
        <v>428</v>
      </c>
      <c r="X168" s="39">
        <f t="shared" si="163"/>
        <v>1909.3333333333333</v>
      </c>
      <c r="Y168" s="15">
        <v>1</v>
      </c>
      <c r="AE168" s="80"/>
      <c r="AF168" s="80"/>
      <c r="AG168" s="62">
        <f>AG167</f>
        <v>0.57999999999999996</v>
      </c>
      <c r="AH168" s="60">
        <v>2</v>
      </c>
      <c r="AI168" s="60">
        <v>10</v>
      </c>
      <c r="AJ168" s="60">
        <v>6035</v>
      </c>
      <c r="AK168" s="68">
        <f t="shared" ref="AK168:AK171" si="175">INDEX(U:U,MATCH($AJ168,T:T,0))</f>
        <v>2478</v>
      </c>
      <c r="AL168" s="68">
        <f t="shared" ref="AL168:AL171" si="176">INDEX(V:V,MATCH($AJ168,T:T,0))</f>
        <v>10</v>
      </c>
      <c r="AM168" s="60">
        <f t="shared" si="174"/>
        <v>5</v>
      </c>
      <c r="AN168" s="14">
        <f t="shared" ref="AN168:AN171" si="177">AO168*AP168</f>
        <v>5</v>
      </c>
      <c r="AO168" s="60">
        <v>5</v>
      </c>
      <c r="AP168" s="60">
        <v>1</v>
      </c>
      <c r="AQ168" s="60">
        <v>1</v>
      </c>
      <c r="AS168" s="25">
        <f t="shared" ref="AS168:AS174" si="178">AS167+AN167*INDEX(X:X,MATCH(AJ167,T:T,0))</f>
        <v>482.66666666666669</v>
      </c>
      <c r="AT168" s="14">
        <f t="shared" si="152"/>
        <v>22625</v>
      </c>
      <c r="AU168" s="14">
        <f t="shared" si="153"/>
        <v>24780</v>
      </c>
      <c r="AV168" s="65">
        <f t="shared" ref="AV168:AV174" si="179">AT168/AU168*10/AL168</f>
        <v>0.9130347054075868</v>
      </c>
      <c r="AW168" s="65">
        <f t="shared" ref="AW168:AW173" si="180">(1+AG168)*AV168</f>
        <v>1.4425948345439872</v>
      </c>
    </row>
    <row r="169" spans="20:49" x14ac:dyDescent="0.15">
      <c r="T169" s="28">
        <f t="shared" si="164"/>
        <v>6147</v>
      </c>
      <c r="U169" s="26">
        <f t="shared" si="165"/>
        <v>15752</v>
      </c>
      <c r="V169" s="28">
        <f t="shared" si="166"/>
        <v>20</v>
      </c>
      <c r="W169" s="14">
        <f t="shared" si="162"/>
        <v>468</v>
      </c>
      <c r="X169" s="39">
        <f t="shared" si="163"/>
        <v>2100.2666666666669</v>
      </c>
      <c r="Y169" s="15">
        <v>1</v>
      </c>
      <c r="AE169" s="80"/>
      <c r="AF169" s="80"/>
      <c r="AG169" s="62">
        <f t="shared" ref="AG169:AG174" si="181">AG168</f>
        <v>0.57999999999999996</v>
      </c>
      <c r="AH169" s="60">
        <v>3</v>
      </c>
      <c r="AI169" s="60">
        <v>10</v>
      </c>
      <c r="AJ169" s="60">
        <v>6128</v>
      </c>
      <c r="AK169" s="68">
        <f t="shared" si="175"/>
        <v>2579</v>
      </c>
      <c r="AL169" s="68">
        <f t="shared" si="176"/>
        <v>20</v>
      </c>
      <c r="AM169" s="60">
        <f t="shared" si="174"/>
        <v>10</v>
      </c>
      <c r="AN169" s="14">
        <f t="shared" si="177"/>
        <v>20</v>
      </c>
      <c r="AO169" s="60">
        <v>5</v>
      </c>
      <c r="AP169" s="60">
        <v>4</v>
      </c>
      <c r="AQ169" s="60">
        <v>1</v>
      </c>
      <c r="AS169" s="25">
        <f t="shared" si="178"/>
        <v>1308.6666666666667</v>
      </c>
      <c r="AT169" s="14">
        <f t="shared" si="152"/>
        <v>122687.5</v>
      </c>
      <c r="AU169" s="14">
        <f t="shared" si="153"/>
        <v>103160</v>
      </c>
      <c r="AV169" s="65">
        <f t="shared" si="179"/>
        <v>0.59464666537417599</v>
      </c>
      <c r="AW169" s="65">
        <f t="shared" si="180"/>
        <v>0.93954173129119811</v>
      </c>
    </row>
    <row r="170" spans="20:49" x14ac:dyDescent="0.15">
      <c r="T170" s="28">
        <f t="shared" si="164"/>
        <v>6148</v>
      </c>
      <c r="U170" s="26">
        <f t="shared" si="165"/>
        <v>17327</v>
      </c>
      <c r="V170" s="28">
        <f t="shared" si="166"/>
        <v>20</v>
      </c>
      <c r="W170" s="14">
        <f t="shared" si="162"/>
        <v>514</v>
      </c>
      <c r="X170" s="39">
        <f t="shared" si="163"/>
        <v>2310.2666666666669</v>
      </c>
      <c r="Y170" s="15">
        <v>1</v>
      </c>
      <c r="AE170" s="80"/>
      <c r="AF170" s="80"/>
      <c r="AG170" s="62">
        <f t="shared" si="181"/>
        <v>0.57999999999999996</v>
      </c>
      <c r="AH170" s="60">
        <v>4</v>
      </c>
      <c r="AI170" s="60">
        <v>10</v>
      </c>
      <c r="AJ170" s="60">
        <v>6143</v>
      </c>
      <c r="AK170" s="68">
        <f t="shared" si="175"/>
        <v>10760</v>
      </c>
      <c r="AL170" s="68">
        <f t="shared" si="176"/>
        <v>20</v>
      </c>
      <c r="AM170" s="60">
        <f t="shared" si="174"/>
        <v>10</v>
      </c>
      <c r="AN170" s="14">
        <f t="shared" si="177"/>
        <v>20</v>
      </c>
      <c r="AO170" s="60">
        <v>5</v>
      </c>
      <c r="AP170" s="60">
        <v>4</v>
      </c>
      <c r="AQ170" s="60">
        <v>1</v>
      </c>
      <c r="AS170" s="25">
        <f t="shared" si="178"/>
        <v>8186.0000000000009</v>
      </c>
      <c r="AT170" s="14">
        <f t="shared" si="152"/>
        <v>767437.5</v>
      </c>
      <c r="AU170" s="14">
        <f t="shared" si="153"/>
        <v>430400</v>
      </c>
      <c r="AV170" s="65">
        <f t="shared" si="179"/>
        <v>0.8915398466542751</v>
      </c>
      <c r="AW170" s="65">
        <f t="shared" si="180"/>
        <v>1.4086329577137546</v>
      </c>
    </row>
    <row r="171" spans="20:49" x14ac:dyDescent="0.15">
      <c r="T171" s="28">
        <f t="shared" si="164"/>
        <v>6149</v>
      </c>
      <c r="U171" s="26">
        <f t="shared" si="165"/>
        <v>19059</v>
      </c>
      <c r="V171" s="28">
        <f t="shared" si="166"/>
        <v>20</v>
      </c>
      <c r="W171" s="14">
        <f t="shared" si="162"/>
        <v>566</v>
      </c>
      <c r="X171" s="39">
        <f t="shared" si="163"/>
        <v>2541.1999999999998</v>
      </c>
      <c r="Y171" s="15">
        <v>1</v>
      </c>
      <c r="AE171" s="80"/>
      <c r="AF171" s="80"/>
      <c r="AG171" s="62">
        <f t="shared" si="181"/>
        <v>0.57999999999999996</v>
      </c>
      <c r="AH171" s="60">
        <v>5</v>
      </c>
      <c r="AI171" s="60">
        <v>10</v>
      </c>
      <c r="AJ171" s="60">
        <v>6164</v>
      </c>
      <c r="AK171" s="68">
        <f t="shared" si="175"/>
        <v>79601</v>
      </c>
      <c r="AL171" s="68">
        <f t="shared" si="176"/>
        <v>20</v>
      </c>
      <c r="AM171" s="60">
        <v>10</v>
      </c>
      <c r="AN171" s="14">
        <f t="shared" si="177"/>
        <v>5</v>
      </c>
      <c r="AO171" s="60">
        <v>5</v>
      </c>
      <c r="AP171" s="60">
        <v>1</v>
      </c>
      <c r="AQ171" s="60">
        <v>1</v>
      </c>
      <c r="AS171" s="25">
        <f t="shared" si="178"/>
        <v>36879.333333333328</v>
      </c>
      <c r="AT171" s="14">
        <f t="shared" si="152"/>
        <v>1728718.75</v>
      </c>
      <c r="AU171" s="14">
        <f t="shared" si="153"/>
        <v>796010</v>
      </c>
      <c r="AV171" s="65">
        <f t="shared" si="179"/>
        <v>1.0858649702893179</v>
      </c>
      <c r="AW171" s="65">
        <f t="shared" si="180"/>
        <v>1.7156666530571225</v>
      </c>
    </row>
    <row r="172" spans="20:49" x14ac:dyDescent="0.15">
      <c r="T172" s="28">
        <f t="shared" si="164"/>
        <v>6150</v>
      </c>
      <c r="U172" s="26">
        <f t="shared" si="165"/>
        <v>20964</v>
      </c>
      <c r="V172" s="28">
        <f t="shared" si="166"/>
        <v>20</v>
      </c>
      <c r="W172" s="14">
        <f t="shared" si="162"/>
        <v>620</v>
      </c>
      <c r="X172" s="39">
        <f t="shared" si="163"/>
        <v>2795.2</v>
      </c>
      <c r="Y172" s="15">
        <v>1</v>
      </c>
      <c r="AE172" s="80"/>
      <c r="AF172" s="80"/>
      <c r="AG172" s="62">
        <f t="shared" si="181"/>
        <v>0.57999999999999996</v>
      </c>
      <c r="AH172" s="60"/>
      <c r="AI172" s="60"/>
      <c r="AJ172" s="60"/>
      <c r="AK172" s="68"/>
      <c r="AL172" s="68"/>
      <c r="AM172" s="60" t="str">
        <f t="shared" si="161"/>
        <v/>
      </c>
      <c r="AN172" s="14"/>
      <c r="AO172" s="60"/>
      <c r="AP172" s="15"/>
      <c r="AQ172" s="60"/>
      <c r="AS172" s="25">
        <f t="shared" si="178"/>
        <v>89946.666666666657</v>
      </c>
      <c r="AT172" s="14">
        <f t="shared" si="152"/>
        <v>0</v>
      </c>
      <c r="AU172" s="14" t="e">
        <f t="shared" si="153"/>
        <v>#N/A</v>
      </c>
      <c r="AV172" s="65" t="e">
        <f t="shared" si="179"/>
        <v>#N/A</v>
      </c>
      <c r="AW172" s="65" t="e">
        <f t="shared" si="180"/>
        <v>#N/A</v>
      </c>
    </row>
    <row r="173" spans="20:49" x14ac:dyDescent="0.15">
      <c r="T173" s="28">
        <f t="shared" si="164"/>
        <v>6151</v>
      </c>
      <c r="U173" s="26">
        <f t="shared" si="165"/>
        <v>23060</v>
      </c>
      <c r="V173" s="28">
        <f t="shared" si="166"/>
        <v>20</v>
      </c>
      <c r="W173" s="14">
        <f t="shared" si="162"/>
        <v>682</v>
      </c>
      <c r="X173" s="39">
        <f t="shared" si="163"/>
        <v>3074.666666666667</v>
      </c>
      <c r="Y173" s="15">
        <v>1</v>
      </c>
      <c r="AE173" s="80"/>
      <c r="AF173" s="80"/>
      <c r="AG173" s="62">
        <f t="shared" si="181"/>
        <v>0.57999999999999996</v>
      </c>
      <c r="AH173" s="60"/>
      <c r="AI173" s="60"/>
      <c r="AJ173" s="60"/>
      <c r="AK173" s="68"/>
      <c r="AL173" s="68"/>
      <c r="AM173" s="60" t="str">
        <f t="shared" si="161"/>
        <v/>
      </c>
      <c r="AN173" s="14"/>
      <c r="AO173" s="60"/>
      <c r="AP173" s="15"/>
      <c r="AQ173" s="60"/>
      <c r="AS173" s="25" t="e">
        <f t="shared" si="178"/>
        <v>#N/A</v>
      </c>
      <c r="AT173" s="14" t="e">
        <f t="shared" si="152"/>
        <v>#N/A</v>
      </c>
      <c r="AU173" s="14" t="e">
        <f t="shared" si="153"/>
        <v>#N/A</v>
      </c>
      <c r="AV173" s="65" t="e">
        <f t="shared" si="179"/>
        <v>#N/A</v>
      </c>
      <c r="AW173" s="65" t="e">
        <f t="shared" si="180"/>
        <v>#N/A</v>
      </c>
    </row>
    <row r="174" spans="20:49" x14ac:dyDescent="0.15">
      <c r="T174" s="28">
        <f t="shared" si="164"/>
        <v>6152</v>
      </c>
      <c r="U174" s="26">
        <f t="shared" si="165"/>
        <v>25366</v>
      </c>
      <c r="V174" s="28">
        <f t="shared" si="166"/>
        <v>20</v>
      </c>
      <c r="W174" s="14">
        <f t="shared" si="162"/>
        <v>748</v>
      </c>
      <c r="X174" s="39">
        <f t="shared" si="163"/>
        <v>3382.1333333333337</v>
      </c>
      <c r="Y174" s="15">
        <v>1</v>
      </c>
      <c r="AE174" s="81"/>
      <c r="AF174" s="81"/>
      <c r="AG174" s="25">
        <f t="shared" si="181"/>
        <v>0.57999999999999996</v>
      </c>
      <c r="AH174" s="60"/>
      <c r="AI174" s="60"/>
      <c r="AJ174" s="60"/>
      <c r="AK174" s="68"/>
      <c r="AL174" s="68"/>
      <c r="AM174" s="60" t="str">
        <f t="shared" si="161"/>
        <v/>
      </c>
      <c r="AN174" s="14"/>
      <c r="AO174" s="60"/>
      <c r="AP174" s="15"/>
      <c r="AQ174" s="60"/>
      <c r="AS174" s="25" t="e">
        <f t="shared" si="178"/>
        <v>#N/A</v>
      </c>
      <c r="AT174" s="14" t="e">
        <f t="shared" si="152"/>
        <v>#N/A</v>
      </c>
      <c r="AU174" s="14" t="e">
        <f t="shared" si="153"/>
        <v>#N/A</v>
      </c>
      <c r="AV174" s="65" t="e">
        <f t="shared" si="179"/>
        <v>#N/A</v>
      </c>
      <c r="AW174" s="65" t="e">
        <f>(1+AG174)*AV174</f>
        <v>#N/A</v>
      </c>
    </row>
    <row r="175" spans="20:49" x14ac:dyDescent="0.15">
      <c r="T175" s="28">
        <f t="shared" si="164"/>
        <v>6153</v>
      </c>
      <c r="U175" s="26">
        <f t="shared" si="165"/>
        <v>27902</v>
      </c>
      <c r="V175" s="28">
        <f t="shared" si="166"/>
        <v>20</v>
      </c>
      <c r="W175" s="14">
        <f t="shared" si="162"/>
        <v>822</v>
      </c>
      <c r="X175" s="39">
        <f t="shared" si="163"/>
        <v>3720.2666666666664</v>
      </c>
      <c r="Y175" s="15">
        <v>1</v>
      </c>
      <c r="AM175" s="60" t="str">
        <f t="shared" si="161"/>
        <v/>
      </c>
      <c r="AT175" s="14">
        <f t="shared" si="152"/>
        <v>0</v>
      </c>
      <c r="AU175" s="14" t="e">
        <f t="shared" si="153"/>
        <v>#N/A</v>
      </c>
    </row>
    <row r="176" spans="20:49" x14ac:dyDescent="0.15">
      <c r="T176" s="28">
        <f t="shared" si="164"/>
        <v>6154</v>
      </c>
      <c r="U176" s="26">
        <f t="shared" si="165"/>
        <v>30692</v>
      </c>
      <c r="V176" s="28">
        <f t="shared" si="166"/>
        <v>20</v>
      </c>
      <c r="W176" s="14">
        <f t="shared" si="162"/>
        <v>902</v>
      </c>
      <c r="X176" s="39">
        <f t="shared" si="163"/>
        <v>4092.2666666666664</v>
      </c>
      <c r="Y176" s="15">
        <v>1</v>
      </c>
      <c r="AE176" s="79">
        <f>AE167+1</f>
        <v>15</v>
      </c>
      <c r="AF176" s="79">
        <v>19</v>
      </c>
      <c r="AG176" s="63">
        <f>INDEX($BC$14:$BC$77,MATCH(AF176,$BA$14:$BA$77))</f>
        <v>0.61</v>
      </c>
      <c r="AH176" s="60">
        <v>1</v>
      </c>
      <c r="AI176" s="60">
        <v>10</v>
      </c>
      <c r="AJ176" s="60">
        <v>6012</v>
      </c>
      <c r="AK176" s="68">
        <f>INDEX(U:U,MATCH($AJ176,T:T,0))</f>
        <v>281</v>
      </c>
      <c r="AL176" s="68">
        <f>INDEX(V:V,MATCH($AJ176,T:T,0))</f>
        <v>10</v>
      </c>
      <c r="AM176" s="60">
        <f t="shared" si="161"/>
        <v>5</v>
      </c>
      <c r="AN176" s="14">
        <f>AO176*AP176</f>
        <v>10</v>
      </c>
      <c r="AO176" s="60">
        <v>10</v>
      </c>
      <c r="AP176" s="60">
        <v>1</v>
      </c>
      <c r="AQ176" s="60">
        <v>1</v>
      </c>
      <c r="AS176" s="15">
        <f>$AH$18</f>
        <v>200</v>
      </c>
      <c r="AT176" s="14">
        <f t="shared" si="152"/>
        <v>9375</v>
      </c>
      <c r="AU176" s="14">
        <f t="shared" si="153"/>
        <v>2810</v>
      </c>
      <c r="AV176" s="65">
        <f>AT176/AU176*10/AL176</f>
        <v>3.3362989323843415</v>
      </c>
      <c r="AW176" s="65">
        <f>(1+AG176)*AV176</f>
        <v>5.3714412811387895</v>
      </c>
    </row>
    <row r="177" spans="20:49" x14ac:dyDescent="0.15">
      <c r="T177" s="28">
        <f t="shared" si="164"/>
        <v>6155</v>
      </c>
      <c r="U177" s="26">
        <f t="shared" si="165"/>
        <v>33761</v>
      </c>
      <c r="V177" s="28">
        <f t="shared" si="166"/>
        <v>20</v>
      </c>
      <c r="W177" s="14">
        <f t="shared" si="162"/>
        <v>990</v>
      </c>
      <c r="X177" s="39">
        <f t="shared" si="163"/>
        <v>4501.4666666666662</v>
      </c>
      <c r="Y177" s="15">
        <v>1</v>
      </c>
      <c r="AE177" s="80"/>
      <c r="AF177" s="80"/>
      <c r="AG177" s="62">
        <f>AG176</f>
        <v>0.61</v>
      </c>
      <c r="AH177" s="60">
        <v>2</v>
      </c>
      <c r="AI177" s="60">
        <v>10</v>
      </c>
      <c r="AJ177" s="60">
        <v>6030</v>
      </c>
      <c r="AK177" s="68">
        <f t="shared" ref="AK177:AK180" si="182">INDEX(U:U,MATCH($AJ177,T:T,0))</f>
        <v>1540</v>
      </c>
      <c r="AL177" s="68">
        <f t="shared" ref="AL177:AL180" si="183">INDEX(V:V,MATCH($AJ177,T:T,0))</f>
        <v>10</v>
      </c>
      <c r="AM177" s="60">
        <f t="shared" si="161"/>
        <v>10</v>
      </c>
      <c r="AN177" s="14">
        <f t="shared" ref="AN177:AN180" si="184">AO177*AP177</f>
        <v>20</v>
      </c>
      <c r="AO177" s="60">
        <v>5</v>
      </c>
      <c r="AP177" s="60">
        <v>4</v>
      </c>
      <c r="AQ177" s="60">
        <v>1</v>
      </c>
      <c r="AS177" s="25">
        <f t="shared" ref="AS177:AS183" si="185">AS176+AN176*INDEX(X:X,MATCH(AJ176,T:T,0))</f>
        <v>387.33333333333337</v>
      </c>
      <c r="AT177" s="14">
        <f t="shared" si="152"/>
        <v>36312.5</v>
      </c>
      <c r="AU177" s="14">
        <f t="shared" si="153"/>
        <v>30800</v>
      </c>
      <c r="AV177" s="65">
        <f t="shared" ref="AV177:AV183" si="186">AT177/AU177*10/AL177</f>
        <v>1.1789772727272727</v>
      </c>
      <c r="AW177" s="65">
        <f t="shared" ref="AW177:AW182" si="187">(1+AG177)*AV177</f>
        <v>1.8981534090909089</v>
      </c>
    </row>
    <row r="178" spans="20:49" x14ac:dyDescent="0.15">
      <c r="T178" s="28">
        <f t="shared" si="164"/>
        <v>6156</v>
      </c>
      <c r="U178" s="26">
        <f t="shared" si="165"/>
        <v>37137</v>
      </c>
      <c r="V178" s="28">
        <f t="shared" si="166"/>
        <v>20</v>
      </c>
      <c r="W178" s="14">
        <f t="shared" si="162"/>
        <v>1088</v>
      </c>
      <c r="X178" s="39">
        <f t="shared" si="163"/>
        <v>4951.6000000000004</v>
      </c>
      <c r="Y178" s="15">
        <v>1</v>
      </c>
      <c r="AE178" s="80"/>
      <c r="AF178" s="80"/>
      <c r="AG178" s="62">
        <f t="shared" ref="AG178:AG183" si="188">AG177</f>
        <v>0.61</v>
      </c>
      <c r="AH178" s="60">
        <v>3</v>
      </c>
      <c r="AI178" s="60">
        <v>10</v>
      </c>
      <c r="AJ178" s="60">
        <v>6132</v>
      </c>
      <c r="AK178" s="68">
        <f t="shared" si="182"/>
        <v>3773</v>
      </c>
      <c r="AL178" s="68">
        <f t="shared" si="183"/>
        <v>20</v>
      </c>
      <c r="AM178" s="60">
        <f t="shared" si="161"/>
        <v>5</v>
      </c>
      <c r="AN178" s="14">
        <f t="shared" si="184"/>
        <v>5</v>
      </c>
      <c r="AO178" s="60">
        <v>5</v>
      </c>
      <c r="AP178" s="60">
        <v>1</v>
      </c>
      <c r="AQ178" s="60">
        <v>1</v>
      </c>
      <c r="AS178" s="25">
        <f t="shared" si="185"/>
        <v>2440.666666666667</v>
      </c>
      <c r="AT178" s="14">
        <f t="shared" si="152"/>
        <v>114406.25</v>
      </c>
      <c r="AU178" s="14">
        <f t="shared" si="153"/>
        <v>75460</v>
      </c>
      <c r="AV178" s="65">
        <f t="shared" si="186"/>
        <v>0.75805890538033394</v>
      </c>
      <c r="AW178" s="65">
        <f t="shared" si="187"/>
        <v>1.2204748376623376</v>
      </c>
    </row>
    <row r="179" spans="20:49" x14ac:dyDescent="0.15">
      <c r="T179" s="28">
        <f t="shared" si="164"/>
        <v>6157</v>
      </c>
      <c r="U179" s="26">
        <f t="shared" si="165"/>
        <v>40850</v>
      </c>
      <c r="V179" s="28">
        <f t="shared" si="166"/>
        <v>20</v>
      </c>
      <c r="W179" s="14">
        <f t="shared" si="162"/>
        <v>1194</v>
      </c>
      <c r="X179" s="39">
        <f t="shared" si="163"/>
        <v>5446.6666666666661</v>
      </c>
      <c r="Y179" s="15">
        <v>1</v>
      </c>
      <c r="AE179" s="80"/>
      <c r="AF179" s="80"/>
      <c r="AG179" s="62">
        <f t="shared" si="188"/>
        <v>0.61</v>
      </c>
      <c r="AH179" s="60">
        <v>4</v>
      </c>
      <c r="AI179" s="60">
        <v>10</v>
      </c>
      <c r="AJ179" s="60">
        <v>6056</v>
      </c>
      <c r="AK179" s="68">
        <f t="shared" si="182"/>
        <v>18302</v>
      </c>
      <c r="AL179" s="68">
        <f t="shared" si="183"/>
        <v>10</v>
      </c>
      <c r="AM179" s="60">
        <f t="shared" si="161"/>
        <v>10</v>
      </c>
      <c r="AN179" s="14">
        <f t="shared" si="184"/>
        <v>20</v>
      </c>
      <c r="AO179" s="60">
        <v>5</v>
      </c>
      <c r="AP179" s="60">
        <v>4</v>
      </c>
      <c r="AQ179" s="60">
        <v>1</v>
      </c>
      <c r="AS179" s="25">
        <f t="shared" si="185"/>
        <v>4956</v>
      </c>
      <c r="AT179" s="14">
        <f t="shared" si="152"/>
        <v>464625</v>
      </c>
      <c r="AU179" s="14">
        <f t="shared" si="153"/>
        <v>366040</v>
      </c>
      <c r="AV179" s="65">
        <f t="shared" si="186"/>
        <v>1.2693284886897607</v>
      </c>
      <c r="AW179" s="65">
        <f t="shared" si="187"/>
        <v>2.0436188667905144</v>
      </c>
    </row>
    <row r="180" spans="20:49" x14ac:dyDescent="0.15">
      <c r="T180" s="28">
        <f t="shared" si="164"/>
        <v>6158</v>
      </c>
      <c r="U180" s="26">
        <f t="shared" si="165"/>
        <v>44935</v>
      </c>
      <c r="V180" s="28">
        <f t="shared" si="166"/>
        <v>20</v>
      </c>
      <c r="W180" s="14">
        <f t="shared" si="162"/>
        <v>1310</v>
      </c>
      <c r="X180" s="39">
        <f t="shared" si="163"/>
        <v>5991.3333333333339</v>
      </c>
      <c r="Y180" s="15">
        <v>1</v>
      </c>
      <c r="AE180" s="80"/>
      <c r="AF180" s="80"/>
      <c r="AG180" s="62">
        <f t="shared" si="188"/>
        <v>0.61</v>
      </c>
      <c r="AH180" s="60">
        <v>5</v>
      </c>
      <c r="AI180" s="60">
        <v>10</v>
      </c>
      <c r="AJ180" s="60">
        <v>6153</v>
      </c>
      <c r="AK180" s="68">
        <f t="shared" si="182"/>
        <v>27902</v>
      </c>
      <c r="AL180" s="68">
        <f t="shared" si="183"/>
        <v>20</v>
      </c>
      <c r="AM180" s="60">
        <f t="shared" si="161"/>
        <v>5</v>
      </c>
      <c r="AN180" s="14">
        <f t="shared" si="184"/>
        <v>5</v>
      </c>
      <c r="AO180" s="60">
        <v>5</v>
      </c>
      <c r="AP180" s="60">
        <v>1</v>
      </c>
      <c r="AQ180" s="60">
        <v>1</v>
      </c>
      <c r="AS180" s="25">
        <f t="shared" si="185"/>
        <v>29358.666666666668</v>
      </c>
      <c r="AT180" s="14">
        <f t="shared" si="152"/>
        <v>1376187.5</v>
      </c>
      <c r="AU180" s="14">
        <f t="shared" si="153"/>
        <v>558040</v>
      </c>
      <c r="AV180" s="65">
        <f t="shared" si="186"/>
        <v>1.2330545301412086</v>
      </c>
      <c r="AW180" s="65">
        <f t="shared" si="187"/>
        <v>1.9852177935273456</v>
      </c>
    </row>
    <row r="181" spans="20:49" x14ac:dyDescent="0.15">
      <c r="T181" s="28">
        <f t="shared" si="164"/>
        <v>6159</v>
      </c>
      <c r="U181" s="26">
        <f t="shared" si="165"/>
        <v>49428</v>
      </c>
      <c r="V181" s="28">
        <f t="shared" si="166"/>
        <v>20</v>
      </c>
      <c r="W181" s="14">
        <f t="shared" si="162"/>
        <v>1440</v>
      </c>
      <c r="X181" s="39">
        <f t="shared" si="163"/>
        <v>6590.4</v>
      </c>
      <c r="Y181" s="15">
        <v>1</v>
      </c>
      <c r="AE181" s="80"/>
      <c r="AF181" s="80"/>
      <c r="AG181" s="62">
        <f t="shared" si="188"/>
        <v>0.61</v>
      </c>
      <c r="AH181" s="60"/>
      <c r="AI181" s="60"/>
      <c r="AJ181" s="60"/>
      <c r="AK181" s="68"/>
      <c r="AL181" s="68"/>
      <c r="AM181" s="60" t="str">
        <f t="shared" si="161"/>
        <v/>
      </c>
      <c r="AN181" s="14"/>
      <c r="AO181" s="60"/>
      <c r="AP181" s="15"/>
      <c r="AQ181" s="60"/>
      <c r="AS181" s="25">
        <f t="shared" si="185"/>
        <v>47960</v>
      </c>
      <c r="AT181" s="14">
        <f t="shared" si="152"/>
        <v>0</v>
      </c>
      <c r="AU181" s="14" t="e">
        <f t="shared" si="153"/>
        <v>#N/A</v>
      </c>
      <c r="AV181" s="65" t="e">
        <f t="shared" si="186"/>
        <v>#N/A</v>
      </c>
      <c r="AW181" s="65" t="e">
        <f t="shared" si="187"/>
        <v>#N/A</v>
      </c>
    </row>
    <row r="182" spans="20:49" x14ac:dyDescent="0.15">
      <c r="T182" s="28">
        <f t="shared" si="164"/>
        <v>6160</v>
      </c>
      <c r="U182" s="26">
        <f t="shared" si="165"/>
        <v>54370</v>
      </c>
      <c r="V182" s="28">
        <f t="shared" si="166"/>
        <v>20</v>
      </c>
      <c r="W182" s="14">
        <f t="shared" si="162"/>
        <v>1580</v>
      </c>
      <c r="X182" s="39">
        <f t="shared" si="163"/>
        <v>7249.333333333333</v>
      </c>
      <c r="Y182" s="15">
        <v>1</v>
      </c>
      <c r="AE182" s="80"/>
      <c r="AF182" s="80"/>
      <c r="AG182" s="62">
        <f t="shared" si="188"/>
        <v>0.61</v>
      </c>
      <c r="AH182" s="60"/>
      <c r="AI182" s="60"/>
      <c r="AJ182" s="60"/>
      <c r="AK182" s="68"/>
      <c r="AL182" s="68"/>
      <c r="AM182" s="60" t="str">
        <f t="shared" si="161"/>
        <v/>
      </c>
      <c r="AN182" s="14"/>
      <c r="AO182" s="60"/>
      <c r="AP182" s="15"/>
      <c r="AQ182" s="60"/>
      <c r="AS182" s="25" t="e">
        <f t="shared" si="185"/>
        <v>#N/A</v>
      </c>
      <c r="AT182" s="14" t="e">
        <f t="shared" si="152"/>
        <v>#N/A</v>
      </c>
      <c r="AU182" s="14" t="e">
        <f t="shared" si="153"/>
        <v>#N/A</v>
      </c>
      <c r="AV182" s="65" t="e">
        <f t="shared" si="186"/>
        <v>#N/A</v>
      </c>
      <c r="AW182" s="65" t="e">
        <f t="shared" si="187"/>
        <v>#N/A</v>
      </c>
    </row>
    <row r="183" spans="20:49" x14ac:dyDescent="0.15">
      <c r="T183" s="28">
        <f t="shared" si="164"/>
        <v>6161</v>
      </c>
      <c r="U183" s="26">
        <f t="shared" si="165"/>
        <v>59807</v>
      </c>
      <c r="V183" s="28">
        <f t="shared" si="166"/>
        <v>20</v>
      </c>
      <c r="W183" s="14">
        <f t="shared" si="162"/>
        <v>1736</v>
      </c>
      <c r="X183" s="39">
        <f t="shared" si="163"/>
        <v>7974.2666666666673</v>
      </c>
      <c r="Y183" s="15">
        <v>1</v>
      </c>
      <c r="AE183" s="81"/>
      <c r="AF183" s="81"/>
      <c r="AG183" s="25">
        <f t="shared" si="188"/>
        <v>0.61</v>
      </c>
      <c r="AH183" s="60"/>
      <c r="AI183" s="60"/>
      <c r="AJ183" s="60"/>
      <c r="AK183" s="68"/>
      <c r="AL183" s="68"/>
      <c r="AM183" s="60" t="str">
        <f t="shared" si="161"/>
        <v/>
      </c>
      <c r="AN183" s="14"/>
      <c r="AO183" s="60"/>
      <c r="AP183" s="15"/>
      <c r="AQ183" s="60"/>
      <c r="AS183" s="25" t="e">
        <f t="shared" si="185"/>
        <v>#N/A</v>
      </c>
      <c r="AT183" s="14" t="e">
        <f t="shared" si="152"/>
        <v>#N/A</v>
      </c>
      <c r="AU183" s="14" t="e">
        <f t="shared" si="153"/>
        <v>#N/A</v>
      </c>
      <c r="AV183" s="65" t="e">
        <f t="shared" si="186"/>
        <v>#N/A</v>
      </c>
      <c r="AW183" s="65" t="e">
        <f>(1+AG183)*AV183</f>
        <v>#N/A</v>
      </c>
    </row>
    <row r="184" spans="20:49" x14ac:dyDescent="0.15">
      <c r="T184" s="28">
        <f t="shared" si="164"/>
        <v>6162</v>
      </c>
      <c r="U184" s="26">
        <f t="shared" si="165"/>
        <v>65787</v>
      </c>
      <c r="V184" s="28">
        <f t="shared" si="166"/>
        <v>20</v>
      </c>
      <c r="W184" s="14">
        <f t="shared" si="162"/>
        <v>1906</v>
      </c>
      <c r="X184" s="39">
        <f t="shared" si="163"/>
        <v>8771.6</v>
      </c>
      <c r="Y184" s="15">
        <v>1</v>
      </c>
      <c r="AM184" s="60" t="str">
        <f t="shared" si="161"/>
        <v/>
      </c>
      <c r="AT184" s="14">
        <f t="shared" si="152"/>
        <v>0</v>
      </c>
      <c r="AU184" s="14" t="e">
        <f t="shared" si="153"/>
        <v>#N/A</v>
      </c>
    </row>
    <row r="185" spans="20:49" x14ac:dyDescent="0.15">
      <c r="T185" s="28">
        <f t="shared" si="164"/>
        <v>6163</v>
      </c>
      <c r="U185" s="26">
        <f t="shared" si="165"/>
        <v>72365</v>
      </c>
      <c r="V185" s="28">
        <f t="shared" si="166"/>
        <v>20</v>
      </c>
      <c r="W185" s="14">
        <f t="shared" si="162"/>
        <v>2092</v>
      </c>
      <c r="X185" s="39">
        <f t="shared" si="163"/>
        <v>9648.6666666666679</v>
      </c>
      <c r="Y185" s="15">
        <v>1</v>
      </c>
      <c r="AE185" s="79">
        <f>AE176+1</f>
        <v>16</v>
      </c>
      <c r="AF185" s="79">
        <v>20</v>
      </c>
      <c r="AG185" s="63">
        <f>INDEX($BC$14:$BC$77,MATCH(AF185,$BA$14:$BA$77))</f>
        <v>0.65</v>
      </c>
      <c r="AH185" s="60">
        <v>1</v>
      </c>
      <c r="AI185" s="60">
        <v>10</v>
      </c>
      <c r="AJ185" s="60">
        <v>6010</v>
      </c>
      <c r="AK185" s="68">
        <f>INDEX(U:U,MATCH($AJ185,T:T,0))</f>
        <v>233</v>
      </c>
      <c r="AL185" s="68">
        <f>INDEX(V:V,MATCH($AJ185,T:T,0))</f>
        <v>10</v>
      </c>
      <c r="AM185" s="60">
        <f t="shared" si="161"/>
        <v>10</v>
      </c>
      <c r="AN185" s="14">
        <f>AO185*AP185</f>
        <v>20</v>
      </c>
      <c r="AO185" s="60">
        <v>5</v>
      </c>
      <c r="AP185" s="60">
        <v>4</v>
      </c>
      <c r="AQ185" s="60">
        <v>1</v>
      </c>
      <c r="AS185" s="15">
        <f>$AH$18</f>
        <v>200</v>
      </c>
      <c r="AT185" s="14">
        <f t="shared" si="152"/>
        <v>18750</v>
      </c>
      <c r="AU185" s="14">
        <f t="shared" si="153"/>
        <v>4660</v>
      </c>
      <c r="AV185" s="65">
        <f>AT185/AU185*10/AL185</f>
        <v>4.0236051502145926</v>
      </c>
      <c r="AW185" s="65">
        <f>(1+AG185)*AV185</f>
        <v>6.6389484978540771</v>
      </c>
    </row>
    <row r="186" spans="20:49" x14ac:dyDescent="0.15">
      <c r="T186" s="28">
        <f t="shared" si="164"/>
        <v>6164</v>
      </c>
      <c r="U186" s="26">
        <f t="shared" si="165"/>
        <v>79601</v>
      </c>
      <c r="V186" s="28">
        <f t="shared" si="166"/>
        <v>20</v>
      </c>
      <c r="W186" s="14">
        <f t="shared" si="162"/>
        <v>2298</v>
      </c>
      <c r="X186" s="39">
        <f t="shared" si="163"/>
        <v>10613.466666666667</v>
      </c>
      <c r="Y186" s="15">
        <v>1</v>
      </c>
      <c r="AE186" s="80"/>
      <c r="AF186" s="80"/>
      <c r="AG186" s="62">
        <f>AG185</f>
        <v>0.65</v>
      </c>
      <c r="AH186" s="60">
        <v>2</v>
      </c>
      <c r="AI186" s="60">
        <v>10</v>
      </c>
      <c r="AJ186" s="60">
        <v>6118</v>
      </c>
      <c r="AK186" s="68">
        <f t="shared" ref="AK186:AK189" si="189">INDEX(U:U,MATCH($AJ186,T:T,0))</f>
        <v>998</v>
      </c>
      <c r="AL186" s="68">
        <f t="shared" ref="AL186:AL189" si="190">INDEX(V:V,MATCH($AJ186,T:T,0))</f>
        <v>20</v>
      </c>
      <c r="AM186" s="60">
        <f t="shared" si="161"/>
        <v>10</v>
      </c>
      <c r="AN186" s="14">
        <f t="shared" ref="AN186:AN189" si="191">AO186*AP186</f>
        <v>20</v>
      </c>
      <c r="AO186" s="60">
        <v>5</v>
      </c>
      <c r="AP186" s="60">
        <v>4</v>
      </c>
      <c r="AQ186" s="60">
        <v>1</v>
      </c>
      <c r="AS186" s="25">
        <f t="shared" ref="AS186:AS192" si="192">AS185+AN185*INDEX(X:X,MATCH(AJ185,T:T,0))</f>
        <v>510.66666666666669</v>
      </c>
      <c r="AT186" s="14">
        <f t="shared" si="152"/>
        <v>47875</v>
      </c>
      <c r="AU186" s="14">
        <f t="shared" si="153"/>
        <v>39920</v>
      </c>
      <c r="AV186" s="65">
        <f t="shared" ref="AV186:AV192" si="193">AT186/AU186*10/AL186</f>
        <v>0.59963677354709422</v>
      </c>
      <c r="AW186" s="65">
        <f t="shared" ref="AW186:AW191" si="194">(1+AG186)*AV186</f>
        <v>0.98940067635270545</v>
      </c>
    </row>
    <row r="187" spans="20:49" x14ac:dyDescent="0.15">
      <c r="T187" s="28">
        <f t="shared" si="164"/>
        <v>6165</v>
      </c>
      <c r="U187" s="26">
        <f t="shared" si="165"/>
        <v>87561</v>
      </c>
      <c r="V187" s="28">
        <f t="shared" si="166"/>
        <v>20</v>
      </c>
      <c r="W187" s="14">
        <f t="shared" si="162"/>
        <v>2522</v>
      </c>
      <c r="X187" s="39">
        <f t="shared" si="163"/>
        <v>11674.8</v>
      </c>
      <c r="Y187" s="15">
        <v>1</v>
      </c>
      <c r="AE187" s="80"/>
      <c r="AF187" s="80"/>
      <c r="AG187" s="62">
        <f t="shared" ref="AG187:AG192" si="195">AG186</f>
        <v>0.65</v>
      </c>
      <c r="AH187" s="60">
        <v>3</v>
      </c>
      <c r="AI187" s="60">
        <v>10</v>
      </c>
      <c r="AJ187" s="60">
        <v>6228</v>
      </c>
      <c r="AK187" s="68">
        <f t="shared" si="189"/>
        <v>2579</v>
      </c>
      <c r="AL187" s="68">
        <f t="shared" si="190"/>
        <v>30</v>
      </c>
      <c r="AM187" s="60">
        <f t="shared" si="161"/>
        <v>5</v>
      </c>
      <c r="AN187" s="14">
        <f t="shared" si="191"/>
        <v>3</v>
      </c>
      <c r="AO187" s="60">
        <v>3</v>
      </c>
      <c r="AP187" s="60">
        <v>1</v>
      </c>
      <c r="AQ187" s="60">
        <v>1</v>
      </c>
      <c r="AS187" s="25">
        <f t="shared" si="192"/>
        <v>3171.9999999999995</v>
      </c>
      <c r="AT187" s="14">
        <f t="shared" si="152"/>
        <v>148687.5</v>
      </c>
      <c r="AU187" s="14">
        <f t="shared" si="153"/>
        <v>77370</v>
      </c>
      <c r="AV187" s="65">
        <f t="shared" si="193"/>
        <v>0.64059066821765542</v>
      </c>
      <c r="AW187" s="65">
        <f t="shared" si="194"/>
        <v>1.0569746025591313</v>
      </c>
    </row>
    <row r="188" spans="20:49" x14ac:dyDescent="0.15">
      <c r="T188" s="28">
        <f t="shared" si="164"/>
        <v>6166</v>
      </c>
      <c r="U188" s="26">
        <f t="shared" si="165"/>
        <v>96317</v>
      </c>
      <c r="V188" s="28">
        <f t="shared" si="166"/>
        <v>20</v>
      </c>
      <c r="W188" s="14">
        <f t="shared" si="162"/>
        <v>2770</v>
      </c>
      <c r="X188" s="39">
        <f t="shared" si="163"/>
        <v>12842.266666666666</v>
      </c>
      <c r="Y188" s="15">
        <v>1</v>
      </c>
      <c r="AE188" s="80"/>
      <c r="AF188" s="80"/>
      <c r="AG188" s="62">
        <f t="shared" si="195"/>
        <v>0.65</v>
      </c>
      <c r="AH188" s="60">
        <v>4</v>
      </c>
      <c r="AI188" s="60">
        <v>10</v>
      </c>
      <c r="AJ188" s="60">
        <v>6135</v>
      </c>
      <c r="AK188" s="68">
        <f t="shared" si="189"/>
        <v>5021</v>
      </c>
      <c r="AL188" s="68">
        <f t="shared" si="190"/>
        <v>20</v>
      </c>
      <c r="AM188" s="60">
        <f t="shared" si="161"/>
        <v>10</v>
      </c>
      <c r="AN188" s="14">
        <f t="shared" si="191"/>
        <v>27</v>
      </c>
      <c r="AO188" s="60">
        <v>3</v>
      </c>
      <c r="AP188" s="60">
        <v>9</v>
      </c>
      <c r="AQ188" s="60">
        <v>1</v>
      </c>
      <c r="AS188" s="25">
        <f t="shared" si="192"/>
        <v>4719.3999999999996</v>
      </c>
      <c r="AT188" s="14">
        <f t="shared" si="152"/>
        <v>663665.64</v>
      </c>
      <c r="AU188" s="14">
        <f t="shared" si="153"/>
        <v>451890</v>
      </c>
      <c r="AV188" s="65">
        <f t="shared" si="193"/>
        <v>0.73432211378875389</v>
      </c>
      <c r="AW188" s="65">
        <f t="shared" si="194"/>
        <v>1.2116314877514438</v>
      </c>
    </row>
    <row r="189" spans="20:49" x14ac:dyDescent="0.15">
      <c r="T189" s="28">
        <f t="shared" si="164"/>
        <v>6167</v>
      </c>
      <c r="U189" s="26">
        <f t="shared" si="165"/>
        <v>105948</v>
      </c>
      <c r="V189" s="28">
        <f t="shared" si="166"/>
        <v>20</v>
      </c>
      <c r="W189" s="14">
        <f t="shared" si="162"/>
        <v>3042</v>
      </c>
      <c r="X189" s="39">
        <f t="shared" si="163"/>
        <v>14126.4</v>
      </c>
      <c r="Y189" s="15">
        <v>1</v>
      </c>
      <c r="AE189" s="80"/>
      <c r="AF189" s="80"/>
      <c r="AG189" s="62">
        <f t="shared" si="195"/>
        <v>0.65</v>
      </c>
      <c r="AH189" s="60">
        <v>5</v>
      </c>
      <c r="AI189" s="60">
        <v>10</v>
      </c>
      <c r="AJ189" s="60">
        <v>6154</v>
      </c>
      <c r="AK189" s="68">
        <f t="shared" si="189"/>
        <v>30692</v>
      </c>
      <c r="AL189" s="68">
        <f t="shared" si="190"/>
        <v>20</v>
      </c>
      <c r="AM189" s="60">
        <f t="shared" si="161"/>
        <v>5</v>
      </c>
      <c r="AN189" s="14">
        <f t="shared" si="191"/>
        <v>5</v>
      </c>
      <c r="AO189" s="60">
        <v>5</v>
      </c>
      <c r="AP189" s="60">
        <v>1</v>
      </c>
      <c r="AQ189" s="60">
        <v>1</v>
      </c>
      <c r="AS189" s="25">
        <f t="shared" si="192"/>
        <v>22795</v>
      </c>
      <c r="AT189" s="14">
        <f t="shared" si="152"/>
        <v>1068515.6299999999</v>
      </c>
      <c r="AU189" s="14">
        <f t="shared" si="153"/>
        <v>613840</v>
      </c>
      <c r="AV189" s="65">
        <f t="shared" si="193"/>
        <v>0.87035353675224802</v>
      </c>
      <c r="AW189" s="65">
        <f t="shared" si="194"/>
        <v>1.4360833356412093</v>
      </c>
    </row>
    <row r="190" spans="20:49" x14ac:dyDescent="0.15">
      <c r="T190" s="28">
        <f t="shared" si="164"/>
        <v>6168</v>
      </c>
      <c r="U190" s="26">
        <f t="shared" si="165"/>
        <v>116542</v>
      </c>
      <c r="V190" s="28">
        <f t="shared" si="166"/>
        <v>20</v>
      </c>
      <c r="W190" s="14">
        <f t="shared" si="162"/>
        <v>3340</v>
      </c>
      <c r="X190" s="39">
        <f t="shared" si="163"/>
        <v>15538.933333333334</v>
      </c>
      <c r="Y190" s="15">
        <v>1</v>
      </c>
      <c r="AE190" s="80"/>
      <c r="AF190" s="80"/>
      <c r="AG190" s="62">
        <f t="shared" si="195"/>
        <v>0.65</v>
      </c>
      <c r="AH190" s="60"/>
      <c r="AI190" s="60"/>
      <c r="AJ190" s="60"/>
      <c r="AK190" s="68"/>
      <c r="AL190" s="68"/>
      <c r="AM190" s="60" t="str">
        <f t="shared" si="161"/>
        <v/>
      </c>
      <c r="AN190" s="14"/>
      <c r="AO190" s="60"/>
      <c r="AP190" s="15"/>
      <c r="AQ190" s="60"/>
      <c r="AS190" s="25">
        <f t="shared" si="192"/>
        <v>43256.333333333328</v>
      </c>
      <c r="AT190" s="14">
        <f t="shared" si="152"/>
        <v>0</v>
      </c>
      <c r="AU190" s="14" t="e">
        <f t="shared" si="153"/>
        <v>#N/A</v>
      </c>
      <c r="AV190" s="65" t="e">
        <f t="shared" si="193"/>
        <v>#N/A</v>
      </c>
      <c r="AW190" s="65" t="e">
        <f t="shared" si="194"/>
        <v>#N/A</v>
      </c>
    </row>
    <row r="191" spans="20:49" x14ac:dyDescent="0.15">
      <c r="T191" s="28">
        <f t="shared" si="164"/>
        <v>6169</v>
      </c>
      <c r="U191" s="26">
        <f t="shared" si="165"/>
        <v>128196</v>
      </c>
      <c r="V191" s="28">
        <f t="shared" si="166"/>
        <v>20</v>
      </c>
      <c r="W191" s="14">
        <f t="shared" si="162"/>
        <v>3668</v>
      </c>
      <c r="X191" s="39">
        <f t="shared" si="163"/>
        <v>17092.8</v>
      </c>
      <c r="Y191" s="15">
        <v>10</v>
      </c>
      <c r="AE191" s="80"/>
      <c r="AF191" s="80"/>
      <c r="AG191" s="62">
        <f t="shared" si="195"/>
        <v>0.65</v>
      </c>
      <c r="AH191" s="60"/>
      <c r="AI191" s="60"/>
      <c r="AJ191" s="60"/>
      <c r="AK191" s="68"/>
      <c r="AL191" s="68"/>
      <c r="AM191" s="60" t="str">
        <f t="shared" si="161"/>
        <v/>
      </c>
      <c r="AN191" s="14"/>
      <c r="AO191" s="60"/>
      <c r="AP191" s="15"/>
      <c r="AQ191" s="60"/>
      <c r="AS191" s="25" t="e">
        <f t="shared" si="192"/>
        <v>#N/A</v>
      </c>
      <c r="AT191" s="14" t="e">
        <f t="shared" si="152"/>
        <v>#N/A</v>
      </c>
      <c r="AU191" s="14" t="e">
        <f t="shared" si="153"/>
        <v>#N/A</v>
      </c>
      <c r="AV191" s="65" t="e">
        <f t="shared" si="193"/>
        <v>#N/A</v>
      </c>
      <c r="AW191" s="65" t="e">
        <f t="shared" si="194"/>
        <v>#N/A</v>
      </c>
    </row>
    <row r="192" spans="20:49" x14ac:dyDescent="0.15">
      <c r="T192" s="28">
        <f t="shared" si="164"/>
        <v>6170</v>
      </c>
      <c r="U192" s="26">
        <f t="shared" si="165"/>
        <v>141015</v>
      </c>
      <c r="V192" s="28">
        <f t="shared" si="166"/>
        <v>20</v>
      </c>
      <c r="W192" s="14">
        <f t="shared" si="162"/>
        <v>4026</v>
      </c>
      <c r="X192" s="39">
        <f t="shared" si="163"/>
        <v>18802</v>
      </c>
      <c r="Y192" s="15">
        <v>1</v>
      </c>
      <c r="AE192" s="81"/>
      <c r="AF192" s="81"/>
      <c r="AG192" s="25">
        <f t="shared" si="195"/>
        <v>0.65</v>
      </c>
      <c r="AH192" s="60"/>
      <c r="AI192" s="60"/>
      <c r="AJ192" s="60"/>
      <c r="AK192" s="68"/>
      <c r="AL192" s="68"/>
      <c r="AM192" s="60" t="str">
        <f t="shared" si="161"/>
        <v/>
      </c>
      <c r="AN192" s="14"/>
      <c r="AO192" s="60"/>
      <c r="AP192" s="15"/>
      <c r="AQ192" s="60"/>
      <c r="AS192" s="25" t="e">
        <f t="shared" si="192"/>
        <v>#N/A</v>
      </c>
      <c r="AT192" s="14" t="e">
        <f t="shared" si="152"/>
        <v>#N/A</v>
      </c>
      <c r="AU192" s="14" t="e">
        <f t="shared" si="153"/>
        <v>#N/A</v>
      </c>
      <c r="AV192" s="65" t="e">
        <f t="shared" si="193"/>
        <v>#N/A</v>
      </c>
      <c r="AW192" s="65" t="e">
        <f>(1+AG192)*AV192</f>
        <v>#N/A</v>
      </c>
    </row>
    <row r="193" spans="20:49" x14ac:dyDescent="0.15">
      <c r="T193" s="28">
        <f t="shared" si="164"/>
        <v>6171</v>
      </c>
      <c r="U193" s="26">
        <f t="shared" si="165"/>
        <v>155116</v>
      </c>
      <c r="V193" s="28">
        <f t="shared" si="166"/>
        <v>20</v>
      </c>
      <c r="W193" s="14">
        <f t="shared" si="162"/>
        <v>4422</v>
      </c>
      <c r="X193" s="39">
        <f t="shared" si="163"/>
        <v>20682.133333333335</v>
      </c>
      <c r="Y193" s="15">
        <v>1</v>
      </c>
      <c r="AM193" s="60" t="str">
        <f>IF(AP193="","",IF(AP193=1,5,10))</f>
        <v/>
      </c>
      <c r="AT193" s="14">
        <f t="shared" si="152"/>
        <v>0</v>
      </c>
      <c r="AU193" s="14" t="e">
        <f t="shared" si="153"/>
        <v>#N/A</v>
      </c>
    </row>
    <row r="194" spans="20:49" x14ac:dyDescent="0.15">
      <c r="T194" s="28">
        <f t="shared" si="164"/>
        <v>6172</v>
      </c>
      <c r="U194" s="26">
        <f t="shared" si="165"/>
        <v>170627</v>
      </c>
      <c r="V194" s="28">
        <f t="shared" si="166"/>
        <v>20</v>
      </c>
      <c r="W194" s="14">
        <f t="shared" si="162"/>
        <v>4856</v>
      </c>
      <c r="X194" s="39">
        <f t="shared" si="163"/>
        <v>22750.266666666666</v>
      </c>
      <c r="Y194" s="15">
        <v>1</v>
      </c>
      <c r="AE194" s="79">
        <f>AE185+1</f>
        <v>17</v>
      </c>
      <c r="AF194" s="79">
        <v>21</v>
      </c>
      <c r="AG194" s="63">
        <f>INDEX($BC$14:$BC$77,MATCH(AF194,$BA$14:$BA$77))</f>
        <v>0.68</v>
      </c>
      <c r="AH194" s="60">
        <v>1</v>
      </c>
      <c r="AI194" s="60">
        <v>10</v>
      </c>
      <c r="AJ194" s="60">
        <v>6106</v>
      </c>
      <c r="AK194" s="68">
        <f>INDEX(U:U,MATCH($AJ194,T:T,0))</f>
        <v>321</v>
      </c>
      <c r="AL194" s="68">
        <f>INDEX(V:V,MATCH($AJ194,T:T,0))</f>
        <v>20</v>
      </c>
      <c r="AM194" s="60">
        <f t="shared" si="161"/>
        <v>5</v>
      </c>
      <c r="AN194" s="14">
        <f>AO194*AP194</f>
        <v>10</v>
      </c>
      <c r="AO194" s="60">
        <v>10</v>
      </c>
      <c r="AP194" s="60">
        <v>1</v>
      </c>
      <c r="AQ194" s="60">
        <v>1</v>
      </c>
      <c r="AS194" s="15">
        <f>$AH$18</f>
        <v>200</v>
      </c>
      <c r="AT194" s="14">
        <f t="shared" si="152"/>
        <v>9375</v>
      </c>
      <c r="AU194" s="14">
        <f t="shared" si="153"/>
        <v>6420</v>
      </c>
      <c r="AV194" s="65">
        <f>AT194/AU194*10/AL194</f>
        <v>0.73014018691588789</v>
      </c>
      <c r="AW194" s="65">
        <f>(1+AG194)*AV194</f>
        <v>1.2266355140186918</v>
      </c>
    </row>
    <row r="195" spans="20:49" x14ac:dyDescent="0.15">
      <c r="T195" s="28">
        <f t="shared" si="164"/>
        <v>6173</v>
      </c>
      <c r="U195" s="26">
        <f t="shared" si="165"/>
        <v>187689</v>
      </c>
      <c r="V195" s="28">
        <f t="shared" si="166"/>
        <v>20</v>
      </c>
      <c r="W195" s="14">
        <f t="shared" si="162"/>
        <v>5332</v>
      </c>
      <c r="X195" s="39">
        <f t="shared" si="163"/>
        <v>25025.200000000001</v>
      </c>
      <c r="Y195" s="15">
        <v>1</v>
      </c>
      <c r="AE195" s="80"/>
      <c r="AF195" s="80"/>
      <c r="AG195" s="62">
        <f>AG194</f>
        <v>0.68</v>
      </c>
      <c r="AH195" s="60">
        <v>2</v>
      </c>
      <c r="AI195" s="60">
        <v>10</v>
      </c>
      <c r="AJ195" s="60">
        <v>6036</v>
      </c>
      <c r="AK195" s="68">
        <f t="shared" ref="AK195:AK198" si="196">INDEX(U:U,MATCH($AJ195,T:T,0))</f>
        <v>2725</v>
      </c>
      <c r="AL195" s="68">
        <f t="shared" ref="AL195:AL198" si="197">INDEX(V:V,MATCH($AJ195,T:T,0))</f>
        <v>10</v>
      </c>
      <c r="AM195" s="60">
        <f t="shared" si="161"/>
        <v>10</v>
      </c>
      <c r="AN195" s="14">
        <f t="shared" ref="AN195:AN198" si="198">AO195*AP195</f>
        <v>20</v>
      </c>
      <c r="AO195" s="60">
        <v>5</v>
      </c>
      <c r="AP195" s="60">
        <v>4</v>
      </c>
      <c r="AQ195" s="60">
        <v>1</v>
      </c>
      <c r="AS195" s="25">
        <f t="shared" ref="AS195:AS201" si="199">AS194+AN194*INDEX(X:X,MATCH(AJ194,T:T,0))</f>
        <v>628</v>
      </c>
      <c r="AT195" s="14">
        <f t="shared" si="152"/>
        <v>58875</v>
      </c>
      <c r="AU195" s="14">
        <f t="shared" si="153"/>
        <v>54500</v>
      </c>
      <c r="AV195" s="65">
        <f t="shared" ref="AV195:AV201" si="200">AT195/AU195*10/AL195</f>
        <v>1.0802752293577982</v>
      </c>
      <c r="AW195" s="65">
        <f t="shared" ref="AW195:AW200" si="201">(1+AG195)*AV195</f>
        <v>1.8148623853211012</v>
      </c>
    </row>
    <row r="196" spans="20:49" x14ac:dyDescent="0.15">
      <c r="T196" s="28">
        <f t="shared" si="164"/>
        <v>6174</v>
      </c>
      <c r="U196" s="26">
        <f t="shared" si="165"/>
        <v>206457</v>
      </c>
      <c r="V196" s="28">
        <f t="shared" si="166"/>
        <v>20</v>
      </c>
      <c r="W196" s="14">
        <f t="shared" si="162"/>
        <v>5856</v>
      </c>
      <c r="X196" s="39">
        <f t="shared" si="163"/>
        <v>27527.599999999999</v>
      </c>
      <c r="Y196" s="15">
        <v>1</v>
      </c>
      <c r="AE196" s="80"/>
      <c r="AF196" s="80"/>
      <c r="AG196" s="62">
        <f t="shared" ref="AG196:AG201" si="202">AG195</f>
        <v>0.68</v>
      </c>
      <c r="AH196" s="60">
        <v>3</v>
      </c>
      <c r="AI196" s="60">
        <v>10</v>
      </c>
      <c r="AJ196" s="60">
        <v>6135</v>
      </c>
      <c r="AK196" s="68">
        <f t="shared" si="196"/>
        <v>5021</v>
      </c>
      <c r="AL196" s="68">
        <f t="shared" si="197"/>
        <v>20</v>
      </c>
      <c r="AM196" s="60">
        <f t="shared" si="161"/>
        <v>5</v>
      </c>
      <c r="AN196" s="14">
        <f t="shared" si="198"/>
        <v>3</v>
      </c>
      <c r="AO196" s="60">
        <v>3</v>
      </c>
      <c r="AP196" s="60">
        <v>1</v>
      </c>
      <c r="AQ196" s="60">
        <v>1</v>
      </c>
      <c r="AS196" s="25">
        <f t="shared" si="199"/>
        <v>4261.3333333333339</v>
      </c>
      <c r="AT196" s="14">
        <f t="shared" si="152"/>
        <v>199750</v>
      </c>
      <c r="AU196" s="14">
        <f t="shared" si="153"/>
        <v>100420</v>
      </c>
      <c r="AV196" s="65">
        <f t="shared" si="200"/>
        <v>0.99457279426409095</v>
      </c>
      <c r="AW196" s="65">
        <f t="shared" si="201"/>
        <v>1.670882294363673</v>
      </c>
    </row>
    <row r="197" spans="20:49" x14ac:dyDescent="0.15">
      <c r="T197" s="28">
        <f t="shared" si="164"/>
        <v>6175</v>
      </c>
      <c r="U197" s="26">
        <f t="shared" si="165"/>
        <v>227102</v>
      </c>
      <c r="V197" s="28">
        <f t="shared" si="166"/>
        <v>20</v>
      </c>
      <c r="W197" s="14">
        <f t="shared" si="162"/>
        <v>6430</v>
      </c>
      <c r="X197" s="39">
        <f t="shared" si="163"/>
        <v>30280.26666666667</v>
      </c>
      <c r="Y197" s="15">
        <v>1</v>
      </c>
      <c r="AE197" s="80"/>
      <c r="AF197" s="80"/>
      <c r="AG197" s="62">
        <f t="shared" si="202"/>
        <v>0.68</v>
      </c>
      <c r="AH197" s="60">
        <v>4</v>
      </c>
      <c r="AI197" s="60">
        <v>10</v>
      </c>
      <c r="AJ197" s="60">
        <v>6140</v>
      </c>
      <c r="AK197" s="68">
        <f t="shared" si="196"/>
        <v>8085</v>
      </c>
      <c r="AL197" s="68">
        <f t="shared" si="197"/>
        <v>20</v>
      </c>
      <c r="AM197" s="60">
        <f t="shared" si="161"/>
        <v>10</v>
      </c>
      <c r="AN197" s="14">
        <f t="shared" si="198"/>
        <v>12</v>
      </c>
      <c r="AO197" s="60">
        <v>3</v>
      </c>
      <c r="AP197" s="60">
        <v>4</v>
      </c>
      <c r="AQ197" s="60">
        <v>1</v>
      </c>
      <c r="AS197" s="25">
        <f t="shared" si="199"/>
        <v>6269.7333333333336</v>
      </c>
      <c r="AT197" s="14">
        <f t="shared" si="152"/>
        <v>587787.5</v>
      </c>
      <c r="AU197" s="14">
        <f t="shared" si="153"/>
        <v>323400</v>
      </c>
      <c r="AV197" s="65">
        <f t="shared" si="200"/>
        <v>0.90876236858379722</v>
      </c>
      <c r="AW197" s="65">
        <f t="shared" si="201"/>
        <v>1.5267207792207795</v>
      </c>
    </row>
    <row r="198" spans="20:49" x14ac:dyDescent="0.15">
      <c r="T198" s="28">
        <f t="shared" si="164"/>
        <v>6176</v>
      </c>
      <c r="U198" s="26">
        <f t="shared" si="165"/>
        <v>249812</v>
      </c>
      <c r="V198" s="28">
        <f t="shared" si="166"/>
        <v>20</v>
      </c>
      <c r="W198" s="14">
        <f t="shared" si="162"/>
        <v>7060</v>
      </c>
      <c r="X198" s="39">
        <f t="shared" si="163"/>
        <v>33308.26666666667</v>
      </c>
      <c r="Y198" s="15">
        <v>1</v>
      </c>
      <c r="AE198" s="80"/>
      <c r="AF198" s="80"/>
      <c r="AG198" s="62">
        <f t="shared" si="202"/>
        <v>0.68</v>
      </c>
      <c r="AH198" s="60">
        <v>5</v>
      </c>
      <c r="AI198" s="60">
        <v>10</v>
      </c>
      <c r="AJ198" s="60">
        <v>6239</v>
      </c>
      <c r="AK198" s="68">
        <f t="shared" si="196"/>
        <v>7350</v>
      </c>
      <c r="AL198" s="68">
        <f t="shared" si="197"/>
        <v>30</v>
      </c>
      <c r="AM198" s="60">
        <f t="shared" si="161"/>
        <v>10</v>
      </c>
      <c r="AN198" s="14">
        <f t="shared" si="198"/>
        <v>27</v>
      </c>
      <c r="AO198" s="60">
        <v>3</v>
      </c>
      <c r="AP198" s="60">
        <v>9</v>
      </c>
      <c r="AQ198" s="60">
        <v>1</v>
      </c>
      <c r="AS198" s="25">
        <f t="shared" si="199"/>
        <v>19205.733333333334</v>
      </c>
      <c r="AT198" s="14">
        <f t="shared" si="152"/>
        <v>2700806.25</v>
      </c>
      <c r="AU198" s="14">
        <f t="shared" si="153"/>
        <v>992250</v>
      </c>
      <c r="AV198" s="65">
        <f t="shared" si="200"/>
        <v>0.90730032753842282</v>
      </c>
      <c r="AW198" s="65">
        <f t="shared" si="201"/>
        <v>1.5242645502645504</v>
      </c>
    </row>
    <row r="199" spans="20:49" x14ac:dyDescent="0.15">
      <c r="T199" s="28">
        <f t="shared" si="164"/>
        <v>6177</v>
      </c>
      <c r="U199" s="26">
        <f t="shared" si="165"/>
        <v>274793</v>
      </c>
      <c r="V199" s="28">
        <f t="shared" si="166"/>
        <v>20</v>
      </c>
      <c r="W199" s="14">
        <f t="shared" si="162"/>
        <v>7754</v>
      </c>
      <c r="X199" s="39">
        <f t="shared" si="163"/>
        <v>36639.066666666666</v>
      </c>
      <c r="Y199" s="15">
        <v>1</v>
      </c>
      <c r="AE199" s="80"/>
      <c r="AF199" s="80"/>
      <c r="AG199" s="62">
        <f t="shared" si="202"/>
        <v>0.68</v>
      </c>
      <c r="AH199" s="60"/>
      <c r="AI199" s="60"/>
      <c r="AJ199" s="60"/>
      <c r="AK199" s="68"/>
      <c r="AL199" s="68"/>
      <c r="AM199" s="60" t="str">
        <f t="shared" si="161"/>
        <v/>
      </c>
      <c r="AN199" s="14"/>
      <c r="AO199" s="60"/>
      <c r="AP199" s="15"/>
      <c r="AQ199" s="60"/>
      <c r="AS199" s="25">
        <f t="shared" si="199"/>
        <v>58895.733333333337</v>
      </c>
      <c r="AT199" s="14">
        <f t="shared" si="152"/>
        <v>0</v>
      </c>
      <c r="AU199" s="14" t="e">
        <f t="shared" si="153"/>
        <v>#N/A</v>
      </c>
      <c r="AV199" s="65" t="e">
        <f t="shared" si="200"/>
        <v>#N/A</v>
      </c>
      <c r="AW199" s="65" t="e">
        <f t="shared" si="201"/>
        <v>#N/A</v>
      </c>
    </row>
    <row r="200" spans="20:49" x14ac:dyDescent="0.15">
      <c r="T200" s="28">
        <f t="shared" si="164"/>
        <v>6178</v>
      </c>
      <c r="U200" s="26">
        <f t="shared" si="165"/>
        <v>302272</v>
      </c>
      <c r="V200" s="28">
        <f t="shared" si="166"/>
        <v>20</v>
      </c>
      <c r="W200" s="14">
        <f t="shared" si="162"/>
        <v>8514</v>
      </c>
      <c r="X200" s="39">
        <f t="shared" si="163"/>
        <v>40302.933333333334</v>
      </c>
      <c r="Y200" s="15">
        <v>1</v>
      </c>
      <c r="AE200" s="80"/>
      <c r="AF200" s="80"/>
      <c r="AG200" s="62">
        <f t="shared" si="202"/>
        <v>0.68</v>
      </c>
      <c r="AH200" s="60"/>
      <c r="AI200" s="60"/>
      <c r="AJ200" s="60"/>
      <c r="AK200" s="68"/>
      <c r="AL200" s="68"/>
      <c r="AM200" s="60" t="str">
        <f t="shared" si="161"/>
        <v/>
      </c>
      <c r="AN200" s="14"/>
      <c r="AO200" s="60"/>
      <c r="AP200" s="15"/>
      <c r="AQ200" s="60"/>
      <c r="AS200" s="25" t="e">
        <f t="shared" si="199"/>
        <v>#N/A</v>
      </c>
      <c r="AT200" s="14" t="e">
        <f t="shared" si="152"/>
        <v>#N/A</v>
      </c>
      <c r="AU200" s="14" t="e">
        <f t="shared" si="153"/>
        <v>#N/A</v>
      </c>
      <c r="AV200" s="65" t="e">
        <f t="shared" si="200"/>
        <v>#N/A</v>
      </c>
      <c r="AW200" s="65" t="e">
        <f t="shared" si="201"/>
        <v>#N/A</v>
      </c>
    </row>
    <row r="201" spans="20:49" x14ac:dyDescent="0.15">
      <c r="T201" s="28">
        <f t="shared" si="164"/>
        <v>6179</v>
      </c>
      <c r="U201" s="26">
        <f t="shared" si="165"/>
        <v>332499</v>
      </c>
      <c r="V201" s="28">
        <f t="shared" si="166"/>
        <v>20</v>
      </c>
      <c r="W201" s="14">
        <f t="shared" si="162"/>
        <v>9350</v>
      </c>
      <c r="X201" s="39">
        <f t="shared" si="163"/>
        <v>44333.2</v>
      </c>
      <c r="Y201" s="15">
        <v>1</v>
      </c>
      <c r="AE201" s="81"/>
      <c r="AF201" s="81"/>
      <c r="AG201" s="25">
        <f t="shared" si="202"/>
        <v>0.68</v>
      </c>
      <c r="AH201" s="60"/>
      <c r="AI201" s="60"/>
      <c r="AJ201" s="60"/>
      <c r="AK201" s="68"/>
      <c r="AL201" s="68"/>
      <c r="AM201" s="60" t="str">
        <f t="shared" si="161"/>
        <v/>
      </c>
      <c r="AN201" s="14"/>
      <c r="AO201" s="60"/>
      <c r="AP201" s="15"/>
      <c r="AQ201" s="60"/>
      <c r="AS201" s="25" t="e">
        <f t="shared" si="199"/>
        <v>#N/A</v>
      </c>
      <c r="AT201" s="14" t="e">
        <f t="shared" si="152"/>
        <v>#N/A</v>
      </c>
      <c r="AU201" s="14" t="e">
        <f t="shared" si="153"/>
        <v>#N/A</v>
      </c>
      <c r="AV201" s="65" t="e">
        <f t="shared" si="200"/>
        <v>#N/A</v>
      </c>
      <c r="AW201" s="65" t="e">
        <f>(1+AG201)*AV201</f>
        <v>#N/A</v>
      </c>
    </row>
    <row r="202" spans="20:49" x14ac:dyDescent="0.15">
      <c r="T202" s="28">
        <f t="shared" si="164"/>
        <v>6180</v>
      </c>
      <c r="U202" s="26">
        <f t="shared" si="165"/>
        <v>365748</v>
      </c>
      <c r="V202" s="28">
        <f t="shared" si="166"/>
        <v>20</v>
      </c>
      <c r="W202" s="14">
        <f t="shared" si="162"/>
        <v>10268</v>
      </c>
      <c r="X202" s="39">
        <f t="shared" si="163"/>
        <v>48766.400000000001</v>
      </c>
      <c r="Y202" s="15">
        <v>1</v>
      </c>
      <c r="AM202" s="60" t="str">
        <f t="shared" si="161"/>
        <v/>
      </c>
      <c r="AT202" s="14">
        <f t="shared" si="152"/>
        <v>0</v>
      </c>
      <c r="AU202" s="14" t="e">
        <f t="shared" si="153"/>
        <v>#N/A</v>
      </c>
    </row>
    <row r="203" spans="20:49" x14ac:dyDescent="0.15">
      <c r="T203" s="28">
        <f t="shared" si="164"/>
        <v>6181</v>
      </c>
      <c r="U203" s="26">
        <f t="shared" si="165"/>
        <v>402322</v>
      </c>
      <c r="V203" s="28">
        <f t="shared" si="166"/>
        <v>20</v>
      </c>
      <c r="W203" s="14">
        <f t="shared" si="162"/>
        <v>11276</v>
      </c>
      <c r="X203" s="39">
        <f t="shared" si="163"/>
        <v>53642.933333333334</v>
      </c>
      <c r="Y203" s="15">
        <v>1</v>
      </c>
      <c r="AE203" s="79">
        <f>AE194+1</f>
        <v>18</v>
      </c>
      <c r="AF203" s="79">
        <v>22</v>
      </c>
      <c r="AG203" s="63">
        <f>INDEX($BC$14:$BC$77,MATCH(AF203,$BA$14:$BA$77))</f>
        <v>0.71</v>
      </c>
      <c r="AH203" s="60">
        <v>1</v>
      </c>
      <c r="AI203" s="60">
        <v>10</v>
      </c>
      <c r="AJ203" s="60">
        <v>6028</v>
      </c>
      <c r="AK203" s="68">
        <f>INDEX(U:U,MATCH($AJ203,T:T,0))</f>
        <v>1273</v>
      </c>
      <c r="AL203" s="68">
        <f>INDEX(V:V,MATCH($AJ203,T:T,0))</f>
        <v>10</v>
      </c>
      <c r="AM203" s="60">
        <f t="shared" si="161"/>
        <v>5</v>
      </c>
      <c r="AN203" s="14">
        <f>AO203*AP203</f>
        <v>5</v>
      </c>
      <c r="AO203" s="60">
        <v>5</v>
      </c>
      <c r="AP203" s="60">
        <v>1</v>
      </c>
      <c r="AQ203" s="60">
        <v>1</v>
      </c>
      <c r="AS203" s="15">
        <f>$AH$18</f>
        <v>200</v>
      </c>
      <c r="AT203" s="14">
        <f t="shared" si="152"/>
        <v>9375</v>
      </c>
      <c r="AU203" s="14">
        <f t="shared" si="153"/>
        <v>12730</v>
      </c>
      <c r="AV203" s="65">
        <f>AT203/AU203*10/AL203</f>
        <v>0.73644933228593867</v>
      </c>
      <c r="AW203" s="65">
        <f>(1+AG203)*AV203</f>
        <v>1.2593283582089552</v>
      </c>
    </row>
    <row r="204" spans="20:49" x14ac:dyDescent="0.15">
      <c r="T204" s="28">
        <f t="shared" si="164"/>
        <v>6182</v>
      </c>
      <c r="U204" s="26">
        <f t="shared" si="165"/>
        <v>442554</v>
      </c>
      <c r="V204" s="28">
        <f t="shared" si="166"/>
        <v>20</v>
      </c>
      <c r="W204" s="14">
        <f t="shared" si="162"/>
        <v>12384</v>
      </c>
      <c r="X204" s="39">
        <f t="shared" si="163"/>
        <v>59007.199999999997</v>
      </c>
      <c r="Y204" s="15">
        <v>1</v>
      </c>
      <c r="AE204" s="80"/>
      <c r="AF204" s="80"/>
      <c r="AG204" s="62">
        <f>AG203</f>
        <v>0.71</v>
      </c>
      <c r="AH204" s="60">
        <v>2</v>
      </c>
      <c r="AI204" s="60">
        <v>10</v>
      </c>
      <c r="AJ204" s="60">
        <v>6120</v>
      </c>
      <c r="AK204" s="68">
        <f t="shared" ref="AK204:AK207" si="203">INDEX(U:U,MATCH($AJ204,T:T,0))</f>
        <v>1206</v>
      </c>
      <c r="AL204" s="68">
        <f t="shared" ref="AL204:AL207" si="204">INDEX(V:V,MATCH($AJ204,T:T,0))</f>
        <v>20</v>
      </c>
      <c r="AM204" s="60">
        <f t="shared" si="161"/>
        <v>5</v>
      </c>
      <c r="AN204" s="14">
        <f t="shared" ref="AN204:AN207" si="205">AO204*AP204</f>
        <v>5</v>
      </c>
      <c r="AO204" s="60">
        <v>5</v>
      </c>
      <c r="AP204" s="60">
        <v>1</v>
      </c>
      <c r="AQ204" s="60">
        <v>1</v>
      </c>
      <c r="AS204" s="25">
        <f t="shared" ref="AS204:AS210" si="206">AS203+AN203*INDEX(X:X,MATCH(AJ203,T:T,0))</f>
        <v>624.33333333333326</v>
      </c>
      <c r="AT204" s="14">
        <f t="shared" si="152"/>
        <v>29265.63</v>
      </c>
      <c r="AU204" s="14">
        <f t="shared" si="153"/>
        <v>24120</v>
      </c>
      <c r="AV204" s="65">
        <f t="shared" ref="AV204:AV210" si="207">AT204/AU204*10/AL204</f>
        <v>0.60666728855721397</v>
      </c>
      <c r="AW204" s="65">
        <f t="shared" ref="AW204:AW209" si="208">(1+AG204)*AV204</f>
        <v>1.0374010634328359</v>
      </c>
    </row>
    <row r="205" spans="20:49" x14ac:dyDescent="0.15">
      <c r="T205" s="28">
        <f t="shared" si="164"/>
        <v>6183</v>
      </c>
      <c r="U205" s="26">
        <f t="shared" si="165"/>
        <v>486809</v>
      </c>
      <c r="V205" s="28">
        <f t="shared" si="166"/>
        <v>20</v>
      </c>
      <c r="W205" s="14">
        <f t="shared" si="162"/>
        <v>13600</v>
      </c>
      <c r="X205" s="39">
        <f t="shared" si="163"/>
        <v>64907.866666666661</v>
      </c>
      <c r="Y205" s="15">
        <v>1</v>
      </c>
      <c r="AE205" s="80"/>
      <c r="AF205" s="80"/>
      <c r="AG205" s="62">
        <f t="shared" ref="AG205:AG210" si="209">AG204</f>
        <v>0.71</v>
      </c>
      <c r="AH205" s="60">
        <v>3</v>
      </c>
      <c r="AI205" s="60">
        <v>10</v>
      </c>
      <c r="AJ205" s="60">
        <v>6129</v>
      </c>
      <c r="AK205" s="68">
        <f t="shared" si="203"/>
        <v>2836</v>
      </c>
      <c r="AL205" s="68">
        <f t="shared" si="204"/>
        <v>20</v>
      </c>
      <c r="AM205" s="60">
        <f t="shared" si="161"/>
        <v>10</v>
      </c>
      <c r="AN205" s="14">
        <f t="shared" si="205"/>
        <v>20</v>
      </c>
      <c r="AO205" s="60">
        <v>5</v>
      </c>
      <c r="AP205" s="60">
        <v>4</v>
      </c>
      <c r="AQ205" s="60">
        <v>1</v>
      </c>
      <c r="AS205" s="25">
        <f t="shared" si="206"/>
        <v>1428.3333333333333</v>
      </c>
      <c r="AT205" s="14">
        <f t="shared" si="152"/>
        <v>133906.26</v>
      </c>
      <c r="AU205" s="14">
        <f t="shared" si="153"/>
        <v>113440</v>
      </c>
      <c r="AV205" s="65">
        <f t="shared" si="207"/>
        <v>0.59020742242595203</v>
      </c>
      <c r="AW205" s="65">
        <f t="shared" si="208"/>
        <v>1.0092546923483781</v>
      </c>
    </row>
    <row r="206" spans="20:49" x14ac:dyDescent="0.15">
      <c r="T206" s="28">
        <f t="shared" si="164"/>
        <v>6184</v>
      </c>
      <c r="U206" s="26">
        <f t="shared" si="165"/>
        <v>535489</v>
      </c>
      <c r="V206" s="28">
        <f t="shared" si="166"/>
        <v>20</v>
      </c>
      <c r="W206" s="14">
        <f t="shared" si="162"/>
        <v>14936</v>
      </c>
      <c r="X206" s="39">
        <f t="shared" si="163"/>
        <v>71398.53333333334</v>
      </c>
      <c r="Y206" s="15">
        <v>1</v>
      </c>
      <c r="AE206" s="80"/>
      <c r="AF206" s="80"/>
      <c r="AG206" s="62">
        <f t="shared" si="209"/>
        <v>0.71</v>
      </c>
      <c r="AH206" s="60">
        <v>4</v>
      </c>
      <c r="AI206" s="60">
        <v>10</v>
      </c>
      <c r="AJ206" s="60">
        <v>6148</v>
      </c>
      <c r="AK206" s="68">
        <f t="shared" si="203"/>
        <v>17327</v>
      </c>
      <c r="AL206" s="68">
        <f t="shared" si="204"/>
        <v>20</v>
      </c>
      <c r="AM206" s="60">
        <f t="shared" si="161"/>
        <v>5</v>
      </c>
      <c r="AN206" s="14">
        <f t="shared" si="205"/>
        <v>5</v>
      </c>
      <c r="AO206" s="60">
        <v>5</v>
      </c>
      <c r="AP206" s="60">
        <v>1</v>
      </c>
      <c r="AQ206" s="60">
        <v>1</v>
      </c>
      <c r="AS206" s="25">
        <f t="shared" si="206"/>
        <v>8991</v>
      </c>
      <c r="AT206" s="14">
        <f t="shared" ref="AT206:AT269" si="210">ROUND(($AS206*$AH$17*50/4/4),2)*AP206^0.5</f>
        <v>421453.13</v>
      </c>
      <c r="AU206" s="14">
        <f t="shared" ref="AU206:AU269" si="211">((INDEX($V:$V,MATCH($AJ206,$T:$T,0))*INDEX($U:$U,MATCH($AJ206,$T:$T,0)))*$AP206/$AM206/$AQ206*5)</f>
        <v>346540</v>
      </c>
      <c r="AV206" s="65">
        <f t="shared" si="207"/>
        <v>0.60808727708201071</v>
      </c>
      <c r="AW206" s="65">
        <f t="shared" si="208"/>
        <v>1.0398292438102383</v>
      </c>
    </row>
    <row r="207" spans="20:49" x14ac:dyDescent="0.15">
      <c r="T207" s="28">
        <f t="shared" si="164"/>
        <v>6185</v>
      </c>
      <c r="U207" s="26">
        <f t="shared" si="165"/>
        <v>589037</v>
      </c>
      <c r="V207" s="28">
        <f t="shared" si="166"/>
        <v>20</v>
      </c>
      <c r="W207" s="14">
        <f t="shared" si="162"/>
        <v>16402</v>
      </c>
      <c r="X207" s="39">
        <f t="shared" si="163"/>
        <v>78538.266666666663</v>
      </c>
      <c r="Y207" s="15">
        <v>1</v>
      </c>
      <c r="AE207" s="80"/>
      <c r="AF207" s="80"/>
      <c r="AG207" s="62">
        <f t="shared" si="209"/>
        <v>0.71</v>
      </c>
      <c r="AH207" s="60">
        <v>5</v>
      </c>
      <c r="AI207" s="60">
        <v>10</v>
      </c>
      <c r="AJ207" s="60">
        <v>6155</v>
      </c>
      <c r="AK207" s="68">
        <f t="shared" si="203"/>
        <v>33761</v>
      </c>
      <c r="AL207" s="68">
        <f t="shared" si="204"/>
        <v>20</v>
      </c>
      <c r="AM207" s="60">
        <f t="shared" si="161"/>
        <v>10</v>
      </c>
      <c r="AN207" s="14">
        <f t="shared" si="205"/>
        <v>12</v>
      </c>
      <c r="AO207" s="60">
        <v>3</v>
      </c>
      <c r="AP207" s="60">
        <v>4</v>
      </c>
      <c r="AQ207" s="60">
        <v>1</v>
      </c>
      <c r="AS207" s="25">
        <f t="shared" si="206"/>
        <v>20542.333333333336</v>
      </c>
      <c r="AT207" s="14">
        <f t="shared" si="210"/>
        <v>1925843.76</v>
      </c>
      <c r="AU207" s="14">
        <f t="shared" si="211"/>
        <v>1350440</v>
      </c>
      <c r="AV207" s="65">
        <f t="shared" si="207"/>
        <v>0.71304306744468471</v>
      </c>
      <c r="AW207" s="65">
        <f t="shared" si="208"/>
        <v>1.2193036453304109</v>
      </c>
    </row>
    <row r="208" spans="20:49" x14ac:dyDescent="0.15">
      <c r="T208" s="28">
        <f t="shared" si="164"/>
        <v>6186</v>
      </c>
      <c r="U208" s="26">
        <f t="shared" si="165"/>
        <v>647940</v>
      </c>
      <c r="V208" s="28">
        <f t="shared" si="166"/>
        <v>20</v>
      </c>
      <c r="W208" s="14">
        <f t="shared" si="162"/>
        <v>18014</v>
      </c>
      <c r="X208" s="39">
        <f t="shared" si="163"/>
        <v>86392</v>
      </c>
      <c r="Y208" s="15">
        <v>1</v>
      </c>
      <c r="AE208" s="80"/>
      <c r="AF208" s="80"/>
      <c r="AG208" s="62">
        <f t="shared" si="209"/>
        <v>0.71</v>
      </c>
      <c r="AH208" s="60"/>
      <c r="AI208" s="60"/>
      <c r="AJ208" s="60"/>
      <c r="AK208" s="68"/>
      <c r="AL208" s="68"/>
      <c r="AM208" s="60" t="str">
        <f t="shared" si="161"/>
        <v/>
      </c>
      <c r="AN208" s="14"/>
      <c r="AO208" s="60"/>
      <c r="AP208" s="15"/>
      <c r="AQ208" s="60"/>
      <c r="AS208" s="25">
        <f t="shared" si="206"/>
        <v>74559.93333333332</v>
      </c>
      <c r="AT208" s="14">
        <f t="shared" si="210"/>
        <v>0</v>
      </c>
      <c r="AU208" s="14" t="e">
        <f t="shared" si="211"/>
        <v>#N/A</v>
      </c>
      <c r="AV208" s="65" t="e">
        <f t="shared" si="207"/>
        <v>#N/A</v>
      </c>
      <c r="AW208" s="65" t="e">
        <f t="shared" si="208"/>
        <v>#N/A</v>
      </c>
    </row>
    <row r="209" spans="20:49" x14ac:dyDescent="0.15">
      <c r="T209" s="28">
        <f t="shared" si="164"/>
        <v>6187</v>
      </c>
      <c r="U209" s="26">
        <f t="shared" si="165"/>
        <v>712734</v>
      </c>
      <c r="V209" s="28">
        <f t="shared" si="166"/>
        <v>20</v>
      </c>
      <c r="W209" s="14">
        <f t="shared" si="162"/>
        <v>19782</v>
      </c>
      <c r="X209" s="39">
        <f t="shared" si="163"/>
        <v>95031.2</v>
      </c>
      <c r="Y209" s="15">
        <v>1</v>
      </c>
      <c r="AE209" s="80"/>
      <c r="AF209" s="80"/>
      <c r="AG209" s="62">
        <f t="shared" si="209"/>
        <v>0.71</v>
      </c>
      <c r="AH209" s="60"/>
      <c r="AI209" s="60"/>
      <c r="AJ209" s="60"/>
      <c r="AK209" s="68"/>
      <c r="AL209" s="68"/>
      <c r="AM209" s="60" t="str">
        <f t="shared" si="161"/>
        <v/>
      </c>
      <c r="AN209" s="14"/>
      <c r="AO209" s="60"/>
      <c r="AP209" s="15"/>
      <c r="AQ209" s="60"/>
      <c r="AS209" s="25" t="e">
        <f t="shared" si="206"/>
        <v>#N/A</v>
      </c>
      <c r="AT209" s="14" t="e">
        <f t="shared" si="210"/>
        <v>#N/A</v>
      </c>
      <c r="AU209" s="14" t="e">
        <f t="shared" si="211"/>
        <v>#N/A</v>
      </c>
      <c r="AV209" s="65" t="e">
        <f t="shared" si="207"/>
        <v>#N/A</v>
      </c>
      <c r="AW209" s="65" t="e">
        <f t="shared" si="208"/>
        <v>#N/A</v>
      </c>
    </row>
    <row r="210" spans="20:49" x14ac:dyDescent="0.15">
      <c r="T210" s="28">
        <f t="shared" si="164"/>
        <v>6188</v>
      </c>
      <c r="U210" s="26">
        <f t="shared" si="165"/>
        <v>784007</v>
      </c>
      <c r="V210" s="28">
        <f t="shared" si="166"/>
        <v>20</v>
      </c>
      <c r="W210" s="14">
        <f t="shared" si="162"/>
        <v>21726</v>
      </c>
      <c r="X210" s="39">
        <f t="shared" si="163"/>
        <v>104534.26666666666</v>
      </c>
      <c r="Y210" s="15">
        <v>1</v>
      </c>
      <c r="AE210" s="81"/>
      <c r="AF210" s="81"/>
      <c r="AG210" s="25">
        <f t="shared" si="209"/>
        <v>0.71</v>
      </c>
      <c r="AH210" s="60"/>
      <c r="AI210" s="60"/>
      <c r="AJ210" s="60"/>
      <c r="AK210" s="68"/>
      <c r="AL210" s="68"/>
      <c r="AM210" s="60" t="str">
        <f t="shared" si="161"/>
        <v/>
      </c>
      <c r="AN210" s="14"/>
      <c r="AO210" s="60"/>
      <c r="AP210" s="15"/>
      <c r="AQ210" s="60"/>
      <c r="AS210" s="25" t="e">
        <f t="shared" si="206"/>
        <v>#N/A</v>
      </c>
      <c r="AT210" s="14" t="e">
        <f t="shared" si="210"/>
        <v>#N/A</v>
      </c>
      <c r="AU210" s="14" t="e">
        <f t="shared" si="211"/>
        <v>#N/A</v>
      </c>
      <c r="AV210" s="65" t="e">
        <f t="shared" si="207"/>
        <v>#N/A</v>
      </c>
      <c r="AW210" s="65" t="e">
        <f>(1+AG210)*AV210</f>
        <v>#N/A</v>
      </c>
    </row>
    <row r="211" spans="20:49" x14ac:dyDescent="0.15">
      <c r="T211" s="28">
        <f t="shared" si="164"/>
        <v>6189</v>
      </c>
      <c r="U211" s="26">
        <f t="shared" si="165"/>
        <v>862407</v>
      </c>
      <c r="V211" s="28">
        <f t="shared" si="166"/>
        <v>20</v>
      </c>
      <c r="W211" s="14">
        <f t="shared" si="162"/>
        <v>23862</v>
      </c>
      <c r="X211" s="39">
        <f t="shared" si="163"/>
        <v>114987.6</v>
      </c>
      <c r="Y211" s="15">
        <v>1</v>
      </c>
      <c r="AM211" s="60" t="str">
        <f t="shared" si="161"/>
        <v/>
      </c>
      <c r="AT211" s="14">
        <f t="shared" si="210"/>
        <v>0</v>
      </c>
      <c r="AU211" s="14" t="e">
        <f t="shared" si="211"/>
        <v>#N/A</v>
      </c>
    </row>
    <row r="212" spans="20:49" x14ac:dyDescent="0.15">
      <c r="T212" s="28">
        <f t="shared" si="164"/>
        <v>6190</v>
      </c>
      <c r="U212" s="26">
        <f t="shared" si="165"/>
        <v>948647</v>
      </c>
      <c r="V212" s="28">
        <f t="shared" si="166"/>
        <v>20</v>
      </c>
      <c r="W212" s="14">
        <f t="shared" si="162"/>
        <v>26206</v>
      </c>
      <c r="X212" s="39">
        <f t="shared" si="163"/>
        <v>126486.26666666668</v>
      </c>
      <c r="Y212" s="15">
        <v>1</v>
      </c>
      <c r="AE212" s="79">
        <f>AE203+1</f>
        <v>19</v>
      </c>
      <c r="AF212" s="79">
        <v>23</v>
      </c>
      <c r="AG212" s="63">
        <f>INDEX($BC$14:$BC$77,MATCH(AF212,$BA$14:$BA$77))</f>
        <v>0.75</v>
      </c>
      <c r="AH212" s="60">
        <v>1</v>
      </c>
      <c r="AI212" s="60">
        <v>10</v>
      </c>
      <c r="AJ212" s="60">
        <v>6105</v>
      </c>
      <c r="AK212" s="68">
        <f>INDEX(U:U,MATCH($AJ212,T:T,0))</f>
        <v>292</v>
      </c>
      <c r="AL212" s="68">
        <f>INDEX(V:V,MATCH($AJ212,T:T,0))</f>
        <v>20</v>
      </c>
      <c r="AM212" s="60">
        <f t="shared" si="161"/>
        <v>5</v>
      </c>
      <c r="AN212" s="14">
        <f>AO212*AP212</f>
        <v>5</v>
      </c>
      <c r="AO212" s="60">
        <v>5</v>
      </c>
      <c r="AP212" s="60">
        <v>1</v>
      </c>
      <c r="AQ212" s="60">
        <v>1</v>
      </c>
      <c r="AS212" s="15">
        <f>$AH$18</f>
        <v>200</v>
      </c>
      <c r="AT212" s="14">
        <f t="shared" si="210"/>
        <v>9375</v>
      </c>
      <c r="AU212" s="14">
        <f t="shared" si="211"/>
        <v>5840</v>
      </c>
      <c r="AV212" s="65">
        <f>AT212/AU212*10/AL212</f>
        <v>0.80265410958904104</v>
      </c>
      <c r="AW212" s="65">
        <f>(1+AG212)*AV212</f>
        <v>1.4046446917808217</v>
      </c>
    </row>
    <row r="213" spans="20:49" x14ac:dyDescent="0.15">
      <c r="T213" s="28">
        <f t="shared" si="164"/>
        <v>6191</v>
      </c>
      <c r="U213" s="26">
        <f t="shared" si="165"/>
        <v>1043511</v>
      </c>
      <c r="V213" s="28">
        <f t="shared" si="166"/>
        <v>20</v>
      </c>
      <c r="W213" s="14">
        <f t="shared" si="162"/>
        <v>28782</v>
      </c>
      <c r="X213" s="39">
        <f t="shared" si="163"/>
        <v>139134.79999999999</v>
      </c>
      <c r="Y213" s="15">
        <v>1</v>
      </c>
      <c r="AE213" s="80"/>
      <c r="AF213" s="80"/>
      <c r="AG213" s="62">
        <f>AG212</f>
        <v>0.75</v>
      </c>
      <c r="AH213" s="60">
        <v>2</v>
      </c>
      <c r="AI213" s="60">
        <v>10</v>
      </c>
      <c r="AJ213" s="60">
        <v>6030</v>
      </c>
      <c r="AK213" s="68">
        <f t="shared" ref="AK213:AK216" si="212">INDEX(U:U,MATCH($AJ213,T:T,0))</f>
        <v>1540</v>
      </c>
      <c r="AL213" s="68">
        <f t="shared" ref="AL213:AL216" si="213">INDEX(V:V,MATCH($AJ213,T:T,0))</f>
        <v>10</v>
      </c>
      <c r="AM213" s="60">
        <f t="shared" si="161"/>
        <v>10</v>
      </c>
      <c r="AN213" s="14">
        <f t="shared" ref="AN213:AN216" si="214">AO213*AP213</f>
        <v>20</v>
      </c>
      <c r="AO213" s="60">
        <v>5</v>
      </c>
      <c r="AP213" s="60">
        <v>4</v>
      </c>
      <c r="AQ213" s="60">
        <v>1</v>
      </c>
      <c r="AS213" s="25">
        <f t="shared" ref="AS213:AS219" si="215">AS212+AN212*INDEX(X:X,MATCH(AJ212,T:T,0))</f>
        <v>394.66666666666663</v>
      </c>
      <c r="AT213" s="14">
        <f t="shared" si="210"/>
        <v>37000</v>
      </c>
      <c r="AU213" s="14">
        <f t="shared" si="211"/>
        <v>30800</v>
      </c>
      <c r="AV213" s="65">
        <f t="shared" ref="AV213:AV219" si="216">AT213/AU213*10/AL213</f>
        <v>1.2012987012987013</v>
      </c>
      <c r="AW213" s="65">
        <f t="shared" ref="AW213:AW218" si="217">(1+AG213)*AV213</f>
        <v>2.1022727272727275</v>
      </c>
    </row>
    <row r="214" spans="20:49" x14ac:dyDescent="0.15">
      <c r="T214" s="28">
        <f t="shared" si="164"/>
        <v>6192</v>
      </c>
      <c r="U214" s="26">
        <f t="shared" si="165"/>
        <v>1147862</v>
      </c>
      <c r="V214" s="28">
        <f t="shared" si="166"/>
        <v>20</v>
      </c>
      <c r="W214" s="14">
        <f t="shared" si="162"/>
        <v>31610</v>
      </c>
      <c r="X214" s="39">
        <f t="shared" si="163"/>
        <v>153048.26666666666</v>
      </c>
      <c r="Y214" s="15">
        <v>1</v>
      </c>
      <c r="AE214" s="80"/>
      <c r="AF214" s="80"/>
      <c r="AG214" s="62">
        <f t="shared" ref="AG214:AG219" si="218">AG213</f>
        <v>0.75</v>
      </c>
      <c r="AH214" s="60">
        <v>3</v>
      </c>
      <c r="AI214" s="60">
        <v>10</v>
      </c>
      <c r="AJ214" s="60">
        <v>6130</v>
      </c>
      <c r="AK214" s="68">
        <f t="shared" si="212"/>
        <v>3119</v>
      </c>
      <c r="AL214" s="68">
        <f t="shared" si="213"/>
        <v>20</v>
      </c>
      <c r="AM214" s="60">
        <f t="shared" si="161"/>
        <v>5</v>
      </c>
      <c r="AN214" s="14">
        <f t="shared" si="214"/>
        <v>3</v>
      </c>
      <c r="AO214" s="60">
        <v>3</v>
      </c>
      <c r="AP214" s="60">
        <v>1</v>
      </c>
      <c r="AQ214" s="60">
        <v>1</v>
      </c>
      <c r="AS214" s="25">
        <f t="shared" si="215"/>
        <v>2448</v>
      </c>
      <c r="AT214" s="14">
        <f t="shared" si="210"/>
        <v>114750</v>
      </c>
      <c r="AU214" s="14">
        <f t="shared" si="211"/>
        <v>62380</v>
      </c>
      <c r="AV214" s="65">
        <f t="shared" si="216"/>
        <v>0.91976595062520039</v>
      </c>
      <c r="AW214" s="65">
        <f t="shared" si="217"/>
        <v>1.6095904135941006</v>
      </c>
    </row>
    <row r="215" spans="20:49" x14ac:dyDescent="0.15">
      <c r="T215" s="28">
        <f t="shared" si="164"/>
        <v>6193</v>
      </c>
      <c r="U215" s="26">
        <f t="shared" si="165"/>
        <v>1262648</v>
      </c>
      <c r="V215" s="28">
        <f t="shared" si="166"/>
        <v>20</v>
      </c>
      <c r="W215" s="14">
        <f t="shared" si="162"/>
        <v>34716</v>
      </c>
      <c r="X215" s="39">
        <f t="shared" si="163"/>
        <v>168353.06666666668</v>
      </c>
      <c r="Y215" s="15">
        <v>1</v>
      </c>
      <c r="AE215" s="80"/>
      <c r="AF215" s="80"/>
      <c r="AG215" s="62">
        <f t="shared" si="218"/>
        <v>0.75</v>
      </c>
      <c r="AH215" s="60">
        <v>4</v>
      </c>
      <c r="AI215" s="60">
        <v>10</v>
      </c>
      <c r="AJ215" s="60">
        <v>6139</v>
      </c>
      <c r="AK215" s="68">
        <f t="shared" si="212"/>
        <v>7350</v>
      </c>
      <c r="AL215" s="68">
        <f t="shared" si="213"/>
        <v>20</v>
      </c>
      <c r="AM215" s="60">
        <f t="shared" ref="AM215:AM278" si="219">IF(AP215="","",IF(AP215=1,5,10))</f>
        <v>5</v>
      </c>
      <c r="AN215" s="14">
        <f t="shared" si="214"/>
        <v>5</v>
      </c>
      <c r="AO215" s="60">
        <v>5</v>
      </c>
      <c r="AP215" s="60">
        <v>1</v>
      </c>
      <c r="AQ215" s="60">
        <v>1</v>
      </c>
      <c r="AS215" s="25">
        <f t="shared" si="215"/>
        <v>3695.6</v>
      </c>
      <c r="AT215" s="14">
        <f t="shared" si="210"/>
        <v>173231.25</v>
      </c>
      <c r="AU215" s="14">
        <f t="shared" si="211"/>
        <v>147000</v>
      </c>
      <c r="AV215" s="65">
        <f t="shared" si="216"/>
        <v>0.58922193877551021</v>
      </c>
      <c r="AW215" s="65">
        <f t="shared" si="217"/>
        <v>1.0311383928571429</v>
      </c>
    </row>
    <row r="216" spans="20:49" x14ac:dyDescent="0.15">
      <c r="T216" s="28">
        <f t="shared" si="164"/>
        <v>6194</v>
      </c>
      <c r="U216" s="26">
        <f t="shared" si="165"/>
        <v>1388912</v>
      </c>
      <c r="V216" s="28">
        <f t="shared" si="166"/>
        <v>20</v>
      </c>
      <c r="W216" s="14">
        <f t="shared" ref="W216:W279" si="220">_xlfn.FLOOR.MATH(V216*U216/15/10/RIGHT(T216,3)^0.3,2)</f>
        <v>38130</v>
      </c>
      <c r="X216" s="39">
        <f t="shared" ref="X216:X279" si="221">U216*V216/15/10</f>
        <v>185188.26666666666</v>
      </c>
      <c r="Y216" s="15">
        <v>1</v>
      </c>
      <c r="AE216" s="80"/>
      <c r="AF216" s="80"/>
      <c r="AG216" s="62">
        <f t="shared" si="218"/>
        <v>0.75</v>
      </c>
      <c r="AH216" s="60">
        <v>5</v>
      </c>
      <c r="AI216" s="60">
        <v>10</v>
      </c>
      <c r="AJ216" s="60">
        <v>6143</v>
      </c>
      <c r="AK216" s="68">
        <f t="shared" si="212"/>
        <v>10760</v>
      </c>
      <c r="AL216" s="68">
        <f t="shared" si="213"/>
        <v>20</v>
      </c>
      <c r="AM216" s="60">
        <f t="shared" si="219"/>
        <v>10</v>
      </c>
      <c r="AN216" s="14">
        <f t="shared" si="214"/>
        <v>27</v>
      </c>
      <c r="AO216" s="60">
        <v>3</v>
      </c>
      <c r="AP216" s="60">
        <v>9</v>
      </c>
      <c r="AQ216" s="60">
        <v>1</v>
      </c>
      <c r="AS216" s="25">
        <f t="shared" si="215"/>
        <v>8595.6</v>
      </c>
      <c r="AT216" s="14">
        <f t="shared" si="210"/>
        <v>1208756.25</v>
      </c>
      <c r="AU216" s="14">
        <f t="shared" si="211"/>
        <v>968400</v>
      </c>
      <c r="AV216" s="65">
        <f t="shared" si="216"/>
        <v>0.62409967472118955</v>
      </c>
      <c r="AW216" s="65">
        <f t="shared" si="217"/>
        <v>1.0921744307620818</v>
      </c>
    </row>
    <row r="217" spans="20:49" x14ac:dyDescent="0.15">
      <c r="T217" s="28">
        <f t="shared" ref="T217:T280" si="222">T216+1</f>
        <v>6195</v>
      </c>
      <c r="U217" s="26">
        <f t="shared" ref="U217:U222" si="223">INT(U216*$U$18)</f>
        <v>1527803</v>
      </c>
      <c r="V217" s="28">
        <f t="shared" ref="V217:V222" si="224">V216</f>
        <v>20</v>
      </c>
      <c r="W217" s="14">
        <f t="shared" si="220"/>
        <v>41878</v>
      </c>
      <c r="X217" s="39">
        <f t="shared" si="221"/>
        <v>203707.06666666668</v>
      </c>
      <c r="Y217" s="15">
        <v>1</v>
      </c>
      <c r="AE217" s="80"/>
      <c r="AF217" s="80"/>
      <c r="AG217" s="62">
        <f t="shared" si="218"/>
        <v>0.75</v>
      </c>
      <c r="AH217" s="60"/>
      <c r="AI217" s="60"/>
      <c r="AJ217" s="60"/>
      <c r="AK217" s="68"/>
      <c r="AL217" s="68"/>
      <c r="AM217" s="60" t="str">
        <f t="shared" si="219"/>
        <v/>
      </c>
      <c r="AN217" s="14"/>
      <c r="AO217" s="60"/>
      <c r="AP217" s="15"/>
      <c r="AQ217" s="60"/>
      <c r="AS217" s="25">
        <f t="shared" si="215"/>
        <v>47331.599999999991</v>
      </c>
      <c r="AT217" s="14">
        <f t="shared" si="210"/>
        <v>0</v>
      </c>
      <c r="AU217" s="14" t="e">
        <f t="shared" si="211"/>
        <v>#N/A</v>
      </c>
      <c r="AV217" s="65" t="e">
        <f t="shared" si="216"/>
        <v>#N/A</v>
      </c>
      <c r="AW217" s="65" t="e">
        <f t="shared" si="217"/>
        <v>#N/A</v>
      </c>
    </row>
    <row r="218" spans="20:49" x14ac:dyDescent="0.15">
      <c r="T218" s="28">
        <f t="shared" si="222"/>
        <v>6196</v>
      </c>
      <c r="U218" s="26">
        <f t="shared" si="223"/>
        <v>1680583</v>
      </c>
      <c r="V218" s="28">
        <f t="shared" si="224"/>
        <v>20</v>
      </c>
      <c r="W218" s="14">
        <f t="shared" si="220"/>
        <v>45996</v>
      </c>
      <c r="X218" s="39">
        <f t="shared" si="221"/>
        <v>224077.73333333334</v>
      </c>
      <c r="Y218" s="15">
        <v>1</v>
      </c>
      <c r="AE218" s="80"/>
      <c r="AF218" s="80"/>
      <c r="AG218" s="62">
        <f t="shared" si="218"/>
        <v>0.75</v>
      </c>
      <c r="AH218" s="60"/>
      <c r="AI218" s="60"/>
      <c r="AJ218" s="60"/>
      <c r="AK218" s="68"/>
      <c r="AL218" s="68"/>
      <c r="AM218" s="60" t="str">
        <f t="shared" si="219"/>
        <v/>
      </c>
      <c r="AN218" s="14"/>
      <c r="AO218" s="60"/>
      <c r="AP218" s="15"/>
      <c r="AQ218" s="60"/>
      <c r="AS218" s="25" t="e">
        <f t="shared" si="215"/>
        <v>#N/A</v>
      </c>
      <c r="AT218" s="14" t="e">
        <f t="shared" si="210"/>
        <v>#N/A</v>
      </c>
      <c r="AU218" s="14" t="e">
        <f t="shared" si="211"/>
        <v>#N/A</v>
      </c>
      <c r="AV218" s="65" t="e">
        <f t="shared" si="216"/>
        <v>#N/A</v>
      </c>
      <c r="AW218" s="65" t="e">
        <f t="shared" si="217"/>
        <v>#N/A</v>
      </c>
    </row>
    <row r="219" spans="20:49" x14ac:dyDescent="0.15">
      <c r="T219" s="28">
        <f t="shared" si="222"/>
        <v>6197</v>
      </c>
      <c r="U219" s="26">
        <f t="shared" si="223"/>
        <v>1848641</v>
      </c>
      <c r="V219" s="28">
        <f t="shared" si="224"/>
        <v>20</v>
      </c>
      <c r="W219" s="14">
        <f t="shared" si="220"/>
        <v>50518</v>
      </c>
      <c r="X219" s="39">
        <f t="shared" si="221"/>
        <v>246485.46666666665</v>
      </c>
      <c r="Y219" s="15">
        <v>1</v>
      </c>
      <c r="AE219" s="81"/>
      <c r="AF219" s="81"/>
      <c r="AG219" s="25">
        <f t="shared" si="218"/>
        <v>0.75</v>
      </c>
      <c r="AH219" s="60"/>
      <c r="AI219" s="60"/>
      <c r="AJ219" s="60"/>
      <c r="AK219" s="68"/>
      <c r="AL219" s="68"/>
      <c r="AM219" s="60" t="str">
        <f t="shared" si="219"/>
        <v/>
      </c>
      <c r="AN219" s="14"/>
      <c r="AO219" s="60"/>
      <c r="AP219" s="15"/>
      <c r="AQ219" s="60"/>
      <c r="AS219" s="25" t="e">
        <f t="shared" si="215"/>
        <v>#N/A</v>
      </c>
      <c r="AT219" s="14" t="e">
        <f t="shared" si="210"/>
        <v>#N/A</v>
      </c>
      <c r="AU219" s="14" t="e">
        <f t="shared" si="211"/>
        <v>#N/A</v>
      </c>
      <c r="AV219" s="65" t="e">
        <f t="shared" si="216"/>
        <v>#N/A</v>
      </c>
      <c r="AW219" s="65" t="e">
        <f>(1+AG219)*AV219</f>
        <v>#N/A</v>
      </c>
    </row>
    <row r="220" spans="20:49" x14ac:dyDescent="0.15">
      <c r="T220" s="28">
        <f t="shared" si="222"/>
        <v>6198</v>
      </c>
      <c r="U220" s="26">
        <f t="shared" si="223"/>
        <v>2033505</v>
      </c>
      <c r="V220" s="28">
        <f t="shared" si="224"/>
        <v>20</v>
      </c>
      <c r="W220" s="14">
        <f t="shared" si="220"/>
        <v>55486</v>
      </c>
      <c r="X220" s="39">
        <f t="shared" si="221"/>
        <v>271134</v>
      </c>
      <c r="Y220" s="15">
        <v>1</v>
      </c>
      <c r="AM220" s="60" t="str">
        <f t="shared" si="219"/>
        <v/>
      </c>
      <c r="AT220" s="14">
        <f t="shared" si="210"/>
        <v>0</v>
      </c>
      <c r="AU220" s="14" t="e">
        <f t="shared" si="211"/>
        <v>#N/A</v>
      </c>
    </row>
    <row r="221" spans="20:49" x14ac:dyDescent="0.15">
      <c r="T221" s="28">
        <f t="shared" si="222"/>
        <v>6199</v>
      </c>
      <c r="U221" s="26">
        <f t="shared" si="223"/>
        <v>2236855</v>
      </c>
      <c r="V221" s="28">
        <f t="shared" si="224"/>
        <v>20</v>
      </c>
      <c r="W221" s="14">
        <f t="shared" si="220"/>
        <v>60942</v>
      </c>
      <c r="X221" s="39">
        <f t="shared" si="221"/>
        <v>298247.33333333337</v>
      </c>
      <c r="Y221" s="15">
        <v>1</v>
      </c>
      <c r="AE221" s="79">
        <f>AE212+1</f>
        <v>20</v>
      </c>
      <c r="AF221" s="79">
        <v>24</v>
      </c>
      <c r="AG221" s="63">
        <f>INDEX($BC$14:$BC$77,MATCH(AF221,$BA$14:$BA$77))</f>
        <v>0.78</v>
      </c>
      <c r="AH221" s="60">
        <v>1</v>
      </c>
      <c r="AI221" s="60">
        <v>10</v>
      </c>
      <c r="AJ221" s="60">
        <v>6010</v>
      </c>
      <c r="AK221" s="68">
        <f>INDEX(U:U,MATCH($AJ221,T:T,0))</f>
        <v>233</v>
      </c>
      <c r="AL221" s="68">
        <f>INDEX(V:V,MATCH($AJ221,T:T,0))</f>
        <v>10</v>
      </c>
      <c r="AM221" s="60">
        <f t="shared" si="219"/>
        <v>5</v>
      </c>
      <c r="AN221" s="14">
        <f>AO221*AP221</f>
        <v>5</v>
      </c>
      <c r="AO221" s="60">
        <v>5</v>
      </c>
      <c r="AP221" s="60">
        <v>1</v>
      </c>
      <c r="AQ221" s="60">
        <v>1</v>
      </c>
      <c r="AS221" s="15">
        <f>$AH$18</f>
        <v>200</v>
      </c>
      <c r="AT221" s="14">
        <f t="shared" si="210"/>
        <v>9375</v>
      </c>
      <c r="AU221" s="14">
        <f t="shared" si="211"/>
        <v>2330</v>
      </c>
      <c r="AV221" s="65">
        <f>AT221/AU221*10/AL221</f>
        <v>4.0236051502145926</v>
      </c>
      <c r="AW221" s="65">
        <f>(1+AG221)*AV221</f>
        <v>7.1620171673819746</v>
      </c>
    </row>
    <row r="222" spans="20:49" x14ac:dyDescent="0.15">
      <c r="T222" s="28">
        <f t="shared" si="222"/>
        <v>6200</v>
      </c>
      <c r="U222" s="26">
        <f t="shared" si="223"/>
        <v>2460540</v>
      </c>
      <c r="V222" s="28">
        <f t="shared" si="224"/>
        <v>20</v>
      </c>
      <c r="W222" s="14">
        <f t="shared" si="220"/>
        <v>66936</v>
      </c>
      <c r="X222" s="39">
        <f t="shared" si="221"/>
        <v>328072</v>
      </c>
      <c r="Y222" s="15">
        <v>1</v>
      </c>
      <c r="AE222" s="80"/>
      <c r="AF222" s="80"/>
      <c r="AG222" s="62">
        <f>AG221</f>
        <v>0.78</v>
      </c>
      <c r="AH222" s="60">
        <v>2</v>
      </c>
      <c r="AI222" s="60">
        <v>10</v>
      </c>
      <c r="AJ222" s="60">
        <v>6030</v>
      </c>
      <c r="AK222" s="68">
        <f t="shared" ref="AK222:AK225" si="225">INDEX(U:U,MATCH($AJ222,T:T,0))</f>
        <v>1540</v>
      </c>
      <c r="AL222" s="68">
        <f t="shared" ref="AL222:AL225" si="226">INDEX(V:V,MATCH($AJ222,T:T,0))</f>
        <v>10</v>
      </c>
      <c r="AM222" s="60">
        <f t="shared" si="219"/>
        <v>5</v>
      </c>
      <c r="AN222" s="14">
        <f t="shared" ref="AN222:AN227" si="227">AO222*AP222</f>
        <v>5</v>
      </c>
      <c r="AO222" s="60">
        <v>5</v>
      </c>
      <c r="AP222" s="60">
        <v>1</v>
      </c>
      <c r="AQ222" s="60">
        <v>1</v>
      </c>
      <c r="AS222" s="25">
        <f t="shared" ref="AS222:AS228" si="228">AS221+AN221*INDEX(X:X,MATCH(AJ221,T:T,0))</f>
        <v>277.66666666666669</v>
      </c>
      <c r="AT222" s="14">
        <f t="shared" si="210"/>
        <v>13015.63</v>
      </c>
      <c r="AU222" s="14">
        <f t="shared" si="211"/>
        <v>15400</v>
      </c>
      <c r="AV222" s="65">
        <f t="shared" ref="AV222:AV228" si="229">AT222/AU222*10/AL222</f>
        <v>0.84517077922077921</v>
      </c>
      <c r="AW222" s="65">
        <f t="shared" ref="AW222:AW227" si="230">(1+AG222)*AV222</f>
        <v>1.5044039870129871</v>
      </c>
    </row>
    <row r="223" spans="20:49" x14ac:dyDescent="0.15">
      <c r="T223" s="28">
        <f t="shared" si="222"/>
        <v>6201</v>
      </c>
      <c r="U223" s="38">
        <v>200</v>
      </c>
      <c r="V223" s="36">
        <f>V123+10</f>
        <v>30</v>
      </c>
      <c r="W223" s="14">
        <f t="shared" si="220"/>
        <v>8</v>
      </c>
      <c r="X223" s="39">
        <f t="shared" si="221"/>
        <v>40</v>
      </c>
      <c r="Y223" s="15">
        <v>1</v>
      </c>
      <c r="AE223" s="80"/>
      <c r="AF223" s="80"/>
      <c r="AG223" s="62">
        <f t="shared" ref="AG223:AG228" si="231">AG222</f>
        <v>0.78</v>
      </c>
      <c r="AH223" s="60">
        <v>3</v>
      </c>
      <c r="AI223" s="60">
        <v>10</v>
      </c>
      <c r="AJ223" s="60">
        <v>6120</v>
      </c>
      <c r="AK223" s="68">
        <f t="shared" si="225"/>
        <v>1206</v>
      </c>
      <c r="AL223" s="68">
        <f t="shared" si="226"/>
        <v>20</v>
      </c>
      <c r="AM223" s="60">
        <f t="shared" si="219"/>
        <v>10</v>
      </c>
      <c r="AN223" s="14">
        <f t="shared" si="227"/>
        <v>20</v>
      </c>
      <c r="AO223" s="60">
        <v>5</v>
      </c>
      <c r="AP223" s="60">
        <v>4</v>
      </c>
      <c r="AQ223" s="60">
        <v>1</v>
      </c>
      <c r="AS223" s="25">
        <f t="shared" si="228"/>
        <v>791</v>
      </c>
      <c r="AT223" s="14">
        <f t="shared" si="210"/>
        <v>74156.259999999995</v>
      </c>
      <c r="AU223" s="14">
        <f t="shared" si="211"/>
        <v>48240</v>
      </c>
      <c r="AV223" s="65">
        <f t="shared" si="229"/>
        <v>0.768617951907131</v>
      </c>
      <c r="AW223" s="65">
        <f t="shared" si="230"/>
        <v>1.3681399543946933</v>
      </c>
    </row>
    <row r="224" spans="20:49" x14ac:dyDescent="0.15">
      <c r="T224" s="28">
        <f t="shared" si="222"/>
        <v>6202</v>
      </c>
      <c r="U224" s="26">
        <f t="shared" ref="U224:U287" si="232">INT(U223*$U$18)</f>
        <v>220</v>
      </c>
      <c r="V224" s="28">
        <f t="shared" ref="V224:V287" si="233">V223</f>
        <v>30</v>
      </c>
      <c r="W224" s="14">
        <f t="shared" si="220"/>
        <v>8</v>
      </c>
      <c r="X224" s="39">
        <f t="shared" si="221"/>
        <v>44</v>
      </c>
      <c r="Y224" s="15">
        <v>1</v>
      </c>
      <c r="AE224" s="80"/>
      <c r="AF224" s="80"/>
      <c r="AG224" s="62">
        <f t="shared" si="231"/>
        <v>0.78</v>
      </c>
      <c r="AH224" s="60">
        <v>4</v>
      </c>
      <c r="AI224" s="60">
        <v>10</v>
      </c>
      <c r="AJ224" s="60">
        <v>6140</v>
      </c>
      <c r="AK224" s="68">
        <f t="shared" si="225"/>
        <v>8085</v>
      </c>
      <c r="AL224" s="68">
        <f t="shared" si="226"/>
        <v>20</v>
      </c>
      <c r="AM224" s="60">
        <f t="shared" si="219"/>
        <v>5</v>
      </c>
      <c r="AN224" s="14">
        <f t="shared" si="227"/>
        <v>5</v>
      </c>
      <c r="AO224" s="60">
        <v>5</v>
      </c>
      <c r="AP224" s="60">
        <v>1</v>
      </c>
      <c r="AQ224" s="60">
        <v>1</v>
      </c>
      <c r="AS224" s="25">
        <f t="shared" si="228"/>
        <v>4007</v>
      </c>
      <c r="AT224" s="14">
        <f t="shared" si="210"/>
        <v>187828.13</v>
      </c>
      <c r="AU224" s="14">
        <f t="shared" si="211"/>
        <v>161700</v>
      </c>
      <c r="AV224" s="65">
        <f t="shared" si="229"/>
        <v>0.58079199134199133</v>
      </c>
      <c r="AW224" s="65">
        <f t="shared" si="230"/>
        <v>1.0338097445887446</v>
      </c>
    </row>
    <row r="225" spans="20:49" x14ac:dyDescent="0.15">
      <c r="T225" s="28">
        <f t="shared" si="222"/>
        <v>6203</v>
      </c>
      <c r="U225" s="26">
        <f t="shared" si="232"/>
        <v>242</v>
      </c>
      <c r="V225" s="28">
        <f t="shared" si="233"/>
        <v>30</v>
      </c>
      <c r="W225" s="14">
        <f t="shared" si="220"/>
        <v>8</v>
      </c>
      <c r="X225" s="39">
        <f t="shared" si="221"/>
        <v>48.4</v>
      </c>
      <c r="Y225" s="15">
        <v>1</v>
      </c>
      <c r="AE225" s="80"/>
      <c r="AF225" s="80"/>
      <c r="AG225" s="62">
        <f t="shared" si="231"/>
        <v>0.78</v>
      </c>
      <c r="AH225" s="60">
        <v>5</v>
      </c>
      <c r="AI225" s="60">
        <v>10</v>
      </c>
      <c r="AJ225" s="60">
        <v>6148</v>
      </c>
      <c r="AK225" s="68">
        <f t="shared" si="225"/>
        <v>17327</v>
      </c>
      <c r="AL225" s="68">
        <f t="shared" si="226"/>
        <v>20</v>
      </c>
      <c r="AM225" s="60">
        <f t="shared" si="219"/>
        <v>10</v>
      </c>
      <c r="AN225" s="14">
        <f t="shared" si="227"/>
        <v>20</v>
      </c>
      <c r="AO225" s="60">
        <v>5</v>
      </c>
      <c r="AP225" s="60">
        <v>4</v>
      </c>
      <c r="AQ225" s="60">
        <v>1</v>
      </c>
      <c r="AS225" s="25">
        <f t="shared" si="228"/>
        <v>9397</v>
      </c>
      <c r="AT225" s="14">
        <f t="shared" si="210"/>
        <v>880968.76</v>
      </c>
      <c r="AU225" s="14">
        <f t="shared" si="211"/>
        <v>693080</v>
      </c>
      <c r="AV225" s="65">
        <f t="shared" si="229"/>
        <v>0.6355462284296185</v>
      </c>
      <c r="AW225" s="65">
        <f t="shared" si="230"/>
        <v>1.1312722866047209</v>
      </c>
    </row>
    <row r="226" spans="20:49" x14ac:dyDescent="0.15">
      <c r="T226" s="28">
        <f t="shared" si="222"/>
        <v>6204</v>
      </c>
      <c r="U226" s="26">
        <f t="shared" si="232"/>
        <v>266</v>
      </c>
      <c r="V226" s="28">
        <f t="shared" si="233"/>
        <v>30</v>
      </c>
      <c r="W226" s="14">
        <f t="shared" si="220"/>
        <v>10</v>
      </c>
      <c r="X226" s="39">
        <f t="shared" si="221"/>
        <v>53.2</v>
      </c>
      <c r="Y226" s="15">
        <v>1</v>
      </c>
      <c r="AE226" s="80"/>
      <c r="AF226" s="80"/>
      <c r="AG226" s="62">
        <f t="shared" si="231"/>
        <v>0.78</v>
      </c>
      <c r="AH226" s="60">
        <v>6</v>
      </c>
      <c r="AI226" s="60">
        <v>10</v>
      </c>
      <c r="AJ226" s="60">
        <v>6165</v>
      </c>
      <c r="AK226" s="68">
        <f>INDEX(U:U,MATCH($AJ226,T:T,0))</f>
        <v>87561</v>
      </c>
      <c r="AL226" s="68">
        <f>INDEX(V:V,MATCH($AJ226,T:T,0))</f>
        <v>20</v>
      </c>
      <c r="AM226" s="60">
        <v>5</v>
      </c>
      <c r="AN226" s="14">
        <f t="shared" si="227"/>
        <v>5</v>
      </c>
      <c r="AO226" s="60">
        <v>5</v>
      </c>
      <c r="AP226" s="15">
        <v>1</v>
      </c>
      <c r="AQ226" s="60">
        <v>1</v>
      </c>
      <c r="AS226" s="25">
        <f t="shared" si="228"/>
        <v>55602.333333333336</v>
      </c>
      <c r="AT226" s="14">
        <f t="shared" si="210"/>
        <v>2606359.38</v>
      </c>
      <c r="AU226" s="14">
        <f t="shared" si="211"/>
        <v>1751220</v>
      </c>
      <c r="AV226" s="65">
        <f t="shared" si="229"/>
        <v>0.74415532600130196</v>
      </c>
      <c r="AW226" s="65">
        <f t="shared" si="230"/>
        <v>1.3245964802823176</v>
      </c>
    </row>
    <row r="227" spans="20:49" x14ac:dyDescent="0.15">
      <c r="T227" s="28">
        <f t="shared" si="222"/>
        <v>6205</v>
      </c>
      <c r="U227" s="26">
        <f t="shared" si="232"/>
        <v>292</v>
      </c>
      <c r="V227" s="28">
        <f t="shared" si="233"/>
        <v>30</v>
      </c>
      <c r="W227" s="14">
        <f t="shared" si="220"/>
        <v>10</v>
      </c>
      <c r="X227" s="39">
        <f t="shared" si="221"/>
        <v>58.4</v>
      </c>
      <c r="Y227" s="15">
        <v>1</v>
      </c>
      <c r="AE227" s="80"/>
      <c r="AF227" s="80"/>
      <c r="AG227" s="62">
        <f t="shared" si="231"/>
        <v>0.78</v>
      </c>
      <c r="AH227" s="60">
        <v>7</v>
      </c>
      <c r="AI227" s="60">
        <v>10</v>
      </c>
      <c r="AJ227" s="60">
        <v>6169</v>
      </c>
      <c r="AK227" s="68">
        <f t="shared" ref="AK227" si="234">INDEX(U:U,MATCH($AJ227,T:T,0))</f>
        <v>128196</v>
      </c>
      <c r="AL227" s="68">
        <f t="shared" ref="AL227" si="235">INDEX(V:V,MATCH($AJ227,T:T,0))</f>
        <v>20</v>
      </c>
      <c r="AM227" s="60">
        <v>5</v>
      </c>
      <c r="AN227" s="14">
        <f t="shared" si="227"/>
        <v>5</v>
      </c>
      <c r="AO227" s="60">
        <v>5</v>
      </c>
      <c r="AP227" s="15">
        <v>1</v>
      </c>
      <c r="AQ227" s="60">
        <v>1</v>
      </c>
      <c r="AS227" s="25">
        <f t="shared" si="228"/>
        <v>113976.33333333334</v>
      </c>
      <c r="AT227" s="14">
        <f t="shared" si="210"/>
        <v>5342640.63</v>
      </c>
      <c r="AU227" s="14">
        <f t="shared" si="211"/>
        <v>2563920</v>
      </c>
      <c r="AV227" s="65">
        <f t="shared" si="229"/>
        <v>1.0418891053543011</v>
      </c>
      <c r="AW227" s="65">
        <f t="shared" si="230"/>
        <v>1.854562607530656</v>
      </c>
    </row>
    <row r="228" spans="20:49" x14ac:dyDescent="0.15">
      <c r="T228" s="28">
        <f t="shared" si="222"/>
        <v>6206</v>
      </c>
      <c r="U228" s="26">
        <f t="shared" si="232"/>
        <v>321</v>
      </c>
      <c r="V228" s="28">
        <f t="shared" si="233"/>
        <v>30</v>
      </c>
      <c r="W228" s="14">
        <f t="shared" si="220"/>
        <v>12</v>
      </c>
      <c r="X228" s="39">
        <f t="shared" si="221"/>
        <v>64.2</v>
      </c>
      <c r="Y228" s="15">
        <v>1</v>
      </c>
      <c r="AE228" s="81"/>
      <c r="AF228" s="81"/>
      <c r="AG228" s="25">
        <f t="shared" si="231"/>
        <v>0.78</v>
      </c>
      <c r="AH228" s="60"/>
      <c r="AI228" s="60"/>
      <c r="AJ228" s="60"/>
      <c r="AK228" s="68"/>
      <c r="AL228" s="68"/>
      <c r="AM228" s="60" t="str">
        <f t="shared" si="219"/>
        <v/>
      </c>
      <c r="AN228" s="14"/>
      <c r="AO228" s="60"/>
      <c r="AP228" s="15"/>
      <c r="AQ228" s="60"/>
      <c r="AS228" s="25">
        <f t="shared" si="228"/>
        <v>199440.33333333334</v>
      </c>
      <c r="AT228" s="14">
        <f t="shared" si="210"/>
        <v>0</v>
      </c>
      <c r="AU228" s="14" t="e">
        <f t="shared" si="211"/>
        <v>#N/A</v>
      </c>
      <c r="AV228" s="65" t="e">
        <f t="shared" si="229"/>
        <v>#N/A</v>
      </c>
      <c r="AW228" s="65" t="e">
        <f>(1+AG228)*AV228</f>
        <v>#N/A</v>
      </c>
    </row>
    <row r="229" spans="20:49" x14ac:dyDescent="0.15">
      <c r="T229" s="28">
        <f t="shared" si="222"/>
        <v>6207</v>
      </c>
      <c r="U229" s="26">
        <f t="shared" si="232"/>
        <v>353</v>
      </c>
      <c r="V229" s="28">
        <f t="shared" si="233"/>
        <v>30</v>
      </c>
      <c r="W229" s="14">
        <f t="shared" si="220"/>
        <v>14</v>
      </c>
      <c r="X229" s="39">
        <f t="shared" si="221"/>
        <v>70.599999999999994</v>
      </c>
      <c r="Y229" s="15">
        <v>1</v>
      </c>
      <c r="AM229" s="60" t="str">
        <f t="shared" si="219"/>
        <v/>
      </c>
      <c r="AT229" s="14">
        <f t="shared" si="210"/>
        <v>0</v>
      </c>
      <c r="AU229" s="14" t="e">
        <f t="shared" si="211"/>
        <v>#N/A</v>
      </c>
    </row>
    <row r="230" spans="20:49" x14ac:dyDescent="0.15">
      <c r="T230" s="28">
        <f t="shared" si="222"/>
        <v>6208</v>
      </c>
      <c r="U230" s="26">
        <f t="shared" si="232"/>
        <v>388</v>
      </c>
      <c r="V230" s="28">
        <f t="shared" si="233"/>
        <v>30</v>
      </c>
      <c r="W230" s="14">
        <f t="shared" si="220"/>
        <v>14</v>
      </c>
      <c r="X230" s="39">
        <f t="shared" si="221"/>
        <v>77.599999999999994</v>
      </c>
      <c r="Y230" s="15">
        <v>1</v>
      </c>
      <c r="AE230" s="79">
        <f>AE221+1</f>
        <v>21</v>
      </c>
      <c r="AF230" s="79">
        <v>24</v>
      </c>
      <c r="AG230" s="63">
        <f>INDEX($BC$14:$BC$77,MATCH(AF230,$BA$14:$BA$77))</f>
        <v>0.78</v>
      </c>
      <c r="AH230" s="60">
        <v>1</v>
      </c>
      <c r="AI230" s="60">
        <v>10</v>
      </c>
      <c r="AJ230" s="60">
        <v>6015</v>
      </c>
      <c r="AK230" s="68">
        <f>INDEX(U:U,MATCH($AJ230,T:T,0))</f>
        <v>372</v>
      </c>
      <c r="AL230" s="68">
        <f>INDEX(V:V,MATCH($AJ230,T:T,0))</f>
        <v>10</v>
      </c>
      <c r="AM230" s="60">
        <v>10</v>
      </c>
      <c r="AN230" s="14">
        <f>AO230*AP230</f>
        <v>5</v>
      </c>
      <c r="AO230" s="60">
        <v>5</v>
      </c>
      <c r="AP230" s="60">
        <v>1</v>
      </c>
      <c r="AQ230" s="60">
        <v>1</v>
      </c>
      <c r="AS230" s="15">
        <f>$AH$18</f>
        <v>200</v>
      </c>
      <c r="AT230" s="14">
        <f t="shared" si="210"/>
        <v>9375</v>
      </c>
      <c r="AU230" s="14">
        <f t="shared" si="211"/>
        <v>1860</v>
      </c>
      <c r="AV230" s="65">
        <f>AT230/AU230*10/AL230</f>
        <v>5.040322580645161</v>
      </c>
      <c r="AW230" s="65">
        <f>(1+AG230)*AV230</f>
        <v>8.9717741935483861</v>
      </c>
    </row>
    <row r="231" spans="20:49" x14ac:dyDescent="0.15">
      <c r="T231" s="28">
        <f t="shared" si="222"/>
        <v>6209</v>
      </c>
      <c r="U231" s="26">
        <f t="shared" si="232"/>
        <v>426</v>
      </c>
      <c r="V231" s="28">
        <f t="shared" si="233"/>
        <v>30</v>
      </c>
      <c r="W231" s="14">
        <f t="shared" si="220"/>
        <v>16</v>
      </c>
      <c r="X231" s="39">
        <f t="shared" si="221"/>
        <v>85.2</v>
      </c>
      <c r="Y231" s="15">
        <v>1</v>
      </c>
      <c r="AE231" s="80"/>
      <c r="AF231" s="80"/>
      <c r="AG231" s="62">
        <f>AG230</f>
        <v>0.78</v>
      </c>
      <c r="AH231" s="60">
        <v>2</v>
      </c>
      <c r="AI231" s="60">
        <v>10</v>
      </c>
      <c r="AJ231" s="60">
        <v>6030</v>
      </c>
      <c r="AK231" s="68">
        <f t="shared" ref="AK231:AK234" si="236">INDEX(U:U,MATCH($AJ231,T:T,0))</f>
        <v>1540</v>
      </c>
      <c r="AL231" s="68">
        <f t="shared" ref="AL231:AL234" si="237">INDEX(V:V,MATCH($AJ231,T:T,0))</f>
        <v>10</v>
      </c>
      <c r="AM231" s="60">
        <v>10</v>
      </c>
      <c r="AN231" s="14">
        <f t="shared" ref="AN231:AN234" si="238">AO231*AP231</f>
        <v>5</v>
      </c>
      <c r="AO231" s="60">
        <v>5</v>
      </c>
      <c r="AP231" s="60">
        <v>1</v>
      </c>
      <c r="AQ231" s="60">
        <v>1</v>
      </c>
      <c r="AS231" s="25">
        <f t="shared" ref="AS231:AS237" si="239">AS230+AN230*INDEX(X:X,MATCH(AJ230,T:T,0))</f>
        <v>324</v>
      </c>
      <c r="AT231" s="14">
        <f t="shared" si="210"/>
        <v>15187.5</v>
      </c>
      <c r="AU231" s="14">
        <f t="shared" si="211"/>
        <v>7700</v>
      </c>
      <c r="AV231" s="65">
        <f t="shared" ref="AV231:AV237" si="240">AT231/AU231*10/AL231</f>
        <v>1.9724025974025974</v>
      </c>
      <c r="AW231" s="65">
        <f t="shared" ref="AW231:AW236" si="241">(1+AG231)*AV231</f>
        <v>3.5108766233766233</v>
      </c>
    </row>
    <row r="232" spans="20:49" x14ac:dyDescent="0.15">
      <c r="T232" s="28">
        <f t="shared" si="222"/>
        <v>6210</v>
      </c>
      <c r="U232" s="26">
        <f t="shared" si="232"/>
        <v>468</v>
      </c>
      <c r="V232" s="28">
        <f t="shared" si="233"/>
        <v>30</v>
      </c>
      <c r="W232" s="14">
        <f t="shared" si="220"/>
        <v>18</v>
      </c>
      <c r="X232" s="39">
        <f t="shared" si="221"/>
        <v>93.6</v>
      </c>
      <c r="Y232" s="15">
        <v>1</v>
      </c>
      <c r="AE232" s="80"/>
      <c r="AF232" s="80"/>
      <c r="AG232" s="62">
        <f t="shared" ref="AG232:AG237" si="242">AG231</f>
        <v>0.78</v>
      </c>
      <c r="AH232" s="60">
        <v>3</v>
      </c>
      <c r="AI232" s="60">
        <v>10</v>
      </c>
      <c r="AJ232" s="60">
        <v>6126</v>
      </c>
      <c r="AK232" s="68">
        <f t="shared" si="236"/>
        <v>2132</v>
      </c>
      <c r="AL232" s="68">
        <f t="shared" si="237"/>
        <v>20</v>
      </c>
      <c r="AM232" s="60">
        <f t="shared" si="219"/>
        <v>10</v>
      </c>
      <c r="AN232" s="14">
        <f t="shared" si="238"/>
        <v>20</v>
      </c>
      <c r="AO232" s="60">
        <v>5</v>
      </c>
      <c r="AP232" s="60">
        <v>4</v>
      </c>
      <c r="AQ232" s="60">
        <v>1</v>
      </c>
      <c r="AS232" s="25">
        <f t="shared" si="239"/>
        <v>837.33333333333337</v>
      </c>
      <c r="AT232" s="14">
        <f t="shared" si="210"/>
        <v>78500</v>
      </c>
      <c r="AU232" s="14">
        <f t="shared" si="211"/>
        <v>85280</v>
      </c>
      <c r="AV232" s="65">
        <f t="shared" si="240"/>
        <v>0.46024859287054409</v>
      </c>
      <c r="AW232" s="65">
        <f t="shared" si="241"/>
        <v>0.8192424953095685</v>
      </c>
    </row>
    <row r="233" spans="20:49" x14ac:dyDescent="0.15">
      <c r="T233" s="28">
        <f t="shared" si="222"/>
        <v>6211</v>
      </c>
      <c r="U233" s="26">
        <f t="shared" si="232"/>
        <v>514</v>
      </c>
      <c r="V233" s="28">
        <f t="shared" si="233"/>
        <v>30</v>
      </c>
      <c r="W233" s="14">
        <f t="shared" si="220"/>
        <v>20</v>
      </c>
      <c r="X233" s="39">
        <f t="shared" si="221"/>
        <v>102.8</v>
      </c>
      <c r="Y233" s="15">
        <v>1</v>
      </c>
      <c r="AE233" s="80"/>
      <c r="AF233" s="80"/>
      <c r="AG233" s="62">
        <f t="shared" si="242"/>
        <v>0.78</v>
      </c>
      <c r="AH233" s="60">
        <v>4</v>
      </c>
      <c r="AI233" s="60">
        <v>10</v>
      </c>
      <c r="AJ233" s="60">
        <v>6142</v>
      </c>
      <c r="AK233" s="68">
        <f t="shared" si="236"/>
        <v>9782</v>
      </c>
      <c r="AL233" s="68">
        <f t="shared" si="237"/>
        <v>20</v>
      </c>
      <c r="AM233" s="60">
        <f t="shared" si="219"/>
        <v>5</v>
      </c>
      <c r="AN233" s="14">
        <f t="shared" si="238"/>
        <v>5</v>
      </c>
      <c r="AO233" s="60">
        <v>5</v>
      </c>
      <c r="AP233" s="60">
        <v>1</v>
      </c>
      <c r="AQ233" s="60">
        <v>1</v>
      </c>
      <c r="AS233" s="25">
        <f t="shared" si="239"/>
        <v>6522.6666666666661</v>
      </c>
      <c r="AT233" s="14">
        <f t="shared" si="210"/>
        <v>305750</v>
      </c>
      <c r="AU233" s="14">
        <f t="shared" si="211"/>
        <v>195640</v>
      </c>
      <c r="AV233" s="65">
        <f t="shared" si="240"/>
        <v>0.7814097321611122</v>
      </c>
      <c r="AW233" s="65">
        <f t="shared" si="241"/>
        <v>1.3909093232467797</v>
      </c>
    </row>
    <row r="234" spans="20:49" x14ac:dyDescent="0.15">
      <c r="T234" s="28">
        <f t="shared" si="222"/>
        <v>6212</v>
      </c>
      <c r="U234" s="26">
        <f t="shared" si="232"/>
        <v>565</v>
      </c>
      <c r="V234" s="28">
        <f t="shared" si="233"/>
        <v>30</v>
      </c>
      <c r="W234" s="14">
        <f t="shared" si="220"/>
        <v>22</v>
      </c>
      <c r="X234" s="39">
        <f t="shared" si="221"/>
        <v>113</v>
      </c>
      <c r="Y234" s="15">
        <v>1</v>
      </c>
      <c r="AE234" s="80"/>
      <c r="AF234" s="80"/>
      <c r="AG234" s="62">
        <f t="shared" si="242"/>
        <v>0.78</v>
      </c>
      <c r="AH234" s="60">
        <v>5</v>
      </c>
      <c r="AI234" s="60">
        <v>10</v>
      </c>
      <c r="AJ234" s="60">
        <v>6146</v>
      </c>
      <c r="AK234" s="68">
        <f t="shared" si="236"/>
        <v>14320</v>
      </c>
      <c r="AL234" s="68">
        <f t="shared" si="237"/>
        <v>20</v>
      </c>
      <c r="AM234" s="60">
        <f t="shared" si="219"/>
        <v>10</v>
      </c>
      <c r="AN234" s="14">
        <f t="shared" si="238"/>
        <v>45</v>
      </c>
      <c r="AO234" s="60">
        <v>5</v>
      </c>
      <c r="AP234" s="60">
        <v>9</v>
      </c>
      <c r="AQ234" s="60">
        <v>1</v>
      </c>
      <c r="AS234" s="25">
        <f t="shared" si="239"/>
        <v>13044</v>
      </c>
      <c r="AT234" s="14">
        <f t="shared" si="210"/>
        <v>1834312.5</v>
      </c>
      <c r="AU234" s="14">
        <f t="shared" si="211"/>
        <v>1288800</v>
      </c>
      <c r="AV234" s="65">
        <f t="shared" si="240"/>
        <v>0.71163582402234637</v>
      </c>
      <c r="AW234" s="65">
        <f t="shared" si="241"/>
        <v>1.2667117667597765</v>
      </c>
    </row>
    <row r="235" spans="20:49" x14ac:dyDescent="0.15">
      <c r="T235" s="28">
        <f t="shared" si="222"/>
        <v>6213</v>
      </c>
      <c r="U235" s="26">
        <f t="shared" si="232"/>
        <v>621</v>
      </c>
      <c r="V235" s="28">
        <f t="shared" si="233"/>
        <v>30</v>
      </c>
      <c r="W235" s="14">
        <f t="shared" si="220"/>
        <v>24</v>
      </c>
      <c r="X235" s="39">
        <f t="shared" si="221"/>
        <v>124.2</v>
      </c>
      <c r="Y235" s="15">
        <v>1</v>
      </c>
      <c r="AE235" s="80"/>
      <c r="AF235" s="80"/>
      <c r="AG235" s="62">
        <f t="shared" si="242"/>
        <v>0.78</v>
      </c>
      <c r="AH235" s="60"/>
      <c r="AI235" s="60"/>
      <c r="AJ235" s="60"/>
      <c r="AK235" s="68"/>
      <c r="AL235" s="68"/>
      <c r="AM235" s="60" t="str">
        <f t="shared" si="219"/>
        <v/>
      </c>
      <c r="AN235" s="14"/>
      <c r="AO235" s="60"/>
      <c r="AP235" s="15"/>
      <c r="AQ235" s="60"/>
      <c r="AS235" s="25">
        <f t="shared" si="239"/>
        <v>98964</v>
      </c>
      <c r="AT235" s="14">
        <f t="shared" si="210"/>
        <v>0</v>
      </c>
      <c r="AU235" s="14" t="e">
        <f t="shared" si="211"/>
        <v>#N/A</v>
      </c>
      <c r="AV235" s="65" t="e">
        <f t="shared" si="240"/>
        <v>#N/A</v>
      </c>
      <c r="AW235" s="65" t="e">
        <f t="shared" si="241"/>
        <v>#N/A</v>
      </c>
    </row>
    <row r="236" spans="20:49" x14ac:dyDescent="0.15">
      <c r="T236" s="28">
        <f t="shared" si="222"/>
        <v>6214</v>
      </c>
      <c r="U236" s="26">
        <f t="shared" si="232"/>
        <v>683</v>
      </c>
      <c r="V236" s="28">
        <f t="shared" si="233"/>
        <v>30</v>
      </c>
      <c r="W236" s="14">
        <f t="shared" si="220"/>
        <v>26</v>
      </c>
      <c r="X236" s="39">
        <f t="shared" si="221"/>
        <v>136.6</v>
      </c>
      <c r="Y236" s="15">
        <v>1</v>
      </c>
      <c r="AE236" s="80"/>
      <c r="AF236" s="80"/>
      <c r="AG236" s="62">
        <f t="shared" si="242"/>
        <v>0.78</v>
      </c>
      <c r="AH236" s="60"/>
      <c r="AI236" s="60"/>
      <c r="AJ236" s="60"/>
      <c r="AK236" s="68"/>
      <c r="AL236" s="68"/>
      <c r="AM236" s="60" t="str">
        <f t="shared" si="219"/>
        <v/>
      </c>
      <c r="AN236" s="14"/>
      <c r="AO236" s="60"/>
      <c r="AP236" s="15"/>
      <c r="AQ236" s="60"/>
      <c r="AS236" s="25" t="e">
        <f t="shared" si="239"/>
        <v>#N/A</v>
      </c>
      <c r="AT236" s="14" t="e">
        <f t="shared" si="210"/>
        <v>#N/A</v>
      </c>
      <c r="AU236" s="14" t="e">
        <f t="shared" si="211"/>
        <v>#N/A</v>
      </c>
      <c r="AV236" s="65" t="e">
        <f t="shared" si="240"/>
        <v>#N/A</v>
      </c>
      <c r="AW236" s="65" t="e">
        <f t="shared" si="241"/>
        <v>#N/A</v>
      </c>
    </row>
    <row r="237" spans="20:49" x14ac:dyDescent="0.15">
      <c r="T237" s="28">
        <f t="shared" si="222"/>
        <v>6215</v>
      </c>
      <c r="U237" s="26">
        <f t="shared" si="232"/>
        <v>751</v>
      </c>
      <c r="V237" s="28">
        <f t="shared" si="233"/>
        <v>30</v>
      </c>
      <c r="W237" s="14">
        <f t="shared" si="220"/>
        <v>28</v>
      </c>
      <c r="X237" s="39">
        <f t="shared" si="221"/>
        <v>150.19999999999999</v>
      </c>
      <c r="Y237" s="15">
        <v>1</v>
      </c>
      <c r="AE237" s="81"/>
      <c r="AF237" s="81"/>
      <c r="AG237" s="25">
        <f t="shared" si="242"/>
        <v>0.78</v>
      </c>
      <c r="AH237" s="60"/>
      <c r="AI237" s="60"/>
      <c r="AJ237" s="60"/>
      <c r="AK237" s="68"/>
      <c r="AL237" s="68"/>
      <c r="AM237" s="60" t="str">
        <f t="shared" si="219"/>
        <v/>
      </c>
      <c r="AN237" s="14"/>
      <c r="AO237" s="60"/>
      <c r="AP237" s="15"/>
      <c r="AQ237" s="60"/>
      <c r="AS237" s="25" t="e">
        <f t="shared" si="239"/>
        <v>#N/A</v>
      </c>
      <c r="AT237" s="14" t="e">
        <f t="shared" si="210"/>
        <v>#N/A</v>
      </c>
      <c r="AU237" s="14" t="e">
        <f t="shared" si="211"/>
        <v>#N/A</v>
      </c>
      <c r="AV237" s="65" t="e">
        <f t="shared" si="240"/>
        <v>#N/A</v>
      </c>
      <c r="AW237" s="65" t="e">
        <f>(1+AG237)*AV237</f>
        <v>#N/A</v>
      </c>
    </row>
    <row r="238" spans="20:49" x14ac:dyDescent="0.15">
      <c r="T238" s="28">
        <f t="shared" si="222"/>
        <v>6216</v>
      </c>
      <c r="U238" s="26">
        <f t="shared" si="232"/>
        <v>826</v>
      </c>
      <c r="V238" s="28">
        <f t="shared" si="233"/>
        <v>30</v>
      </c>
      <c r="W238" s="14">
        <f t="shared" si="220"/>
        <v>32</v>
      </c>
      <c r="X238" s="39">
        <f t="shared" si="221"/>
        <v>165.2</v>
      </c>
      <c r="Y238" s="15">
        <v>1</v>
      </c>
      <c r="AM238" s="60" t="str">
        <f t="shared" si="219"/>
        <v/>
      </c>
      <c r="AT238" s="14">
        <f t="shared" si="210"/>
        <v>0</v>
      </c>
      <c r="AU238" s="14" t="e">
        <f t="shared" si="211"/>
        <v>#N/A</v>
      </c>
    </row>
    <row r="239" spans="20:49" x14ac:dyDescent="0.15">
      <c r="T239" s="28">
        <f t="shared" si="222"/>
        <v>6217</v>
      </c>
      <c r="U239" s="26">
        <f t="shared" si="232"/>
        <v>908</v>
      </c>
      <c r="V239" s="28">
        <f t="shared" si="233"/>
        <v>30</v>
      </c>
      <c r="W239" s="14">
        <f t="shared" si="220"/>
        <v>36</v>
      </c>
      <c r="X239" s="39">
        <f t="shared" si="221"/>
        <v>181.6</v>
      </c>
      <c r="Y239" s="15">
        <v>1</v>
      </c>
      <c r="AE239" s="79">
        <f>AE230+1</f>
        <v>22</v>
      </c>
      <c r="AF239" s="79">
        <v>24</v>
      </c>
      <c r="AG239" s="63">
        <f>INDEX($BC$14:$BC$77,MATCH(AF239,$BA$14:$BA$77))</f>
        <v>0.78</v>
      </c>
      <c r="AH239" s="60">
        <v>1</v>
      </c>
      <c r="AI239" s="60">
        <v>10</v>
      </c>
      <c r="AJ239" s="60">
        <v>6026</v>
      </c>
      <c r="AK239" s="68">
        <f>INDEX(U:U,MATCH($AJ239,T:T,0))</f>
        <v>1053</v>
      </c>
      <c r="AL239" s="68">
        <f>INDEX(V:V,MATCH($AJ239,T:T,0))</f>
        <v>10</v>
      </c>
      <c r="AM239" s="60">
        <f t="shared" ref="AM239:AM240" si="243">IF(AP239="","",IF(AP239=1,5,10))</f>
        <v>5</v>
      </c>
      <c r="AN239" s="14">
        <f>AO239*AP239</f>
        <v>3</v>
      </c>
      <c r="AO239" s="60">
        <v>3</v>
      </c>
      <c r="AP239" s="60">
        <v>1</v>
      </c>
      <c r="AQ239" s="60">
        <v>1</v>
      </c>
      <c r="AS239" s="15">
        <f>$AH$18</f>
        <v>200</v>
      </c>
      <c r="AT239" s="14">
        <f t="shared" si="210"/>
        <v>9375</v>
      </c>
      <c r="AU239" s="14">
        <f t="shared" si="211"/>
        <v>10530</v>
      </c>
      <c r="AV239" s="65">
        <f>AT239/AU239*10/AL239</f>
        <v>0.89031339031339018</v>
      </c>
      <c r="AW239" s="65">
        <f>(1+AG239)*AV239</f>
        <v>1.5847578347578346</v>
      </c>
    </row>
    <row r="240" spans="20:49" x14ac:dyDescent="0.15">
      <c r="T240" s="28">
        <f t="shared" si="222"/>
        <v>6218</v>
      </c>
      <c r="U240" s="26">
        <f t="shared" si="232"/>
        <v>998</v>
      </c>
      <c r="V240" s="28">
        <f t="shared" si="233"/>
        <v>30</v>
      </c>
      <c r="W240" s="14">
        <f t="shared" si="220"/>
        <v>38</v>
      </c>
      <c r="X240" s="39">
        <f t="shared" si="221"/>
        <v>199.6</v>
      </c>
      <c r="Y240" s="15">
        <v>1</v>
      </c>
      <c r="AE240" s="80"/>
      <c r="AF240" s="80"/>
      <c r="AG240" s="62">
        <f>AG239</f>
        <v>0.78</v>
      </c>
      <c r="AH240" s="60">
        <v>2</v>
      </c>
      <c r="AI240" s="60">
        <v>10</v>
      </c>
      <c r="AJ240" s="60">
        <v>6034</v>
      </c>
      <c r="AK240" s="68">
        <f t="shared" ref="AK240:AK243" si="244">INDEX(U:U,MATCH($AJ240,T:T,0))</f>
        <v>2253</v>
      </c>
      <c r="AL240" s="68">
        <f t="shared" ref="AL240:AL243" si="245">INDEX(V:V,MATCH($AJ240,T:T,0))</f>
        <v>10</v>
      </c>
      <c r="AM240" s="60">
        <f t="shared" si="243"/>
        <v>10</v>
      </c>
      <c r="AN240" s="14">
        <f t="shared" ref="AN240:AN243" si="246">AO240*AP240</f>
        <v>20</v>
      </c>
      <c r="AO240" s="60">
        <v>5</v>
      </c>
      <c r="AP240" s="60">
        <v>4</v>
      </c>
      <c r="AQ240" s="60">
        <v>1</v>
      </c>
      <c r="AS240" s="25">
        <f t="shared" ref="AS240:AS246" si="247">AS239+AN239*INDEX(X:X,MATCH(AJ239,T:T,0))</f>
        <v>410.6</v>
      </c>
      <c r="AT240" s="14">
        <f t="shared" si="210"/>
        <v>38493.760000000002</v>
      </c>
      <c r="AU240" s="14">
        <f t="shared" si="211"/>
        <v>45060</v>
      </c>
      <c r="AV240" s="65">
        <f t="shared" ref="AV240:AV246" si="248">AT240/AU240*10/AL240</f>
        <v>0.85427785175321813</v>
      </c>
      <c r="AW240" s="65">
        <f t="shared" ref="AW240:AW245" si="249">(1+AG240)*AV240</f>
        <v>1.5206145761207284</v>
      </c>
    </row>
    <row r="241" spans="20:49" x14ac:dyDescent="0.15">
      <c r="T241" s="28">
        <f t="shared" si="222"/>
        <v>6219</v>
      </c>
      <c r="U241" s="26">
        <f t="shared" si="232"/>
        <v>1097</v>
      </c>
      <c r="V241" s="28">
        <f t="shared" si="233"/>
        <v>30</v>
      </c>
      <c r="W241" s="14">
        <f t="shared" si="220"/>
        <v>42</v>
      </c>
      <c r="X241" s="39">
        <f t="shared" si="221"/>
        <v>219.4</v>
      </c>
      <c r="Y241" s="15">
        <v>1</v>
      </c>
      <c r="AE241" s="80"/>
      <c r="AF241" s="80"/>
      <c r="AG241" s="62">
        <f t="shared" ref="AG241:AG246" si="250">AG240</f>
        <v>0.78</v>
      </c>
      <c r="AH241" s="60">
        <v>3</v>
      </c>
      <c r="AI241" s="60">
        <v>10</v>
      </c>
      <c r="AJ241" s="60">
        <v>6050</v>
      </c>
      <c r="AK241" s="68">
        <f t="shared" si="244"/>
        <v>10333</v>
      </c>
      <c r="AL241" s="68">
        <f t="shared" si="245"/>
        <v>10</v>
      </c>
      <c r="AM241" s="60">
        <v>5</v>
      </c>
      <c r="AN241" s="14">
        <f t="shared" si="246"/>
        <v>20</v>
      </c>
      <c r="AO241" s="60">
        <v>5</v>
      </c>
      <c r="AP241" s="60">
        <v>4</v>
      </c>
      <c r="AQ241" s="60">
        <v>1</v>
      </c>
      <c r="AS241" s="25">
        <f t="shared" si="247"/>
        <v>3414.6</v>
      </c>
      <c r="AT241" s="14">
        <f t="shared" si="210"/>
        <v>320118.76</v>
      </c>
      <c r="AU241" s="14">
        <f t="shared" si="211"/>
        <v>413320</v>
      </c>
      <c r="AV241" s="65">
        <f t="shared" si="248"/>
        <v>0.77450585502758151</v>
      </c>
      <c r="AW241" s="65">
        <f t="shared" si="249"/>
        <v>1.3786204219490952</v>
      </c>
    </row>
    <row r="242" spans="20:49" x14ac:dyDescent="0.15">
      <c r="T242" s="28">
        <f t="shared" si="222"/>
        <v>6220</v>
      </c>
      <c r="U242" s="26">
        <f t="shared" si="232"/>
        <v>1206</v>
      </c>
      <c r="V242" s="28">
        <f t="shared" si="233"/>
        <v>30</v>
      </c>
      <c r="W242" s="14">
        <f t="shared" si="220"/>
        <v>46</v>
      </c>
      <c r="X242" s="39">
        <f t="shared" si="221"/>
        <v>241.2</v>
      </c>
      <c r="Y242" s="15">
        <v>1</v>
      </c>
      <c r="AE242" s="80"/>
      <c r="AF242" s="80"/>
      <c r="AG242" s="62">
        <f t="shared" si="250"/>
        <v>0.78</v>
      </c>
      <c r="AH242" s="60">
        <v>4</v>
      </c>
      <c r="AI242" s="60">
        <v>10</v>
      </c>
      <c r="AJ242" s="60">
        <v>6068</v>
      </c>
      <c r="AK242" s="68">
        <f t="shared" si="244"/>
        <v>57432</v>
      </c>
      <c r="AL242" s="68">
        <f t="shared" si="245"/>
        <v>10</v>
      </c>
      <c r="AM242" s="60">
        <f t="shared" ref="AM242" si="251">IF(AP242="","",IF(AP242=1,5,10))</f>
        <v>5</v>
      </c>
      <c r="AN242" s="14">
        <f t="shared" si="246"/>
        <v>10</v>
      </c>
      <c r="AO242" s="60">
        <v>10</v>
      </c>
      <c r="AP242" s="60">
        <v>1</v>
      </c>
      <c r="AQ242" s="60">
        <v>1</v>
      </c>
      <c r="AS242" s="25">
        <f t="shared" si="247"/>
        <v>17191.933333333334</v>
      </c>
      <c r="AT242" s="14">
        <f t="shared" si="210"/>
        <v>805871.88</v>
      </c>
      <c r="AU242" s="14">
        <f t="shared" si="211"/>
        <v>574320</v>
      </c>
      <c r="AV242" s="65">
        <f t="shared" si="248"/>
        <v>1.4031757208524864</v>
      </c>
      <c r="AW242" s="65">
        <f t="shared" si="249"/>
        <v>2.497652783117426</v>
      </c>
    </row>
    <row r="243" spans="20:49" x14ac:dyDescent="0.15">
      <c r="T243" s="28">
        <f t="shared" si="222"/>
        <v>6221</v>
      </c>
      <c r="U243" s="26">
        <f t="shared" si="232"/>
        <v>1326</v>
      </c>
      <c r="V243" s="28">
        <f t="shared" si="233"/>
        <v>30</v>
      </c>
      <c r="W243" s="14">
        <f t="shared" si="220"/>
        <v>52</v>
      </c>
      <c r="X243" s="39">
        <f t="shared" si="221"/>
        <v>265.2</v>
      </c>
      <c r="Y243" s="15">
        <v>1</v>
      </c>
      <c r="AE243" s="80"/>
      <c r="AF243" s="80"/>
      <c r="AG243" s="62">
        <f t="shared" si="250"/>
        <v>0.78</v>
      </c>
      <c r="AH243" s="60">
        <v>5</v>
      </c>
      <c r="AI243" s="60">
        <v>10</v>
      </c>
      <c r="AJ243" s="60">
        <v>6075</v>
      </c>
      <c r="AK243" s="68">
        <f t="shared" si="244"/>
        <v>111916</v>
      </c>
      <c r="AL243" s="68">
        <f t="shared" si="245"/>
        <v>10</v>
      </c>
      <c r="AM243" s="60">
        <v>20</v>
      </c>
      <c r="AN243" s="14">
        <f t="shared" si="246"/>
        <v>5</v>
      </c>
      <c r="AO243" s="60">
        <v>5</v>
      </c>
      <c r="AP243" s="60">
        <v>1</v>
      </c>
      <c r="AQ243" s="60">
        <v>1</v>
      </c>
      <c r="AS243" s="25">
        <f t="shared" si="247"/>
        <v>55479.933333333334</v>
      </c>
      <c r="AT243" s="14">
        <f t="shared" si="210"/>
        <v>2600621.88</v>
      </c>
      <c r="AU243" s="14">
        <f t="shared" si="211"/>
        <v>279790</v>
      </c>
      <c r="AV243" s="65">
        <f t="shared" si="248"/>
        <v>9.2949064655634572</v>
      </c>
      <c r="AW243" s="65">
        <f t="shared" si="249"/>
        <v>16.544933508702954</v>
      </c>
    </row>
    <row r="244" spans="20:49" x14ac:dyDescent="0.15">
      <c r="T244" s="28">
        <f t="shared" si="222"/>
        <v>6222</v>
      </c>
      <c r="U244" s="26">
        <f t="shared" si="232"/>
        <v>1458</v>
      </c>
      <c r="V244" s="28">
        <f t="shared" si="233"/>
        <v>30</v>
      </c>
      <c r="W244" s="14">
        <f t="shared" si="220"/>
        <v>56</v>
      </c>
      <c r="X244" s="39">
        <f t="shared" si="221"/>
        <v>291.60000000000002</v>
      </c>
      <c r="Y244" s="15">
        <v>1</v>
      </c>
      <c r="AE244" s="80"/>
      <c r="AF244" s="80"/>
      <c r="AG244" s="62">
        <f t="shared" si="250"/>
        <v>0.78</v>
      </c>
      <c r="AH244" s="60"/>
      <c r="AI244" s="60"/>
      <c r="AJ244" s="60"/>
      <c r="AK244" s="68"/>
      <c r="AL244" s="68"/>
      <c r="AM244" s="60" t="str">
        <f t="shared" si="219"/>
        <v/>
      </c>
      <c r="AN244" s="14"/>
      <c r="AO244" s="60"/>
      <c r="AP244" s="15"/>
      <c r="AQ244" s="60"/>
      <c r="AS244" s="25">
        <f t="shared" si="247"/>
        <v>92785.266666666663</v>
      </c>
      <c r="AT244" s="14">
        <f t="shared" si="210"/>
        <v>0</v>
      </c>
      <c r="AU244" s="14" t="e">
        <f t="shared" si="211"/>
        <v>#N/A</v>
      </c>
      <c r="AV244" s="65" t="e">
        <f t="shared" si="248"/>
        <v>#N/A</v>
      </c>
      <c r="AW244" s="65" t="e">
        <f t="shared" si="249"/>
        <v>#N/A</v>
      </c>
    </row>
    <row r="245" spans="20:49" x14ac:dyDescent="0.15">
      <c r="T245" s="28">
        <f t="shared" si="222"/>
        <v>6223</v>
      </c>
      <c r="U245" s="26">
        <f t="shared" si="232"/>
        <v>1603</v>
      </c>
      <c r="V245" s="28">
        <f t="shared" si="233"/>
        <v>30</v>
      </c>
      <c r="W245" s="14">
        <f t="shared" si="220"/>
        <v>62</v>
      </c>
      <c r="X245" s="39">
        <f t="shared" si="221"/>
        <v>320.60000000000002</v>
      </c>
      <c r="Y245" s="15">
        <v>1</v>
      </c>
      <c r="AE245" s="80"/>
      <c r="AF245" s="80"/>
      <c r="AG245" s="62">
        <f t="shared" si="250"/>
        <v>0.78</v>
      </c>
      <c r="AH245" s="60"/>
      <c r="AI245" s="60"/>
      <c r="AJ245" s="60"/>
      <c r="AK245" s="68"/>
      <c r="AL245" s="68"/>
      <c r="AM245" s="60" t="str">
        <f t="shared" si="219"/>
        <v/>
      </c>
      <c r="AN245" s="14"/>
      <c r="AO245" s="60"/>
      <c r="AP245" s="15"/>
      <c r="AQ245" s="60"/>
      <c r="AS245" s="25" t="e">
        <f t="shared" si="247"/>
        <v>#N/A</v>
      </c>
      <c r="AT245" s="14" t="e">
        <f t="shared" si="210"/>
        <v>#N/A</v>
      </c>
      <c r="AU245" s="14" t="e">
        <f t="shared" si="211"/>
        <v>#N/A</v>
      </c>
      <c r="AV245" s="65" t="e">
        <f t="shared" si="248"/>
        <v>#N/A</v>
      </c>
      <c r="AW245" s="65" t="e">
        <f t="shared" si="249"/>
        <v>#N/A</v>
      </c>
    </row>
    <row r="246" spans="20:49" x14ac:dyDescent="0.15">
      <c r="T246" s="28">
        <f t="shared" si="222"/>
        <v>6224</v>
      </c>
      <c r="U246" s="26">
        <f t="shared" si="232"/>
        <v>1763</v>
      </c>
      <c r="V246" s="28">
        <f t="shared" si="233"/>
        <v>30</v>
      </c>
      <c r="W246" s="14">
        <f t="shared" si="220"/>
        <v>68</v>
      </c>
      <c r="X246" s="39">
        <f t="shared" si="221"/>
        <v>352.6</v>
      </c>
      <c r="Y246" s="15">
        <v>1</v>
      </c>
      <c r="AE246" s="81"/>
      <c r="AF246" s="81"/>
      <c r="AG246" s="25">
        <f t="shared" si="250"/>
        <v>0.78</v>
      </c>
      <c r="AH246" s="60"/>
      <c r="AI246" s="60"/>
      <c r="AJ246" s="60"/>
      <c r="AK246" s="68"/>
      <c r="AL246" s="68"/>
      <c r="AM246" s="60" t="str">
        <f t="shared" si="219"/>
        <v/>
      </c>
      <c r="AN246" s="14"/>
      <c r="AO246" s="60"/>
      <c r="AP246" s="15"/>
      <c r="AQ246" s="60"/>
      <c r="AS246" s="25" t="e">
        <f t="shared" si="247"/>
        <v>#N/A</v>
      </c>
      <c r="AT246" s="14" t="e">
        <f t="shared" si="210"/>
        <v>#N/A</v>
      </c>
      <c r="AU246" s="14" t="e">
        <f t="shared" si="211"/>
        <v>#N/A</v>
      </c>
      <c r="AV246" s="65" t="e">
        <f t="shared" si="248"/>
        <v>#N/A</v>
      </c>
      <c r="AW246" s="65" t="e">
        <f>(1+AG246)*AV246</f>
        <v>#N/A</v>
      </c>
    </row>
    <row r="247" spans="20:49" x14ac:dyDescent="0.15">
      <c r="T247" s="28">
        <f t="shared" si="222"/>
        <v>6225</v>
      </c>
      <c r="U247" s="26">
        <f t="shared" si="232"/>
        <v>1939</v>
      </c>
      <c r="V247" s="28">
        <f t="shared" si="233"/>
        <v>30</v>
      </c>
      <c r="W247" s="14">
        <f t="shared" si="220"/>
        <v>76</v>
      </c>
      <c r="X247" s="39">
        <f t="shared" si="221"/>
        <v>387.8</v>
      </c>
      <c r="Y247" s="15">
        <v>1</v>
      </c>
      <c r="AM247" s="60" t="str">
        <f t="shared" si="219"/>
        <v/>
      </c>
      <c r="AT247" s="14">
        <f t="shared" si="210"/>
        <v>0</v>
      </c>
      <c r="AU247" s="14" t="e">
        <f t="shared" si="211"/>
        <v>#N/A</v>
      </c>
    </row>
    <row r="248" spans="20:49" x14ac:dyDescent="0.15">
      <c r="T248" s="28">
        <f t="shared" si="222"/>
        <v>6226</v>
      </c>
      <c r="U248" s="26">
        <f t="shared" si="232"/>
        <v>2132</v>
      </c>
      <c r="V248" s="28">
        <f t="shared" si="233"/>
        <v>30</v>
      </c>
      <c r="W248" s="14">
        <f t="shared" si="220"/>
        <v>82</v>
      </c>
      <c r="X248" s="39">
        <f t="shared" si="221"/>
        <v>426.4</v>
      </c>
      <c r="Y248" s="15">
        <v>1</v>
      </c>
      <c r="AE248" s="79">
        <f>AE239+1</f>
        <v>23</v>
      </c>
      <c r="AF248" s="79">
        <v>25</v>
      </c>
      <c r="AG248" s="63">
        <f>INDEX($BC$14:$BC$77,MATCH(AF248,$BA$14:$BA$77))</f>
        <v>0.81</v>
      </c>
      <c r="AH248" s="60">
        <v>1</v>
      </c>
      <c r="AI248" s="60">
        <v>10</v>
      </c>
      <c r="AJ248" s="60">
        <v>6025</v>
      </c>
      <c r="AK248" s="68">
        <f>INDEX(U:U,MATCH($AJ248,T:T,0))</f>
        <v>958</v>
      </c>
      <c r="AL248" s="68">
        <f>INDEX(V:V,MATCH($AJ248,T:T,0))</f>
        <v>10</v>
      </c>
      <c r="AM248" s="60">
        <f t="shared" si="219"/>
        <v>5</v>
      </c>
      <c r="AN248" s="14">
        <f>AO248*AP248</f>
        <v>10</v>
      </c>
      <c r="AO248" s="60">
        <v>10</v>
      </c>
      <c r="AP248" s="60">
        <v>1</v>
      </c>
      <c r="AQ248" s="60">
        <v>1</v>
      </c>
      <c r="AS248" s="15">
        <f>$AH$18</f>
        <v>200</v>
      </c>
      <c r="AT248" s="14">
        <f t="shared" si="210"/>
        <v>9375</v>
      </c>
      <c r="AU248" s="14">
        <f t="shared" si="211"/>
        <v>9580</v>
      </c>
      <c r="AV248" s="65">
        <f>AT248/AU248*10/AL248</f>
        <v>0.9786012526096034</v>
      </c>
      <c r="AW248" s="65">
        <f>(1+AG248)*AV248</f>
        <v>1.7712682672233822</v>
      </c>
    </row>
    <row r="249" spans="20:49" x14ac:dyDescent="0.15">
      <c r="T249" s="28">
        <f t="shared" si="222"/>
        <v>6227</v>
      </c>
      <c r="U249" s="26">
        <f t="shared" si="232"/>
        <v>2345</v>
      </c>
      <c r="V249" s="28">
        <f t="shared" si="233"/>
        <v>30</v>
      </c>
      <c r="W249" s="14">
        <f t="shared" si="220"/>
        <v>92</v>
      </c>
      <c r="X249" s="39">
        <f t="shared" si="221"/>
        <v>469</v>
      </c>
      <c r="Y249" s="15">
        <v>1</v>
      </c>
      <c r="AE249" s="80"/>
      <c r="AF249" s="80"/>
      <c r="AG249" s="62">
        <f>AG248</f>
        <v>0.81</v>
      </c>
      <c r="AH249" s="60">
        <v>2</v>
      </c>
      <c r="AI249" s="60">
        <v>10</v>
      </c>
      <c r="AJ249" s="60">
        <v>6035</v>
      </c>
      <c r="AK249" s="68">
        <f t="shared" ref="AK249:AK252" si="252">INDEX(U:U,MATCH($AJ249,T:T,0))</f>
        <v>2478</v>
      </c>
      <c r="AL249" s="68">
        <f t="shared" ref="AL249:AL252" si="253">INDEX(V:V,MATCH($AJ249,T:T,0))</f>
        <v>10</v>
      </c>
      <c r="AM249" s="60">
        <f t="shared" si="219"/>
        <v>10</v>
      </c>
      <c r="AN249" s="14">
        <f t="shared" ref="AN249:AN252" si="254">AO249*AP249</f>
        <v>20</v>
      </c>
      <c r="AO249" s="60">
        <v>5</v>
      </c>
      <c r="AP249" s="60">
        <v>4</v>
      </c>
      <c r="AQ249" s="60">
        <v>1</v>
      </c>
      <c r="AS249" s="25">
        <f t="shared" ref="AS249:AS255" si="255">AS248+AN248*INDEX(X:X,MATCH(AJ248,T:T,0))</f>
        <v>838.66666666666663</v>
      </c>
      <c r="AT249" s="14">
        <f t="shared" si="210"/>
        <v>78625</v>
      </c>
      <c r="AU249" s="14">
        <f t="shared" si="211"/>
        <v>49560</v>
      </c>
      <c r="AV249" s="65">
        <f t="shared" ref="AV249:AV255" si="256">AT249/AU249*10/AL249</f>
        <v>1.5864608555286521</v>
      </c>
      <c r="AW249" s="65">
        <f t="shared" ref="AW249:AW254" si="257">(1+AG249)*AV249</f>
        <v>2.8714941485068604</v>
      </c>
    </row>
    <row r="250" spans="20:49" x14ac:dyDescent="0.15">
      <c r="T250" s="28">
        <f t="shared" si="222"/>
        <v>6228</v>
      </c>
      <c r="U250" s="26">
        <f t="shared" si="232"/>
        <v>2579</v>
      </c>
      <c r="V250" s="28">
        <f t="shared" si="233"/>
        <v>30</v>
      </c>
      <c r="W250" s="14">
        <f t="shared" si="220"/>
        <v>100</v>
      </c>
      <c r="X250" s="39">
        <f t="shared" si="221"/>
        <v>515.79999999999995</v>
      </c>
      <c r="Y250" s="15">
        <v>1</v>
      </c>
      <c r="AE250" s="80"/>
      <c r="AF250" s="80"/>
      <c r="AG250" s="62">
        <f t="shared" ref="AG250:AG255" si="258">AG249</f>
        <v>0.81</v>
      </c>
      <c r="AH250" s="60">
        <v>3</v>
      </c>
      <c r="AI250" s="60">
        <v>10</v>
      </c>
      <c r="AJ250" s="60">
        <v>6132</v>
      </c>
      <c r="AK250" s="68">
        <f t="shared" si="252"/>
        <v>3773</v>
      </c>
      <c r="AL250" s="68">
        <f t="shared" si="253"/>
        <v>20</v>
      </c>
      <c r="AM250" s="60">
        <f t="shared" si="219"/>
        <v>5</v>
      </c>
      <c r="AN250" s="14">
        <f t="shared" si="254"/>
        <v>3</v>
      </c>
      <c r="AO250" s="60">
        <v>3</v>
      </c>
      <c r="AP250" s="60">
        <v>1</v>
      </c>
      <c r="AQ250" s="60">
        <v>1</v>
      </c>
      <c r="AS250" s="25">
        <f t="shared" si="255"/>
        <v>4142.666666666667</v>
      </c>
      <c r="AT250" s="14">
        <f t="shared" si="210"/>
        <v>194187.5</v>
      </c>
      <c r="AU250" s="14">
        <f t="shared" si="211"/>
        <v>75460</v>
      </c>
      <c r="AV250" s="65">
        <f t="shared" si="256"/>
        <v>1.2866916247018287</v>
      </c>
      <c r="AW250" s="65">
        <f t="shared" si="257"/>
        <v>2.32891184071031</v>
      </c>
    </row>
    <row r="251" spans="20:49" x14ac:dyDescent="0.15">
      <c r="T251" s="28">
        <f t="shared" si="222"/>
        <v>6229</v>
      </c>
      <c r="U251" s="26">
        <f t="shared" si="232"/>
        <v>2836</v>
      </c>
      <c r="V251" s="28">
        <f t="shared" si="233"/>
        <v>30</v>
      </c>
      <c r="W251" s="14">
        <f t="shared" si="220"/>
        <v>110</v>
      </c>
      <c r="X251" s="39">
        <f t="shared" si="221"/>
        <v>567.20000000000005</v>
      </c>
      <c r="Y251" s="15">
        <v>1</v>
      </c>
      <c r="AE251" s="80"/>
      <c r="AF251" s="80"/>
      <c r="AG251" s="62">
        <f t="shared" si="258"/>
        <v>0.81</v>
      </c>
      <c r="AH251" s="60">
        <v>4</v>
      </c>
      <c r="AI251" s="60">
        <v>10</v>
      </c>
      <c r="AJ251" s="60">
        <v>6060</v>
      </c>
      <c r="AK251" s="68">
        <f t="shared" si="252"/>
        <v>26794</v>
      </c>
      <c r="AL251" s="68">
        <f t="shared" si="253"/>
        <v>10</v>
      </c>
      <c r="AM251" s="60">
        <f t="shared" si="219"/>
        <v>10</v>
      </c>
      <c r="AN251" s="14">
        <f t="shared" si="254"/>
        <v>12</v>
      </c>
      <c r="AO251" s="60">
        <v>3</v>
      </c>
      <c r="AP251" s="60">
        <v>4</v>
      </c>
      <c r="AQ251" s="60">
        <v>1</v>
      </c>
      <c r="AS251" s="25">
        <f t="shared" si="255"/>
        <v>5651.8666666666668</v>
      </c>
      <c r="AT251" s="14">
        <f t="shared" si="210"/>
        <v>529862.5</v>
      </c>
      <c r="AU251" s="14">
        <f t="shared" si="211"/>
        <v>535880</v>
      </c>
      <c r="AV251" s="65">
        <f t="shared" si="256"/>
        <v>0.98877080689706653</v>
      </c>
      <c r="AW251" s="65">
        <f t="shared" si="257"/>
        <v>1.7896751604836905</v>
      </c>
    </row>
    <row r="252" spans="20:49" x14ac:dyDescent="0.15">
      <c r="T252" s="28">
        <f t="shared" si="222"/>
        <v>6230</v>
      </c>
      <c r="U252" s="26">
        <f t="shared" si="232"/>
        <v>3119</v>
      </c>
      <c r="V252" s="28">
        <f t="shared" si="233"/>
        <v>30</v>
      </c>
      <c r="W252" s="14">
        <f t="shared" si="220"/>
        <v>122</v>
      </c>
      <c r="X252" s="39">
        <f t="shared" si="221"/>
        <v>623.79999999999995</v>
      </c>
      <c r="Y252" s="15">
        <v>1</v>
      </c>
      <c r="AE252" s="80"/>
      <c r="AF252" s="80"/>
      <c r="AG252" s="62">
        <f t="shared" si="258"/>
        <v>0.81</v>
      </c>
      <c r="AH252" s="60">
        <v>5</v>
      </c>
      <c r="AI252" s="60">
        <v>10</v>
      </c>
      <c r="AJ252" s="60">
        <v>6082</v>
      </c>
      <c r="AK252" s="68">
        <f t="shared" si="252"/>
        <v>218087</v>
      </c>
      <c r="AL252" s="68">
        <f t="shared" si="253"/>
        <v>10</v>
      </c>
      <c r="AM252" s="60">
        <f t="shared" si="219"/>
        <v>5</v>
      </c>
      <c r="AN252" s="14">
        <f t="shared" si="254"/>
        <v>5</v>
      </c>
      <c r="AO252" s="60">
        <v>5</v>
      </c>
      <c r="AP252" s="60">
        <v>1</v>
      </c>
      <c r="AQ252" s="60">
        <v>1</v>
      </c>
      <c r="AS252" s="25">
        <f t="shared" si="255"/>
        <v>27087.066666666673</v>
      </c>
      <c r="AT252" s="14">
        <f t="shared" si="210"/>
        <v>1269706.25</v>
      </c>
      <c r="AU252" s="14">
        <f t="shared" si="211"/>
        <v>2180870</v>
      </c>
      <c r="AV252" s="65">
        <f t="shared" si="256"/>
        <v>0.58220171307780844</v>
      </c>
      <c r="AW252" s="65">
        <f t="shared" si="257"/>
        <v>1.0537851006708332</v>
      </c>
    </row>
    <row r="253" spans="20:49" x14ac:dyDescent="0.15">
      <c r="T253" s="28">
        <f t="shared" si="222"/>
        <v>6231</v>
      </c>
      <c r="U253" s="26">
        <f t="shared" si="232"/>
        <v>3430</v>
      </c>
      <c r="V253" s="28">
        <f t="shared" si="233"/>
        <v>30</v>
      </c>
      <c r="W253" s="14">
        <f t="shared" si="220"/>
        <v>134</v>
      </c>
      <c r="X253" s="39">
        <f t="shared" si="221"/>
        <v>686</v>
      </c>
      <c r="Y253" s="15">
        <v>1</v>
      </c>
      <c r="AE253" s="80"/>
      <c r="AF253" s="80"/>
      <c r="AG253" s="62">
        <f t="shared" si="258"/>
        <v>0.81</v>
      </c>
      <c r="AH253" s="60"/>
      <c r="AI253" s="60"/>
      <c r="AJ253" s="60"/>
      <c r="AK253" s="68"/>
      <c r="AL253" s="68"/>
      <c r="AM253" s="60" t="str">
        <f t="shared" si="219"/>
        <v/>
      </c>
      <c r="AN253" s="14"/>
      <c r="AO253" s="60"/>
      <c r="AP253" s="15"/>
      <c r="AQ253" s="60"/>
      <c r="AS253" s="25">
        <f t="shared" si="255"/>
        <v>99782.733333333337</v>
      </c>
      <c r="AT253" s="14">
        <f t="shared" si="210"/>
        <v>0</v>
      </c>
      <c r="AU253" s="14" t="e">
        <f t="shared" si="211"/>
        <v>#N/A</v>
      </c>
      <c r="AV253" s="65" t="e">
        <f t="shared" si="256"/>
        <v>#N/A</v>
      </c>
      <c r="AW253" s="65" t="e">
        <f t="shared" si="257"/>
        <v>#N/A</v>
      </c>
    </row>
    <row r="254" spans="20:49" x14ac:dyDescent="0.15">
      <c r="T254" s="28">
        <f t="shared" si="222"/>
        <v>6232</v>
      </c>
      <c r="U254" s="26">
        <f t="shared" si="232"/>
        <v>3773</v>
      </c>
      <c r="V254" s="28">
        <f t="shared" si="233"/>
        <v>30</v>
      </c>
      <c r="W254" s="14">
        <f t="shared" si="220"/>
        <v>146</v>
      </c>
      <c r="X254" s="39">
        <f t="shared" si="221"/>
        <v>754.6</v>
      </c>
      <c r="Y254" s="15">
        <v>1</v>
      </c>
      <c r="AE254" s="80"/>
      <c r="AF254" s="80"/>
      <c r="AG254" s="62">
        <f t="shared" si="258"/>
        <v>0.81</v>
      </c>
      <c r="AH254" s="60"/>
      <c r="AI254" s="60"/>
      <c r="AJ254" s="60"/>
      <c r="AK254" s="68"/>
      <c r="AL254" s="68"/>
      <c r="AM254" s="60" t="str">
        <f t="shared" si="219"/>
        <v/>
      </c>
      <c r="AN254" s="14"/>
      <c r="AO254" s="60"/>
      <c r="AP254" s="15"/>
      <c r="AQ254" s="60"/>
      <c r="AS254" s="25" t="e">
        <f t="shared" si="255"/>
        <v>#N/A</v>
      </c>
      <c r="AT254" s="14" t="e">
        <f t="shared" si="210"/>
        <v>#N/A</v>
      </c>
      <c r="AU254" s="14" t="e">
        <f t="shared" si="211"/>
        <v>#N/A</v>
      </c>
      <c r="AV254" s="65" t="e">
        <f t="shared" si="256"/>
        <v>#N/A</v>
      </c>
      <c r="AW254" s="65" t="e">
        <f t="shared" si="257"/>
        <v>#N/A</v>
      </c>
    </row>
    <row r="255" spans="20:49" x14ac:dyDescent="0.15">
      <c r="T255" s="28">
        <f t="shared" si="222"/>
        <v>6233</v>
      </c>
      <c r="U255" s="26">
        <f t="shared" si="232"/>
        <v>4150</v>
      </c>
      <c r="V255" s="28">
        <f t="shared" si="233"/>
        <v>30</v>
      </c>
      <c r="W255" s="14">
        <f t="shared" si="220"/>
        <v>160</v>
      </c>
      <c r="X255" s="39">
        <f t="shared" si="221"/>
        <v>830</v>
      </c>
      <c r="Y255" s="15">
        <v>1</v>
      </c>
      <c r="AE255" s="81"/>
      <c r="AF255" s="81"/>
      <c r="AG255" s="25">
        <f t="shared" si="258"/>
        <v>0.81</v>
      </c>
      <c r="AH255" s="60"/>
      <c r="AI255" s="60"/>
      <c r="AJ255" s="60"/>
      <c r="AK255" s="68"/>
      <c r="AL255" s="68"/>
      <c r="AM255" s="60" t="str">
        <f t="shared" si="219"/>
        <v/>
      </c>
      <c r="AN255" s="14"/>
      <c r="AO255" s="60"/>
      <c r="AP255" s="15"/>
      <c r="AQ255" s="60"/>
      <c r="AS255" s="25" t="e">
        <f t="shared" si="255"/>
        <v>#N/A</v>
      </c>
      <c r="AT255" s="14" t="e">
        <f t="shared" si="210"/>
        <v>#N/A</v>
      </c>
      <c r="AU255" s="14" t="e">
        <f t="shared" si="211"/>
        <v>#N/A</v>
      </c>
      <c r="AV255" s="65" t="e">
        <f t="shared" si="256"/>
        <v>#N/A</v>
      </c>
      <c r="AW255" s="65" t="e">
        <f>(1+AG255)*AV255</f>
        <v>#N/A</v>
      </c>
    </row>
    <row r="256" spans="20:49" x14ac:dyDescent="0.15">
      <c r="T256" s="28">
        <f t="shared" si="222"/>
        <v>6234</v>
      </c>
      <c r="U256" s="26">
        <f t="shared" si="232"/>
        <v>4565</v>
      </c>
      <c r="V256" s="28">
        <f t="shared" si="233"/>
        <v>30</v>
      </c>
      <c r="W256" s="14">
        <f t="shared" si="220"/>
        <v>176</v>
      </c>
      <c r="X256" s="39">
        <f t="shared" si="221"/>
        <v>913</v>
      </c>
      <c r="Y256" s="15">
        <v>1</v>
      </c>
      <c r="AM256" s="60" t="str">
        <f t="shared" si="219"/>
        <v/>
      </c>
      <c r="AT256" s="14">
        <f t="shared" si="210"/>
        <v>0</v>
      </c>
      <c r="AU256" s="14" t="e">
        <f t="shared" si="211"/>
        <v>#N/A</v>
      </c>
    </row>
    <row r="257" spans="20:49" x14ac:dyDescent="0.15">
      <c r="T257" s="28">
        <f t="shared" si="222"/>
        <v>6235</v>
      </c>
      <c r="U257" s="26">
        <f t="shared" si="232"/>
        <v>5021</v>
      </c>
      <c r="V257" s="28">
        <f t="shared" si="233"/>
        <v>30</v>
      </c>
      <c r="W257" s="14">
        <f t="shared" si="220"/>
        <v>194</v>
      </c>
      <c r="X257" s="39">
        <f t="shared" si="221"/>
        <v>1004.2</v>
      </c>
      <c r="Y257" s="15">
        <v>1</v>
      </c>
      <c r="AE257" s="79">
        <f>AE248+1</f>
        <v>24</v>
      </c>
      <c r="AF257" s="79">
        <v>25</v>
      </c>
      <c r="AG257" s="63">
        <f>INDEX($BC$14:$BC$77,MATCH(AF257,$BA$14:$BA$77))</f>
        <v>0.81</v>
      </c>
      <c r="AH257" s="60">
        <v>1</v>
      </c>
      <c r="AI257" s="60">
        <v>10</v>
      </c>
      <c r="AJ257" s="60">
        <v>6030</v>
      </c>
      <c r="AK257" s="68">
        <f>INDEX(U:U,MATCH($AJ257,T:T,0))</f>
        <v>1540</v>
      </c>
      <c r="AL257" s="68">
        <f>INDEX(V:V,MATCH($AJ257,T:T,0))</f>
        <v>10</v>
      </c>
      <c r="AM257" s="60">
        <f t="shared" si="219"/>
        <v>5</v>
      </c>
      <c r="AN257" s="14">
        <f>AO257*AP257</f>
        <v>10</v>
      </c>
      <c r="AO257" s="60">
        <v>10</v>
      </c>
      <c r="AP257" s="60">
        <v>1</v>
      </c>
      <c r="AQ257" s="60">
        <v>1</v>
      </c>
      <c r="AS257" s="15">
        <f>$AH$18</f>
        <v>200</v>
      </c>
      <c r="AT257" s="14">
        <f t="shared" si="210"/>
        <v>9375</v>
      </c>
      <c r="AU257" s="14">
        <f t="shared" si="211"/>
        <v>15400</v>
      </c>
      <c r="AV257" s="65">
        <f>AT257/AU257*10/AL257</f>
        <v>0.60876623376623373</v>
      </c>
      <c r="AW257" s="65">
        <f>(1+AG257)*AV257</f>
        <v>1.1018668831168832</v>
      </c>
    </row>
    <row r="258" spans="20:49" x14ac:dyDescent="0.15">
      <c r="T258" s="28">
        <f t="shared" si="222"/>
        <v>6236</v>
      </c>
      <c r="U258" s="26">
        <f t="shared" si="232"/>
        <v>5523</v>
      </c>
      <c r="V258" s="28">
        <f t="shared" si="233"/>
        <v>30</v>
      </c>
      <c r="W258" s="14">
        <f t="shared" si="220"/>
        <v>214</v>
      </c>
      <c r="X258" s="39">
        <f t="shared" si="221"/>
        <v>1104.5999999999999</v>
      </c>
      <c r="Y258" s="15">
        <v>1</v>
      </c>
      <c r="AE258" s="80"/>
      <c r="AF258" s="80"/>
      <c r="AG258" s="62">
        <f>AG257</f>
        <v>0.81</v>
      </c>
      <c r="AH258" s="60">
        <v>2</v>
      </c>
      <c r="AI258" s="60">
        <v>10</v>
      </c>
      <c r="AJ258" s="60">
        <v>6038</v>
      </c>
      <c r="AK258" s="68">
        <f t="shared" ref="AK258:AK261" si="259">INDEX(U:U,MATCH($AJ258,T:T,0))</f>
        <v>3296</v>
      </c>
      <c r="AL258" s="68">
        <f t="shared" ref="AL258:AL261" si="260">INDEX(V:V,MATCH($AJ258,T:T,0))</f>
        <v>10</v>
      </c>
      <c r="AM258" s="60">
        <f t="shared" si="219"/>
        <v>5</v>
      </c>
      <c r="AN258" s="14">
        <f t="shared" ref="AN258:AN261" si="261">AO258*AP258</f>
        <v>5</v>
      </c>
      <c r="AO258" s="60">
        <v>5</v>
      </c>
      <c r="AP258" s="60">
        <v>1</v>
      </c>
      <c r="AQ258" s="60">
        <v>1</v>
      </c>
      <c r="AS258" s="25">
        <f t="shared" ref="AS258:AS264" si="262">AS257+AN257*INDEX(X:X,MATCH(AJ257,T:T,0))</f>
        <v>1226.6666666666667</v>
      </c>
      <c r="AT258" s="14">
        <f t="shared" si="210"/>
        <v>57500</v>
      </c>
      <c r="AU258" s="14">
        <f t="shared" si="211"/>
        <v>32960</v>
      </c>
      <c r="AV258" s="65">
        <f t="shared" ref="AV258:AV264" si="263">AT258/AU258*10/AL258</f>
        <v>1.7445388349514563</v>
      </c>
      <c r="AW258" s="65">
        <f t="shared" ref="AW258:AW263" si="264">(1+AG258)*AV258</f>
        <v>3.157615291262136</v>
      </c>
    </row>
    <row r="259" spans="20:49" x14ac:dyDescent="0.15">
      <c r="T259" s="28">
        <f t="shared" si="222"/>
        <v>6237</v>
      </c>
      <c r="U259" s="26">
        <f t="shared" si="232"/>
        <v>6075</v>
      </c>
      <c r="V259" s="28">
        <f t="shared" si="233"/>
        <v>30</v>
      </c>
      <c r="W259" s="14">
        <f t="shared" si="220"/>
        <v>234</v>
      </c>
      <c r="X259" s="39">
        <f t="shared" si="221"/>
        <v>1215</v>
      </c>
      <c r="Y259" s="15">
        <v>1</v>
      </c>
      <c r="AE259" s="80"/>
      <c r="AF259" s="80"/>
      <c r="AG259" s="62">
        <f t="shared" ref="AG259:AG264" si="265">AG258</f>
        <v>0.81</v>
      </c>
      <c r="AH259" s="60">
        <v>3</v>
      </c>
      <c r="AI259" s="60">
        <v>10</v>
      </c>
      <c r="AJ259" s="60">
        <v>6050</v>
      </c>
      <c r="AK259" s="68">
        <f t="shared" si="259"/>
        <v>10333</v>
      </c>
      <c r="AL259" s="68">
        <f t="shared" si="260"/>
        <v>10</v>
      </c>
      <c r="AM259" s="60">
        <f t="shared" si="219"/>
        <v>10</v>
      </c>
      <c r="AN259" s="14">
        <f t="shared" si="261"/>
        <v>20</v>
      </c>
      <c r="AO259" s="60">
        <v>5</v>
      </c>
      <c r="AP259" s="60">
        <v>4</v>
      </c>
      <c r="AQ259" s="60">
        <v>1</v>
      </c>
      <c r="AS259" s="25">
        <f t="shared" si="262"/>
        <v>2325.3333333333335</v>
      </c>
      <c r="AT259" s="14">
        <f t="shared" si="210"/>
        <v>218000</v>
      </c>
      <c r="AU259" s="14">
        <f t="shared" si="211"/>
        <v>206660</v>
      </c>
      <c r="AV259" s="65">
        <f t="shared" si="263"/>
        <v>1.0548727378302525</v>
      </c>
      <c r="AW259" s="65">
        <f t="shared" si="264"/>
        <v>1.9093196554727569</v>
      </c>
    </row>
    <row r="260" spans="20:49" x14ac:dyDescent="0.15">
      <c r="T260" s="28">
        <f t="shared" si="222"/>
        <v>6238</v>
      </c>
      <c r="U260" s="26">
        <f t="shared" si="232"/>
        <v>6682</v>
      </c>
      <c r="V260" s="28">
        <f t="shared" si="233"/>
        <v>30</v>
      </c>
      <c r="W260" s="14">
        <f t="shared" si="220"/>
        <v>258</v>
      </c>
      <c r="X260" s="39">
        <f t="shared" si="221"/>
        <v>1336.4</v>
      </c>
      <c r="Y260" s="15">
        <v>1</v>
      </c>
      <c r="AE260" s="80"/>
      <c r="AF260" s="80"/>
      <c r="AG260" s="62">
        <f t="shared" si="265"/>
        <v>0.81</v>
      </c>
      <c r="AH260" s="60">
        <v>4</v>
      </c>
      <c r="AI260" s="60">
        <v>10</v>
      </c>
      <c r="AJ260" s="60">
        <v>6155</v>
      </c>
      <c r="AK260" s="68">
        <f t="shared" si="259"/>
        <v>33761</v>
      </c>
      <c r="AL260" s="68">
        <f t="shared" si="260"/>
        <v>20</v>
      </c>
      <c r="AM260" s="60">
        <f t="shared" si="219"/>
        <v>10</v>
      </c>
      <c r="AN260" s="14">
        <f t="shared" si="261"/>
        <v>20</v>
      </c>
      <c r="AO260" s="60">
        <v>5</v>
      </c>
      <c r="AP260" s="60">
        <v>4</v>
      </c>
      <c r="AQ260" s="60">
        <v>1</v>
      </c>
      <c r="AS260" s="25">
        <f t="shared" si="262"/>
        <v>16102.666666666668</v>
      </c>
      <c r="AT260" s="14">
        <f t="shared" si="210"/>
        <v>1509625</v>
      </c>
      <c r="AU260" s="14">
        <f t="shared" si="211"/>
        <v>1350440</v>
      </c>
      <c r="AV260" s="65">
        <f t="shared" si="263"/>
        <v>0.55893819792067767</v>
      </c>
      <c r="AW260" s="65">
        <f t="shared" si="264"/>
        <v>1.0116781382364266</v>
      </c>
    </row>
    <row r="261" spans="20:49" x14ac:dyDescent="0.15">
      <c r="T261" s="28">
        <f t="shared" si="222"/>
        <v>6239</v>
      </c>
      <c r="U261" s="26">
        <f t="shared" si="232"/>
        <v>7350</v>
      </c>
      <c r="V261" s="28">
        <f t="shared" si="233"/>
        <v>30</v>
      </c>
      <c r="W261" s="14">
        <f t="shared" si="220"/>
        <v>284</v>
      </c>
      <c r="X261" s="39">
        <f t="shared" si="221"/>
        <v>1470</v>
      </c>
      <c r="Y261" s="15">
        <v>1</v>
      </c>
      <c r="AE261" s="80"/>
      <c r="AF261" s="80"/>
      <c r="AG261" s="62">
        <f t="shared" si="265"/>
        <v>0.81</v>
      </c>
      <c r="AH261" s="60">
        <v>5</v>
      </c>
      <c r="AI261" s="60">
        <v>10</v>
      </c>
      <c r="AJ261" s="60">
        <v>6168</v>
      </c>
      <c r="AK261" s="68">
        <f t="shared" si="259"/>
        <v>116542</v>
      </c>
      <c r="AL261" s="68">
        <f t="shared" si="260"/>
        <v>20</v>
      </c>
      <c r="AM261" s="60">
        <f t="shared" si="219"/>
        <v>5</v>
      </c>
      <c r="AN261" s="14">
        <f t="shared" si="261"/>
        <v>5</v>
      </c>
      <c r="AO261" s="60">
        <v>5</v>
      </c>
      <c r="AP261" s="60">
        <v>1</v>
      </c>
      <c r="AQ261" s="60">
        <v>1</v>
      </c>
      <c r="AS261" s="25">
        <f t="shared" si="262"/>
        <v>106132</v>
      </c>
      <c r="AT261" s="14">
        <f t="shared" si="210"/>
        <v>4974937.5</v>
      </c>
      <c r="AU261" s="14">
        <f t="shared" si="211"/>
        <v>2330840</v>
      </c>
      <c r="AV261" s="65">
        <f t="shared" si="263"/>
        <v>1.0671984134475125</v>
      </c>
      <c r="AW261" s="65">
        <f t="shared" si="264"/>
        <v>1.9316291283399978</v>
      </c>
    </row>
    <row r="262" spans="20:49" x14ac:dyDescent="0.15">
      <c r="T262" s="28">
        <f t="shared" si="222"/>
        <v>6240</v>
      </c>
      <c r="U262" s="26">
        <f t="shared" si="232"/>
        <v>8085</v>
      </c>
      <c r="V262" s="28">
        <f t="shared" si="233"/>
        <v>30</v>
      </c>
      <c r="W262" s="14">
        <f t="shared" si="220"/>
        <v>312</v>
      </c>
      <c r="X262" s="39">
        <f t="shared" si="221"/>
        <v>1617</v>
      </c>
      <c r="Y262" s="15">
        <v>1</v>
      </c>
      <c r="AE262" s="80"/>
      <c r="AF262" s="80"/>
      <c r="AG262" s="62">
        <f t="shared" si="265"/>
        <v>0.81</v>
      </c>
      <c r="AH262" s="60"/>
      <c r="AI262" s="60"/>
      <c r="AJ262" s="60"/>
      <c r="AK262" s="68"/>
      <c r="AL262" s="68"/>
      <c r="AM262" s="60" t="str">
        <f t="shared" si="219"/>
        <v/>
      </c>
      <c r="AN262" s="14"/>
      <c r="AO262" s="60"/>
      <c r="AP262" s="15"/>
      <c r="AQ262" s="60"/>
      <c r="AS262" s="25">
        <f t="shared" si="262"/>
        <v>183826.66666666669</v>
      </c>
      <c r="AT262" s="14">
        <f t="shared" si="210"/>
        <v>0</v>
      </c>
      <c r="AU262" s="14" t="e">
        <f t="shared" si="211"/>
        <v>#N/A</v>
      </c>
      <c r="AV262" s="65" t="e">
        <f t="shared" si="263"/>
        <v>#N/A</v>
      </c>
      <c r="AW262" s="65" t="e">
        <f t="shared" si="264"/>
        <v>#N/A</v>
      </c>
    </row>
    <row r="263" spans="20:49" x14ac:dyDescent="0.15">
      <c r="T263" s="28">
        <f t="shared" si="222"/>
        <v>6241</v>
      </c>
      <c r="U263" s="26">
        <f t="shared" si="232"/>
        <v>8893</v>
      </c>
      <c r="V263" s="28">
        <f t="shared" si="233"/>
        <v>30</v>
      </c>
      <c r="W263" s="14">
        <f t="shared" si="220"/>
        <v>342</v>
      </c>
      <c r="X263" s="39">
        <f t="shared" si="221"/>
        <v>1778.6</v>
      </c>
      <c r="Y263" s="15">
        <v>1</v>
      </c>
      <c r="AE263" s="80"/>
      <c r="AF263" s="80"/>
      <c r="AG263" s="62">
        <f t="shared" si="265"/>
        <v>0.81</v>
      </c>
      <c r="AH263" s="60"/>
      <c r="AI263" s="60"/>
      <c r="AJ263" s="60"/>
      <c r="AK263" s="68"/>
      <c r="AL263" s="68"/>
      <c r="AM263" s="60" t="str">
        <f t="shared" si="219"/>
        <v/>
      </c>
      <c r="AN263" s="14"/>
      <c r="AO263" s="60"/>
      <c r="AP263" s="15"/>
      <c r="AQ263" s="60"/>
      <c r="AS263" s="25" t="e">
        <f t="shared" si="262"/>
        <v>#N/A</v>
      </c>
      <c r="AT263" s="14" t="e">
        <f t="shared" si="210"/>
        <v>#N/A</v>
      </c>
      <c r="AU263" s="14" t="e">
        <f t="shared" si="211"/>
        <v>#N/A</v>
      </c>
      <c r="AV263" s="65" t="e">
        <f t="shared" si="263"/>
        <v>#N/A</v>
      </c>
      <c r="AW263" s="65" t="e">
        <f t="shared" si="264"/>
        <v>#N/A</v>
      </c>
    </row>
    <row r="264" spans="20:49" x14ac:dyDescent="0.15">
      <c r="T264" s="28">
        <f t="shared" si="222"/>
        <v>6242</v>
      </c>
      <c r="U264" s="26">
        <f t="shared" si="232"/>
        <v>9782</v>
      </c>
      <c r="V264" s="28">
        <f t="shared" si="233"/>
        <v>30</v>
      </c>
      <c r="W264" s="14">
        <f t="shared" si="220"/>
        <v>376</v>
      </c>
      <c r="X264" s="39">
        <f t="shared" si="221"/>
        <v>1956.4</v>
      </c>
      <c r="Y264" s="15">
        <v>1</v>
      </c>
      <c r="AE264" s="81"/>
      <c r="AF264" s="81"/>
      <c r="AG264" s="25">
        <f t="shared" si="265"/>
        <v>0.81</v>
      </c>
      <c r="AH264" s="60"/>
      <c r="AI264" s="60"/>
      <c r="AJ264" s="60"/>
      <c r="AK264" s="68"/>
      <c r="AL264" s="68"/>
      <c r="AM264" s="60" t="str">
        <f t="shared" si="219"/>
        <v/>
      </c>
      <c r="AN264" s="14"/>
      <c r="AO264" s="60"/>
      <c r="AP264" s="15"/>
      <c r="AQ264" s="60"/>
      <c r="AS264" s="25" t="e">
        <f t="shared" si="262"/>
        <v>#N/A</v>
      </c>
      <c r="AT264" s="14" t="e">
        <f t="shared" si="210"/>
        <v>#N/A</v>
      </c>
      <c r="AU264" s="14" t="e">
        <f t="shared" si="211"/>
        <v>#N/A</v>
      </c>
      <c r="AV264" s="65" t="e">
        <f t="shared" si="263"/>
        <v>#N/A</v>
      </c>
      <c r="AW264" s="65" t="e">
        <f>(1+AG264)*AV264</f>
        <v>#N/A</v>
      </c>
    </row>
    <row r="265" spans="20:49" x14ac:dyDescent="0.15">
      <c r="T265" s="28">
        <f t="shared" si="222"/>
        <v>6243</v>
      </c>
      <c r="U265" s="26">
        <f t="shared" si="232"/>
        <v>10760</v>
      </c>
      <c r="V265" s="28">
        <f t="shared" si="233"/>
        <v>30</v>
      </c>
      <c r="W265" s="14">
        <f t="shared" si="220"/>
        <v>414</v>
      </c>
      <c r="X265" s="39">
        <f t="shared" si="221"/>
        <v>2152</v>
      </c>
      <c r="Y265" s="15">
        <v>1</v>
      </c>
      <c r="AM265" s="60" t="str">
        <f t="shared" si="219"/>
        <v/>
      </c>
      <c r="AT265" s="14">
        <f t="shared" si="210"/>
        <v>0</v>
      </c>
      <c r="AU265" s="14" t="e">
        <f t="shared" si="211"/>
        <v>#N/A</v>
      </c>
    </row>
    <row r="266" spans="20:49" x14ac:dyDescent="0.15">
      <c r="T266" s="28">
        <f t="shared" si="222"/>
        <v>6244</v>
      </c>
      <c r="U266" s="26">
        <f t="shared" si="232"/>
        <v>11836</v>
      </c>
      <c r="V266" s="28">
        <f t="shared" si="233"/>
        <v>30</v>
      </c>
      <c r="W266" s="14">
        <f t="shared" si="220"/>
        <v>454</v>
      </c>
      <c r="X266" s="39">
        <f t="shared" si="221"/>
        <v>2367.1999999999998</v>
      </c>
      <c r="Y266" s="15">
        <v>1</v>
      </c>
      <c r="AE266" s="79">
        <f>AE257+1</f>
        <v>25</v>
      </c>
      <c r="AF266" s="79">
        <v>26</v>
      </c>
      <c r="AG266" s="63">
        <f>INDEX($BC$14:$BC$77,MATCH(AF266,$BA$14:$BA$77))</f>
        <v>0.85</v>
      </c>
      <c r="AH266" s="60">
        <v>1</v>
      </c>
      <c r="AI266" s="60">
        <v>10</v>
      </c>
      <c r="AJ266" s="60">
        <v>6035</v>
      </c>
      <c r="AK266" s="68">
        <f>INDEX(U:U,MATCH($AJ266,T:T,0))</f>
        <v>2478</v>
      </c>
      <c r="AL266" s="68">
        <f>INDEX(V:V,MATCH($AJ266,T:T,0))</f>
        <v>10</v>
      </c>
      <c r="AM266" s="60">
        <v>10</v>
      </c>
      <c r="AN266" s="14">
        <f>AO266*AP266</f>
        <v>10</v>
      </c>
      <c r="AO266" s="60">
        <v>10</v>
      </c>
      <c r="AP266" s="60">
        <v>1</v>
      </c>
      <c r="AQ266" s="60">
        <v>1</v>
      </c>
      <c r="AS266" s="15">
        <f>$AH$18</f>
        <v>200</v>
      </c>
      <c r="AT266" s="14">
        <f t="shared" si="210"/>
        <v>9375</v>
      </c>
      <c r="AU266" s="14">
        <f t="shared" si="211"/>
        <v>12390</v>
      </c>
      <c r="AV266" s="65">
        <f>AT266/AU266*10/AL266</f>
        <v>0.7566585956416465</v>
      </c>
      <c r="AW266" s="65">
        <f>(1+AG266)*AV266</f>
        <v>1.3998184019370461</v>
      </c>
    </row>
    <row r="267" spans="20:49" x14ac:dyDescent="0.15">
      <c r="T267" s="28">
        <f t="shared" si="222"/>
        <v>6245</v>
      </c>
      <c r="U267" s="26">
        <f t="shared" si="232"/>
        <v>13019</v>
      </c>
      <c r="V267" s="28">
        <f t="shared" si="233"/>
        <v>30</v>
      </c>
      <c r="W267" s="14">
        <f t="shared" si="220"/>
        <v>498</v>
      </c>
      <c r="X267" s="39">
        <f t="shared" si="221"/>
        <v>2603.8000000000002</v>
      </c>
      <c r="Y267" s="15">
        <v>1</v>
      </c>
      <c r="AE267" s="80"/>
      <c r="AF267" s="80"/>
      <c r="AG267" s="62">
        <f>AG266</f>
        <v>0.85</v>
      </c>
      <c r="AH267" s="60">
        <v>2</v>
      </c>
      <c r="AI267" s="60">
        <v>10</v>
      </c>
      <c r="AJ267" s="60">
        <v>6135</v>
      </c>
      <c r="AK267" s="68">
        <f t="shared" ref="AK267:AK270" si="266">INDEX(U:U,MATCH($AJ267,T:T,0))</f>
        <v>5021</v>
      </c>
      <c r="AL267" s="68">
        <f t="shared" ref="AL267:AL270" si="267">INDEX(V:V,MATCH($AJ267,T:T,0))</f>
        <v>20</v>
      </c>
      <c r="AM267" s="60">
        <v>10</v>
      </c>
      <c r="AN267" s="14">
        <f t="shared" ref="AN267:AN270" si="268">AO267*AP267</f>
        <v>5</v>
      </c>
      <c r="AO267" s="60">
        <v>5</v>
      </c>
      <c r="AP267" s="60">
        <v>1</v>
      </c>
      <c r="AQ267" s="60">
        <v>1</v>
      </c>
      <c r="AS267" s="25">
        <f t="shared" ref="AS267:AS273" si="269">AS266+AN266*INDEX(X:X,MATCH(AJ266,T:T,0))</f>
        <v>1852</v>
      </c>
      <c r="AT267" s="14">
        <f t="shared" si="210"/>
        <v>86812.5</v>
      </c>
      <c r="AU267" s="14">
        <f t="shared" si="211"/>
        <v>50210</v>
      </c>
      <c r="AV267" s="65">
        <f t="shared" ref="AV267:AV273" si="270">AT267/AU267*10/AL267</f>
        <v>0.86449412467635933</v>
      </c>
      <c r="AW267" s="65">
        <f t="shared" ref="AW267:AW272" si="271">(1+AG267)*AV267</f>
        <v>1.5993141306512648</v>
      </c>
    </row>
    <row r="268" spans="20:49" x14ac:dyDescent="0.15">
      <c r="T268" s="28">
        <f t="shared" si="222"/>
        <v>6246</v>
      </c>
      <c r="U268" s="26">
        <f t="shared" si="232"/>
        <v>14320</v>
      </c>
      <c r="V268" s="28">
        <f t="shared" si="233"/>
        <v>30</v>
      </c>
      <c r="W268" s="14">
        <f t="shared" si="220"/>
        <v>548</v>
      </c>
      <c r="X268" s="39">
        <f t="shared" si="221"/>
        <v>2864</v>
      </c>
      <c r="Y268" s="15">
        <v>1</v>
      </c>
      <c r="AE268" s="80"/>
      <c r="AF268" s="80"/>
      <c r="AG268" s="62">
        <f t="shared" ref="AG268:AG273" si="272">AG267</f>
        <v>0.85</v>
      </c>
      <c r="AH268" s="60">
        <v>3</v>
      </c>
      <c r="AI268" s="60">
        <v>10</v>
      </c>
      <c r="AJ268" s="60">
        <v>6145</v>
      </c>
      <c r="AK268" s="68">
        <f t="shared" si="266"/>
        <v>13019</v>
      </c>
      <c r="AL268" s="68">
        <f t="shared" si="267"/>
        <v>20</v>
      </c>
      <c r="AM268" s="60">
        <v>10</v>
      </c>
      <c r="AN268" s="14">
        <f t="shared" si="268"/>
        <v>10</v>
      </c>
      <c r="AO268" s="60">
        <v>10</v>
      </c>
      <c r="AP268" s="60">
        <v>1</v>
      </c>
      <c r="AQ268" s="60">
        <v>1</v>
      </c>
      <c r="AS268" s="25">
        <f t="shared" si="269"/>
        <v>5199.3333333333339</v>
      </c>
      <c r="AT268" s="14">
        <f t="shared" si="210"/>
        <v>243718.75</v>
      </c>
      <c r="AU268" s="14">
        <f t="shared" si="211"/>
        <v>130190</v>
      </c>
      <c r="AV268" s="65">
        <f t="shared" si="270"/>
        <v>0.93601179046009675</v>
      </c>
      <c r="AW268" s="65">
        <f t="shared" si="271"/>
        <v>1.7316218123511791</v>
      </c>
    </row>
    <row r="269" spans="20:49" x14ac:dyDescent="0.15">
      <c r="T269" s="28">
        <f t="shared" si="222"/>
        <v>6247</v>
      </c>
      <c r="U269" s="26">
        <f t="shared" si="232"/>
        <v>15752</v>
      </c>
      <c r="V269" s="28">
        <f t="shared" si="233"/>
        <v>30</v>
      </c>
      <c r="W269" s="14">
        <f t="shared" si="220"/>
        <v>602</v>
      </c>
      <c r="X269" s="39">
        <f t="shared" si="221"/>
        <v>3150.4</v>
      </c>
      <c r="Y269" s="15">
        <v>1</v>
      </c>
      <c r="AE269" s="80"/>
      <c r="AF269" s="80"/>
      <c r="AG269" s="62">
        <f t="shared" si="272"/>
        <v>0.85</v>
      </c>
      <c r="AH269" s="60">
        <v>3</v>
      </c>
      <c r="AI269" s="60">
        <v>10</v>
      </c>
      <c r="AJ269" s="60">
        <v>6251</v>
      </c>
      <c r="AK269" s="68">
        <f t="shared" si="266"/>
        <v>23060</v>
      </c>
      <c r="AL269" s="68">
        <f t="shared" si="267"/>
        <v>30</v>
      </c>
      <c r="AM269" s="60">
        <v>10</v>
      </c>
      <c r="AN269" s="14">
        <f t="shared" si="268"/>
        <v>5</v>
      </c>
      <c r="AO269" s="60">
        <v>5</v>
      </c>
      <c r="AP269" s="60">
        <v>1</v>
      </c>
      <c r="AQ269" s="60">
        <v>1</v>
      </c>
      <c r="AS269" s="25">
        <f t="shared" si="269"/>
        <v>22558</v>
      </c>
      <c r="AT269" s="14">
        <f t="shared" si="210"/>
        <v>1057406.25</v>
      </c>
      <c r="AU269" s="14">
        <f t="shared" si="211"/>
        <v>345900</v>
      </c>
      <c r="AV269" s="65">
        <f t="shared" si="270"/>
        <v>1.0189903151199768</v>
      </c>
      <c r="AW269" s="65">
        <f t="shared" si="271"/>
        <v>1.8851320829719573</v>
      </c>
    </row>
    <row r="270" spans="20:49" x14ac:dyDescent="0.15">
      <c r="T270" s="28">
        <f t="shared" si="222"/>
        <v>6248</v>
      </c>
      <c r="U270" s="26">
        <f t="shared" si="232"/>
        <v>17327</v>
      </c>
      <c r="V270" s="28">
        <f t="shared" si="233"/>
        <v>30</v>
      </c>
      <c r="W270" s="14">
        <f t="shared" si="220"/>
        <v>662</v>
      </c>
      <c r="X270" s="39">
        <f t="shared" si="221"/>
        <v>3465.4</v>
      </c>
      <c r="Y270" s="15">
        <v>1</v>
      </c>
      <c r="AE270" s="80"/>
      <c r="AF270" s="80"/>
      <c r="AG270" s="62">
        <f t="shared" si="272"/>
        <v>0.85</v>
      </c>
      <c r="AH270" s="60">
        <v>4</v>
      </c>
      <c r="AI270" s="60">
        <v>10</v>
      </c>
      <c r="AJ270" s="60">
        <v>6260</v>
      </c>
      <c r="AK270" s="68">
        <f t="shared" si="266"/>
        <v>54370</v>
      </c>
      <c r="AL270" s="68">
        <f t="shared" si="267"/>
        <v>30</v>
      </c>
      <c r="AM270" s="60">
        <v>10</v>
      </c>
      <c r="AN270" s="14">
        <f t="shared" si="268"/>
        <v>10</v>
      </c>
      <c r="AO270" s="60">
        <v>10</v>
      </c>
      <c r="AP270" s="60">
        <v>1</v>
      </c>
      <c r="AQ270" s="60">
        <v>1</v>
      </c>
      <c r="AS270" s="25">
        <f t="shared" si="269"/>
        <v>45618</v>
      </c>
      <c r="AT270" s="14">
        <f t="shared" ref="AT270:AT327" si="273">ROUND(($AS270*$AH$17*50/4/4),2)*AP270^0.5</f>
        <v>2138343.75</v>
      </c>
      <c r="AU270" s="14">
        <f t="shared" ref="AU270:AU327" si="274">((INDEX($V:$V,MATCH($AJ270,$T:$T,0))*INDEX($U:$U,MATCH($AJ270,$T:$T,0)))*$AP270/$AM270/$AQ270*5)</f>
        <v>815550</v>
      </c>
      <c r="AV270" s="65">
        <f t="shared" si="270"/>
        <v>0.87398841272760708</v>
      </c>
      <c r="AW270" s="65">
        <f t="shared" si="271"/>
        <v>1.6168785635460732</v>
      </c>
    </row>
    <row r="271" spans="20:49" x14ac:dyDescent="0.15">
      <c r="T271" s="28">
        <f t="shared" si="222"/>
        <v>6249</v>
      </c>
      <c r="U271" s="26">
        <f t="shared" si="232"/>
        <v>19059</v>
      </c>
      <c r="V271" s="28">
        <f t="shared" si="233"/>
        <v>30</v>
      </c>
      <c r="W271" s="14">
        <f t="shared" si="220"/>
        <v>728</v>
      </c>
      <c r="X271" s="39">
        <f t="shared" si="221"/>
        <v>3811.8</v>
      </c>
      <c r="Y271" s="15">
        <v>1</v>
      </c>
      <c r="AE271" s="80"/>
      <c r="AF271" s="80"/>
      <c r="AG271" s="62">
        <f t="shared" si="272"/>
        <v>0.85</v>
      </c>
      <c r="AH271" s="60"/>
      <c r="AI271" s="60"/>
      <c r="AJ271" s="60"/>
      <c r="AK271" s="68"/>
      <c r="AL271" s="68"/>
      <c r="AM271" s="60" t="str">
        <f t="shared" si="219"/>
        <v/>
      </c>
      <c r="AN271" s="14"/>
      <c r="AO271" s="60"/>
      <c r="AP271" s="15"/>
      <c r="AQ271" s="60"/>
      <c r="AS271" s="25">
        <f t="shared" si="269"/>
        <v>154358</v>
      </c>
      <c r="AT271" s="14">
        <f t="shared" si="273"/>
        <v>0</v>
      </c>
      <c r="AU271" s="14" t="e">
        <f t="shared" si="274"/>
        <v>#N/A</v>
      </c>
      <c r="AV271" s="65" t="e">
        <f t="shared" si="270"/>
        <v>#N/A</v>
      </c>
      <c r="AW271" s="65" t="e">
        <f t="shared" si="271"/>
        <v>#N/A</v>
      </c>
    </row>
    <row r="272" spans="20:49" x14ac:dyDescent="0.15">
      <c r="T272" s="28">
        <f t="shared" si="222"/>
        <v>6250</v>
      </c>
      <c r="U272" s="26">
        <f t="shared" si="232"/>
        <v>20964</v>
      </c>
      <c r="V272" s="28">
        <f t="shared" si="233"/>
        <v>30</v>
      </c>
      <c r="W272" s="14">
        <f t="shared" si="220"/>
        <v>800</v>
      </c>
      <c r="X272" s="39">
        <f t="shared" si="221"/>
        <v>4192.8</v>
      </c>
      <c r="Y272" s="15">
        <v>1</v>
      </c>
      <c r="AE272" s="80"/>
      <c r="AF272" s="80"/>
      <c r="AG272" s="62">
        <f t="shared" si="272"/>
        <v>0.85</v>
      </c>
      <c r="AH272" s="60"/>
      <c r="AI272" s="60"/>
      <c r="AJ272" s="60"/>
      <c r="AK272" s="68"/>
      <c r="AL272" s="68"/>
      <c r="AM272" s="60" t="str">
        <f t="shared" si="219"/>
        <v/>
      </c>
      <c r="AN272" s="14"/>
      <c r="AO272" s="60"/>
      <c r="AP272" s="15"/>
      <c r="AQ272" s="60"/>
      <c r="AS272" s="25" t="e">
        <f t="shared" si="269"/>
        <v>#N/A</v>
      </c>
      <c r="AT272" s="14" t="e">
        <f t="shared" si="273"/>
        <v>#N/A</v>
      </c>
      <c r="AU272" s="14" t="e">
        <f t="shared" si="274"/>
        <v>#N/A</v>
      </c>
      <c r="AV272" s="65" t="e">
        <f t="shared" si="270"/>
        <v>#N/A</v>
      </c>
      <c r="AW272" s="65" t="e">
        <f t="shared" si="271"/>
        <v>#N/A</v>
      </c>
    </row>
    <row r="273" spans="20:49" x14ac:dyDescent="0.15">
      <c r="T273" s="28">
        <f t="shared" si="222"/>
        <v>6251</v>
      </c>
      <c r="U273" s="26">
        <f t="shared" si="232"/>
        <v>23060</v>
      </c>
      <c r="V273" s="28">
        <f t="shared" si="233"/>
        <v>30</v>
      </c>
      <c r="W273" s="14">
        <f t="shared" si="220"/>
        <v>878</v>
      </c>
      <c r="X273" s="39">
        <f t="shared" si="221"/>
        <v>4612</v>
      </c>
      <c r="Y273" s="15">
        <v>1</v>
      </c>
      <c r="AE273" s="81"/>
      <c r="AF273" s="81"/>
      <c r="AG273" s="25">
        <f t="shared" si="272"/>
        <v>0.85</v>
      </c>
      <c r="AH273" s="60"/>
      <c r="AI273" s="60"/>
      <c r="AJ273" s="60"/>
      <c r="AK273" s="68"/>
      <c r="AL273" s="68"/>
      <c r="AM273" s="60" t="str">
        <f t="shared" si="219"/>
        <v/>
      </c>
      <c r="AN273" s="14"/>
      <c r="AO273" s="60"/>
      <c r="AP273" s="15"/>
      <c r="AQ273" s="60"/>
      <c r="AS273" s="25" t="e">
        <f t="shared" si="269"/>
        <v>#N/A</v>
      </c>
      <c r="AT273" s="14" t="e">
        <f t="shared" si="273"/>
        <v>#N/A</v>
      </c>
      <c r="AU273" s="14" t="e">
        <f t="shared" si="274"/>
        <v>#N/A</v>
      </c>
      <c r="AV273" s="65" t="e">
        <f t="shared" si="270"/>
        <v>#N/A</v>
      </c>
      <c r="AW273" s="65" t="e">
        <f>(1+AG273)*AV273</f>
        <v>#N/A</v>
      </c>
    </row>
    <row r="274" spans="20:49" x14ac:dyDescent="0.15">
      <c r="T274" s="28">
        <f t="shared" si="222"/>
        <v>6252</v>
      </c>
      <c r="U274" s="26">
        <f t="shared" si="232"/>
        <v>25366</v>
      </c>
      <c r="V274" s="28">
        <f t="shared" si="233"/>
        <v>30</v>
      </c>
      <c r="W274" s="14">
        <f t="shared" si="220"/>
        <v>964</v>
      </c>
      <c r="X274" s="39">
        <f t="shared" si="221"/>
        <v>5073.2</v>
      </c>
      <c r="Y274" s="15">
        <v>1</v>
      </c>
      <c r="AM274" s="60" t="str">
        <f t="shared" si="219"/>
        <v/>
      </c>
      <c r="AT274" s="14">
        <f t="shared" si="273"/>
        <v>0</v>
      </c>
      <c r="AU274" s="14" t="e">
        <f t="shared" si="274"/>
        <v>#N/A</v>
      </c>
    </row>
    <row r="275" spans="20:49" x14ac:dyDescent="0.15">
      <c r="T275" s="28">
        <f t="shared" si="222"/>
        <v>6253</v>
      </c>
      <c r="U275" s="26">
        <f t="shared" si="232"/>
        <v>27902</v>
      </c>
      <c r="V275" s="28">
        <f t="shared" si="233"/>
        <v>30</v>
      </c>
      <c r="W275" s="14">
        <f t="shared" si="220"/>
        <v>1060</v>
      </c>
      <c r="X275" s="39">
        <f t="shared" si="221"/>
        <v>5580.4</v>
      </c>
      <c r="Y275" s="15">
        <v>1</v>
      </c>
      <c r="AE275" s="79">
        <f>AE266+1</f>
        <v>26</v>
      </c>
      <c r="AF275" s="79">
        <v>27</v>
      </c>
      <c r="AG275" s="63">
        <f>INDEX($BC$14:$BC$77,MATCH(AF275,$BA$14:$BA$77))</f>
        <v>0.88</v>
      </c>
      <c r="AH275" s="60">
        <v>1</v>
      </c>
      <c r="AI275" s="60">
        <v>10</v>
      </c>
      <c r="AJ275" s="60">
        <v>6026</v>
      </c>
      <c r="AK275" s="68">
        <f>INDEX(U:U,MATCH($AJ275,T:T,0))</f>
        <v>1053</v>
      </c>
      <c r="AL275" s="68">
        <f>INDEX(V:V,MATCH($AJ275,T:T,0))</f>
        <v>10</v>
      </c>
      <c r="AM275" s="60">
        <f t="shared" si="219"/>
        <v>5</v>
      </c>
      <c r="AN275" s="14">
        <f>AO275*AP275</f>
        <v>3</v>
      </c>
      <c r="AO275" s="60">
        <v>3</v>
      </c>
      <c r="AP275" s="60">
        <v>1</v>
      </c>
      <c r="AQ275" s="60">
        <v>1</v>
      </c>
      <c r="AS275" s="15">
        <f>$AH$18</f>
        <v>200</v>
      </c>
      <c r="AT275" s="14">
        <f t="shared" si="273"/>
        <v>9375</v>
      </c>
      <c r="AU275" s="14">
        <f t="shared" si="274"/>
        <v>10530</v>
      </c>
      <c r="AV275" s="65">
        <f>AT275/AU275*10/AL275</f>
        <v>0.89031339031339018</v>
      </c>
      <c r="AW275" s="65">
        <f>(1+AG275)*AV275</f>
        <v>1.6737891737891735</v>
      </c>
    </row>
    <row r="276" spans="20:49" x14ac:dyDescent="0.15">
      <c r="T276" s="28">
        <f t="shared" si="222"/>
        <v>6254</v>
      </c>
      <c r="U276" s="26">
        <f t="shared" si="232"/>
        <v>30692</v>
      </c>
      <c r="V276" s="28">
        <f t="shared" si="233"/>
        <v>30</v>
      </c>
      <c r="W276" s="14">
        <f t="shared" si="220"/>
        <v>1164</v>
      </c>
      <c r="X276" s="39">
        <f t="shared" si="221"/>
        <v>6138.4</v>
      </c>
      <c r="Y276" s="15">
        <v>1</v>
      </c>
      <c r="AE276" s="80"/>
      <c r="AF276" s="80"/>
      <c r="AG276" s="62">
        <f>AG275</f>
        <v>0.88</v>
      </c>
      <c r="AH276" s="60">
        <v>2</v>
      </c>
      <c r="AI276" s="60">
        <v>10</v>
      </c>
      <c r="AJ276" s="60">
        <v>6033</v>
      </c>
      <c r="AK276" s="68">
        <f t="shared" ref="AK276:AK279" si="275">INDEX(U:U,MATCH($AJ276,T:T,0))</f>
        <v>2049</v>
      </c>
      <c r="AL276" s="68">
        <f t="shared" ref="AL276:AL279" si="276">INDEX(V:V,MATCH($AJ276,T:T,0))</f>
        <v>10</v>
      </c>
      <c r="AM276" s="60">
        <f t="shared" si="219"/>
        <v>10</v>
      </c>
      <c r="AN276" s="14">
        <f t="shared" ref="AN276:AN279" si="277">AO276*AP276</f>
        <v>20</v>
      </c>
      <c r="AO276" s="60">
        <v>5</v>
      </c>
      <c r="AP276" s="60">
        <v>4</v>
      </c>
      <c r="AQ276" s="60">
        <v>1</v>
      </c>
      <c r="AS276" s="25">
        <f t="shared" ref="AS276:AS282" si="278">AS275+AN275*INDEX(X:X,MATCH(AJ275,T:T,0))</f>
        <v>410.6</v>
      </c>
      <c r="AT276" s="14">
        <f t="shared" si="273"/>
        <v>38493.760000000002</v>
      </c>
      <c r="AU276" s="14">
        <f t="shared" si="274"/>
        <v>40980</v>
      </c>
      <c r="AV276" s="65">
        <f t="shared" ref="AV276:AV282" si="279">AT276/AU276*10/AL276</f>
        <v>0.93933040507564658</v>
      </c>
      <c r="AW276" s="65">
        <f t="shared" ref="AW276:AW281" si="280">(1+AG276)*AV276</f>
        <v>1.7659411615422154</v>
      </c>
    </row>
    <row r="277" spans="20:49" x14ac:dyDescent="0.15">
      <c r="T277" s="28">
        <f t="shared" si="222"/>
        <v>6255</v>
      </c>
      <c r="U277" s="26">
        <f t="shared" si="232"/>
        <v>33761</v>
      </c>
      <c r="V277" s="28">
        <f t="shared" si="233"/>
        <v>30</v>
      </c>
      <c r="W277" s="14">
        <f t="shared" si="220"/>
        <v>1280</v>
      </c>
      <c r="X277" s="39">
        <f t="shared" si="221"/>
        <v>6752.2</v>
      </c>
      <c r="Y277" s="15">
        <v>1</v>
      </c>
      <c r="AE277" s="80"/>
      <c r="AF277" s="80"/>
      <c r="AG277" s="62">
        <f t="shared" ref="AG277:AG282" si="281">AG276</f>
        <v>0.88</v>
      </c>
      <c r="AH277" s="60">
        <v>3</v>
      </c>
      <c r="AI277" s="60">
        <v>10</v>
      </c>
      <c r="AJ277" s="60">
        <v>6046</v>
      </c>
      <c r="AK277" s="68">
        <f t="shared" si="275"/>
        <v>7059</v>
      </c>
      <c r="AL277" s="68">
        <f t="shared" si="276"/>
        <v>10</v>
      </c>
      <c r="AM277" s="60">
        <v>5</v>
      </c>
      <c r="AN277" s="14">
        <f t="shared" si="277"/>
        <v>20</v>
      </c>
      <c r="AO277" s="60">
        <v>5</v>
      </c>
      <c r="AP277" s="60">
        <v>4</v>
      </c>
      <c r="AQ277" s="60">
        <v>1</v>
      </c>
      <c r="AS277" s="25">
        <f t="shared" si="278"/>
        <v>3142.6</v>
      </c>
      <c r="AT277" s="14">
        <f t="shared" si="273"/>
        <v>294618.76</v>
      </c>
      <c r="AU277" s="14">
        <f t="shared" si="274"/>
        <v>282360</v>
      </c>
      <c r="AV277" s="65">
        <f t="shared" si="279"/>
        <v>1.0434153562827597</v>
      </c>
      <c r="AW277" s="65">
        <f t="shared" si="280"/>
        <v>1.9616208698115882</v>
      </c>
    </row>
    <row r="278" spans="20:49" x14ac:dyDescent="0.15">
      <c r="T278" s="28">
        <f t="shared" si="222"/>
        <v>6256</v>
      </c>
      <c r="U278" s="26">
        <f t="shared" si="232"/>
        <v>37137</v>
      </c>
      <c r="V278" s="28">
        <f t="shared" si="233"/>
        <v>30</v>
      </c>
      <c r="W278" s="14">
        <f t="shared" si="220"/>
        <v>1406</v>
      </c>
      <c r="X278" s="39">
        <f t="shared" si="221"/>
        <v>7427.4</v>
      </c>
      <c r="Y278" s="15">
        <v>1</v>
      </c>
      <c r="AE278" s="80"/>
      <c r="AF278" s="80"/>
      <c r="AG278" s="62">
        <f t="shared" si="281"/>
        <v>0.88</v>
      </c>
      <c r="AH278" s="60">
        <v>4</v>
      </c>
      <c r="AI278" s="60">
        <v>10</v>
      </c>
      <c r="AJ278" s="60">
        <v>6062</v>
      </c>
      <c r="AK278" s="68">
        <f t="shared" si="275"/>
        <v>32420</v>
      </c>
      <c r="AL278" s="68">
        <f t="shared" si="276"/>
        <v>10</v>
      </c>
      <c r="AM278" s="60">
        <f t="shared" si="219"/>
        <v>10</v>
      </c>
      <c r="AN278" s="14">
        <f t="shared" si="277"/>
        <v>90</v>
      </c>
      <c r="AO278" s="60">
        <v>10</v>
      </c>
      <c r="AP278" s="60">
        <v>9</v>
      </c>
      <c r="AQ278" s="60">
        <v>1</v>
      </c>
      <c r="AS278" s="25">
        <f t="shared" si="278"/>
        <v>12554.6</v>
      </c>
      <c r="AT278" s="14">
        <f t="shared" si="273"/>
        <v>1765490.6400000001</v>
      </c>
      <c r="AU278" s="14">
        <f t="shared" si="274"/>
        <v>1458900</v>
      </c>
      <c r="AV278" s="65">
        <f t="shared" si="279"/>
        <v>1.2101519226814725</v>
      </c>
      <c r="AW278" s="65">
        <f t="shared" si="280"/>
        <v>2.2750856146411684</v>
      </c>
    </row>
    <row r="279" spans="20:49" x14ac:dyDescent="0.15">
      <c r="T279" s="28">
        <f t="shared" si="222"/>
        <v>6257</v>
      </c>
      <c r="U279" s="26">
        <f t="shared" si="232"/>
        <v>40850</v>
      </c>
      <c r="V279" s="28">
        <f t="shared" si="233"/>
        <v>30</v>
      </c>
      <c r="W279" s="14">
        <f t="shared" si="220"/>
        <v>1546</v>
      </c>
      <c r="X279" s="39">
        <f t="shared" si="221"/>
        <v>8170</v>
      </c>
      <c r="Y279" s="15">
        <v>1</v>
      </c>
      <c r="AE279" s="80"/>
      <c r="AF279" s="80"/>
      <c r="AG279" s="62">
        <f t="shared" si="281"/>
        <v>0.88</v>
      </c>
      <c r="AH279" s="60">
        <v>5</v>
      </c>
      <c r="AI279" s="60">
        <v>10</v>
      </c>
      <c r="AJ279" s="60">
        <v>6070</v>
      </c>
      <c r="AK279" s="68">
        <f t="shared" si="275"/>
        <v>69492</v>
      </c>
      <c r="AL279" s="68">
        <f t="shared" si="276"/>
        <v>10</v>
      </c>
      <c r="AM279" s="60">
        <v>20</v>
      </c>
      <c r="AN279" s="14">
        <f t="shared" si="277"/>
        <v>45</v>
      </c>
      <c r="AO279" s="60">
        <v>5</v>
      </c>
      <c r="AP279" s="60">
        <v>9</v>
      </c>
      <c r="AQ279" s="60">
        <v>1</v>
      </c>
      <c r="AS279" s="25">
        <f t="shared" si="278"/>
        <v>207074.59999999998</v>
      </c>
      <c r="AT279" s="14">
        <f t="shared" si="273"/>
        <v>29119865.640000001</v>
      </c>
      <c r="AU279" s="14">
        <f t="shared" si="274"/>
        <v>1563570</v>
      </c>
      <c r="AV279" s="65">
        <f t="shared" si="279"/>
        <v>18.623960321571786</v>
      </c>
      <c r="AW279" s="65">
        <f t="shared" si="280"/>
        <v>35.013045404554958</v>
      </c>
    </row>
    <row r="280" spans="20:49" x14ac:dyDescent="0.15">
      <c r="T280" s="28">
        <f t="shared" si="222"/>
        <v>6258</v>
      </c>
      <c r="U280" s="26">
        <f t="shared" si="232"/>
        <v>44935</v>
      </c>
      <c r="V280" s="28">
        <f t="shared" si="233"/>
        <v>30</v>
      </c>
      <c r="W280" s="14">
        <f t="shared" ref="W280:W343" si="282">_xlfn.FLOOR.MATH(V280*U280/15/10/RIGHT(T280,3)^0.3,2)</f>
        <v>1698</v>
      </c>
      <c r="X280" s="39">
        <f t="shared" ref="X280:X343" si="283">U280*V280/15/10</f>
        <v>8987</v>
      </c>
      <c r="Y280" s="15">
        <v>1</v>
      </c>
      <c r="AE280" s="80"/>
      <c r="AF280" s="80"/>
      <c r="AG280" s="62">
        <f t="shared" si="281"/>
        <v>0.88</v>
      </c>
      <c r="AH280" s="60"/>
      <c r="AI280" s="60"/>
      <c r="AJ280" s="60"/>
      <c r="AK280" s="68"/>
      <c r="AL280" s="68"/>
      <c r="AM280" s="60" t="str">
        <f t="shared" ref="AM280:AM315" si="284">IF(AP280="","",IF(AP280=1,5,10))</f>
        <v/>
      </c>
      <c r="AN280" s="14"/>
      <c r="AO280" s="60"/>
      <c r="AP280" s="60"/>
      <c r="AQ280" s="60"/>
      <c r="AS280" s="25">
        <f t="shared" si="278"/>
        <v>415550.6</v>
      </c>
      <c r="AT280" s="14">
        <f t="shared" si="273"/>
        <v>0</v>
      </c>
      <c r="AU280" s="14" t="e">
        <f t="shared" si="274"/>
        <v>#N/A</v>
      </c>
      <c r="AV280" s="65" t="e">
        <f t="shared" si="279"/>
        <v>#N/A</v>
      </c>
      <c r="AW280" s="65" t="e">
        <f t="shared" si="280"/>
        <v>#N/A</v>
      </c>
    </row>
    <row r="281" spans="20:49" x14ac:dyDescent="0.15">
      <c r="T281" s="28">
        <f t="shared" ref="T281:T344" si="285">T280+1</f>
        <v>6259</v>
      </c>
      <c r="U281" s="26">
        <f t="shared" si="232"/>
        <v>49428</v>
      </c>
      <c r="V281" s="28">
        <f t="shared" si="233"/>
        <v>30</v>
      </c>
      <c r="W281" s="14">
        <f t="shared" si="282"/>
        <v>1866</v>
      </c>
      <c r="X281" s="39">
        <f t="shared" si="283"/>
        <v>9885.6</v>
      </c>
      <c r="Y281" s="15">
        <v>1</v>
      </c>
      <c r="AE281" s="80"/>
      <c r="AF281" s="80"/>
      <c r="AG281" s="62">
        <f t="shared" si="281"/>
        <v>0.88</v>
      </c>
      <c r="AH281" s="60"/>
      <c r="AI281" s="60"/>
      <c r="AJ281" s="60"/>
      <c r="AK281" s="68"/>
      <c r="AL281" s="68"/>
      <c r="AM281" s="60" t="str">
        <f t="shared" si="284"/>
        <v/>
      </c>
      <c r="AN281" s="14"/>
      <c r="AO281" s="60"/>
      <c r="AP281" s="60"/>
      <c r="AQ281" s="60"/>
      <c r="AS281" s="25" t="e">
        <f t="shared" si="278"/>
        <v>#N/A</v>
      </c>
      <c r="AT281" s="14" t="e">
        <f t="shared" si="273"/>
        <v>#N/A</v>
      </c>
      <c r="AU281" s="14" t="e">
        <f t="shared" si="274"/>
        <v>#N/A</v>
      </c>
      <c r="AV281" s="65" t="e">
        <f t="shared" si="279"/>
        <v>#N/A</v>
      </c>
      <c r="AW281" s="65" t="e">
        <f t="shared" si="280"/>
        <v>#N/A</v>
      </c>
    </row>
    <row r="282" spans="20:49" x14ac:dyDescent="0.15">
      <c r="T282" s="28">
        <f t="shared" si="285"/>
        <v>6260</v>
      </c>
      <c r="U282" s="26">
        <f t="shared" si="232"/>
        <v>54370</v>
      </c>
      <c r="V282" s="28">
        <f t="shared" si="233"/>
        <v>30</v>
      </c>
      <c r="W282" s="14">
        <f t="shared" si="282"/>
        <v>2050</v>
      </c>
      <c r="X282" s="39">
        <f t="shared" si="283"/>
        <v>10874</v>
      </c>
      <c r="Y282" s="15">
        <v>1</v>
      </c>
      <c r="AE282" s="81"/>
      <c r="AF282" s="81"/>
      <c r="AG282" s="25">
        <f t="shared" si="281"/>
        <v>0.88</v>
      </c>
      <c r="AH282" s="60"/>
      <c r="AI282" s="60"/>
      <c r="AJ282" s="60"/>
      <c r="AK282" s="68"/>
      <c r="AL282" s="68"/>
      <c r="AM282" s="60" t="str">
        <f t="shared" si="284"/>
        <v/>
      </c>
      <c r="AN282" s="14"/>
      <c r="AO282" s="60"/>
      <c r="AP282" s="60"/>
      <c r="AQ282" s="60"/>
      <c r="AS282" s="25" t="e">
        <f t="shared" si="278"/>
        <v>#N/A</v>
      </c>
      <c r="AT282" s="14" t="e">
        <f t="shared" si="273"/>
        <v>#N/A</v>
      </c>
      <c r="AU282" s="14" t="e">
        <f t="shared" si="274"/>
        <v>#N/A</v>
      </c>
      <c r="AV282" s="65" t="e">
        <f t="shared" si="279"/>
        <v>#N/A</v>
      </c>
      <c r="AW282" s="65" t="e">
        <f>(1+AG282)*AV282</f>
        <v>#N/A</v>
      </c>
    </row>
    <row r="283" spans="20:49" x14ac:dyDescent="0.15">
      <c r="T283" s="28">
        <f t="shared" si="285"/>
        <v>6261</v>
      </c>
      <c r="U283" s="26">
        <f t="shared" si="232"/>
        <v>59807</v>
      </c>
      <c r="V283" s="28">
        <f t="shared" si="233"/>
        <v>30</v>
      </c>
      <c r="W283" s="14">
        <f t="shared" si="282"/>
        <v>2252</v>
      </c>
      <c r="X283" s="39">
        <f t="shared" si="283"/>
        <v>11961.4</v>
      </c>
      <c r="Y283" s="15">
        <v>1</v>
      </c>
      <c r="AM283" s="60" t="str">
        <f t="shared" si="284"/>
        <v/>
      </c>
      <c r="AT283" s="14">
        <f t="shared" si="273"/>
        <v>0</v>
      </c>
      <c r="AU283" s="14" t="e">
        <f t="shared" si="274"/>
        <v>#N/A</v>
      </c>
    </row>
    <row r="284" spans="20:49" x14ac:dyDescent="0.15">
      <c r="T284" s="28">
        <f t="shared" si="285"/>
        <v>6262</v>
      </c>
      <c r="U284" s="26">
        <f t="shared" si="232"/>
        <v>65787</v>
      </c>
      <c r="V284" s="28">
        <f t="shared" si="233"/>
        <v>30</v>
      </c>
      <c r="W284" s="14">
        <f t="shared" si="282"/>
        <v>2474</v>
      </c>
      <c r="X284" s="39">
        <f t="shared" si="283"/>
        <v>13157.4</v>
      </c>
      <c r="Y284" s="15">
        <v>1</v>
      </c>
      <c r="AE284" s="79">
        <f>AE275+1</f>
        <v>27</v>
      </c>
      <c r="AF284" s="79">
        <v>27</v>
      </c>
      <c r="AG284" s="63">
        <f>INDEX($BC$14:$BC$77,MATCH(AF284,$BA$14:$BA$77))</f>
        <v>0.88</v>
      </c>
      <c r="AH284" s="60">
        <v>1</v>
      </c>
      <c r="AI284" s="60">
        <v>10</v>
      </c>
      <c r="AJ284" s="60">
        <v>6020</v>
      </c>
      <c r="AK284" s="68">
        <f>INDEX(U:U,MATCH($AJ284,T:T,0))</f>
        <v>596</v>
      </c>
      <c r="AL284" s="68">
        <f>INDEX(V:V,MATCH($AJ284,T:T,0))</f>
        <v>10</v>
      </c>
      <c r="AM284" s="60">
        <f t="shared" si="284"/>
        <v>10</v>
      </c>
      <c r="AN284" s="14">
        <f>AO284*AP284</f>
        <v>45</v>
      </c>
      <c r="AO284" s="60">
        <v>5</v>
      </c>
      <c r="AP284" s="60">
        <v>9</v>
      </c>
      <c r="AQ284" s="60">
        <v>1</v>
      </c>
      <c r="AS284" s="15">
        <f>$AH$18</f>
        <v>200</v>
      </c>
      <c r="AT284" s="14">
        <f t="shared" si="273"/>
        <v>28125</v>
      </c>
      <c r="AU284" s="14">
        <f t="shared" si="274"/>
        <v>26820</v>
      </c>
      <c r="AV284" s="65">
        <f>AT284/AU284*10/AL284</f>
        <v>1.0486577181208054</v>
      </c>
      <c r="AW284" s="65">
        <f>(1+AG284)*AV284</f>
        <v>1.9714765100671141</v>
      </c>
    </row>
    <row r="285" spans="20:49" x14ac:dyDescent="0.15">
      <c r="T285" s="28">
        <f t="shared" si="285"/>
        <v>6263</v>
      </c>
      <c r="U285" s="26">
        <f t="shared" si="232"/>
        <v>72365</v>
      </c>
      <c r="V285" s="28">
        <f t="shared" si="233"/>
        <v>30</v>
      </c>
      <c r="W285" s="14">
        <f t="shared" si="282"/>
        <v>2720</v>
      </c>
      <c r="X285" s="39">
        <f t="shared" si="283"/>
        <v>14473</v>
      </c>
      <c r="Y285" s="15">
        <v>1</v>
      </c>
      <c r="AE285" s="80"/>
      <c r="AF285" s="80"/>
      <c r="AG285" s="62">
        <f>AG284</f>
        <v>0.88</v>
      </c>
      <c r="AH285" s="60">
        <v>2</v>
      </c>
      <c r="AI285" s="60">
        <v>10</v>
      </c>
      <c r="AJ285" s="60">
        <v>6048</v>
      </c>
      <c r="AK285" s="68">
        <f t="shared" ref="AK285:AK288" si="286">INDEX(U:U,MATCH($AJ285,T:T,0))</f>
        <v>8540</v>
      </c>
      <c r="AL285" s="68">
        <f t="shared" ref="AL285:AL288" si="287">INDEX(V:V,MATCH($AJ285,T:T,0))</f>
        <v>10</v>
      </c>
      <c r="AM285" s="60">
        <f t="shared" si="284"/>
        <v>10</v>
      </c>
      <c r="AN285" s="14">
        <f t="shared" ref="AN285:AN288" si="288">AO285*AP285</f>
        <v>20</v>
      </c>
      <c r="AO285" s="60">
        <v>5</v>
      </c>
      <c r="AP285" s="60">
        <v>4</v>
      </c>
      <c r="AQ285" s="60">
        <v>1</v>
      </c>
      <c r="AS285" s="25">
        <f t="shared" ref="AS285:AS291" si="289">AS284+AN284*INDEX(X:X,MATCH(AJ284,T:T,0))</f>
        <v>1988</v>
      </c>
      <c r="AT285" s="14">
        <f t="shared" si="273"/>
        <v>186375</v>
      </c>
      <c r="AU285" s="14">
        <f t="shared" si="274"/>
        <v>170800</v>
      </c>
      <c r="AV285" s="65">
        <f t="shared" ref="AV285:AV291" si="290">AT285/AU285*10/AL285</f>
        <v>1.091188524590164</v>
      </c>
      <c r="AW285" s="65">
        <f t="shared" ref="AW285:AW290" si="291">(1+AG285)*AV285</f>
        <v>2.0514344262295081</v>
      </c>
    </row>
    <row r="286" spans="20:49" x14ac:dyDescent="0.15">
      <c r="T286" s="28">
        <f t="shared" si="285"/>
        <v>6264</v>
      </c>
      <c r="U286" s="26">
        <f t="shared" si="232"/>
        <v>79601</v>
      </c>
      <c r="V286" s="28">
        <f t="shared" si="233"/>
        <v>30</v>
      </c>
      <c r="W286" s="14">
        <f t="shared" si="282"/>
        <v>2988</v>
      </c>
      <c r="X286" s="39">
        <f t="shared" si="283"/>
        <v>15920.2</v>
      </c>
      <c r="Y286" s="15">
        <v>1</v>
      </c>
      <c r="AE286" s="80"/>
      <c r="AF286" s="80"/>
      <c r="AG286" s="62">
        <f t="shared" ref="AG286:AG291" si="292">AG285</f>
        <v>0.88</v>
      </c>
      <c r="AH286" s="60">
        <v>3</v>
      </c>
      <c r="AI286" s="60">
        <v>10</v>
      </c>
      <c r="AJ286" s="60">
        <v>6148</v>
      </c>
      <c r="AK286" s="68">
        <f t="shared" si="286"/>
        <v>17327</v>
      </c>
      <c r="AL286" s="68">
        <f t="shared" si="287"/>
        <v>20</v>
      </c>
      <c r="AM286" s="60">
        <f t="shared" si="284"/>
        <v>5</v>
      </c>
      <c r="AN286" s="14">
        <f t="shared" si="288"/>
        <v>5</v>
      </c>
      <c r="AO286" s="60">
        <v>5</v>
      </c>
      <c r="AP286" s="60">
        <v>1</v>
      </c>
      <c r="AQ286" s="60">
        <v>1</v>
      </c>
      <c r="AS286" s="25">
        <f t="shared" si="289"/>
        <v>13374.666666666664</v>
      </c>
      <c r="AT286" s="14">
        <f t="shared" si="273"/>
        <v>626937.5</v>
      </c>
      <c r="AU286" s="14">
        <f t="shared" si="274"/>
        <v>346540</v>
      </c>
      <c r="AV286" s="65">
        <f t="shared" si="290"/>
        <v>0.90456729381889533</v>
      </c>
      <c r="AW286" s="65">
        <f t="shared" si="291"/>
        <v>1.7005865123795232</v>
      </c>
    </row>
    <row r="287" spans="20:49" x14ac:dyDescent="0.15">
      <c r="T287" s="28">
        <f t="shared" si="285"/>
        <v>6265</v>
      </c>
      <c r="U287" s="26">
        <f t="shared" si="232"/>
        <v>87561</v>
      </c>
      <c r="V287" s="28">
        <f t="shared" si="233"/>
        <v>30</v>
      </c>
      <c r="W287" s="14">
        <f t="shared" si="282"/>
        <v>3282</v>
      </c>
      <c r="X287" s="39">
        <f t="shared" si="283"/>
        <v>17512.2</v>
      </c>
      <c r="Y287" s="15">
        <v>1</v>
      </c>
      <c r="AE287" s="80"/>
      <c r="AF287" s="80"/>
      <c r="AG287" s="62">
        <f t="shared" si="292"/>
        <v>0.88</v>
      </c>
      <c r="AH287" s="60">
        <v>4</v>
      </c>
      <c r="AI287" s="60">
        <v>10</v>
      </c>
      <c r="AJ287" s="60">
        <v>6060</v>
      </c>
      <c r="AK287" s="68">
        <f t="shared" si="286"/>
        <v>26794</v>
      </c>
      <c r="AL287" s="68">
        <f t="shared" si="287"/>
        <v>10</v>
      </c>
      <c r="AM287" s="60">
        <f t="shared" si="284"/>
        <v>10</v>
      </c>
      <c r="AN287" s="14">
        <f t="shared" si="288"/>
        <v>20</v>
      </c>
      <c r="AO287" s="60">
        <v>5</v>
      </c>
      <c r="AP287" s="60">
        <v>4</v>
      </c>
      <c r="AQ287" s="60">
        <v>1</v>
      </c>
      <c r="AS287" s="25">
        <f t="shared" si="289"/>
        <v>24926</v>
      </c>
      <c r="AT287" s="14">
        <f t="shared" si="273"/>
        <v>2336812.5</v>
      </c>
      <c r="AU287" s="14">
        <f t="shared" si="274"/>
        <v>535880</v>
      </c>
      <c r="AV287" s="65">
        <f t="shared" si="290"/>
        <v>4.3607010897962226</v>
      </c>
      <c r="AW287" s="65">
        <f t="shared" si="291"/>
        <v>8.1981180488168981</v>
      </c>
    </row>
    <row r="288" spans="20:49" x14ac:dyDescent="0.15">
      <c r="T288" s="28">
        <f t="shared" si="285"/>
        <v>6266</v>
      </c>
      <c r="U288" s="26">
        <f t="shared" ref="U288:U322" si="293">INT(U287*$U$18)</f>
        <v>96317</v>
      </c>
      <c r="V288" s="28">
        <f t="shared" ref="V288:V322" si="294">V287</f>
        <v>30</v>
      </c>
      <c r="W288" s="14">
        <f t="shared" si="282"/>
        <v>3608</v>
      </c>
      <c r="X288" s="39">
        <f t="shared" si="283"/>
        <v>19263.400000000001</v>
      </c>
      <c r="Y288" s="15">
        <v>1</v>
      </c>
      <c r="AE288" s="80"/>
      <c r="AF288" s="80"/>
      <c r="AG288" s="62">
        <f t="shared" si="292"/>
        <v>0.88</v>
      </c>
      <c r="AH288" s="60">
        <v>5</v>
      </c>
      <c r="AI288" s="60">
        <v>10</v>
      </c>
      <c r="AJ288" s="60">
        <v>6075</v>
      </c>
      <c r="AK288" s="68">
        <f t="shared" si="286"/>
        <v>111916</v>
      </c>
      <c r="AL288" s="68">
        <f t="shared" si="287"/>
        <v>10</v>
      </c>
      <c r="AM288" s="60">
        <f t="shared" si="284"/>
        <v>10</v>
      </c>
      <c r="AN288" s="14">
        <f t="shared" si="288"/>
        <v>45</v>
      </c>
      <c r="AO288" s="60">
        <v>5</v>
      </c>
      <c r="AP288" s="60">
        <v>9</v>
      </c>
      <c r="AQ288" s="60">
        <v>1</v>
      </c>
      <c r="AS288" s="25">
        <f t="shared" si="289"/>
        <v>60651.333333333336</v>
      </c>
      <c r="AT288" s="14">
        <f t="shared" si="273"/>
        <v>8529093.75</v>
      </c>
      <c r="AU288" s="14">
        <f t="shared" si="274"/>
        <v>5036220</v>
      </c>
      <c r="AV288" s="65">
        <f t="shared" si="290"/>
        <v>1.6935506689540964</v>
      </c>
      <c r="AW288" s="65">
        <f t="shared" si="291"/>
        <v>3.1838752576337011</v>
      </c>
    </row>
    <row r="289" spans="20:49" x14ac:dyDescent="0.15">
      <c r="T289" s="28">
        <f t="shared" si="285"/>
        <v>6267</v>
      </c>
      <c r="U289" s="26">
        <f t="shared" si="293"/>
        <v>105948</v>
      </c>
      <c r="V289" s="28">
        <f t="shared" si="294"/>
        <v>30</v>
      </c>
      <c r="W289" s="14">
        <f t="shared" si="282"/>
        <v>3964</v>
      </c>
      <c r="X289" s="39">
        <f t="shared" si="283"/>
        <v>21189.599999999999</v>
      </c>
      <c r="Y289" s="15">
        <v>1</v>
      </c>
      <c r="AE289" s="80"/>
      <c r="AF289" s="80"/>
      <c r="AG289" s="62">
        <f t="shared" si="292"/>
        <v>0.88</v>
      </c>
      <c r="AH289" s="60"/>
      <c r="AI289" s="60"/>
      <c r="AJ289" s="60"/>
      <c r="AK289" s="68"/>
      <c r="AL289" s="68"/>
      <c r="AM289" s="60" t="str">
        <f t="shared" si="284"/>
        <v/>
      </c>
      <c r="AN289" s="14"/>
      <c r="AO289" s="60"/>
      <c r="AP289" s="60"/>
      <c r="AQ289" s="60"/>
      <c r="AS289" s="25">
        <f t="shared" si="289"/>
        <v>396399.33333333337</v>
      </c>
      <c r="AT289" s="14">
        <f t="shared" si="273"/>
        <v>0</v>
      </c>
      <c r="AU289" s="14" t="e">
        <f t="shared" si="274"/>
        <v>#N/A</v>
      </c>
      <c r="AV289" s="65" t="e">
        <f t="shared" si="290"/>
        <v>#N/A</v>
      </c>
      <c r="AW289" s="65" t="e">
        <f t="shared" si="291"/>
        <v>#N/A</v>
      </c>
    </row>
    <row r="290" spans="20:49" x14ac:dyDescent="0.15">
      <c r="T290" s="28">
        <f t="shared" si="285"/>
        <v>6268</v>
      </c>
      <c r="U290" s="26">
        <f t="shared" si="293"/>
        <v>116542</v>
      </c>
      <c r="V290" s="28">
        <f t="shared" si="294"/>
        <v>30</v>
      </c>
      <c r="W290" s="14">
        <f t="shared" si="282"/>
        <v>4354</v>
      </c>
      <c r="X290" s="39">
        <f t="shared" si="283"/>
        <v>23308.400000000001</v>
      </c>
      <c r="Y290" s="15">
        <v>1</v>
      </c>
      <c r="AE290" s="80"/>
      <c r="AF290" s="80"/>
      <c r="AG290" s="62">
        <f t="shared" si="292"/>
        <v>0.88</v>
      </c>
      <c r="AH290" s="60"/>
      <c r="AI290" s="60"/>
      <c r="AJ290" s="60"/>
      <c r="AK290" s="68"/>
      <c r="AL290" s="68"/>
      <c r="AM290" s="60" t="str">
        <f t="shared" si="284"/>
        <v/>
      </c>
      <c r="AN290" s="14"/>
      <c r="AO290" s="60"/>
      <c r="AP290" s="60"/>
      <c r="AQ290" s="60"/>
      <c r="AS290" s="25" t="e">
        <f t="shared" si="289"/>
        <v>#N/A</v>
      </c>
      <c r="AT290" s="14" t="e">
        <f t="shared" si="273"/>
        <v>#N/A</v>
      </c>
      <c r="AU290" s="14" t="e">
        <f t="shared" si="274"/>
        <v>#N/A</v>
      </c>
      <c r="AV290" s="65" t="e">
        <f t="shared" si="290"/>
        <v>#N/A</v>
      </c>
      <c r="AW290" s="65" t="e">
        <f t="shared" si="291"/>
        <v>#N/A</v>
      </c>
    </row>
    <row r="291" spans="20:49" x14ac:dyDescent="0.15">
      <c r="T291" s="28">
        <f t="shared" si="285"/>
        <v>6269</v>
      </c>
      <c r="U291" s="26">
        <f t="shared" si="293"/>
        <v>128196</v>
      </c>
      <c r="V291" s="28">
        <f t="shared" si="294"/>
        <v>30</v>
      </c>
      <c r="W291" s="14">
        <f t="shared" si="282"/>
        <v>4786</v>
      </c>
      <c r="X291" s="39">
        <f t="shared" si="283"/>
        <v>25639.200000000001</v>
      </c>
      <c r="Y291" s="15">
        <v>1</v>
      </c>
      <c r="AE291" s="81"/>
      <c r="AF291" s="81"/>
      <c r="AG291" s="25">
        <f t="shared" si="292"/>
        <v>0.88</v>
      </c>
      <c r="AH291" s="60"/>
      <c r="AI291" s="60"/>
      <c r="AJ291" s="60"/>
      <c r="AK291" s="68"/>
      <c r="AL291" s="68"/>
      <c r="AM291" s="60" t="str">
        <f t="shared" si="284"/>
        <v/>
      </c>
      <c r="AN291" s="14"/>
      <c r="AO291" s="60"/>
      <c r="AP291" s="60"/>
      <c r="AQ291" s="60"/>
      <c r="AS291" s="25" t="e">
        <f t="shared" si="289"/>
        <v>#N/A</v>
      </c>
      <c r="AT291" s="14" t="e">
        <f t="shared" si="273"/>
        <v>#N/A</v>
      </c>
      <c r="AU291" s="14" t="e">
        <f t="shared" si="274"/>
        <v>#N/A</v>
      </c>
      <c r="AV291" s="65" t="e">
        <f t="shared" si="290"/>
        <v>#N/A</v>
      </c>
      <c r="AW291" s="65" t="e">
        <f>(1+AG291)*AV291</f>
        <v>#N/A</v>
      </c>
    </row>
    <row r="292" spans="20:49" x14ac:dyDescent="0.15">
      <c r="T292" s="28">
        <f t="shared" si="285"/>
        <v>6270</v>
      </c>
      <c r="U292" s="26">
        <f t="shared" si="293"/>
        <v>141015</v>
      </c>
      <c r="V292" s="28">
        <f t="shared" si="294"/>
        <v>30</v>
      </c>
      <c r="W292" s="14">
        <f t="shared" si="282"/>
        <v>5258</v>
      </c>
      <c r="X292" s="39">
        <f t="shared" si="283"/>
        <v>28203</v>
      </c>
      <c r="Y292" s="15">
        <v>1</v>
      </c>
      <c r="AM292" s="60" t="str">
        <f t="shared" si="284"/>
        <v/>
      </c>
      <c r="AT292" s="14">
        <f t="shared" si="273"/>
        <v>0</v>
      </c>
      <c r="AU292" s="14" t="e">
        <f t="shared" si="274"/>
        <v>#N/A</v>
      </c>
    </row>
    <row r="293" spans="20:49" x14ac:dyDescent="0.15">
      <c r="T293" s="28">
        <f t="shared" si="285"/>
        <v>6271</v>
      </c>
      <c r="U293" s="26">
        <f t="shared" si="293"/>
        <v>155116</v>
      </c>
      <c r="V293" s="28">
        <f t="shared" si="294"/>
        <v>30</v>
      </c>
      <c r="W293" s="14">
        <f t="shared" si="282"/>
        <v>5778</v>
      </c>
      <c r="X293" s="39">
        <f t="shared" si="283"/>
        <v>31023.200000000001</v>
      </c>
      <c r="Y293" s="15">
        <v>1</v>
      </c>
      <c r="AE293" s="79">
        <f>AE284+1</f>
        <v>28</v>
      </c>
      <c r="AF293" s="79">
        <v>28</v>
      </c>
      <c r="AG293" s="63">
        <f>INDEX($BC$14:$BC$77,MATCH(AF293,$BA$14:$BA$77))</f>
        <v>0.92</v>
      </c>
      <c r="AH293" s="60">
        <v>1</v>
      </c>
      <c r="AI293" s="60">
        <v>10</v>
      </c>
      <c r="AJ293" s="60">
        <v>6103</v>
      </c>
      <c r="AK293" s="68">
        <f>INDEX(U:U,MATCH($AJ293,T:T,0))</f>
        <v>242</v>
      </c>
      <c r="AL293" s="68">
        <f>INDEX(V:V,MATCH($AJ293,T:T,0))</f>
        <v>20</v>
      </c>
      <c r="AM293" s="60">
        <f t="shared" si="284"/>
        <v>5</v>
      </c>
      <c r="AN293" s="14">
        <f>AO293*AP293</f>
        <v>3</v>
      </c>
      <c r="AO293" s="60">
        <v>3</v>
      </c>
      <c r="AP293" s="60">
        <v>1</v>
      </c>
      <c r="AQ293" s="60">
        <v>1</v>
      </c>
      <c r="AS293" s="15">
        <f>$AH$18</f>
        <v>200</v>
      </c>
      <c r="AT293" s="14">
        <f t="shared" si="273"/>
        <v>9375</v>
      </c>
      <c r="AU293" s="14">
        <f t="shared" si="274"/>
        <v>4840</v>
      </c>
      <c r="AV293" s="65">
        <f>AT293/AU293*10/AL293</f>
        <v>0.96849173553719015</v>
      </c>
      <c r="AW293" s="65">
        <f>(1+AG293)*AV293</f>
        <v>1.859504132231405</v>
      </c>
    </row>
    <row r="294" spans="20:49" x14ac:dyDescent="0.15">
      <c r="T294" s="28">
        <f t="shared" si="285"/>
        <v>6272</v>
      </c>
      <c r="U294" s="26">
        <f t="shared" si="293"/>
        <v>170627</v>
      </c>
      <c r="V294" s="28">
        <f t="shared" si="294"/>
        <v>30</v>
      </c>
      <c r="W294" s="14">
        <f t="shared" si="282"/>
        <v>6348</v>
      </c>
      <c r="X294" s="39">
        <f t="shared" si="283"/>
        <v>34125.4</v>
      </c>
      <c r="Y294" s="15">
        <v>1</v>
      </c>
      <c r="AE294" s="80"/>
      <c r="AF294" s="80"/>
      <c r="AG294" s="62">
        <f>AG293</f>
        <v>0.92</v>
      </c>
      <c r="AH294" s="60">
        <v>2</v>
      </c>
      <c r="AI294" s="60">
        <v>10</v>
      </c>
      <c r="AJ294" s="60">
        <v>6025</v>
      </c>
      <c r="AK294" s="68">
        <f t="shared" ref="AK294:AK297" si="295">INDEX(U:U,MATCH($AJ294,T:T,0))</f>
        <v>958</v>
      </c>
      <c r="AL294" s="68">
        <f t="shared" ref="AL294:AL297" si="296">INDEX(V:V,MATCH($AJ294,T:T,0))</f>
        <v>10</v>
      </c>
      <c r="AM294" s="60">
        <f t="shared" si="284"/>
        <v>10</v>
      </c>
      <c r="AN294" s="14">
        <f t="shared" ref="AN294:AN297" si="297">AO294*AP294</f>
        <v>20</v>
      </c>
      <c r="AO294" s="60">
        <v>5</v>
      </c>
      <c r="AP294" s="60">
        <v>4</v>
      </c>
      <c r="AQ294" s="60">
        <v>1</v>
      </c>
      <c r="AS294" s="25">
        <f t="shared" ref="AS294:AS300" si="298">AS293+AN293*INDEX(X:X,MATCH(AJ293,T:T,0))</f>
        <v>296.8</v>
      </c>
      <c r="AT294" s="14">
        <f t="shared" si="273"/>
        <v>27825</v>
      </c>
      <c r="AU294" s="14">
        <f t="shared" si="274"/>
        <v>19160</v>
      </c>
      <c r="AV294" s="65">
        <f t="shared" ref="AV294:AV300" si="299">AT294/AU294*10/AL294</f>
        <v>1.4522442588726514</v>
      </c>
      <c r="AW294" s="65">
        <f t="shared" ref="AW294:AW299" si="300">(1+AG294)*AV294</f>
        <v>2.7883089770354905</v>
      </c>
    </row>
    <row r="295" spans="20:49" x14ac:dyDescent="0.15">
      <c r="T295" s="28">
        <f t="shared" si="285"/>
        <v>6273</v>
      </c>
      <c r="U295" s="26">
        <f t="shared" si="293"/>
        <v>187689</v>
      </c>
      <c r="V295" s="28">
        <f t="shared" si="294"/>
        <v>30</v>
      </c>
      <c r="W295" s="14">
        <f t="shared" si="282"/>
        <v>6976</v>
      </c>
      <c r="X295" s="39">
        <f t="shared" si="283"/>
        <v>37537.800000000003</v>
      </c>
      <c r="Y295" s="15">
        <v>1</v>
      </c>
      <c r="AE295" s="80"/>
      <c r="AF295" s="80"/>
      <c r="AG295" s="62">
        <f t="shared" ref="AG295:AG300" si="301">AG294</f>
        <v>0.92</v>
      </c>
      <c r="AH295" s="60">
        <v>3</v>
      </c>
      <c r="AI295" s="60">
        <v>10</v>
      </c>
      <c r="AJ295" s="60">
        <v>6125</v>
      </c>
      <c r="AK295" s="68">
        <f t="shared" si="295"/>
        <v>1939</v>
      </c>
      <c r="AL295" s="68">
        <f t="shared" si="296"/>
        <v>20</v>
      </c>
      <c r="AM295" s="60">
        <f t="shared" si="284"/>
        <v>5</v>
      </c>
      <c r="AN295" s="14">
        <f t="shared" si="297"/>
        <v>3</v>
      </c>
      <c r="AO295" s="60">
        <v>3</v>
      </c>
      <c r="AP295" s="60">
        <v>1</v>
      </c>
      <c r="AQ295" s="60">
        <v>1</v>
      </c>
      <c r="AS295" s="25">
        <f t="shared" si="298"/>
        <v>1574.1333333333332</v>
      </c>
      <c r="AT295" s="14">
        <f t="shared" si="273"/>
        <v>73787.5</v>
      </c>
      <c r="AU295" s="14">
        <f t="shared" si="274"/>
        <v>38780</v>
      </c>
      <c r="AV295" s="65">
        <f t="shared" si="299"/>
        <v>0.95136023723568852</v>
      </c>
      <c r="AW295" s="65">
        <f t="shared" si="300"/>
        <v>1.8266116554925218</v>
      </c>
    </row>
    <row r="296" spans="20:49" x14ac:dyDescent="0.15">
      <c r="T296" s="28">
        <f t="shared" si="285"/>
        <v>6274</v>
      </c>
      <c r="U296" s="26">
        <f t="shared" si="293"/>
        <v>206457</v>
      </c>
      <c r="V296" s="28">
        <f t="shared" si="294"/>
        <v>30</v>
      </c>
      <c r="W296" s="14">
        <f t="shared" si="282"/>
        <v>7664</v>
      </c>
      <c r="X296" s="39">
        <f t="shared" si="283"/>
        <v>41291.4</v>
      </c>
      <c r="Y296" s="15">
        <v>1</v>
      </c>
      <c r="AE296" s="80"/>
      <c r="AF296" s="80"/>
      <c r="AG296" s="62">
        <f t="shared" si="301"/>
        <v>0.92</v>
      </c>
      <c r="AH296" s="60">
        <v>4</v>
      </c>
      <c r="AI296" s="60">
        <v>10</v>
      </c>
      <c r="AJ296" s="60">
        <v>6129</v>
      </c>
      <c r="AK296" s="68">
        <f t="shared" si="295"/>
        <v>2836</v>
      </c>
      <c r="AL296" s="68">
        <f t="shared" si="296"/>
        <v>20</v>
      </c>
      <c r="AM296" s="60">
        <f t="shared" si="284"/>
        <v>5</v>
      </c>
      <c r="AN296" s="14">
        <f t="shared" si="297"/>
        <v>3</v>
      </c>
      <c r="AO296" s="60">
        <v>3</v>
      </c>
      <c r="AP296" s="60">
        <v>1</v>
      </c>
      <c r="AQ296" s="60">
        <v>1</v>
      </c>
      <c r="AS296" s="25">
        <f t="shared" si="298"/>
        <v>2349.7333333333336</v>
      </c>
      <c r="AT296" s="14">
        <f t="shared" si="273"/>
        <v>110143.75</v>
      </c>
      <c r="AU296" s="14">
        <f t="shared" si="274"/>
        <v>56720</v>
      </c>
      <c r="AV296" s="65">
        <f t="shared" si="299"/>
        <v>0.97094278913963328</v>
      </c>
      <c r="AW296" s="65">
        <f t="shared" si="300"/>
        <v>1.8642101551480958</v>
      </c>
    </row>
    <row r="297" spans="20:49" x14ac:dyDescent="0.15">
      <c r="T297" s="28">
        <f t="shared" si="285"/>
        <v>6275</v>
      </c>
      <c r="U297" s="26">
        <f t="shared" si="293"/>
        <v>227102</v>
      </c>
      <c r="V297" s="28">
        <f t="shared" si="294"/>
        <v>30</v>
      </c>
      <c r="W297" s="14">
        <f t="shared" si="282"/>
        <v>8422</v>
      </c>
      <c r="X297" s="39">
        <f t="shared" si="283"/>
        <v>45420.4</v>
      </c>
      <c r="Y297" s="15">
        <v>1</v>
      </c>
      <c r="AE297" s="80"/>
      <c r="AF297" s="80"/>
      <c r="AG297" s="62">
        <f t="shared" si="301"/>
        <v>0.92</v>
      </c>
      <c r="AH297" s="60">
        <v>5</v>
      </c>
      <c r="AI297" s="60">
        <v>10</v>
      </c>
      <c r="AJ297" s="60">
        <v>6050</v>
      </c>
      <c r="AK297" s="68">
        <f t="shared" si="295"/>
        <v>10333</v>
      </c>
      <c r="AL297" s="68">
        <f t="shared" si="296"/>
        <v>10</v>
      </c>
      <c r="AM297" s="60">
        <f t="shared" si="284"/>
        <v>10</v>
      </c>
      <c r="AN297" s="14">
        <f t="shared" si="297"/>
        <v>20</v>
      </c>
      <c r="AO297" s="60">
        <v>5</v>
      </c>
      <c r="AP297" s="60">
        <v>4</v>
      </c>
      <c r="AQ297" s="60">
        <v>1</v>
      </c>
      <c r="AS297" s="25">
        <f t="shared" si="298"/>
        <v>3484.1333333333337</v>
      </c>
      <c r="AT297" s="14">
        <f t="shared" si="273"/>
        <v>326637.5</v>
      </c>
      <c r="AU297" s="14">
        <f t="shared" si="274"/>
        <v>206660</v>
      </c>
      <c r="AV297" s="65">
        <f t="shared" si="299"/>
        <v>1.5805550179038033</v>
      </c>
      <c r="AW297" s="65">
        <f t="shared" si="300"/>
        <v>3.034665634375302</v>
      </c>
    </row>
    <row r="298" spans="20:49" x14ac:dyDescent="0.15">
      <c r="T298" s="28">
        <f t="shared" si="285"/>
        <v>6276</v>
      </c>
      <c r="U298" s="26">
        <f t="shared" si="293"/>
        <v>249812</v>
      </c>
      <c r="V298" s="28">
        <f t="shared" si="294"/>
        <v>30</v>
      </c>
      <c r="W298" s="14">
        <f t="shared" si="282"/>
        <v>9254</v>
      </c>
      <c r="X298" s="39">
        <f t="shared" si="283"/>
        <v>49962.400000000001</v>
      </c>
      <c r="Y298" s="15">
        <v>1</v>
      </c>
      <c r="AE298" s="80"/>
      <c r="AF298" s="80"/>
      <c r="AG298" s="62">
        <f t="shared" si="301"/>
        <v>0.92</v>
      </c>
      <c r="AH298" s="60"/>
      <c r="AI298" s="60"/>
      <c r="AJ298" s="60"/>
      <c r="AK298" s="68"/>
      <c r="AL298" s="68"/>
      <c r="AM298" s="60" t="str">
        <f t="shared" si="284"/>
        <v/>
      </c>
      <c r="AN298" s="14"/>
      <c r="AO298" s="60"/>
      <c r="AP298" s="60"/>
      <c r="AQ298" s="60"/>
      <c r="AS298" s="25">
        <f t="shared" si="298"/>
        <v>17261.466666666667</v>
      </c>
      <c r="AT298" s="14">
        <f t="shared" si="273"/>
        <v>0</v>
      </c>
      <c r="AU298" s="14" t="e">
        <f t="shared" si="274"/>
        <v>#N/A</v>
      </c>
      <c r="AV298" s="65" t="e">
        <f t="shared" si="299"/>
        <v>#N/A</v>
      </c>
      <c r="AW298" s="65" t="e">
        <f t="shared" si="300"/>
        <v>#N/A</v>
      </c>
    </row>
    <row r="299" spans="20:49" x14ac:dyDescent="0.15">
      <c r="T299" s="28">
        <f t="shared" si="285"/>
        <v>6277</v>
      </c>
      <c r="U299" s="26">
        <f t="shared" si="293"/>
        <v>274793</v>
      </c>
      <c r="V299" s="28">
        <f t="shared" si="294"/>
        <v>30</v>
      </c>
      <c r="W299" s="14">
        <f t="shared" si="282"/>
        <v>10168</v>
      </c>
      <c r="X299" s="39">
        <f t="shared" si="283"/>
        <v>54958.6</v>
      </c>
      <c r="Y299" s="15">
        <v>1</v>
      </c>
      <c r="AE299" s="80"/>
      <c r="AF299" s="80"/>
      <c r="AG299" s="62">
        <f t="shared" si="301"/>
        <v>0.92</v>
      </c>
      <c r="AH299" s="60"/>
      <c r="AI299" s="60"/>
      <c r="AJ299" s="60"/>
      <c r="AK299" s="68"/>
      <c r="AL299" s="68"/>
      <c r="AM299" s="60" t="str">
        <f t="shared" si="284"/>
        <v/>
      </c>
      <c r="AN299" s="14"/>
      <c r="AO299" s="60"/>
      <c r="AP299" s="60"/>
      <c r="AQ299" s="60"/>
      <c r="AS299" s="25" t="e">
        <f t="shared" si="298"/>
        <v>#N/A</v>
      </c>
      <c r="AT299" s="14" t="e">
        <f t="shared" si="273"/>
        <v>#N/A</v>
      </c>
      <c r="AU299" s="14" t="e">
        <f t="shared" si="274"/>
        <v>#N/A</v>
      </c>
      <c r="AV299" s="65" t="e">
        <f t="shared" si="299"/>
        <v>#N/A</v>
      </c>
      <c r="AW299" s="65" t="e">
        <f t="shared" si="300"/>
        <v>#N/A</v>
      </c>
    </row>
    <row r="300" spans="20:49" x14ac:dyDescent="0.15">
      <c r="T300" s="28">
        <f t="shared" si="285"/>
        <v>6278</v>
      </c>
      <c r="U300" s="26">
        <f t="shared" si="293"/>
        <v>302272</v>
      </c>
      <c r="V300" s="28">
        <f t="shared" si="294"/>
        <v>30</v>
      </c>
      <c r="W300" s="14">
        <f t="shared" si="282"/>
        <v>11174</v>
      </c>
      <c r="X300" s="39">
        <f t="shared" si="283"/>
        <v>60454.400000000001</v>
      </c>
      <c r="Y300" s="15">
        <v>1</v>
      </c>
      <c r="AE300" s="81"/>
      <c r="AF300" s="81"/>
      <c r="AG300" s="25">
        <f t="shared" si="301"/>
        <v>0.92</v>
      </c>
      <c r="AH300" s="60"/>
      <c r="AI300" s="60"/>
      <c r="AJ300" s="60"/>
      <c r="AK300" s="68"/>
      <c r="AL300" s="68"/>
      <c r="AM300" s="60" t="str">
        <f t="shared" si="284"/>
        <v/>
      </c>
      <c r="AN300" s="14"/>
      <c r="AO300" s="60"/>
      <c r="AP300" s="60"/>
      <c r="AQ300" s="60"/>
      <c r="AS300" s="25" t="e">
        <f t="shared" si="298"/>
        <v>#N/A</v>
      </c>
      <c r="AT300" s="14" t="e">
        <f t="shared" si="273"/>
        <v>#N/A</v>
      </c>
      <c r="AU300" s="14" t="e">
        <f t="shared" si="274"/>
        <v>#N/A</v>
      </c>
      <c r="AV300" s="65" t="e">
        <f t="shared" si="299"/>
        <v>#N/A</v>
      </c>
      <c r="AW300" s="65" t="e">
        <f>(1+AG300)*AV300</f>
        <v>#N/A</v>
      </c>
    </row>
    <row r="301" spans="20:49" x14ac:dyDescent="0.15">
      <c r="T301" s="28">
        <f t="shared" si="285"/>
        <v>6279</v>
      </c>
      <c r="U301" s="26">
        <f t="shared" si="293"/>
        <v>332499</v>
      </c>
      <c r="V301" s="28">
        <f t="shared" si="294"/>
        <v>30</v>
      </c>
      <c r="W301" s="14">
        <f t="shared" si="282"/>
        <v>12278</v>
      </c>
      <c r="X301" s="39">
        <f t="shared" si="283"/>
        <v>66499.8</v>
      </c>
      <c r="Y301" s="15">
        <v>1</v>
      </c>
      <c r="AM301" s="60" t="str">
        <f t="shared" si="284"/>
        <v/>
      </c>
      <c r="AT301" s="14">
        <f t="shared" si="273"/>
        <v>0</v>
      </c>
      <c r="AU301" s="14" t="e">
        <f t="shared" si="274"/>
        <v>#N/A</v>
      </c>
    </row>
    <row r="302" spans="20:49" x14ac:dyDescent="0.15">
      <c r="T302" s="28">
        <f t="shared" si="285"/>
        <v>6280</v>
      </c>
      <c r="U302" s="26">
        <f t="shared" si="293"/>
        <v>365748</v>
      </c>
      <c r="V302" s="28">
        <f t="shared" si="294"/>
        <v>30</v>
      </c>
      <c r="W302" s="14">
        <f t="shared" si="282"/>
        <v>13490</v>
      </c>
      <c r="X302" s="39">
        <f t="shared" si="283"/>
        <v>73149.600000000006</v>
      </c>
      <c r="Y302" s="15">
        <v>1</v>
      </c>
      <c r="AE302" s="79">
        <f>AE293+1</f>
        <v>29</v>
      </c>
      <c r="AF302" s="79">
        <v>29</v>
      </c>
      <c r="AG302" s="63">
        <f>INDEX($BC$14:$BC$77,MATCH(AF302,$BA$14:$BA$77))</f>
        <v>0.95</v>
      </c>
      <c r="AH302" s="60">
        <v>1</v>
      </c>
      <c r="AI302" s="60">
        <v>10</v>
      </c>
      <c r="AJ302" s="60">
        <v>6025</v>
      </c>
      <c r="AK302" s="68">
        <f>INDEX(U:U,MATCH($AJ302,T:T,0))</f>
        <v>958</v>
      </c>
      <c r="AL302" s="68">
        <f>INDEX(V:V,MATCH($AJ302,T:T,0))</f>
        <v>10</v>
      </c>
      <c r="AM302" s="60">
        <f t="shared" si="284"/>
        <v>5</v>
      </c>
      <c r="AN302" s="14">
        <f>AO302*AP302</f>
        <v>5</v>
      </c>
      <c r="AO302" s="60">
        <v>5</v>
      </c>
      <c r="AP302" s="60">
        <v>1</v>
      </c>
      <c r="AQ302" s="60">
        <v>1</v>
      </c>
      <c r="AS302" s="15">
        <f>$AH$18</f>
        <v>200</v>
      </c>
      <c r="AT302" s="14">
        <f t="shared" si="273"/>
        <v>9375</v>
      </c>
      <c r="AU302" s="14">
        <f t="shared" si="274"/>
        <v>9580</v>
      </c>
      <c r="AV302" s="65">
        <f>AT302/AU302*10/AL302</f>
        <v>0.9786012526096034</v>
      </c>
      <c r="AW302" s="65">
        <f>(1+AG302)*AV302</f>
        <v>1.9082724425887265</v>
      </c>
    </row>
    <row r="303" spans="20:49" x14ac:dyDescent="0.15">
      <c r="T303" s="28">
        <f t="shared" si="285"/>
        <v>6281</v>
      </c>
      <c r="U303" s="26">
        <f t="shared" si="293"/>
        <v>402322</v>
      </c>
      <c r="V303" s="28">
        <f t="shared" si="294"/>
        <v>30</v>
      </c>
      <c r="W303" s="14">
        <f t="shared" si="282"/>
        <v>14824</v>
      </c>
      <c r="X303" s="39">
        <f t="shared" si="283"/>
        <v>80464.399999999994</v>
      </c>
      <c r="Y303" s="15">
        <v>1</v>
      </c>
      <c r="AE303" s="80"/>
      <c r="AF303" s="80"/>
      <c r="AG303" s="62">
        <f>AG302</f>
        <v>0.95</v>
      </c>
      <c r="AH303" s="60">
        <v>2</v>
      </c>
      <c r="AI303" s="60">
        <v>10</v>
      </c>
      <c r="AJ303" s="60">
        <v>6035</v>
      </c>
      <c r="AK303" s="68">
        <f t="shared" ref="AK303:AK306" si="302">INDEX(U:U,MATCH($AJ303,T:T,0))</f>
        <v>2478</v>
      </c>
      <c r="AL303" s="68">
        <f t="shared" ref="AL303:AL306" si="303">INDEX(V:V,MATCH($AJ303,T:T,0))</f>
        <v>10</v>
      </c>
      <c r="AM303" s="60">
        <f t="shared" si="284"/>
        <v>5</v>
      </c>
      <c r="AN303" s="14">
        <f t="shared" ref="AN303:AN306" si="304">AO303*AP303</f>
        <v>5</v>
      </c>
      <c r="AO303" s="60">
        <v>5</v>
      </c>
      <c r="AP303" s="60">
        <v>1</v>
      </c>
      <c r="AQ303" s="60">
        <v>1</v>
      </c>
      <c r="AS303" s="25">
        <f t="shared" ref="AS303:AS309" si="305">AS302+AN302*INDEX(X:X,MATCH(AJ302,T:T,0))</f>
        <v>519.33333333333326</v>
      </c>
      <c r="AT303" s="14">
        <f t="shared" si="273"/>
        <v>24343.75</v>
      </c>
      <c r="AU303" s="14">
        <f t="shared" si="274"/>
        <v>24780</v>
      </c>
      <c r="AV303" s="65">
        <f t="shared" ref="AV303:AV309" si="306">AT303/AU303*10/AL303</f>
        <v>0.98239507667473769</v>
      </c>
      <c r="AW303" s="65">
        <f t="shared" ref="AW303:AW308" si="307">(1+AG303)*AV303</f>
        <v>1.9156703995157385</v>
      </c>
    </row>
    <row r="304" spans="20:49" x14ac:dyDescent="0.15">
      <c r="T304" s="28">
        <f t="shared" si="285"/>
        <v>6282</v>
      </c>
      <c r="U304" s="26">
        <f t="shared" si="293"/>
        <v>442554</v>
      </c>
      <c r="V304" s="28">
        <f t="shared" si="294"/>
        <v>30</v>
      </c>
      <c r="W304" s="14">
        <f t="shared" si="282"/>
        <v>16290</v>
      </c>
      <c r="X304" s="39">
        <f t="shared" si="283"/>
        <v>88510.8</v>
      </c>
      <c r="Y304" s="15">
        <v>1</v>
      </c>
      <c r="AE304" s="80"/>
      <c r="AF304" s="80"/>
      <c r="AG304" s="62">
        <f t="shared" ref="AG304:AG309" si="308">AG303</f>
        <v>0.95</v>
      </c>
      <c r="AH304" s="60">
        <v>3</v>
      </c>
      <c r="AI304" s="60">
        <v>10</v>
      </c>
      <c r="AJ304" s="60">
        <v>6045</v>
      </c>
      <c r="AK304" s="68">
        <f t="shared" si="302"/>
        <v>6418</v>
      </c>
      <c r="AL304" s="68">
        <f t="shared" si="303"/>
        <v>10</v>
      </c>
      <c r="AM304" s="60">
        <f t="shared" si="284"/>
        <v>5</v>
      </c>
      <c r="AN304" s="14">
        <f t="shared" si="304"/>
        <v>5</v>
      </c>
      <c r="AO304" s="60">
        <v>5</v>
      </c>
      <c r="AP304" s="60">
        <v>1</v>
      </c>
      <c r="AQ304" s="60">
        <v>1</v>
      </c>
      <c r="AS304" s="25">
        <f t="shared" si="305"/>
        <v>1345.3333333333333</v>
      </c>
      <c r="AT304" s="14">
        <f t="shared" si="273"/>
        <v>63062.5</v>
      </c>
      <c r="AU304" s="14">
        <f t="shared" si="274"/>
        <v>64180</v>
      </c>
      <c r="AV304" s="65">
        <f t="shared" si="306"/>
        <v>0.98258803365534431</v>
      </c>
      <c r="AW304" s="65">
        <f t="shared" si="307"/>
        <v>1.9160466656279214</v>
      </c>
    </row>
    <row r="305" spans="20:49" x14ac:dyDescent="0.15">
      <c r="T305" s="28">
        <f t="shared" si="285"/>
        <v>6283</v>
      </c>
      <c r="U305" s="26">
        <f t="shared" si="293"/>
        <v>486809</v>
      </c>
      <c r="V305" s="28">
        <f t="shared" si="294"/>
        <v>30</v>
      </c>
      <c r="W305" s="14">
        <f t="shared" si="282"/>
        <v>17898</v>
      </c>
      <c r="X305" s="39">
        <f t="shared" si="283"/>
        <v>97361.8</v>
      </c>
      <c r="Y305" s="15">
        <v>1</v>
      </c>
      <c r="AE305" s="80"/>
      <c r="AF305" s="80"/>
      <c r="AG305" s="62">
        <f t="shared" si="308"/>
        <v>0.95</v>
      </c>
      <c r="AH305" s="60">
        <v>4</v>
      </c>
      <c r="AI305" s="60">
        <v>10</v>
      </c>
      <c r="AJ305" s="60">
        <v>6055</v>
      </c>
      <c r="AK305" s="68">
        <f t="shared" si="302"/>
        <v>16639</v>
      </c>
      <c r="AL305" s="68">
        <f t="shared" si="303"/>
        <v>10</v>
      </c>
      <c r="AM305" s="60">
        <f t="shared" si="284"/>
        <v>5</v>
      </c>
      <c r="AN305" s="14">
        <f t="shared" si="304"/>
        <v>5</v>
      </c>
      <c r="AO305" s="60">
        <v>5</v>
      </c>
      <c r="AP305" s="60">
        <v>1</v>
      </c>
      <c r="AQ305" s="60">
        <v>1</v>
      </c>
      <c r="AS305" s="25">
        <f t="shared" si="305"/>
        <v>3484.666666666667</v>
      </c>
      <c r="AT305" s="14">
        <f t="shared" si="273"/>
        <v>163343.75</v>
      </c>
      <c r="AU305" s="14">
        <f t="shared" si="274"/>
        <v>166390</v>
      </c>
      <c r="AV305" s="65">
        <f t="shared" si="306"/>
        <v>0.9816921089007753</v>
      </c>
      <c r="AW305" s="65">
        <f t="shared" si="307"/>
        <v>1.9142996123565117</v>
      </c>
    </row>
    <row r="306" spans="20:49" x14ac:dyDescent="0.15">
      <c r="T306" s="28">
        <f t="shared" si="285"/>
        <v>6284</v>
      </c>
      <c r="U306" s="26">
        <f t="shared" si="293"/>
        <v>535489</v>
      </c>
      <c r="V306" s="28">
        <f t="shared" si="294"/>
        <v>30</v>
      </c>
      <c r="W306" s="14">
        <f t="shared" si="282"/>
        <v>19668</v>
      </c>
      <c r="X306" s="39">
        <f t="shared" si="283"/>
        <v>107097.8</v>
      </c>
      <c r="Y306" s="15">
        <v>1</v>
      </c>
      <c r="AE306" s="80"/>
      <c r="AF306" s="80"/>
      <c r="AG306" s="62">
        <f t="shared" si="308"/>
        <v>0.95</v>
      </c>
      <c r="AH306" s="60">
        <v>5</v>
      </c>
      <c r="AI306" s="60">
        <v>10</v>
      </c>
      <c r="AJ306" s="60">
        <v>6230</v>
      </c>
      <c r="AK306" s="68">
        <f t="shared" si="302"/>
        <v>3119</v>
      </c>
      <c r="AL306" s="68">
        <f t="shared" si="303"/>
        <v>30</v>
      </c>
      <c r="AM306" s="60">
        <f t="shared" si="284"/>
        <v>10</v>
      </c>
      <c r="AN306" s="14">
        <f t="shared" si="304"/>
        <v>45</v>
      </c>
      <c r="AO306" s="60">
        <v>5</v>
      </c>
      <c r="AP306" s="60">
        <v>9</v>
      </c>
      <c r="AQ306" s="60">
        <v>1</v>
      </c>
      <c r="AS306" s="25">
        <f t="shared" si="305"/>
        <v>9031</v>
      </c>
      <c r="AT306" s="14">
        <f t="shared" si="273"/>
        <v>1269984.3900000001</v>
      </c>
      <c r="AU306" s="14">
        <f t="shared" si="274"/>
        <v>421065</v>
      </c>
      <c r="AV306" s="65">
        <f t="shared" si="306"/>
        <v>1.005374775865959</v>
      </c>
      <c r="AW306" s="65">
        <f t="shared" si="307"/>
        <v>1.96048081293862</v>
      </c>
    </row>
    <row r="307" spans="20:49" x14ac:dyDescent="0.15">
      <c r="T307" s="28">
        <f t="shared" si="285"/>
        <v>6285</v>
      </c>
      <c r="U307" s="26">
        <f t="shared" si="293"/>
        <v>589037</v>
      </c>
      <c r="V307" s="28">
        <f t="shared" si="294"/>
        <v>30</v>
      </c>
      <c r="W307" s="14">
        <f t="shared" si="282"/>
        <v>21612</v>
      </c>
      <c r="X307" s="39">
        <f t="shared" si="283"/>
        <v>117807.4</v>
      </c>
      <c r="Y307" s="15">
        <v>1</v>
      </c>
      <c r="AE307" s="80"/>
      <c r="AF307" s="80"/>
      <c r="AG307" s="62">
        <f t="shared" si="308"/>
        <v>0.95</v>
      </c>
      <c r="AH307" s="60"/>
      <c r="AI307" s="60"/>
      <c r="AJ307" s="60"/>
      <c r="AK307" s="68"/>
      <c r="AL307" s="68"/>
      <c r="AM307" s="60" t="str">
        <f t="shared" si="284"/>
        <v/>
      </c>
      <c r="AN307" s="14"/>
      <c r="AO307" s="60"/>
      <c r="AP307" s="60"/>
      <c r="AQ307" s="60"/>
      <c r="AS307" s="25">
        <f t="shared" si="305"/>
        <v>37102</v>
      </c>
      <c r="AT307" s="14">
        <f t="shared" si="273"/>
        <v>0</v>
      </c>
      <c r="AU307" s="14" t="e">
        <f t="shared" si="274"/>
        <v>#N/A</v>
      </c>
      <c r="AV307" s="65" t="e">
        <f t="shared" si="306"/>
        <v>#N/A</v>
      </c>
      <c r="AW307" s="65" t="e">
        <f t="shared" si="307"/>
        <v>#N/A</v>
      </c>
    </row>
    <row r="308" spans="20:49" x14ac:dyDescent="0.15">
      <c r="T308" s="28">
        <f t="shared" si="285"/>
        <v>6286</v>
      </c>
      <c r="U308" s="26">
        <f t="shared" si="293"/>
        <v>647940</v>
      </c>
      <c r="V308" s="28">
        <f t="shared" si="294"/>
        <v>30</v>
      </c>
      <c r="W308" s="14">
        <f t="shared" si="282"/>
        <v>23748</v>
      </c>
      <c r="X308" s="39">
        <f t="shared" si="283"/>
        <v>129588</v>
      </c>
      <c r="Y308" s="15">
        <v>1</v>
      </c>
      <c r="AE308" s="80"/>
      <c r="AF308" s="80"/>
      <c r="AG308" s="62">
        <f t="shared" si="308"/>
        <v>0.95</v>
      </c>
      <c r="AH308" s="60"/>
      <c r="AI308" s="60"/>
      <c r="AJ308" s="60"/>
      <c r="AK308" s="68"/>
      <c r="AL308" s="68"/>
      <c r="AM308" s="60" t="str">
        <f t="shared" si="284"/>
        <v/>
      </c>
      <c r="AN308" s="14"/>
      <c r="AO308" s="60"/>
      <c r="AP308" s="60"/>
      <c r="AQ308" s="60"/>
      <c r="AS308" s="25" t="e">
        <f t="shared" si="305"/>
        <v>#N/A</v>
      </c>
      <c r="AT308" s="14" t="e">
        <f t="shared" si="273"/>
        <v>#N/A</v>
      </c>
      <c r="AU308" s="14" t="e">
        <f t="shared" si="274"/>
        <v>#N/A</v>
      </c>
      <c r="AV308" s="65" t="e">
        <f t="shared" si="306"/>
        <v>#N/A</v>
      </c>
      <c r="AW308" s="65" t="e">
        <f t="shared" si="307"/>
        <v>#N/A</v>
      </c>
    </row>
    <row r="309" spans="20:49" x14ac:dyDescent="0.15">
      <c r="T309" s="28">
        <f t="shared" si="285"/>
        <v>6287</v>
      </c>
      <c r="U309" s="26">
        <f t="shared" si="293"/>
        <v>712734</v>
      </c>
      <c r="V309" s="28">
        <f t="shared" si="294"/>
        <v>30</v>
      </c>
      <c r="W309" s="14">
        <f t="shared" si="282"/>
        <v>26096</v>
      </c>
      <c r="X309" s="39">
        <f t="shared" si="283"/>
        <v>142546.79999999999</v>
      </c>
      <c r="Y309" s="15">
        <v>1</v>
      </c>
      <c r="AE309" s="81"/>
      <c r="AF309" s="81"/>
      <c r="AG309" s="25">
        <f t="shared" si="308"/>
        <v>0.95</v>
      </c>
      <c r="AH309" s="60"/>
      <c r="AI309" s="60"/>
      <c r="AJ309" s="60"/>
      <c r="AK309" s="68"/>
      <c r="AL309" s="68"/>
      <c r="AM309" s="60" t="str">
        <f t="shared" si="284"/>
        <v/>
      </c>
      <c r="AN309" s="14"/>
      <c r="AO309" s="60"/>
      <c r="AP309" s="60"/>
      <c r="AQ309" s="60"/>
      <c r="AS309" s="25" t="e">
        <f t="shared" si="305"/>
        <v>#N/A</v>
      </c>
      <c r="AT309" s="14" t="e">
        <f t="shared" si="273"/>
        <v>#N/A</v>
      </c>
      <c r="AU309" s="14" t="e">
        <f t="shared" si="274"/>
        <v>#N/A</v>
      </c>
      <c r="AV309" s="65" t="e">
        <f t="shared" si="306"/>
        <v>#N/A</v>
      </c>
      <c r="AW309" s="65" t="e">
        <f>(1+AG309)*AV309</f>
        <v>#N/A</v>
      </c>
    </row>
    <row r="310" spans="20:49" x14ac:dyDescent="0.15">
      <c r="T310" s="28">
        <f t="shared" si="285"/>
        <v>6288</v>
      </c>
      <c r="U310" s="26">
        <f t="shared" si="293"/>
        <v>784007</v>
      </c>
      <c r="V310" s="28">
        <f t="shared" si="294"/>
        <v>30</v>
      </c>
      <c r="W310" s="14">
        <f t="shared" si="282"/>
        <v>28676</v>
      </c>
      <c r="X310" s="39">
        <f t="shared" si="283"/>
        <v>156801.4</v>
      </c>
      <c r="Y310" s="15">
        <v>1</v>
      </c>
      <c r="AM310" s="60" t="str">
        <f t="shared" si="284"/>
        <v/>
      </c>
      <c r="AT310" s="14">
        <f t="shared" si="273"/>
        <v>0</v>
      </c>
      <c r="AU310" s="14" t="e">
        <f t="shared" si="274"/>
        <v>#N/A</v>
      </c>
    </row>
    <row r="311" spans="20:49" x14ac:dyDescent="0.15">
      <c r="T311" s="28">
        <f t="shared" si="285"/>
        <v>6289</v>
      </c>
      <c r="U311" s="26">
        <f t="shared" si="293"/>
        <v>862407</v>
      </c>
      <c r="V311" s="28">
        <f t="shared" si="294"/>
        <v>30</v>
      </c>
      <c r="W311" s="14">
        <f t="shared" si="282"/>
        <v>31510</v>
      </c>
      <c r="X311" s="39">
        <f t="shared" si="283"/>
        <v>172481.4</v>
      </c>
      <c r="Y311" s="15">
        <v>1</v>
      </c>
      <c r="AE311" s="79">
        <f>AE302+1</f>
        <v>30</v>
      </c>
      <c r="AF311" s="79">
        <v>30</v>
      </c>
      <c r="AG311" s="63">
        <f>INDEX($BC$14:$BC$77,MATCH(AF311,$BA$14:$BA$77))</f>
        <v>0.98</v>
      </c>
      <c r="AH311" s="60">
        <v>1</v>
      </c>
      <c r="AI311" s="60">
        <v>10</v>
      </c>
      <c r="AJ311" s="60">
        <v>6030</v>
      </c>
      <c r="AK311" s="68">
        <f>INDEX(U:U,MATCH($AJ311,T:T,0))</f>
        <v>1540</v>
      </c>
      <c r="AL311" s="68">
        <f>INDEX(V:V,MATCH($AJ311,T:T,0))</f>
        <v>10</v>
      </c>
      <c r="AM311" s="60">
        <f t="shared" si="284"/>
        <v>10</v>
      </c>
      <c r="AN311" s="14">
        <f>AO311*AP311</f>
        <v>4</v>
      </c>
      <c r="AO311" s="60">
        <v>1</v>
      </c>
      <c r="AP311" s="60">
        <v>4</v>
      </c>
      <c r="AQ311" s="60">
        <v>1</v>
      </c>
      <c r="AS311" s="15">
        <f>$AH$18</f>
        <v>200</v>
      </c>
      <c r="AT311" s="14">
        <f t="shared" si="273"/>
        <v>18750</v>
      </c>
      <c r="AU311" s="14">
        <f t="shared" si="274"/>
        <v>30800</v>
      </c>
      <c r="AV311" s="65">
        <f>AT311/AU311*10/AL311</f>
        <v>0.60876623376623373</v>
      </c>
      <c r="AW311" s="65">
        <f>(1+AG311)*AV311</f>
        <v>1.2053571428571428</v>
      </c>
    </row>
    <row r="312" spans="20:49" x14ac:dyDescent="0.15">
      <c r="T312" s="28">
        <f t="shared" si="285"/>
        <v>6290</v>
      </c>
      <c r="U312" s="26">
        <f t="shared" si="293"/>
        <v>948647</v>
      </c>
      <c r="V312" s="28">
        <f t="shared" si="294"/>
        <v>30</v>
      </c>
      <c r="W312" s="14">
        <f t="shared" si="282"/>
        <v>34626</v>
      </c>
      <c r="X312" s="39">
        <f t="shared" si="283"/>
        <v>189729.4</v>
      </c>
      <c r="Y312" s="15">
        <v>1</v>
      </c>
      <c r="AE312" s="80"/>
      <c r="AF312" s="80"/>
      <c r="AG312" s="62">
        <f>AG311</f>
        <v>0.98</v>
      </c>
      <c r="AH312" s="60">
        <v>2</v>
      </c>
      <c r="AI312" s="60">
        <v>10</v>
      </c>
      <c r="AJ312" s="60">
        <v>6108</v>
      </c>
      <c r="AK312" s="68">
        <f t="shared" ref="AK312:AK315" si="309">INDEX(U:U,MATCH($AJ312,T:T,0))</f>
        <v>388</v>
      </c>
      <c r="AL312" s="68">
        <f t="shared" ref="AL312:AL315" si="310">INDEX(V:V,MATCH($AJ312,T:T,0))</f>
        <v>20</v>
      </c>
      <c r="AM312" s="60">
        <v>5</v>
      </c>
      <c r="AN312" s="14">
        <f t="shared" ref="AN312:AN318" si="311">AO312*AP312</f>
        <v>4</v>
      </c>
      <c r="AO312" s="60">
        <v>1</v>
      </c>
      <c r="AP312" s="60">
        <v>4</v>
      </c>
      <c r="AQ312" s="60">
        <v>1</v>
      </c>
      <c r="AS312" s="25">
        <f t="shared" ref="AS312:AS318" si="312">AS311+AN311*INDEX(X:X,MATCH(AJ311,T:T,0))</f>
        <v>610.66666666666674</v>
      </c>
      <c r="AT312" s="14">
        <f t="shared" si="273"/>
        <v>57250</v>
      </c>
      <c r="AU312" s="14">
        <f t="shared" si="274"/>
        <v>31040</v>
      </c>
      <c r="AV312" s="65">
        <f t="shared" ref="AV312:AV318" si="313">AT312/AU312*10/AL312</f>
        <v>0.9221971649484535</v>
      </c>
      <c r="AW312" s="65">
        <f t="shared" ref="AW312:AW317" si="314">(1+AG312)*AV312</f>
        <v>1.8259503865979378</v>
      </c>
    </row>
    <row r="313" spans="20:49" x14ac:dyDescent="0.15">
      <c r="T313" s="28">
        <f t="shared" si="285"/>
        <v>6291</v>
      </c>
      <c r="U313" s="26">
        <f t="shared" si="293"/>
        <v>1043511</v>
      </c>
      <c r="V313" s="28">
        <f t="shared" si="294"/>
        <v>30</v>
      </c>
      <c r="W313" s="14">
        <f t="shared" si="282"/>
        <v>38050</v>
      </c>
      <c r="X313" s="39">
        <f t="shared" si="283"/>
        <v>208702.2</v>
      </c>
      <c r="Y313" s="15">
        <v>1</v>
      </c>
      <c r="AE313" s="80"/>
      <c r="AF313" s="80"/>
      <c r="AG313" s="62">
        <f t="shared" ref="AG313:AG318" si="315">AG312</f>
        <v>0.98</v>
      </c>
      <c r="AH313" s="60">
        <v>3</v>
      </c>
      <c r="AI313" s="60">
        <v>10</v>
      </c>
      <c r="AJ313" s="60">
        <v>6045</v>
      </c>
      <c r="AK313" s="68">
        <f t="shared" si="309"/>
        <v>6418</v>
      </c>
      <c r="AL313" s="68">
        <f t="shared" si="310"/>
        <v>10</v>
      </c>
      <c r="AM313" s="60">
        <f t="shared" si="284"/>
        <v>10</v>
      </c>
      <c r="AN313" s="14">
        <f t="shared" si="311"/>
        <v>8</v>
      </c>
      <c r="AO313" s="60">
        <v>2</v>
      </c>
      <c r="AP313" s="60">
        <v>4</v>
      </c>
      <c r="AQ313" s="60">
        <v>1</v>
      </c>
      <c r="AS313" s="25">
        <f t="shared" si="312"/>
        <v>817.60000000000014</v>
      </c>
      <c r="AT313" s="14">
        <f t="shared" si="273"/>
        <v>76650</v>
      </c>
      <c r="AU313" s="14">
        <f t="shared" si="274"/>
        <v>128360</v>
      </c>
      <c r="AV313" s="65">
        <f t="shared" si="313"/>
        <v>0.59714864443751947</v>
      </c>
      <c r="AW313" s="65">
        <f t="shared" si="314"/>
        <v>1.1823543159862886</v>
      </c>
    </row>
    <row r="314" spans="20:49" x14ac:dyDescent="0.15">
      <c r="T314" s="28">
        <f t="shared" si="285"/>
        <v>6292</v>
      </c>
      <c r="U314" s="26">
        <f t="shared" si="293"/>
        <v>1147862</v>
      </c>
      <c r="V314" s="28">
        <f t="shared" si="294"/>
        <v>30</v>
      </c>
      <c r="W314" s="14">
        <f t="shared" si="282"/>
        <v>41812</v>
      </c>
      <c r="X314" s="39">
        <f t="shared" si="283"/>
        <v>229572.4</v>
      </c>
      <c r="Y314" s="15">
        <v>1</v>
      </c>
      <c r="AE314" s="80"/>
      <c r="AF314" s="80"/>
      <c r="AG314" s="62">
        <f t="shared" si="315"/>
        <v>0.98</v>
      </c>
      <c r="AH314" s="60">
        <v>4</v>
      </c>
      <c r="AI314" s="60">
        <v>10</v>
      </c>
      <c r="AJ314" s="60">
        <v>6129</v>
      </c>
      <c r="AK314" s="68">
        <f t="shared" si="309"/>
        <v>2836</v>
      </c>
      <c r="AL314" s="68">
        <f t="shared" si="310"/>
        <v>20</v>
      </c>
      <c r="AM314" s="60">
        <v>5</v>
      </c>
      <c r="AN314" s="14">
        <f t="shared" si="311"/>
        <v>8</v>
      </c>
      <c r="AO314" s="60">
        <v>2</v>
      </c>
      <c r="AP314" s="60">
        <v>4</v>
      </c>
      <c r="AQ314" s="60">
        <v>1</v>
      </c>
      <c r="AS314" s="25">
        <f t="shared" si="312"/>
        <v>4240.5333333333338</v>
      </c>
      <c r="AT314" s="14">
        <f t="shared" si="273"/>
        <v>397550</v>
      </c>
      <c r="AU314" s="14">
        <f t="shared" si="274"/>
        <v>226880</v>
      </c>
      <c r="AV314" s="65">
        <f t="shared" si="313"/>
        <v>0.87612394217207323</v>
      </c>
      <c r="AW314" s="65">
        <f t="shared" si="314"/>
        <v>1.7347254055007051</v>
      </c>
    </row>
    <row r="315" spans="20:49" x14ac:dyDescent="0.15">
      <c r="T315" s="28">
        <f t="shared" si="285"/>
        <v>6293</v>
      </c>
      <c r="U315" s="26">
        <f t="shared" si="293"/>
        <v>1262648</v>
      </c>
      <c r="V315" s="28">
        <f t="shared" si="294"/>
        <v>30</v>
      </c>
      <c r="W315" s="14">
        <f t="shared" si="282"/>
        <v>45946</v>
      </c>
      <c r="X315" s="39">
        <f t="shared" si="283"/>
        <v>252529.6</v>
      </c>
      <c r="Y315" s="15">
        <v>1</v>
      </c>
      <c r="AE315" s="80"/>
      <c r="AF315" s="80"/>
      <c r="AG315" s="62">
        <f t="shared" si="315"/>
        <v>0.98</v>
      </c>
      <c r="AH315" s="60">
        <v>5</v>
      </c>
      <c r="AI315" s="60">
        <v>10</v>
      </c>
      <c r="AJ315" s="60">
        <v>6142</v>
      </c>
      <c r="AK315" s="68">
        <f t="shared" si="309"/>
        <v>9782</v>
      </c>
      <c r="AL315" s="68">
        <f t="shared" si="310"/>
        <v>20</v>
      </c>
      <c r="AM315" s="60">
        <f t="shared" si="284"/>
        <v>10</v>
      </c>
      <c r="AN315" s="14">
        <f t="shared" si="311"/>
        <v>27</v>
      </c>
      <c r="AO315" s="60">
        <v>3</v>
      </c>
      <c r="AP315" s="60">
        <v>9</v>
      </c>
      <c r="AQ315" s="60">
        <v>1</v>
      </c>
      <c r="AS315" s="25">
        <f t="shared" si="312"/>
        <v>7265.6</v>
      </c>
      <c r="AT315" s="14">
        <f t="shared" si="273"/>
        <v>1021725</v>
      </c>
      <c r="AU315" s="14">
        <f t="shared" si="274"/>
        <v>880380</v>
      </c>
      <c r="AV315" s="65">
        <f t="shared" si="313"/>
        <v>0.58027499488857082</v>
      </c>
      <c r="AW315" s="65">
        <f t="shared" si="314"/>
        <v>1.1489444898793701</v>
      </c>
    </row>
    <row r="316" spans="20:49" x14ac:dyDescent="0.15">
      <c r="T316" s="28">
        <f t="shared" si="285"/>
        <v>6294</v>
      </c>
      <c r="U316" s="26">
        <f t="shared" si="293"/>
        <v>1388912</v>
      </c>
      <c r="V316" s="28">
        <f t="shared" si="294"/>
        <v>30</v>
      </c>
      <c r="W316" s="14">
        <f t="shared" si="282"/>
        <v>50488</v>
      </c>
      <c r="X316" s="39">
        <f t="shared" si="283"/>
        <v>277782.40000000002</v>
      </c>
      <c r="Y316" s="15">
        <v>1</v>
      </c>
      <c r="AE316" s="80"/>
      <c r="AF316" s="80"/>
      <c r="AG316" s="62">
        <f t="shared" si="315"/>
        <v>0.98</v>
      </c>
      <c r="AH316" s="60">
        <v>6</v>
      </c>
      <c r="AI316" s="60">
        <v>10</v>
      </c>
      <c r="AJ316" s="60">
        <v>6241</v>
      </c>
      <c r="AK316" s="68">
        <f>INDEX(U:U,MATCH($AJ316,T:T,0))</f>
        <v>8893</v>
      </c>
      <c r="AL316" s="68">
        <f>INDEX(V:V,MATCH($AJ316,T:T,0))</f>
        <v>30</v>
      </c>
      <c r="AM316" s="60">
        <v>5</v>
      </c>
      <c r="AN316" s="14">
        <f t="shared" si="311"/>
        <v>27</v>
      </c>
      <c r="AO316" s="60">
        <v>3</v>
      </c>
      <c r="AP316" s="60">
        <v>9</v>
      </c>
      <c r="AQ316" s="60">
        <v>1</v>
      </c>
      <c r="AS316" s="25">
        <f t="shared" si="312"/>
        <v>42480.799999999996</v>
      </c>
      <c r="AT316" s="14">
        <f t="shared" si="273"/>
        <v>5973862.5</v>
      </c>
      <c r="AU316" s="14">
        <f t="shared" si="274"/>
        <v>2401110</v>
      </c>
      <c r="AV316" s="65">
        <f t="shared" si="313"/>
        <v>0.82931956470132562</v>
      </c>
      <c r="AW316" s="65">
        <f t="shared" si="314"/>
        <v>1.6420527381086247</v>
      </c>
    </row>
    <row r="317" spans="20:49" x14ac:dyDescent="0.15">
      <c r="T317" s="28">
        <f t="shared" si="285"/>
        <v>6295</v>
      </c>
      <c r="U317" s="26">
        <f t="shared" si="293"/>
        <v>1527803</v>
      </c>
      <c r="V317" s="28">
        <f t="shared" si="294"/>
        <v>30</v>
      </c>
      <c r="W317" s="14">
        <f t="shared" si="282"/>
        <v>55480</v>
      </c>
      <c r="X317" s="39">
        <f t="shared" si="283"/>
        <v>305560.59999999998</v>
      </c>
      <c r="Y317" s="15">
        <v>1</v>
      </c>
      <c r="AE317" s="80"/>
      <c r="AF317" s="80"/>
      <c r="AG317" s="62">
        <f t="shared" si="315"/>
        <v>0.98</v>
      </c>
      <c r="AH317" s="60">
        <v>7</v>
      </c>
      <c r="AI317" s="60">
        <v>10</v>
      </c>
      <c r="AJ317" s="60">
        <v>6165</v>
      </c>
      <c r="AK317" s="68">
        <f t="shared" ref="AK317:AK318" si="316">INDEX(U:U,MATCH($AJ317,T:T,0))</f>
        <v>87561</v>
      </c>
      <c r="AL317" s="68">
        <f t="shared" ref="AL317:AL318" si="317">INDEX(V:V,MATCH($AJ317,T:T,0))</f>
        <v>20</v>
      </c>
      <c r="AM317" s="60">
        <v>20</v>
      </c>
      <c r="AN317" s="14">
        <f t="shared" si="311"/>
        <v>45</v>
      </c>
      <c r="AO317" s="60">
        <v>5</v>
      </c>
      <c r="AP317" s="60">
        <v>9</v>
      </c>
      <c r="AQ317" s="60">
        <v>1</v>
      </c>
      <c r="AS317" s="25">
        <f t="shared" si="312"/>
        <v>90503</v>
      </c>
      <c r="AT317" s="14">
        <f t="shared" si="273"/>
        <v>12726984.390000001</v>
      </c>
      <c r="AU317" s="14">
        <f t="shared" si="274"/>
        <v>3940245</v>
      </c>
      <c r="AV317" s="65">
        <f t="shared" si="313"/>
        <v>1.6149991168061884</v>
      </c>
      <c r="AW317" s="65">
        <f t="shared" si="314"/>
        <v>3.1976982512762531</v>
      </c>
    </row>
    <row r="318" spans="20:49" x14ac:dyDescent="0.15">
      <c r="T318" s="28">
        <f t="shared" si="285"/>
        <v>6296</v>
      </c>
      <c r="U318" s="26">
        <f t="shared" si="293"/>
        <v>1680583</v>
      </c>
      <c r="V318" s="28">
        <f t="shared" si="294"/>
        <v>30</v>
      </c>
      <c r="W318" s="14">
        <f t="shared" si="282"/>
        <v>60968</v>
      </c>
      <c r="X318" s="39">
        <f t="shared" si="283"/>
        <v>336116.6</v>
      </c>
      <c r="Y318" s="15">
        <v>1</v>
      </c>
      <c r="AE318" s="81"/>
      <c r="AF318" s="81"/>
      <c r="AG318" s="25">
        <f t="shared" si="315"/>
        <v>0.98</v>
      </c>
      <c r="AH318" s="60">
        <v>8</v>
      </c>
      <c r="AI318" s="60">
        <v>25</v>
      </c>
      <c r="AJ318" s="60">
        <v>6275</v>
      </c>
      <c r="AK318" s="68">
        <f t="shared" si="316"/>
        <v>227102</v>
      </c>
      <c r="AL318" s="68">
        <f t="shared" si="317"/>
        <v>30</v>
      </c>
      <c r="AM318" s="60">
        <v>25</v>
      </c>
      <c r="AN318" s="14">
        <f t="shared" si="311"/>
        <v>10</v>
      </c>
      <c r="AO318" s="60">
        <v>10</v>
      </c>
      <c r="AP318" s="60">
        <v>1</v>
      </c>
      <c r="AQ318" s="60">
        <v>1</v>
      </c>
      <c r="AS318" s="25">
        <f t="shared" si="312"/>
        <v>615869</v>
      </c>
      <c r="AT318" s="14">
        <f t="shared" si="273"/>
        <v>28868859.379999999</v>
      </c>
      <c r="AU318" s="14">
        <f t="shared" si="274"/>
        <v>1362612</v>
      </c>
      <c r="AV318" s="65">
        <f t="shared" si="313"/>
        <v>7.0621373704815946</v>
      </c>
      <c r="AW318" s="65">
        <f>(1+AG318)*AV318</f>
        <v>13.983031993553558</v>
      </c>
    </row>
    <row r="319" spans="20:49" x14ac:dyDescent="0.15">
      <c r="T319" s="28">
        <f t="shared" si="285"/>
        <v>6297</v>
      </c>
      <c r="U319" s="26">
        <f t="shared" si="293"/>
        <v>1848641</v>
      </c>
      <c r="V319" s="28">
        <f t="shared" si="294"/>
        <v>30</v>
      </c>
      <c r="W319" s="14">
        <f t="shared" si="282"/>
        <v>66996</v>
      </c>
      <c r="X319" s="39">
        <f t="shared" si="283"/>
        <v>369728.2</v>
      </c>
      <c r="Y319" s="15">
        <v>1</v>
      </c>
      <c r="AT319" s="14">
        <f t="shared" si="273"/>
        <v>0</v>
      </c>
      <c r="AU319" s="14" t="e">
        <f t="shared" si="274"/>
        <v>#N/A</v>
      </c>
    </row>
    <row r="320" spans="20:49" x14ac:dyDescent="0.15">
      <c r="T320" s="28">
        <f t="shared" si="285"/>
        <v>6298</v>
      </c>
      <c r="U320" s="26">
        <f t="shared" si="293"/>
        <v>2033505</v>
      </c>
      <c r="V320" s="28">
        <f t="shared" si="294"/>
        <v>30</v>
      </c>
      <c r="W320" s="14">
        <f t="shared" si="282"/>
        <v>73622</v>
      </c>
      <c r="X320" s="39">
        <f t="shared" si="283"/>
        <v>406701</v>
      </c>
      <c r="Y320" s="15">
        <v>1</v>
      </c>
      <c r="AE320" s="79">
        <f>AE311+1</f>
        <v>31</v>
      </c>
      <c r="AF320" s="79">
        <v>1</v>
      </c>
      <c r="AG320" s="63">
        <f>INDEX($BC$14:$BC$77,MATCH(AF320,$BA$14:$BA$77))</f>
        <v>0.01</v>
      </c>
      <c r="AH320" s="60">
        <v>1</v>
      </c>
      <c r="AI320" s="60">
        <v>10</v>
      </c>
      <c r="AJ320" s="60">
        <v>6201</v>
      </c>
      <c r="AK320" s="68">
        <f>INDEX(U:U,MATCH($AJ320,T:T,0))</f>
        <v>200</v>
      </c>
      <c r="AL320" s="68">
        <f>INDEX(V:V,MATCH($AJ320,T:T,0))</f>
        <v>30</v>
      </c>
      <c r="AM320" s="60">
        <v>1</v>
      </c>
      <c r="AN320" s="14">
        <f>AO320*AP320</f>
        <v>3</v>
      </c>
      <c r="AO320" s="60">
        <v>3</v>
      </c>
      <c r="AP320" s="60">
        <v>1</v>
      </c>
      <c r="AQ320" s="60">
        <v>1</v>
      </c>
      <c r="AS320" s="15">
        <f>$AH$18</f>
        <v>200</v>
      </c>
      <c r="AT320" s="14">
        <f t="shared" si="273"/>
        <v>9375</v>
      </c>
      <c r="AU320" s="14">
        <f t="shared" si="274"/>
        <v>30000</v>
      </c>
      <c r="AV320" s="65">
        <f>AT320/AU320*10/AL320</f>
        <v>0.10416666666666667</v>
      </c>
      <c r="AW320" s="65">
        <f>(1+AG320)*AV320</f>
        <v>0.10520833333333333</v>
      </c>
    </row>
    <row r="321" spans="20:49" x14ac:dyDescent="0.15">
      <c r="T321" s="28">
        <f t="shared" si="285"/>
        <v>6299</v>
      </c>
      <c r="U321" s="26">
        <f t="shared" si="293"/>
        <v>2236855</v>
      </c>
      <c r="V321" s="28">
        <f t="shared" si="294"/>
        <v>30</v>
      </c>
      <c r="W321" s="14">
        <f t="shared" si="282"/>
        <v>80902</v>
      </c>
      <c r="X321" s="39">
        <f t="shared" si="283"/>
        <v>447371</v>
      </c>
      <c r="Y321" s="15">
        <v>1</v>
      </c>
      <c r="AE321" s="80"/>
      <c r="AF321" s="80"/>
      <c r="AG321" s="70">
        <f>AG320</f>
        <v>0.01</v>
      </c>
      <c r="AH321" s="60">
        <v>2</v>
      </c>
      <c r="AI321" s="60">
        <v>10</v>
      </c>
      <c r="AJ321" s="60">
        <v>6202</v>
      </c>
      <c r="AK321" s="68">
        <f t="shared" ref="AK321:AK322" si="318">INDEX(U:U,MATCH($AJ321,T:T,0))</f>
        <v>220</v>
      </c>
      <c r="AL321" s="68">
        <f t="shared" ref="AL321:AL322" si="319">INDEX(V:V,MATCH($AJ321,T:T,0))</f>
        <v>30</v>
      </c>
      <c r="AM321" s="60">
        <v>1</v>
      </c>
      <c r="AN321" s="14">
        <f t="shared" ref="AN321:AN322" si="320">AO321*AP321</f>
        <v>3</v>
      </c>
      <c r="AO321" s="60">
        <v>3</v>
      </c>
      <c r="AP321" s="60">
        <v>1</v>
      </c>
      <c r="AQ321" s="60">
        <v>1</v>
      </c>
      <c r="AS321" s="25">
        <f t="shared" ref="AS321:AS327" si="321">AS320+AN320*INDEX(X:X,MATCH(AJ320,T:T,0))</f>
        <v>320</v>
      </c>
      <c r="AT321" s="14">
        <f t="shared" si="273"/>
        <v>15000</v>
      </c>
      <c r="AU321" s="14">
        <f t="shared" si="274"/>
        <v>33000</v>
      </c>
      <c r="AV321" s="65">
        <f t="shared" ref="AV321:AV327" si="322">AT321/AU321*10/AL321</f>
        <v>0.15151515151515149</v>
      </c>
      <c r="AW321" s="65">
        <f t="shared" ref="AW321:AW326" si="323">(1+AG321)*AV321</f>
        <v>0.15303030303030302</v>
      </c>
    </row>
    <row r="322" spans="20:49" x14ac:dyDescent="0.15">
      <c r="T322" s="28">
        <f t="shared" si="285"/>
        <v>6300</v>
      </c>
      <c r="U322" s="26">
        <f t="shared" si="293"/>
        <v>2460540</v>
      </c>
      <c r="V322" s="28">
        <f t="shared" si="294"/>
        <v>30</v>
      </c>
      <c r="W322" s="14">
        <f t="shared" si="282"/>
        <v>88904</v>
      </c>
      <c r="X322" s="39">
        <f t="shared" si="283"/>
        <v>492108</v>
      </c>
      <c r="Y322" s="15">
        <v>1</v>
      </c>
      <c r="AE322" s="80"/>
      <c r="AF322" s="80"/>
      <c r="AG322" s="70">
        <f t="shared" ref="AG322:AG327" si="324">AG321</f>
        <v>0.01</v>
      </c>
      <c r="AH322" s="60">
        <v>3</v>
      </c>
      <c r="AI322" s="60">
        <v>10</v>
      </c>
      <c r="AJ322" s="60">
        <v>6203</v>
      </c>
      <c r="AK322" s="68">
        <f t="shared" si="318"/>
        <v>242</v>
      </c>
      <c r="AL322" s="68">
        <f t="shared" si="319"/>
        <v>30</v>
      </c>
      <c r="AM322" s="60">
        <v>5</v>
      </c>
      <c r="AN322" s="14">
        <f t="shared" si="320"/>
        <v>1</v>
      </c>
      <c r="AO322" s="60">
        <v>1</v>
      </c>
      <c r="AP322" s="60">
        <v>1</v>
      </c>
      <c r="AQ322" s="60">
        <v>1</v>
      </c>
      <c r="AS322" s="25">
        <f t="shared" si="321"/>
        <v>452</v>
      </c>
      <c r="AT322" s="14">
        <f t="shared" si="273"/>
        <v>21187.5</v>
      </c>
      <c r="AU322" s="14">
        <f t="shared" si="274"/>
        <v>7260</v>
      </c>
      <c r="AV322" s="65">
        <f t="shared" si="322"/>
        <v>0.97279614325068875</v>
      </c>
      <c r="AW322" s="65">
        <f t="shared" si="323"/>
        <v>0.98252410468319562</v>
      </c>
    </row>
    <row r="323" spans="20:49" x14ac:dyDescent="0.15">
      <c r="T323" s="28">
        <f t="shared" si="285"/>
        <v>6301</v>
      </c>
      <c r="U323" s="38">
        <v>200</v>
      </c>
      <c r="V323" s="36">
        <f>V223+10</f>
        <v>40</v>
      </c>
      <c r="W323" s="14">
        <f t="shared" si="282"/>
        <v>8</v>
      </c>
      <c r="X323" s="39">
        <f t="shared" si="283"/>
        <v>53.333333333333336</v>
      </c>
      <c r="Y323" s="15">
        <v>1</v>
      </c>
      <c r="AE323" s="80"/>
      <c r="AF323" s="80"/>
      <c r="AG323" s="70">
        <f t="shared" si="324"/>
        <v>0.01</v>
      </c>
      <c r="AH323" s="60"/>
      <c r="AI323" s="60"/>
      <c r="AJ323" s="60"/>
      <c r="AK323" s="68"/>
      <c r="AL323" s="68"/>
      <c r="AM323" s="60"/>
      <c r="AN323" s="14"/>
      <c r="AO323" s="60"/>
      <c r="AP323" s="60"/>
      <c r="AQ323" s="60"/>
      <c r="AS323" s="25">
        <f t="shared" si="321"/>
        <v>500.4</v>
      </c>
      <c r="AT323" s="14">
        <f t="shared" si="273"/>
        <v>0</v>
      </c>
      <c r="AU323" s="14" t="e">
        <f t="shared" si="274"/>
        <v>#N/A</v>
      </c>
      <c r="AV323" s="65" t="e">
        <f t="shared" si="322"/>
        <v>#N/A</v>
      </c>
      <c r="AW323" s="65" t="e">
        <f t="shared" si="323"/>
        <v>#N/A</v>
      </c>
    </row>
    <row r="324" spans="20:49" x14ac:dyDescent="0.15">
      <c r="T324" s="28">
        <f t="shared" si="285"/>
        <v>6302</v>
      </c>
      <c r="U324" s="26">
        <f t="shared" ref="U324:U387" si="325">INT(U323*$U$18)</f>
        <v>220</v>
      </c>
      <c r="V324" s="28">
        <f t="shared" ref="V324:V387" si="326">V323</f>
        <v>40</v>
      </c>
      <c r="W324" s="14">
        <f t="shared" si="282"/>
        <v>10</v>
      </c>
      <c r="X324" s="39">
        <f t="shared" si="283"/>
        <v>58.666666666666664</v>
      </c>
      <c r="Y324" s="15">
        <v>1</v>
      </c>
      <c r="AE324" s="80"/>
      <c r="AF324" s="80"/>
      <c r="AG324" s="70">
        <f t="shared" si="324"/>
        <v>0.01</v>
      </c>
      <c r="AH324" s="60"/>
      <c r="AI324" s="60"/>
      <c r="AJ324" s="60"/>
      <c r="AK324" s="68"/>
      <c r="AL324" s="68"/>
      <c r="AM324" s="60"/>
      <c r="AN324" s="14"/>
      <c r="AO324" s="60"/>
      <c r="AP324" s="60"/>
      <c r="AQ324" s="60"/>
      <c r="AS324" s="25" t="e">
        <f t="shared" si="321"/>
        <v>#N/A</v>
      </c>
      <c r="AT324" s="14" t="e">
        <f t="shared" si="273"/>
        <v>#N/A</v>
      </c>
      <c r="AU324" s="14" t="e">
        <f t="shared" si="274"/>
        <v>#N/A</v>
      </c>
      <c r="AV324" s="65" t="e">
        <f t="shared" si="322"/>
        <v>#N/A</v>
      </c>
      <c r="AW324" s="65" t="e">
        <f t="shared" si="323"/>
        <v>#N/A</v>
      </c>
    </row>
    <row r="325" spans="20:49" x14ac:dyDescent="0.15">
      <c r="T325" s="28">
        <f t="shared" si="285"/>
        <v>6303</v>
      </c>
      <c r="U325" s="26">
        <f t="shared" si="325"/>
        <v>242</v>
      </c>
      <c r="V325" s="28">
        <f t="shared" si="326"/>
        <v>40</v>
      </c>
      <c r="W325" s="14">
        <f t="shared" si="282"/>
        <v>10</v>
      </c>
      <c r="X325" s="39">
        <f t="shared" si="283"/>
        <v>64.533333333333331</v>
      </c>
      <c r="Y325" s="15">
        <v>1</v>
      </c>
      <c r="AE325" s="80"/>
      <c r="AF325" s="80"/>
      <c r="AG325" s="70">
        <f t="shared" si="324"/>
        <v>0.01</v>
      </c>
      <c r="AH325" s="60"/>
      <c r="AI325" s="60"/>
      <c r="AJ325" s="60"/>
      <c r="AK325" s="68"/>
      <c r="AL325" s="68"/>
      <c r="AM325" s="60"/>
      <c r="AN325" s="14"/>
      <c r="AO325" s="60"/>
      <c r="AP325" s="15"/>
      <c r="AQ325" s="60"/>
      <c r="AS325" s="25" t="e">
        <f t="shared" si="321"/>
        <v>#N/A</v>
      </c>
      <c r="AT325" s="14" t="e">
        <f t="shared" si="273"/>
        <v>#N/A</v>
      </c>
      <c r="AU325" s="14" t="e">
        <f t="shared" si="274"/>
        <v>#N/A</v>
      </c>
      <c r="AV325" s="65" t="e">
        <f t="shared" si="322"/>
        <v>#N/A</v>
      </c>
      <c r="AW325" s="65" t="e">
        <f t="shared" si="323"/>
        <v>#N/A</v>
      </c>
    </row>
    <row r="326" spans="20:49" x14ac:dyDescent="0.15">
      <c r="T326" s="28">
        <f t="shared" si="285"/>
        <v>6304</v>
      </c>
      <c r="U326" s="26">
        <f t="shared" si="325"/>
        <v>266</v>
      </c>
      <c r="V326" s="28">
        <f t="shared" si="326"/>
        <v>40</v>
      </c>
      <c r="W326" s="14">
        <f t="shared" si="282"/>
        <v>12</v>
      </c>
      <c r="X326" s="39">
        <f t="shared" si="283"/>
        <v>70.933333333333337</v>
      </c>
      <c r="Y326" s="15">
        <v>1</v>
      </c>
      <c r="AE326" s="80"/>
      <c r="AF326" s="80"/>
      <c r="AG326" s="70">
        <f t="shared" si="324"/>
        <v>0.01</v>
      </c>
      <c r="AH326" s="60"/>
      <c r="AI326" s="60"/>
      <c r="AJ326" s="60"/>
      <c r="AK326" s="68"/>
      <c r="AL326" s="68"/>
      <c r="AM326" s="60"/>
      <c r="AN326" s="14"/>
      <c r="AO326" s="60"/>
      <c r="AP326" s="15"/>
      <c r="AQ326" s="60"/>
      <c r="AS326" s="25" t="e">
        <f t="shared" si="321"/>
        <v>#N/A</v>
      </c>
      <c r="AT326" s="14" t="e">
        <f t="shared" si="273"/>
        <v>#N/A</v>
      </c>
      <c r="AU326" s="14" t="e">
        <f t="shared" si="274"/>
        <v>#N/A</v>
      </c>
      <c r="AV326" s="65" t="e">
        <f t="shared" si="322"/>
        <v>#N/A</v>
      </c>
      <c r="AW326" s="65" t="e">
        <f t="shared" si="323"/>
        <v>#N/A</v>
      </c>
    </row>
    <row r="327" spans="20:49" x14ac:dyDescent="0.15">
      <c r="T327" s="28">
        <f t="shared" si="285"/>
        <v>6305</v>
      </c>
      <c r="U327" s="26">
        <f t="shared" si="325"/>
        <v>292</v>
      </c>
      <c r="V327" s="28">
        <f t="shared" si="326"/>
        <v>40</v>
      </c>
      <c r="W327" s="14">
        <f t="shared" si="282"/>
        <v>12</v>
      </c>
      <c r="X327" s="39">
        <f t="shared" si="283"/>
        <v>77.86666666666666</v>
      </c>
      <c r="Y327" s="15">
        <v>1</v>
      </c>
      <c r="AE327" s="81"/>
      <c r="AF327" s="81"/>
      <c r="AG327" s="25">
        <f t="shared" si="324"/>
        <v>0.01</v>
      </c>
      <c r="AH327" s="60"/>
      <c r="AI327" s="60"/>
      <c r="AJ327" s="60"/>
      <c r="AK327" s="68"/>
      <c r="AL327" s="68"/>
      <c r="AM327" s="60"/>
      <c r="AN327" s="14"/>
      <c r="AO327" s="60"/>
      <c r="AP327" s="15"/>
      <c r="AQ327" s="60"/>
      <c r="AS327" s="25" t="e">
        <f t="shared" si="321"/>
        <v>#N/A</v>
      </c>
      <c r="AT327" s="14" t="e">
        <f t="shared" si="273"/>
        <v>#N/A</v>
      </c>
      <c r="AU327" s="14" t="e">
        <f t="shared" si="274"/>
        <v>#N/A</v>
      </c>
      <c r="AV327" s="65" t="e">
        <f t="shared" si="322"/>
        <v>#N/A</v>
      </c>
      <c r="AW327" s="65" t="e">
        <f>(1+AG327)*AV327</f>
        <v>#N/A</v>
      </c>
    </row>
    <row r="328" spans="20:49" x14ac:dyDescent="0.15">
      <c r="T328" s="28">
        <f t="shared" si="285"/>
        <v>6306</v>
      </c>
      <c r="U328" s="26">
        <f t="shared" si="325"/>
        <v>321</v>
      </c>
      <c r="V328" s="28">
        <f t="shared" si="326"/>
        <v>40</v>
      </c>
      <c r="W328" s="14">
        <f t="shared" si="282"/>
        <v>14</v>
      </c>
      <c r="X328" s="39">
        <f t="shared" si="283"/>
        <v>85.6</v>
      </c>
      <c r="Y328" s="15">
        <v>1</v>
      </c>
    </row>
    <row r="329" spans="20:49" x14ac:dyDescent="0.15">
      <c r="T329" s="28">
        <f t="shared" si="285"/>
        <v>6307</v>
      </c>
      <c r="U329" s="26">
        <f t="shared" si="325"/>
        <v>353</v>
      </c>
      <c r="V329" s="28">
        <f t="shared" si="326"/>
        <v>40</v>
      </c>
      <c r="W329" s="14">
        <f t="shared" si="282"/>
        <v>16</v>
      </c>
      <c r="X329" s="39">
        <f t="shared" si="283"/>
        <v>94.13333333333334</v>
      </c>
      <c r="Y329" s="15">
        <v>1</v>
      </c>
      <c r="AN329">
        <v>40</v>
      </c>
    </row>
    <row r="330" spans="20:49" x14ac:dyDescent="0.15">
      <c r="T330" s="28">
        <f t="shared" si="285"/>
        <v>6308</v>
      </c>
      <c r="U330" s="26">
        <f t="shared" si="325"/>
        <v>388</v>
      </c>
      <c r="V330" s="28">
        <f t="shared" si="326"/>
        <v>40</v>
      </c>
      <c r="W330" s="14">
        <f t="shared" si="282"/>
        <v>18</v>
      </c>
      <c r="X330" s="39">
        <f t="shared" si="283"/>
        <v>103.46666666666667</v>
      </c>
      <c r="Y330" s="15">
        <v>1</v>
      </c>
      <c r="AN330">
        <v>80</v>
      </c>
    </row>
    <row r="331" spans="20:49" x14ac:dyDescent="0.15">
      <c r="T331" s="28">
        <f t="shared" si="285"/>
        <v>6309</v>
      </c>
      <c r="U331" s="26">
        <f t="shared" si="325"/>
        <v>426</v>
      </c>
      <c r="V331" s="28">
        <f t="shared" si="326"/>
        <v>40</v>
      </c>
      <c r="W331" s="14">
        <f t="shared" si="282"/>
        <v>20</v>
      </c>
      <c r="X331" s="39">
        <f t="shared" si="283"/>
        <v>113.6</v>
      </c>
      <c r="Y331" s="15">
        <v>1</v>
      </c>
      <c r="AN331">
        <v>160</v>
      </c>
    </row>
    <row r="332" spans="20:49" x14ac:dyDescent="0.15">
      <c r="T332" s="28">
        <f t="shared" si="285"/>
        <v>6310</v>
      </c>
      <c r="U332" s="26">
        <f t="shared" si="325"/>
        <v>468</v>
      </c>
      <c r="V332" s="28">
        <f t="shared" si="326"/>
        <v>40</v>
      </c>
      <c r="W332" s="14">
        <f t="shared" si="282"/>
        <v>22</v>
      </c>
      <c r="X332" s="39">
        <f t="shared" si="283"/>
        <v>124.8</v>
      </c>
      <c r="Y332" s="15">
        <v>1</v>
      </c>
    </row>
    <row r="333" spans="20:49" x14ac:dyDescent="0.15">
      <c r="T333" s="28">
        <f t="shared" si="285"/>
        <v>6311</v>
      </c>
      <c r="U333" s="26">
        <f t="shared" si="325"/>
        <v>514</v>
      </c>
      <c r="V333" s="28">
        <f t="shared" si="326"/>
        <v>40</v>
      </c>
      <c r="W333" s="14">
        <f t="shared" si="282"/>
        <v>24</v>
      </c>
      <c r="X333" s="39">
        <f t="shared" si="283"/>
        <v>137.06666666666666</v>
      </c>
      <c r="Y333" s="15">
        <v>1</v>
      </c>
    </row>
    <row r="334" spans="20:49" x14ac:dyDescent="0.15">
      <c r="T334" s="28">
        <f t="shared" si="285"/>
        <v>6312</v>
      </c>
      <c r="U334" s="26">
        <f t="shared" si="325"/>
        <v>565</v>
      </c>
      <c r="V334" s="28">
        <f t="shared" si="326"/>
        <v>40</v>
      </c>
      <c r="W334" s="14">
        <f t="shared" si="282"/>
        <v>26</v>
      </c>
      <c r="X334" s="39">
        <f t="shared" si="283"/>
        <v>150.66666666666669</v>
      </c>
      <c r="Y334" s="15">
        <v>1</v>
      </c>
    </row>
    <row r="335" spans="20:49" x14ac:dyDescent="0.15">
      <c r="T335" s="28">
        <f t="shared" si="285"/>
        <v>6313</v>
      </c>
      <c r="U335" s="26">
        <f t="shared" si="325"/>
        <v>621</v>
      </c>
      <c r="V335" s="28">
        <f t="shared" si="326"/>
        <v>40</v>
      </c>
      <c r="W335" s="14">
        <f t="shared" si="282"/>
        <v>28</v>
      </c>
      <c r="X335" s="39">
        <f t="shared" si="283"/>
        <v>165.6</v>
      </c>
      <c r="Y335" s="15">
        <v>1</v>
      </c>
    </row>
    <row r="336" spans="20:49" x14ac:dyDescent="0.15">
      <c r="T336" s="28">
        <f t="shared" si="285"/>
        <v>6314</v>
      </c>
      <c r="U336" s="26">
        <f t="shared" si="325"/>
        <v>683</v>
      </c>
      <c r="V336" s="28">
        <f t="shared" si="326"/>
        <v>40</v>
      </c>
      <c r="W336" s="14">
        <f t="shared" si="282"/>
        <v>32</v>
      </c>
      <c r="X336" s="39">
        <f t="shared" si="283"/>
        <v>182.13333333333333</v>
      </c>
      <c r="Y336" s="15">
        <v>1</v>
      </c>
    </row>
    <row r="337" spans="20:25" x14ac:dyDescent="0.15">
      <c r="T337" s="28">
        <f t="shared" si="285"/>
        <v>6315</v>
      </c>
      <c r="U337" s="26">
        <f t="shared" si="325"/>
        <v>751</v>
      </c>
      <c r="V337" s="28">
        <f t="shared" si="326"/>
        <v>40</v>
      </c>
      <c r="W337" s="14">
        <f t="shared" si="282"/>
        <v>34</v>
      </c>
      <c r="X337" s="39">
        <f t="shared" si="283"/>
        <v>200.26666666666668</v>
      </c>
      <c r="Y337" s="15">
        <v>1</v>
      </c>
    </row>
    <row r="338" spans="20:25" x14ac:dyDescent="0.15">
      <c r="T338" s="28">
        <f t="shared" si="285"/>
        <v>6316</v>
      </c>
      <c r="U338" s="26">
        <f t="shared" si="325"/>
        <v>826</v>
      </c>
      <c r="V338" s="28">
        <f t="shared" si="326"/>
        <v>40</v>
      </c>
      <c r="W338" s="14">
        <f t="shared" si="282"/>
        <v>38</v>
      </c>
      <c r="X338" s="39">
        <f t="shared" si="283"/>
        <v>220.26666666666665</v>
      </c>
      <c r="Y338" s="15">
        <v>1</v>
      </c>
    </row>
    <row r="339" spans="20:25" x14ac:dyDescent="0.15">
      <c r="T339" s="28">
        <f t="shared" si="285"/>
        <v>6317</v>
      </c>
      <c r="U339" s="26">
        <f t="shared" si="325"/>
        <v>908</v>
      </c>
      <c r="V339" s="28">
        <f t="shared" si="326"/>
        <v>40</v>
      </c>
      <c r="W339" s="14">
        <f t="shared" si="282"/>
        <v>42</v>
      </c>
      <c r="X339" s="39">
        <f t="shared" si="283"/>
        <v>242.13333333333335</v>
      </c>
      <c r="Y339" s="15">
        <v>1</v>
      </c>
    </row>
    <row r="340" spans="20:25" x14ac:dyDescent="0.15">
      <c r="T340" s="28">
        <f t="shared" si="285"/>
        <v>6318</v>
      </c>
      <c r="U340" s="26">
        <f t="shared" si="325"/>
        <v>998</v>
      </c>
      <c r="V340" s="28">
        <f t="shared" si="326"/>
        <v>40</v>
      </c>
      <c r="W340" s="14">
        <f t="shared" si="282"/>
        <v>46</v>
      </c>
      <c r="X340" s="39">
        <f t="shared" si="283"/>
        <v>266.13333333333333</v>
      </c>
      <c r="Y340" s="15">
        <v>1</v>
      </c>
    </row>
    <row r="341" spans="20:25" x14ac:dyDescent="0.15">
      <c r="T341" s="28">
        <f t="shared" si="285"/>
        <v>6319</v>
      </c>
      <c r="U341" s="26">
        <f t="shared" si="325"/>
        <v>1097</v>
      </c>
      <c r="V341" s="28">
        <f t="shared" si="326"/>
        <v>40</v>
      </c>
      <c r="W341" s="14">
        <f t="shared" si="282"/>
        <v>50</v>
      </c>
      <c r="X341" s="39">
        <f t="shared" si="283"/>
        <v>292.53333333333336</v>
      </c>
      <c r="Y341" s="15">
        <v>1</v>
      </c>
    </row>
    <row r="342" spans="20:25" x14ac:dyDescent="0.15">
      <c r="T342" s="28">
        <f t="shared" si="285"/>
        <v>6320</v>
      </c>
      <c r="U342" s="26">
        <f t="shared" si="325"/>
        <v>1206</v>
      </c>
      <c r="V342" s="28">
        <f t="shared" si="326"/>
        <v>40</v>
      </c>
      <c r="W342" s="14">
        <f t="shared" si="282"/>
        <v>56</v>
      </c>
      <c r="X342" s="39">
        <f t="shared" si="283"/>
        <v>321.60000000000002</v>
      </c>
      <c r="Y342" s="15">
        <v>1</v>
      </c>
    </row>
    <row r="343" spans="20:25" x14ac:dyDescent="0.15">
      <c r="T343" s="28">
        <f t="shared" si="285"/>
        <v>6321</v>
      </c>
      <c r="U343" s="26">
        <f t="shared" si="325"/>
        <v>1326</v>
      </c>
      <c r="V343" s="28">
        <f t="shared" si="326"/>
        <v>40</v>
      </c>
      <c r="W343" s="14">
        <f t="shared" si="282"/>
        <v>62</v>
      </c>
      <c r="X343" s="39">
        <f t="shared" si="283"/>
        <v>353.6</v>
      </c>
      <c r="Y343" s="15">
        <v>1</v>
      </c>
    </row>
    <row r="344" spans="20:25" x14ac:dyDescent="0.15">
      <c r="T344" s="28">
        <f t="shared" si="285"/>
        <v>6322</v>
      </c>
      <c r="U344" s="26">
        <f t="shared" si="325"/>
        <v>1458</v>
      </c>
      <c r="V344" s="28">
        <f t="shared" si="326"/>
        <v>40</v>
      </c>
      <c r="W344" s="14">
        <f t="shared" ref="W344:W407" si="327">_xlfn.FLOOR.MATH(V344*U344/15/10/RIGHT(T344,3)^0.3,2)</f>
        <v>68</v>
      </c>
      <c r="X344" s="39">
        <f t="shared" ref="X344:X407" si="328">U344*V344/15/10</f>
        <v>388.8</v>
      </c>
      <c r="Y344" s="15">
        <v>1</v>
      </c>
    </row>
    <row r="345" spans="20:25" x14ac:dyDescent="0.15">
      <c r="T345" s="28">
        <f t="shared" ref="T345:T408" si="329">T344+1</f>
        <v>6323</v>
      </c>
      <c r="U345" s="26">
        <f t="shared" si="325"/>
        <v>1603</v>
      </c>
      <c r="V345" s="28">
        <f t="shared" si="326"/>
        <v>40</v>
      </c>
      <c r="W345" s="14">
        <f t="shared" si="327"/>
        <v>74</v>
      </c>
      <c r="X345" s="39">
        <f t="shared" si="328"/>
        <v>427.4666666666667</v>
      </c>
      <c r="Y345" s="15">
        <v>1</v>
      </c>
    </row>
    <row r="346" spans="20:25" x14ac:dyDescent="0.15">
      <c r="T346" s="28">
        <f t="shared" si="329"/>
        <v>6324</v>
      </c>
      <c r="U346" s="26">
        <f t="shared" si="325"/>
        <v>1763</v>
      </c>
      <c r="V346" s="28">
        <f t="shared" si="326"/>
        <v>40</v>
      </c>
      <c r="W346" s="14">
        <f t="shared" si="327"/>
        <v>82</v>
      </c>
      <c r="X346" s="39">
        <f t="shared" si="328"/>
        <v>470.13333333333333</v>
      </c>
      <c r="Y346" s="15">
        <v>1</v>
      </c>
    </row>
    <row r="347" spans="20:25" x14ac:dyDescent="0.15">
      <c r="T347" s="28">
        <f t="shared" si="329"/>
        <v>6325</v>
      </c>
      <c r="U347" s="26">
        <f t="shared" si="325"/>
        <v>1939</v>
      </c>
      <c r="V347" s="28">
        <f t="shared" si="326"/>
        <v>40</v>
      </c>
      <c r="W347" s="14">
        <f t="shared" si="327"/>
        <v>90</v>
      </c>
      <c r="X347" s="39">
        <f t="shared" si="328"/>
        <v>517.06666666666672</v>
      </c>
      <c r="Y347" s="15">
        <v>1</v>
      </c>
    </row>
    <row r="348" spans="20:25" x14ac:dyDescent="0.15">
      <c r="T348" s="28">
        <f t="shared" si="329"/>
        <v>6326</v>
      </c>
      <c r="U348" s="26">
        <f t="shared" si="325"/>
        <v>2132</v>
      </c>
      <c r="V348" s="28">
        <f t="shared" si="326"/>
        <v>40</v>
      </c>
      <c r="W348" s="14">
        <f t="shared" si="327"/>
        <v>100</v>
      </c>
      <c r="X348" s="39">
        <f t="shared" si="328"/>
        <v>568.5333333333333</v>
      </c>
      <c r="Y348" s="15">
        <v>1</v>
      </c>
    </row>
    <row r="349" spans="20:25" x14ac:dyDescent="0.15">
      <c r="T349" s="28">
        <f t="shared" si="329"/>
        <v>6327</v>
      </c>
      <c r="U349" s="26">
        <f t="shared" si="325"/>
        <v>2345</v>
      </c>
      <c r="V349" s="28">
        <f t="shared" si="326"/>
        <v>40</v>
      </c>
      <c r="W349" s="14">
        <f t="shared" si="327"/>
        <v>110</v>
      </c>
      <c r="X349" s="39">
        <f t="shared" si="328"/>
        <v>625.33333333333326</v>
      </c>
      <c r="Y349" s="15">
        <v>1</v>
      </c>
    </row>
    <row r="350" spans="20:25" x14ac:dyDescent="0.15">
      <c r="T350" s="28">
        <f t="shared" si="329"/>
        <v>6328</v>
      </c>
      <c r="U350" s="26">
        <f t="shared" si="325"/>
        <v>2579</v>
      </c>
      <c r="V350" s="28">
        <f t="shared" si="326"/>
        <v>40</v>
      </c>
      <c r="W350" s="14">
        <f t="shared" si="327"/>
        <v>120</v>
      </c>
      <c r="X350" s="39">
        <f t="shared" si="328"/>
        <v>687.73333333333335</v>
      </c>
      <c r="Y350" s="15">
        <v>1</v>
      </c>
    </row>
    <row r="351" spans="20:25" x14ac:dyDescent="0.15">
      <c r="T351" s="28">
        <f t="shared" si="329"/>
        <v>6329</v>
      </c>
      <c r="U351" s="26">
        <f t="shared" si="325"/>
        <v>2836</v>
      </c>
      <c r="V351" s="28">
        <f t="shared" si="326"/>
        <v>40</v>
      </c>
      <c r="W351" s="14">
        <f t="shared" si="327"/>
        <v>132</v>
      </c>
      <c r="X351" s="39">
        <f t="shared" si="328"/>
        <v>756.26666666666665</v>
      </c>
      <c r="Y351" s="15">
        <v>1</v>
      </c>
    </row>
    <row r="352" spans="20:25" x14ac:dyDescent="0.15">
      <c r="T352" s="28">
        <f t="shared" si="329"/>
        <v>6330</v>
      </c>
      <c r="U352" s="26">
        <f t="shared" si="325"/>
        <v>3119</v>
      </c>
      <c r="V352" s="28">
        <f t="shared" si="326"/>
        <v>40</v>
      </c>
      <c r="W352" s="14">
        <f t="shared" si="327"/>
        <v>146</v>
      </c>
      <c r="X352" s="39">
        <f t="shared" si="328"/>
        <v>831.73333333333335</v>
      </c>
      <c r="Y352" s="15">
        <v>1</v>
      </c>
    </row>
    <row r="353" spans="20:25" x14ac:dyDescent="0.15">
      <c r="T353" s="28">
        <f t="shared" si="329"/>
        <v>6331</v>
      </c>
      <c r="U353" s="26">
        <f t="shared" si="325"/>
        <v>3430</v>
      </c>
      <c r="V353" s="28">
        <f t="shared" si="326"/>
        <v>40</v>
      </c>
      <c r="W353" s="14">
        <f t="shared" si="327"/>
        <v>160</v>
      </c>
      <c r="X353" s="39">
        <f t="shared" si="328"/>
        <v>914.66666666666663</v>
      </c>
      <c r="Y353" s="15">
        <v>1</v>
      </c>
    </row>
    <row r="354" spans="20:25" x14ac:dyDescent="0.15">
      <c r="T354" s="28">
        <f t="shared" si="329"/>
        <v>6332</v>
      </c>
      <c r="U354" s="26">
        <f t="shared" si="325"/>
        <v>3773</v>
      </c>
      <c r="V354" s="28">
        <f t="shared" si="326"/>
        <v>40</v>
      </c>
      <c r="W354" s="14">
        <f t="shared" si="327"/>
        <v>176</v>
      </c>
      <c r="X354" s="39">
        <f t="shared" si="328"/>
        <v>1006.1333333333334</v>
      </c>
      <c r="Y354" s="15">
        <v>1</v>
      </c>
    </row>
    <row r="355" spans="20:25" x14ac:dyDescent="0.15">
      <c r="T355" s="28">
        <f t="shared" si="329"/>
        <v>6333</v>
      </c>
      <c r="U355" s="26">
        <f t="shared" si="325"/>
        <v>4150</v>
      </c>
      <c r="V355" s="28">
        <f t="shared" si="326"/>
        <v>40</v>
      </c>
      <c r="W355" s="14">
        <f t="shared" si="327"/>
        <v>192</v>
      </c>
      <c r="X355" s="39">
        <f t="shared" si="328"/>
        <v>1106.6666666666665</v>
      </c>
      <c r="Y355" s="15">
        <v>1</v>
      </c>
    </row>
    <row r="356" spans="20:25" x14ac:dyDescent="0.15">
      <c r="T356" s="28">
        <f t="shared" si="329"/>
        <v>6334</v>
      </c>
      <c r="U356" s="26">
        <f t="shared" si="325"/>
        <v>4565</v>
      </c>
      <c r="V356" s="28">
        <f t="shared" si="326"/>
        <v>40</v>
      </c>
      <c r="W356" s="14">
        <f t="shared" si="327"/>
        <v>212</v>
      </c>
      <c r="X356" s="39">
        <f t="shared" si="328"/>
        <v>1217.3333333333335</v>
      </c>
      <c r="Y356" s="15">
        <v>1</v>
      </c>
    </row>
    <row r="357" spans="20:25" x14ac:dyDescent="0.15">
      <c r="T357" s="28">
        <f t="shared" si="329"/>
        <v>6335</v>
      </c>
      <c r="U357" s="26">
        <f t="shared" si="325"/>
        <v>5021</v>
      </c>
      <c r="V357" s="28">
        <f t="shared" si="326"/>
        <v>40</v>
      </c>
      <c r="W357" s="14">
        <f t="shared" si="327"/>
        <v>234</v>
      </c>
      <c r="X357" s="39">
        <f t="shared" si="328"/>
        <v>1338.9333333333334</v>
      </c>
      <c r="Y357" s="15">
        <v>1</v>
      </c>
    </row>
    <row r="358" spans="20:25" x14ac:dyDescent="0.15">
      <c r="T358" s="28">
        <f t="shared" si="329"/>
        <v>6336</v>
      </c>
      <c r="U358" s="26">
        <f t="shared" si="325"/>
        <v>5523</v>
      </c>
      <c r="V358" s="28">
        <f t="shared" si="326"/>
        <v>40</v>
      </c>
      <c r="W358" s="14">
        <f t="shared" si="327"/>
        <v>256</v>
      </c>
      <c r="X358" s="39">
        <f t="shared" si="328"/>
        <v>1472.8</v>
      </c>
      <c r="Y358" s="15">
        <v>1</v>
      </c>
    </row>
    <row r="359" spans="20:25" x14ac:dyDescent="0.15">
      <c r="T359" s="28">
        <f t="shared" si="329"/>
        <v>6337</v>
      </c>
      <c r="U359" s="26">
        <f t="shared" si="325"/>
        <v>6075</v>
      </c>
      <c r="V359" s="28">
        <f t="shared" si="326"/>
        <v>40</v>
      </c>
      <c r="W359" s="14">
        <f t="shared" si="327"/>
        <v>282</v>
      </c>
      <c r="X359" s="39">
        <f t="shared" si="328"/>
        <v>1620</v>
      </c>
      <c r="Y359" s="15">
        <v>1</v>
      </c>
    </row>
    <row r="360" spans="20:25" x14ac:dyDescent="0.15">
      <c r="T360" s="28">
        <f t="shared" si="329"/>
        <v>6338</v>
      </c>
      <c r="U360" s="26">
        <f t="shared" si="325"/>
        <v>6682</v>
      </c>
      <c r="V360" s="28">
        <f t="shared" si="326"/>
        <v>40</v>
      </c>
      <c r="W360" s="14">
        <f t="shared" si="327"/>
        <v>310</v>
      </c>
      <c r="X360" s="39">
        <f t="shared" si="328"/>
        <v>1781.8666666666668</v>
      </c>
      <c r="Y360" s="15">
        <v>1</v>
      </c>
    </row>
    <row r="361" spans="20:25" x14ac:dyDescent="0.15">
      <c r="T361" s="28">
        <f t="shared" si="329"/>
        <v>6339</v>
      </c>
      <c r="U361" s="26">
        <f t="shared" si="325"/>
        <v>7350</v>
      </c>
      <c r="V361" s="28">
        <f t="shared" si="326"/>
        <v>40</v>
      </c>
      <c r="W361" s="14">
        <f t="shared" si="327"/>
        <v>340</v>
      </c>
      <c r="X361" s="39">
        <f t="shared" si="328"/>
        <v>1960</v>
      </c>
      <c r="Y361" s="15">
        <v>1</v>
      </c>
    </row>
    <row r="362" spans="20:25" x14ac:dyDescent="0.15">
      <c r="T362" s="28">
        <f t="shared" si="329"/>
        <v>6340</v>
      </c>
      <c r="U362" s="26">
        <f t="shared" si="325"/>
        <v>8085</v>
      </c>
      <c r="V362" s="28">
        <f t="shared" si="326"/>
        <v>40</v>
      </c>
      <c r="W362" s="14">
        <f t="shared" si="327"/>
        <v>374</v>
      </c>
      <c r="X362" s="39">
        <f t="shared" si="328"/>
        <v>2156</v>
      </c>
      <c r="Y362" s="15">
        <v>1</v>
      </c>
    </row>
    <row r="363" spans="20:25" x14ac:dyDescent="0.15">
      <c r="T363" s="28">
        <f t="shared" si="329"/>
        <v>6341</v>
      </c>
      <c r="U363" s="26">
        <f t="shared" si="325"/>
        <v>8893</v>
      </c>
      <c r="V363" s="28">
        <f t="shared" si="326"/>
        <v>40</v>
      </c>
      <c r="W363" s="14">
        <f t="shared" si="327"/>
        <v>412</v>
      </c>
      <c r="X363" s="39">
        <f t="shared" si="328"/>
        <v>2371.4666666666667</v>
      </c>
      <c r="Y363" s="15">
        <v>1</v>
      </c>
    </row>
    <row r="364" spans="20:25" x14ac:dyDescent="0.15">
      <c r="T364" s="28">
        <f t="shared" si="329"/>
        <v>6342</v>
      </c>
      <c r="U364" s="26">
        <f t="shared" si="325"/>
        <v>9782</v>
      </c>
      <c r="V364" s="28">
        <f t="shared" si="326"/>
        <v>40</v>
      </c>
      <c r="W364" s="14">
        <f t="shared" si="327"/>
        <v>452</v>
      </c>
      <c r="X364" s="39">
        <f t="shared" si="328"/>
        <v>2608.5333333333333</v>
      </c>
      <c r="Y364" s="15">
        <v>1</v>
      </c>
    </row>
    <row r="365" spans="20:25" x14ac:dyDescent="0.15">
      <c r="T365" s="28">
        <f t="shared" si="329"/>
        <v>6343</v>
      </c>
      <c r="U365" s="26">
        <f t="shared" si="325"/>
        <v>10760</v>
      </c>
      <c r="V365" s="28">
        <f t="shared" si="326"/>
        <v>40</v>
      </c>
      <c r="W365" s="14">
        <f t="shared" si="327"/>
        <v>496</v>
      </c>
      <c r="X365" s="39">
        <f t="shared" si="328"/>
        <v>2869.333333333333</v>
      </c>
      <c r="Y365" s="15">
        <v>1</v>
      </c>
    </row>
    <row r="366" spans="20:25" x14ac:dyDescent="0.15">
      <c r="T366" s="28">
        <f t="shared" si="329"/>
        <v>6344</v>
      </c>
      <c r="U366" s="26">
        <f t="shared" si="325"/>
        <v>11836</v>
      </c>
      <c r="V366" s="28">
        <f t="shared" si="326"/>
        <v>40</v>
      </c>
      <c r="W366" s="14">
        <f t="shared" si="327"/>
        <v>546</v>
      </c>
      <c r="X366" s="39">
        <f t="shared" si="328"/>
        <v>3156.2666666666669</v>
      </c>
      <c r="Y366" s="15">
        <v>1</v>
      </c>
    </row>
    <row r="367" spans="20:25" x14ac:dyDescent="0.15">
      <c r="T367" s="28">
        <f t="shared" si="329"/>
        <v>6345</v>
      </c>
      <c r="U367" s="26">
        <f t="shared" si="325"/>
        <v>13019</v>
      </c>
      <c r="V367" s="28">
        <f t="shared" si="326"/>
        <v>40</v>
      </c>
      <c r="W367" s="14">
        <f t="shared" si="327"/>
        <v>600</v>
      </c>
      <c r="X367" s="39">
        <f t="shared" si="328"/>
        <v>3471.7333333333336</v>
      </c>
      <c r="Y367" s="15">
        <v>1</v>
      </c>
    </row>
    <row r="368" spans="20:25" x14ac:dyDescent="0.15">
      <c r="T368" s="28">
        <f t="shared" si="329"/>
        <v>6346</v>
      </c>
      <c r="U368" s="26">
        <f t="shared" si="325"/>
        <v>14320</v>
      </c>
      <c r="V368" s="28">
        <f t="shared" si="326"/>
        <v>40</v>
      </c>
      <c r="W368" s="14">
        <f t="shared" si="327"/>
        <v>660</v>
      </c>
      <c r="X368" s="39">
        <f t="shared" si="328"/>
        <v>3818.6666666666665</v>
      </c>
      <c r="Y368" s="15">
        <v>1</v>
      </c>
    </row>
    <row r="369" spans="20:25" x14ac:dyDescent="0.15">
      <c r="T369" s="28">
        <f t="shared" si="329"/>
        <v>6347</v>
      </c>
      <c r="U369" s="26">
        <f t="shared" si="325"/>
        <v>15752</v>
      </c>
      <c r="V369" s="28">
        <f t="shared" si="326"/>
        <v>40</v>
      </c>
      <c r="W369" s="14">
        <f t="shared" si="327"/>
        <v>726</v>
      </c>
      <c r="X369" s="39">
        <f t="shared" si="328"/>
        <v>4200.5333333333338</v>
      </c>
      <c r="Y369" s="15">
        <v>1</v>
      </c>
    </row>
    <row r="370" spans="20:25" x14ac:dyDescent="0.15">
      <c r="T370" s="28">
        <f t="shared" si="329"/>
        <v>6348</v>
      </c>
      <c r="U370" s="26">
        <f t="shared" si="325"/>
        <v>17327</v>
      </c>
      <c r="V370" s="28">
        <f t="shared" si="326"/>
        <v>40</v>
      </c>
      <c r="W370" s="14">
        <f t="shared" si="327"/>
        <v>798</v>
      </c>
      <c r="X370" s="39">
        <f t="shared" si="328"/>
        <v>4620.5333333333338</v>
      </c>
      <c r="Y370" s="15">
        <v>1</v>
      </c>
    </row>
    <row r="371" spans="20:25" x14ac:dyDescent="0.15">
      <c r="T371" s="28">
        <f t="shared" si="329"/>
        <v>6349</v>
      </c>
      <c r="U371" s="26">
        <f t="shared" si="325"/>
        <v>19059</v>
      </c>
      <c r="V371" s="28">
        <f t="shared" si="326"/>
        <v>40</v>
      </c>
      <c r="W371" s="14">
        <f t="shared" si="327"/>
        <v>876</v>
      </c>
      <c r="X371" s="39">
        <f t="shared" si="328"/>
        <v>5082.3999999999996</v>
      </c>
      <c r="Y371" s="15">
        <v>1</v>
      </c>
    </row>
    <row r="372" spans="20:25" x14ac:dyDescent="0.15">
      <c r="T372" s="28">
        <f t="shared" si="329"/>
        <v>6350</v>
      </c>
      <c r="U372" s="26">
        <f t="shared" si="325"/>
        <v>20964</v>
      </c>
      <c r="V372" s="28">
        <f t="shared" si="326"/>
        <v>40</v>
      </c>
      <c r="W372" s="14">
        <f t="shared" si="327"/>
        <v>964</v>
      </c>
      <c r="X372" s="39">
        <f t="shared" si="328"/>
        <v>5590.4</v>
      </c>
      <c r="Y372" s="15">
        <v>1</v>
      </c>
    </row>
    <row r="373" spans="20:25" x14ac:dyDescent="0.15">
      <c r="T373" s="28">
        <f t="shared" si="329"/>
        <v>6351</v>
      </c>
      <c r="U373" s="26">
        <f t="shared" si="325"/>
        <v>23060</v>
      </c>
      <c r="V373" s="28">
        <f t="shared" si="326"/>
        <v>40</v>
      </c>
      <c r="W373" s="14">
        <f t="shared" si="327"/>
        <v>1058</v>
      </c>
      <c r="X373" s="39">
        <f t="shared" si="328"/>
        <v>6149.3333333333339</v>
      </c>
      <c r="Y373" s="15">
        <v>1</v>
      </c>
    </row>
    <row r="374" spans="20:25" x14ac:dyDescent="0.15">
      <c r="T374" s="28">
        <f t="shared" si="329"/>
        <v>6352</v>
      </c>
      <c r="U374" s="26">
        <f t="shared" si="325"/>
        <v>25366</v>
      </c>
      <c r="V374" s="28">
        <f t="shared" si="326"/>
        <v>40</v>
      </c>
      <c r="W374" s="14">
        <f t="shared" si="327"/>
        <v>1164</v>
      </c>
      <c r="X374" s="39">
        <f t="shared" si="328"/>
        <v>6764.2666666666673</v>
      </c>
      <c r="Y374" s="15">
        <v>1</v>
      </c>
    </row>
    <row r="375" spans="20:25" x14ac:dyDescent="0.15">
      <c r="T375" s="28">
        <f t="shared" si="329"/>
        <v>6353</v>
      </c>
      <c r="U375" s="26">
        <f t="shared" si="325"/>
        <v>27902</v>
      </c>
      <c r="V375" s="28">
        <f t="shared" si="326"/>
        <v>40</v>
      </c>
      <c r="W375" s="14">
        <f t="shared" si="327"/>
        <v>1280</v>
      </c>
      <c r="X375" s="39">
        <f t="shared" si="328"/>
        <v>7440.5333333333328</v>
      </c>
      <c r="Y375" s="15">
        <v>1</v>
      </c>
    </row>
    <row r="376" spans="20:25" x14ac:dyDescent="0.15">
      <c r="T376" s="28">
        <f t="shared" si="329"/>
        <v>6354</v>
      </c>
      <c r="U376" s="26">
        <f t="shared" si="325"/>
        <v>30692</v>
      </c>
      <c r="V376" s="28">
        <f t="shared" si="326"/>
        <v>40</v>
      </c>
      <c r="W376" s="14">
        <f t="shared" si="327"/>
        <v>1406</v>
      </c>
      <c r="X376" s="39">
        <f t="shared" si="328"/>
        <v>8184.5333333333328</v>
      </c>
      <c r="Y376" s="15">
        <v>1</v>
      </c>
    </row>
    <row r="377" spans="20:25" x14ac:dyDescent="0.15">
      <c r="T377" s="28">
        <f t="shared" si="329"/>
        <v>6355</v>
      </c>
      <c r="U377" s="26">
        <f t="shared" si="325"/>
        <v>33761</v>
      </c>
      <c r="V377" s="28">
        <f t="shared" si="326"/>
        <v>40</v>
      </c>
      <c r="W377" s="14">
        <f t="shared" si="327"/>
        <v>1546</v>
      </c>
      <c r="X377" s="39">
        <f t="shared" si="328"/>
        <v>9002.9333333333325</v>
      </c>
      <c r="Y377" s="15">
        <v>1</v>
      </c>
    </row>
    <row r="378" spans="20:25" x14ac:dyDescent="0.15">
      <c r="T378" s="28">
        <f t="shared" si="329"/>
        <v>6356</v>
      </c>
      <c r="U378" s="26">
        <f t="shared" si="325"/>
        <v>37137</v>
      </c>
      <c r="V378" s="28">
        <f t="shared" si="326"/>
        <v>40</v>
      </c>
      <c r="W378" s="14">
        <f t="shared" si="327"/>
        <v>1698</v>
      </c>
      <c r="X378" s="39">
        <f t="shared" si="328"/>
        <v>9903.2000000000007</v>
      </c>
      <c r="Y378" s="15">
        <v>1</v>
      </c>
    </row>
    <row r="379" spans="20:25" x14ac:dyDescent="0.15">
      <c r="T379" s="28">
        <f t="shared" si="329"/>
        <v>6357</v>
      </c>
      <c r="U379" s="26">
        <f t="shared" si="325"/>
        <v>40850</v>
      </c>
      <c r="V379" s="28">
        <f t="shared" si="326"/>
        <v>40</v>
      </c>
      <c r="W379" s="14">
        <f t="shared" si="327"/>
        <v>1866</v>
      </c>
      <c r="X379" s="39">
        <f t="shared" si="328"/>
        <v>10893.333333333332</v>
      </c>
      <c r="Y379" s="15">
        <v>1</v>
      </c>
    </row>
    <row r="380" spans="20:25" x14ac:dyDescent="0.15">
      <c r="T380" s="28">
        <f t="shared" si="329"/>
        <v>6358</v>
      </c>
      <c r="U380" s="26">
        <f t="shared" si="325"/>
        <v>44935</v>
      </c>
      <c r="V380" s="28">
        <f t="shared" si="326"/>
        <v>40</v>
      </c>
      <c r="W380" s="14">
        <f t="shared" si="327"/>
        <v>2052</v>
      </c>
      <c r="X380" s="39">
        <f t="shared" si="328"/>
        <v>11982.666666666668</v>
      </c>
      <c r="Y380" s="15">
        <v>1</v>
      </c>
    </row>
    <row r="381" spans="20:25" x14ac:dyDescent="0.15">
      <c r="T381" s="28">
        <f t="shared" si="329"/>
        <v>6359</v>
      </c>
      <c r="U381" s="26">
        <f t="shared" si="325"/>
        <v>49428</v>
      </c>
      <c r="V381" s="28">
        <f t="shared" si="326"/>
        <v>40</v>
      </c>
      <c r="W381" s="14">
        <f t="shared" si="327"/>
        <v>2256</v>
      </c>
      <c r="X381" s="39">
        <f t="shared" si="328"/>
        <v>13180.8</v>
      </c>
      <c r="Y381" s="15">
        <v>1</v>
      </c>
    </row>
    <row r="382" spans="20:25" x14ac:dyDescent="0.15">
      <c r="T382" s="28">
        <f t="shared" si="329"/>
        <v>6360</v>
      </c>
      <c r="U382" s="26">
        <f t="shared" si="325"/>
        <v>54370</v>
      </c>
      <c r="V382" s="28">
        <f t="shared" si="326"/>
        <v>40</v>
      </c>
      <c r="W382" s="14">
        <f t="shared" si="327"/>
        <v>2478</v>
      </c>
      <c r="X382" s="39">
        <f t="shared" si="328"/>
        <v>14498.666666666666</v>
      </c>
      <c r="Y382" s="15">
        <v>1</v>
      </c>
    </row>
    <row r="383" spans="20:25" x14ac:dyDescent="0.15">
      <c r="T383" s="28">
        <f t="shared" si="329"/>
        <v>6361</v>
      </c>
      <c r="U383" s="26">
        <f t="shared" si="325"/>
        <v>59807</v>
      </c>
      <c r="V383" s="28">
        <f t="shared" si="326"/>
        <v>40</v>
      </c>
      <c r="W383" s="14">
        <f t="shared" si="327"/>
        <v>2724</v>
      </c>
      <c r="X383" s="39">
        <f t="shared" si="328"/>
        <v>15948.533333333335</v>
      </c>
      <c r="Y383" s="15">
        <v>1</v>
      </c>
    </row>
    <row r="384" spans="20:25" x14ac:dyDescent="0.15">
      <c r="T384" s="28">
        <f t="shared" si="329"/>
        <v>6362</v>
      </c>
      <c r="U384" s="26">
        <f t="shared" si="325"/>
        <v>65787</v>
      </c>
      <c r="V384" s="28">
        <f t="shared" si="326"/>
        <v>40</v>
      </c>
      <c r="W384" s="14">
        <f t="shared" si="327"/>
        <v>2994</v>
      </c>
      <c r="X384" s="39">
        <f t="shared" si="328"/>
        <v>17543.2</v>
      </c>
      <c r="Y384" s="15">
        <v>1</v>
      </c>
    </row>
    <row r="385" spans="20:25" x14ac:dyDescent="0.15">
      <c r="T385" s="28">
        <f t="shared" si="329"/>
        <v>6363</v>
      </c>
      <c r="U385" s="26">
        <f t="shared" si="325"/>
        <v>72365</v>
      </c>
      <c r="V385" s="28">
        <f t="shared" si="326"/>
        <v>40</v>
      </c>
      <c r="W385" s="14">
        <f t="shared" si="327"/>
        <v>3292</v>
      </c>
      <c r="X385" s="39">
        <f t="shared" si="328"/>
        <v>19297.333333333336</v>
      </c>
      <c r="Y385" s="15">
        <v>1</v>
      </c>
    </row>
    <row r="386" spans="20:25" x14ac:dyDescent="0.15">
      <c r="T386" s="28">
        <f t="shared" si="329"/>
        <v>6364</v>
      </c>
      <c r="U386" s="26">
        <f t="shared" si="325"/>
        <v>79601</v>
      </c>
      <c r="V386" s="28">
        <f t="shared" si="326"/>
        <v>40</v>
      </c>
      <c r="W386" s="14">
        <f t="shared" si="327"/>
        <v>3618</v>
      </c>
      <c r="X386" s="39">
        <f t="shared" si="328"/>
        <v>21226.933333333334</v>
      </c>
      <c r="Y386" s="15">
        <v>1</v>
      </c>
    </row>
    <row r="387" spans="20:25" x14ac:dyDescent="0.15">
      <c r="T387" s="28">
        <f t="shared" si="329"/>
        <v>6365</v>
      </c>
      <c r="U387" s="26">
        <f t="shared" si="325"/>
        <v>87561</v>
      </c>
      <c r="V387" s="28">
        <f t="shared" si="326"/>
        <v>40</v>
      </c>
      <c r="W387" s="14">
        <f t="shared" si="327"/>
        <v>3976</v>
      </c>
      <c r="X387" s="39">
        <f t="shared" si="328"/>
        <v>23349.599999999999</v>
      </c>
      <c r="Y387" s="15">
        <v>1</v>
      </c>
    </row>
    <row r="388" spans="20:25" x14ac:dyDescent="0.15">
      <c r="T388" s="28">
        <f t="shared" si="329"/>
        <v>6366</v>
      </c>
      <c r="U388" s="26">
        <f t="shared" ref="U388:U422" si="330">INT(U387*$U$18)</f>
        <v>96317</v>
      </c>
      <c r="V388" s="28">
        <f t="shared" ref="V388:V422" si="331">V387</f>
        <v>40</v>
      </c>
      <c r="W388" s="14">
        <f t="shared" si="327"/>
        <v>4370</v>
      </c>
      <c r="X388" s="39">
        <f t="shared" si="328"/>
        <v>25684.533333333333</v>
      </c>
      <c r="Y388" s="15">
        <v>1</v>
      </c>
    </row>
    <row r="389" spans="20:25" x14ac:dyDescent="0.15">
      <c r="T389" s="28">
        <f t="shared" si="329"/>
        <v>6367</v>
      </c>
      <c r="U389" s="26">
        <f t="shared" si="330"/>
        <v>105948</v>
      </c>
      <c r="V389" s="28">
        <f t="shared" si="331"/>
        <v>40</v>
      </c>
      <c r="W389" s="14">
        <f t="shared" si="327"/>
        <v>4804</v>
      </c>
      <c r="X389" s="39">
        <f t="shared" si="328"/>
        <v>28252.799999999999</v>
      </c>
      <c r="Y389" s="15">
        <v>1</v>
      </c>
    </row>
    <row r="390" spans="20:25" x14ac:dyDescent="0.15">
      <c r="T390" s="28">
        <f t="shared" si="329"/>
        <v>6368</v>
      </c>
      <c r="U390" s="26">
        <f t="shared" si="330"/>
        <v>116542</v>
      </c>
      <c r="V390" s="28">
        <f t="shared" si="331"/>
        <v>40</v>
      </c>
      <c r="W390" s="14">
        <f t="shared" si="327"/>
        <v>5280</v>
      </c>
      <c r="X390" s="39">
        <f t="shared" si="328"/>
        <v>31077.866666666669</v>
      </c>
      <c r="Y390" s="15">
        <v>1</v>
      </c>
    </row>
    <row r="391" spans="20:25" x14ac:dyDescent="0.15">
      <c r="T391" s="28">
        <f t="shared" si="329"/>
        <v>6369</v>
      </c>
      <c r="U391" s="26">
        <f t="shared" si="330"/>
        <v>128196</v>
      </c>
      <c r="V391" s="28">
        <f t="shared" si="331"/>
        <v>40</v>
      </c>
      <c r="W391" s="14">
        <f t="shared" si="327"/>
        <v>5804</v>
      </c>
      <c r="X391" s="39">
        <f t="shared" si="328"/>
        <v>34185.599999999999</v>
      </c>
      <c r="Y391" s="15">
        <v>1</v>
      </c>
    </row>
    <row r="392" spans="20:25" x14ac:dyDescent="0.15">
      <c r="T392" s="28">
        <f t="shared" si="329"/>
        <v>6370</v>
      </c>
      <c r="U392" s="26">
        <f t="shared" si="330"/>
        <v>141015</v>
      </c>
      <c r="V392" s="28">
        <f t="shared" si="331"/>
        <v>40</v>
      </c>
      <c r="W392" s="14">
        <f t="shared" si="327"/>
        <v>6378</v>
      </c>
      <c r="X392" s="39">
        <f t="shared" si="328"/>
        <v>37604</v>
      </c>
      <c r="Y392" s="15">
        <v>1</v>
      </c>
    </row>
    <row r="393" spans="20:25" x14ac:dyDescent="0.15">
      <c r="T393" s="28">
        <f t="shared" si="329"/>
        <v>6371</v>
      </c>
      <c r="U393" s="26">
        <f t="shared" si="330"/>
        <v>155116</v>
      </c>
      <c r="V393" s="28">
        <f t="shared" si="331"/>
        <v>40</v>
      </c>
      <c r="W393" s="14">
        <f t="shared" si="327"/>
        <v>7010</v>
      </c>
      <c r="X393" s="39">
        <f t="shared" si="328"/>
        <v>41364.26666666667</v>
      </c>
      <c r="Y393" s="15">
        <v>1</v>
      </c>
    </row>
    <row r="394" spans="20:25" x14ac:dyDescent="0.15">
      <c r="T394" s="28">
        <f t="shared" si="329"/>
        <v>6372</v>
      </c>
      <c r="U394" s="26">
        <f t="shared" si="330"/>
        <v>170627</v>
      </c>
      <c r="V394" s="28">
        <f t="shared" si="331"/>
        <v>40</v>
      </c>
      <c r="W394" s="14">
        <f t="shared" si="327"/>
        <v>7706</v>
      </c>
      <c r="X394" s="39">
        <f t="shared" si="328"/>
        <v>45500.533333333333</v>
      </c>
      <c r="Y394" s="15">
        <v>1</v>
      </c>
    </row>
    <row r="395" spans="20:25" x14ac:dyDescent="0.15">
      <c r="T395" s="28">
        <f t="shared" si="329"/>
        <v>6373</v>
      </c>
      <c r="U395" s="26">
        <f t="shared" si="330"/>
        <v>187689</v>
      </c>
      <c r="V395" s="28">
        <f t="shared" si="331"/>
        <v>40</v>
      </c>
      <c r="W395" s="14">
        <f t="shared" si="327"/>
        <v>8470</v>
      </c>
      <c r="X395" s="39">
        <f t="shared" si="328"/>
        <v>50050.400000000001</v>
      </c>
      <c r="Y395" s="15">
        <v>1</v>
      </c>
    </row>
    <row r="396" spans="20:25" x14ac:dyDescent="0.15">
      <c r="T396" s="28">
        <f t="shared" si="329"/>
        <v>6374</v>
      </c>
      <c r="U396" s="26">
        <f t="shared" si="330"/>
        <v>206457</v>
      </c>
      <c r="V396" s="28">
        <f t="shared" si="331"/>
        <v>40</v>
      </c>
      <c r="W396" s="14">
        <f t="shared" si="327"/>
        <v>9308</v>
      </c>
      <c r="X396" s="39">
        <f t="shared" si="328"/>
        <v>55055.199999999997</v>
      </c>
      <c r="Y396" s="15">
        <v>1</v>
      </c>
    </row>
    <row r="397" spans="20:25" x14ac:dyDescent="0.15">
      <c r="T397" s="28">
        <f t="shared" si="329"/>
        <v>6375</v>
      </c>
      <c r="U397" s="26">
        <f t="shared" si="330"/>
        <v>227102</v>
      </c>
      <c r="V397" s="28">
        <f t="shared" si="331"/>
        <v>40</v>
      </c>
      <c r="W397" s="14">
        <f t="shared" si="327"/>
        <v>10232</v>
      </c>
      <c r="X397" s="39">
        <f t="shared" si="328"/>
        <v>60560.53333333334</v>
      </c>
      <c r="Y397" s="15">
        <v>1</v>
      </c>
    </row>
    <row r="398" spans="20:25" x14ac:dyDescent="0.15">
      <c r="T398" s="28">
        <f t="shared" si="329"/>
        <v>6376</v>
      </c>
      <c r="U398" s="26">
        <f t="shared" si="330"/>
        <v>249812</v>
      </c>
      <c r="V398" s="28">
        <f t="shared" si="331"/>
        <v>40</v>
      </c>
      <c r="W398" s="14">
        <f t="shared" si="327"/>
        <v>11246</v>
      </c>
      <c r="X398" s="39">
        <f t="shared" si="328"/>
        <v>66616.53333333334</v>
      </c>
      <c r="Y398" s="15">
        <v>1</v>
      </c>
    </row>
    <row r="399" spans="20:25" x14ac:dyDescent="0.15">
      <c r="T399" s="28">
        <f t="shared" si="329"/>
        <v>6377</v>
      </c>
      <c r="U399" s="26">
        <f t="shared" si="330"/>
        <v>274793</v>
      </c>
      <c r="V399" s="28">
        <f t="shared" si="331"/>
        <v>40</v>
      </c>
      <c r="W399" s="14">
        <f t="shared" si="327"/>
        <v>12360</v>
      </c>
      <c r="X399" s="39">
        <f t="shared" si="328"/>
        <v>73278.133333333331</v>
      </c>
      <c r="Y399" s="15">
        <v>1</v>
      </c>
    </row>
    <row r="400" spans="20:25" x14ac:dyDescent="0.15">
      <c r="T400" s="28">
        <f t="shared" si="329"/>
        <v>6378</v>
      </c>
      <c r="U400" s="26">
        <f t="shared" si="330"/>
        <v>302272</v>
      </c>
      <c r="V400" s="28">
        <f t="shared" si="331"/>
        <v>40</v>
      </c>
      <c r="W400" s="14">
        <f t="shared" si="327"/>
        <v>13586</v>
      </c>
      <c r="X400" s="39">
        <f t="shared" si="328"/>
        <v>80605.866666666669</v>
      </c>
      <c r="Y400" s="15">
        <v>1</v>
      </c>
    </row>
    <row r="401" spans="20:25" x14ac:dyDescent="0.15">
      <c r="T401" s="28">
        <f t="shared" si="329"/>
        <v>6379</v>
      </c>
      <c r="U401" s="26">
        <f t="shared" si="330"/>
        <v>332499</v>
      </c>
      <c r="V401" s="28">
        <f t="shared" si="331"/>
        <v>40</v>
      </c>
      <c r="W401" s="14">
        <f t="shared" si="327"/>
        <v>14932</v>
      </c>
      <c r="X401" s="39">
        <f t="shared" si="328"/>
        <v>88666.4</v>
      </c>
      <c r="Y401" s="15">
        <v>1</v>
      </c>
    </row>
    <row r="402" spans="20:25" x14ac:dyDescent="0.15">
      <c r="T402" s="28">
        <f t="shared" si="329"/>
        <v>6380</v>
      </c>
      <c r="U402" s="26">
        <f t="shared" si="330"/>
        <v>365748</v>
      </c>
      <c r="V402" s="28">
        <f t="shared" si="331"/>
        <v>40</v>
      </c>
      <c r="W402" s="14">
        <f t="shared" si="327"/>
        <v>16414</v>
      </c>
      <c r="X402" s="39">
        <f t="shared" si="328"/>
        <v>97532.800000000003</v>
      </c>
      <c r="Y402" s="15">
        <v>1</v>
      </c>
    </row>
    <row r="403" spans="20:25" x14ac:dyDescent="0.15">
      <c r="T403" s="28">
        <f t="shared" si="329"/>
        <v>6381</v>
      </c>
      <c r="U403" s="26">
        <f t="shared" si="330"/>
        <v>402322</v>
      </c>
      <c r="V403" s="28">
        <f t="shared" si="331"/>
        <v>40</v>
      </c>
      <c r="W403" s="14">
        <f t="shared" si="327"/>
        <v>18040</v>
      </c>
      <c r="X403" s="39">
        <f t="shared" si="328"/>
        <v>107285.86666666667</v>
      </c>
      <c r="Y403" s="15">
        <v>1</v>
      </c>
    </row>
    <row r="404" spans="20:25" x14ac:dyDescent="0.15">
      <c r="T404" s="28">
        <f t="shared" si="329"/>
        <v>6382</v>
      </c>
      <c r="U404" s="26">
        <f t="shared" si="330"/>
        <v>442554</v>
      </c>
      <c r="V404" s="28">
        <f t="shared" si="331"/>
        <v>40</v>
      </c>
      <c r="W404" s="14">
        <f t="shared" si="327"/>
        <v>19828</v>
      </c>
      <c r="X404" s="39">
        <f t="shared" si="328"/>
        <v>118014.39999999999</v>
      </c>
      <c r="Y404" s="15">
        <v>1</v>
      </c>
    </row>
    <row r="405" spans="20:25" x14ac:dyDescent="0.15">
      <c r="T405" s="28">
        <f t="shared" si="329"/>
        <v>6383</v>
      </c>
      <c r="U405" s="26">
        <f t="shared" si="330"/>
        <v>486809</v>
      </c>
      <c r="V405" s="28">
        <f t="shared" si="331"/>
        <v>40</v>
      </c>
      <c r="W405" s="14">
        <f t="shared" si="327"/>
        <v>21794</v>
      </c>
      <c r="X405" s="39">
        <f t="shared" si="328"/>
        <v>129815.73333333332</v>
      </c>
      <c r="Y405" s="15">
        <v>1</v>
      </c>
    </row>
    <row r="406" spans="20:25" x14ac:dyDescent="0.15">
      <c r="T406" s="28">
        <f t="shared" si="329"/>
        <v>6384</v>
      </c>
      <c r="U406" s="26">
        <f t="shared" si="330"/>
        <v>535489</v>
      </c>
      <c r="V406" s="28">
        <f t="shared" si="331"/>
        <v>40</v>
      </c>
      <c r="W406" s="14">
        <f t="shared" si="327"/>
        <v>23956</v>
      </c>
      <c r="X406" s="39">
        <f t="shared" si="328"/>
        <v>142797.06666666668</v>
      </c>
      <c r="Y406" s="15">
        <v>1</v>
      </c>
    </row>
    <row r="407" spans="20:25" x14ac:dyDescent="0.15">
      <c r="T407" s="28">
        <f t="shared" si="329"/>
        <v>6385</v>
      </c>
      <c r="U407" s="26">
        <f t="shared" si="330"/>
        <v>589037</v>
      </c>
      <c r="V407" s="28">
        <f t="shared" si="331"/>
        <v>40</v>
      </c>
      <c r="W407" s="14">
        <f t="shared" si="327"/>
        <v>26330</v>
      </c>
      <c r="X407" s="39">
        <f t="shared" si="328"/>
        <v>157076.53333333333</v>
      </c>
      <c r="Y407" s="15">
        <v>1</v>
      </c>
    </row>
    <row r="408" spans="20:25" x14ac:dyDescent="0.15">
      <c r="T408" s="28">
        <f t="shared" si="329"/>
        <v>6386</v>
      </c>
      <c r="U408" s="26">
        <f t="shared" si="330"/>
        <v>647940</v>
      </c>
      <c r="V408" s="28">
        <f t="shared" si="331"/>
        <v>40</v>
      </c>
      <c r="W408" s="14">
        <f t="shared" ref="W408:W471" si="332">_xlfn.FLOOR.MATH(V408*U408/15/10/RIGHT(T408,3)^0.3,2)</f>
        <v>28940</v>
      </c>
      <c r="X408" s="39">
        <f t="shared" ref="X408:X471" si="333">U408*V408/15/10</f>
        <v>172784</v>
      </c>
      <c r="Y408" s="15">
        <v>1</v>
      </c>
    </row>
    <row r="409" spans="20:25" x14ac:dyDescent="0.15">
      <c r="T409" s="28">
        <f t="shared" ref="T409:T472" si="334">T408+1</f>
        <v>6387</v>
      </c>
      <c r="U409" s="26">
        <f t="shared" si="330"/>
        <v>712734</v>
      </c>
      <c r="V409" s="28">
        <f t="shared" si="331"/>
        <v>40</v>
      </c>
      <c r="W409" s="14">
        <f t="shared" si="332"/>
        <v>31810</v>
      </c>
      <c r="X409" s="39">
        <f t="shared" si="333"/>
        <v>190062.4</v>
      </c>
      <c r="Y409" s="15">
        <v>1</v>
      </c>
    </row>
    <row r="410" spans="20:25" x14ac:dyDescent="0.15">
      <c r="T410" s="28">
        <f t="shared" si="334"/>
        <v>6388</v>
      </c>
      <c r="U410" s="26">
        <f t="shared" si="330"/>
        <v>784007</v>
      </c>
      <c r="V410" s="28">
        <f t="shared" si="331"/>
        <v>40</v>
      </c>
      <c r="W410" s="14">
        <f t="shared" si="332"/>
        <v>34964</v>
      </c>
      <c r="X410" s="39">
        <f t="shared" si="333"/>
        <v>209068.53333333333</v>
      </c>
      <c r="Y410" s="15">
        <v>1</v>
      </c>
    </row>
    <row r="411" spans="20:25" x14ac:dyDescent="0.15">
      <c r="T411" s="28">
        <f t="shared" si="334"/>
        <v>6389</v>
      </c>
      <c r="U411" s="26">
        <f t="shared" si="330"/>
        <v>862407</v>
      </c>
      <c r="V411" s="28">
        <f t="shared" si="331"/>
        <v>40</v>
      </c>
      <c r="W411" s="14">
        <f t="shared" si="332"/>
        <v>38432</v>
      </c>
      <c r="X411" s="39">
        <f t="shared" si="333"/>
        <v>229975.2</v>
      </c>
      <c r="Y411" s="15">
        <v>1</v>
      </c>
    </row>
    <row r="412" spans="20:25" x14ac:dyDescent="0.15">
      <c r="T412" s="28">
        <f t="shared" si="334"/>
        <v>6390</v>
      </c>
      <c r="U412" s="26">
        <f t="shared" si="330"/>
        <v>948647</v>
      </c>
      <c r="V412" s="28">
        <f t="shared" si="331"/>
        <v>40</v>
      </c>
      <c r="W412" s="14">
        <f t="shared" si="332"/>
        <v>42242</v>
      </c>
      <c r="X412" s="39">
        <f t="shared" si="333"/>
        <v>252972.53333333335</v>
      </c>
      <c r="Y412" s="15">
        <v>1</v>
      </c>
    </row>
    <row r="413" spans="20:25" x14ac:dyDescent="0.15">
      <c r="T413" s="28">
        <f t="shared" si="334"/>
        <v>6391</v>
      </c>
      <c r="U413" s="26">
        <f t="shared" si="330"/>
        <v>1043511</v>
      </c>
      <c r="V413" s="28">
        <f t="shared" si="331"/>
        <v>40</v>
      </c>
      <c r="W413" s="14">
        <f t="shared" si="332"/>
        <v>46430</v>
      </c>
      <c r="X413" s="39">
        <f t="shared" si="333"/>
        <v>278269.59999999998</v>
      </c>
      <c r="Y413" s="15">
        <v>1</v>
      </c>
    </row>
    <row r="414" spans="20:25" x14ac:dyDescent="0.15">
      <c r="T414" s="28">
        <f t="shared" si="334"/>
        <v>6392</v>
      </c>
      <c r="U414" s="26">
        <f t="shared" si="330"/>
        <v>1147862</v>
      </c>
      <c r="V414" s="28">
        <f t="shared" si="331"/>
        <v>40</v>
      </c>
      <c r="W414" s="14">
        <f t="shared" si="332"/>
        <v>51034</v>
      </c>
      <c r="X414" s="39">
        <f t="shared" si="333"/>
        <v>306096.53333333333</v>
      </c>
      <c r="Y414" s="15">
        <v>1</v>
      </c>
    </row>
    <row r="415" spans="20:25" x14ac:dyDescent="0.15">
      <c r="T415" s="28">
        <f t="shared" si="334"/>
        <v>6393</v>
      </c>
      <c r="U415" s="26">
        <f t="shared" si="330"/>
        <v>1262648</v>
      </c>
      <c r="V415" s="28">
        <f t="shared" si="331"/>
        <v>40</v>
      </c>
      <c r="W415" s="14">
        <f t="shared" si="332"/>
        <v>56096</v>
      </c>
      <c r="X415" s="39">
        <f t="shared" si="333"/>
        <v>336706.13333333336</v>
      </c>
      <c r="Y415" s="15">
        <v>1</v>
      </c>
    </row>
    <row r="416" spans="20:25" x14ac:dyDescent="0.15">
      <c r="T416" s="28">
        <f t="shared" si="334"/>
        <v>6394</v>
      </c>
      <c r="U416" s="26">
        <f t="shared" si="330"/>
        <v>1388912</v>
      </c>
      <c r="V416" s="28">
        <f t="shared" si="331"/>
        <v>40</v>
      </c>
      <c r="W416" s="14">
        <f t="shared" si="332"/>
        <v>61658</v>
      </c>
      <c r="X416" s="39">
        <f t="shared" si="333"/>
        <v>370376.53333333333</v>
      </c>
      <c r="Y416" s="15">
        <v>1</v>
      </c>
    </row>
    <row r="417" spans="20:25" x14ac:dyDescent="0.15">
      <c r="T417" s="28">
        <f t="shared" si="334"/>
        <v>6395</v>
      </c>
      <c r="U417" s="26">
        <f t="shared" si="330"/>
        <v>1527803</v>
      </c>
      <c r="V417" s="28">
        <f t="shared" si="331"/>
        <v>40</v>
      </c>
      <c r="W417" s="14">
        <f t="shared" si="332"/>
        <v>67772</v>
      </c>
      <c r="X417" s="39">
        <f t="shared" si="333"/>
        <v>407414.13333333336</v>
      </c>
      <c r="Y417" s="15">
        <v>1</v>
      </c>
    </row>
    <row r="418" spans="20:25" x14ac:dyDescent="0.15">
      <c r="T418" s="28">
        <f t="shared" si="334"/>
        <v>6396</v>
      </c>
      <c r="U418" s="26">
        <f t="shared" si="330"/>
        <v>1680583</v>
      </c>
      <c r="V418" s="28">
        <f t="shared" si="331"/>
        <v>40</v>
      </c>
      <c r="W418" s="14">
        <f t="shared" si="332"/>
        <v>74492</v>
      </c>
      <c r="X418" s="39">
        <f t="shared" si="333"/>
        <v>448155.46666666667</v>
      </c>
      <c r="Y418" s="15">
        <v>1</v>
      </c>
    </row>
    <row r="419" spans="20:25" x14ac:dyDescent="0.15">
      <c r="T419" s="28">
        <f t="shared" si="334"/>
        <v>6397</v>
      </c>
      <c r="U419" s="26">
        <f t="shared" si="330"/>
        <v>1848641</v>
      </c>
      <c r="V419" s="28">
        <f t="shared" si="331"/>
        <v>40</v>
      </c>
      <c r="W419" s="14">
        <f t="shared" si="332"/>
        <v>81880</v>
      </c>
      <c r="X419" s="39">
        <f t="shared" si="333"/>
        <v>492970.93333333329</v>
      </c>
      <c r="Y419" s="15">
        <v>1</v>
      </c>
    </row>
    <row r="420" spans="20:25" x14ac:dyDescent="0.15">
      <c r="T420" s="28">
        <f t="shared" si="334"/>
        <v>6398</v>
      </c>
      <c r="U420" s="26">
        <f t="shared" si="330"/>
        <v>2033505</v>
      </c>
      <c r="V420" s="28">
        <f t="shared" si="331"/>
        <v>40</v>
      </c>
      <c r="W420" s="14">
        <f t="shared" si="332"/>
        <v>90000</v>
      </c>
      <c r="X420" s="39">
        <f t="shared" si="333"/>
        <v>542268</v>
      </c>
      <c r="Y420" s="15">
        <v>1</v>
      </c>
    </row>
    <row r="421" spans="20:25" x14ac:dyDescent="0.15">
      <c r="T421" s="28">
        <f t="shared" si="334"/>
        <v>6399</v>
      </c>
      <c r="U421" s="26">
        <f t="shared" si="330"/>
        <v>2236855</v>
      </c>
      <c r="V421" s="28">
        <f t="shared" si="331"/>
        <v>40</v>
      </c>
      <c r="W421" s="14">
        <f t="shared" si="332"/>
        <v>98926</v>
      </c>
      <c r="X421" s="39">
        <f t="shared" si="333"/>
        <v>596494.66666666674</v>
      </c>
      <c r="Y421" s="15">
        <v>1</v>
      </c>
    </row>
    <row r="422" spans="20:25" x14ac:dyDescent="0.15">
      <c r="T422" s="28">
        <f t="shared" si="334"/>
        <v>6400</v>
      </c>
      <c r="U422" s="26">
        <f t="shared" si="330"/>
        <v>2460540</v>
      </c>
      <c r="V422" s="28">
        <f t="shared" si="331"/>
        <v>40</v>
      </c>
      <c r="W422" s="14">
        <f t="shared" si="332"/>
        <v>108736</v>
      </c>
      <c r="X422" s="39">
        <f t="shared" si="333"/>
        <v>656144</v>
      </c>
      <c r="Y422" s="15">
        <v>1</v>
      </c>
    </row>
    <row r="423" spans="20:25" x14ac:dyDescent="0.15">
      <c r="T423" s="28">
        <f t="shared" si="334"/>
        <v>6401</v>
      </c>
      <c r="U423" s="38">
        <v>200</v>
      </c>
      <c r="V423" s="36">
        <f>V323+10</f>
        <v>50</v>
      </c>
      <c r="W423" s="14">
        <f t="shared" si="332"/>
        <v>10</v>
      </c>
      <c r="X423" s="39">
        <f t="shared" si="333"/>
        <v>66.666666666666657</v>
      </c>
      <c r="Y423" s="15">
        <v>1</v>
      </c>
    </row>
    <row r="424" spans="20:25" x14ac:dyDescent="0.15">
      <c r="T424" s="28">
        <f t="shared" si="334"/>
        <v>6402</v>
      </c>
      <c r="U424" s="26">
        <f t="shared" ref="U424:U487" si="335">INT(U423*$U$18)</f>
        <v>220</v>
      </c>
      <c r="V424" s="28">
        <f t="shared" ref="V424:V487" si="336">V423</f>
        <v>50</v>
      </c>
      <c r="W424" s="14">
        <f t="shared" si="332"/>
        <v>12</v>
      </c>
      <c r="X424" s="39">
        <f t="shared" si="333"/>
        <v>73.333333333333343</v>
      </c>
      <c r="Y424" s="15">
        <v>1</v>
      </c>
    </row>
    <row r="425" spans="20:25" x14ac:dyDescent="0.15">
      <c r="T425" s="28">
        <f t="shared" si="334"/>
        <v>6403</v>
      </c>
      <c r="U425" s="26">
        <f t="shared" si="335"/>
        <v>242</v>
      </c>
      <c r="V425" s="28">
        <f t="shared" si="336"/>
        <v>50</v>
      </c>
      <c r="W425" s="14">
        <f t="shared" si="332"/>
        <v>12</v>
      </c>
      <c r="X425" s="39">
        <f t="shared" si="333"/>
        <v>80.666666666666657</v>
      </c>
      <c r="Y425" s="15">
        <v>1</v>
      </c>
    </row>
    <row r="426" spans="20:25" x14ac:dyDescent="0.15">
      <c r="T426" s="28">
        <f t="shared" si="334"/>
        <v>6404</v>
      </c>
      <c r="U426" s="26">
        <f t="shared" si="335"/>
        <v>266</v>
      </c>
      <c r="V426" s="28">
        <f t="shared" si="336"/>
        <v>50</v>
      </c>
      <c r="W426" s="14">
        <f t="shared" si="332"/>
        <v>14</v>
      </c>
      <c r="X426" s="39">
        <f t="shared" si="333"/>
        <v>88.666666666666657</v>
      </c>
      <c r="Y426" s="15">
        <v>1</v>
      </c>
    </row>
    <row r="427" spans="20:25" x14ac:dyDescent="0.15">
      <c r="T427" s="28">
        <f t="shared" si="334"/>
        <v>6405</v>
      </c>
      <c r="U427" s="26">
        <f t="shared" si="335"/>
        <v>292</v>
      </c>
      <c r="V427" s="28">
        <f t="shared" si="336"/>
        <v>50</v>
      </c>
      <c r="W427" s="14">
        <f t="shared" si="332"/>
        <v>16</v>
      </c>
      <c r="X427" s="39">
        <f t="shared" si="333"/>
        <v>97.333333333333343</v>
      </c>
      <c r="Y427" s="15">
        <v>1</v>
      </c>
    </row>
    <row r="428" spans="20:25" x14ac:dyDescent="0.15">
      <c r="T428" s="28">
        <f t="shared" si="334"/>
        <v>6406</v>
      </c>
      <c r="U428" s="26">
        <f t="shared" si="335"/>
        <v>321</v>
      </c>
      <c r="V428" s="28">
        <f t="shared" si="336"/>
        <v>50</v>
      </c>
      <c r="W428" s="14">
        <f t="shared" si="332"/>
        <v>16</v>
      </c>
      <c r="X428" s="39">
        <f t="shared" si="333"/>
        <v>107</v>
      </c>
      <c r="Y428" s="15">
        <v>1</v>
      </c>
    </row>
    <row r="429" spans="20:25" x14ac:dyDescent="0.15">
      <c r="T429" s="28">
        <f t="shared" si="334"/>
        <v>6407</v>
      </c>
      <c r="U429" s="26">
        <f t="shared" si="335"/>
        <v>353</v>
      </c>
      <c r="V429" s="28">
        <f t="shared" si="336"/>
        <v>50</v>
      </c>
      <c r="W429" s="14">
        <f t="shared" si="332"/>
        <v>18</v>
      </c>
      <c r="X429" s="39">
        <f t="shared" si="333"/>
        <v>117.66666666666667</v>
      </c>
      <c r="Y429" s="15">
        <v>1</v>
      </c>
    </row>
    <row r="430" spans="20:25" x14ac:dyDescent="0.15">
      <c r="T430" s="28">
        <f t="shared" si="334"/>
        <v>6408</v>
      </c>
      <c r="U430" s="26">
        <f t="shared" si="335"/>
        <v>388</v>
      </c>
      <c r="V430" s="28">
        <f t="shared" si="336"/>
        <v>50</v>
      </c>
      <c r="W430" s="14">
        <f t="shared" si="332"/>
        <v>20</v>
      </c>
      <c r="X430" s="39">
        <f t="shared" si="333"/>
        <v>129.33333333333331</v>
      </c>
      <c r="Y430" s="15">
        <v>1</v>
      </c>
    </row>
    <row r="431" spans="20:25" x14ac:dyDescent="0.15">
      <c r="T431" s="28">
        <f t="shared" si="334"/>
        <v>6409</v>
      </c>
      <c r="U431" s="26">
        <f t="shared" si="335"/>
        <v>426</v>
      </c>
      <c r="V431" s="28">
        <f t="shared" si="336"/>
        <v>50</v>
      </c>
      <c r="W431" s="14">
        <f t="shared" si="332"/>
        <v>22</v>
      </c>
      <c r="X431" s="39">
        <f t="shared" si="333"/>
        <v>142</v>
      </c>
      <c r="Y431" s="15">
        <v>1</v>
      </c>
    </row>
    <row r="432" spans="20:25" x14ac:dyDescent="0.15">
      <c r="T432" s="28">
        <f t="shared" si="334"/>
        <v>6410</v>
      </c>
      <c r="U432" s="26">
        <f t="shared" si="335"/>
        <v>468</v>
      </c>
      <c r="V432" s="28">
        <f t="shared" si="336"/>
        <v>50</v>
      </c>
      <c r="W432" s="14">
        <f t="shared" si="332"/>
        <v>24</v>
      </c>
      <c r="X432" s="39">
        <f t="shared" si="333"/>
        <v>156</v>
      </c>
      <c r="Y432" s="15">
        <v>1</v>
      </c>
    </row>
    <row r="433" spans="20:25" x14ac:dyDescent="0.15">
      <c r="T433" s="28">
        <f t="shared" si="334"/>
        <v>6411</v>
      </c>
      <c r="U433" s="26">
        <f t="shared" si="335"/>
        <v>514</v>
      </c>
      <c r="V433" s="28">
        <f t="shared" si="336"/>
        <v>50</v>
      </c>
      <c r="W433" s="14">
        <f t="shared" si="332"/>
        <v>28</v>
      </c>
      <c r="X433" s="39">
        <f t="shared" si="333"/>
        <v>171.33333333333331</v>
      </c>
      <c r="Y433" s="15">
        <v>1</v>
      </c>
    </row>
    <row r="434" spans="20:25" x14ac:dyDescent="0.15">
      <c r="T434" s="28">
        <f t="shared" si="334"/>
        <v>6412</v>
      </c>
      <c r="U434" s="26">
        <f t="shared" si="335"/>
        <v>565</v>
      </c>
      <c r="V434" s="28">
        <f t="shared" si="336"/>
        <v>50</v>
      </c>
      <c r="W434" s="14">
        <f t="shared" si="332"/>
        <v>30</v>
      </c>
      <c r="X434" s="39">
        <f t="shared" si="333"/>
        <v>188.33333333333331</v>
      </c>
      <c r="Y434" s="15">
        <v>1</v>
      </c>
    </row>
    <row r="435" spans="20:25" x14ac:dyDescent="0.15">
      <c r="T435" s="28">
        <f t="shared" si="334"/>
        <v>6413</v>
      </c>
      <c r="U435" s="26">
        <f t="shared" si="335"/>
        <v>621</v>
      </c>
      <c r="V435" s="28">
        <f t="shared" si="336"/>
        <v>50</v>
      </c>
      <c r="W435" s="14">
        <f t="shared" si="332"/>
        <v>32</v>
      </c>
      <c r="X435" s="39">
        <f t="shared" si="333"/>
        <v>207</v>
      </c>
      <c r="Y435" s="15">
        <v>1</v>
      </c>
    </row>
    <row r="436" spans="20:25" x14ac:dyDescent="0.15">
      <c r="T436" s="28">
        <f t="shared" si="334"/>
        <v>6414</v>
      </c>
      <c r="U436" s="26">
        <f t="shared" si="335"/>
        <v>683</v>
      </c>
      <c r="V436" s="28">
        <f t="shared" si="336"/>
        <v>50</v>
      </c>
      <c r="W436" s="14">
        <f t="shared" si="332"/>
        <v>36</v>
      </c>
      <c r="X436" s="39">
        <f t="shared" si="333"/>
        <v>227.66666666666666</v>
      </c>
      <c r="Y436" s="15">
        <v>1</v>
      </c>
    </row>
    <row r="437" spans="20:25" x14ac:dyDescent="0.15">
      <c r="T437" s="28">
        <f t="shared" si="334"/>
        <v>6415</v>
      </c>
      <c r="U437" s="26">
        <f t="shared" si="335"/>
        <v>751</v>
      </c>
      <c r="V437" s="28">
        <f t="shared" si="336"/>
        <v>50</v>
      </c>
      <c r="W437" s="14">
        <f t="shared" si="332"/>
        <v>40</v>
      </c>
      <c r="X437" s="39">
        <f t="shared" si="333"/>
        <v>250.33333333333334</v>
      </c>
      <c r="Y437" s="15">
        <v>1</v>
      </c>
    </row>
    <row r="438" spans="20:25" x14ac:dyDescent="0.15">
      <c r="T438" s="28">
        <f t="shared" si="334"/>
        <v>6416</v>
      </c>
      <c r="U438" s="26">
        <f t="shared" si="335"/>
        <v>826</v>
      </c>
      <c r="V438" s="28">
        <f t="shared" si="336"/>
        <v>50</v>
      </c>
      <c r="W438" s="14">
        <f t="shared" si="332"/>
        <v>44</v>
      </c>
      <c r="X438" s="39">
        <f t="shared" si="333"/>
        <v>275.33333333333337</v>
      </c>
      <c r="Y438" s="15">
        <v>1</v>
      </c>
    </row>
    <row r="439" spans="20:25" x14ac:dyDescent="0.15">
      <c r="T439" s="28">
        <f t="shared" si="334"/>
        <v>6417</v>
      </c>
      <c r="U439" s="26">
        <f t="shared" si="335"/>
        <v>908</v>
      </c>
      <c r="V439" s="28">
        <f t="shared" si="336"/>
        <v>50</v>
      </c>
      <c r="W439" s="14">
        <f t="shared" si="332"/>
        <v>48</v>
      </c>
      <c r="X439" s="39">
        <f t="shared" si="333"/>
        <v>302.66666666666663</v>
      </c>
      <c r="Y439" s="15">
        <v>1</v>
      </c>
    </row>
    <row r="440" spans="20:25" x14ac:dyDescent="0.15">
      <c r="T440" s="28">
        <f t="shared" si="334"/>
        <v>6418</v>
      </c>
      <c r="U440" s="26">
        <f t="shared" si="335"/>
        <v>998</v>
      </c>
      <c r="V440" s="28">
        <f t="shared" si="336"/>
        <v>50</v>
      </c>
      <c r="W440" s="14">
        <f t="shared" si="332"/>
        <v>54</v>
      </c>
      <c r="X440" s="39">
        <f t="shared" si="333"/>
        <v>332.66666666666663</v>
      </c>
      <c r="Y440" s="15">
        <v>1</v>
      </c>
    </row>
    <row r="441" spans="20:25" x14ac:dyDescent="0.15">
      <c r="T441" s="28">
        <f t="shared" si="334"/>
        <v>6419</v>
      </c>
      <c r="U441" s="26">
        <f t="shared" si="335"/>
        <v>1097</v>
      </c>
      <c r="V441" s="28">
        <f t="shared" si="336"/>
        <v>50</v>
      </c>
      <c r="W441" s="14">
        <f t="shared" si="332"/>
        <v>58</v>
      </c>
      <c r="X441" s="39">
        <f t="shared" si="333"/>
        <v>365.66666666666663</v>
      </c>
      <c r="Y441" s="15">
        <v>1</v>
      </c>
    </row>
    <row r="442" spans="20:25" x14ac:dyDescent="0.15">
      <c r="T442" s="28">
        <f t="shared" si="334"/>
        <v>6420</v>
      </c>
      <c r="U442" s="26">
        <f t="shared" si="335"/>
        <v>1206</v>
      </c>
      <c r="V442" s="28">
        <f t="shared" si="336"/>
        <v>50</v>
      </c>
      <c r="W442" s="14">
        <f t="shared" si="332"/>
        <v>64</v>
      </c>
      <c r="X442" s="39">
        <f t="shared" si="333"/>
        <v>402</v>
      </c>
      <c r="Y442" s="15">
        <v>1</v>
      </c>
    </row>
    <row r="443" spans="20:25" x14ac:dyDescent="0.15">
      <c r="T443" s="28">
        <f t="shared" si="334"/>
        <v>6421</v>
      </c>
      <c r="U443" s="26">
        <f t="shared" si="335"/>
        <v>1326</v>
      </c>
      <c r="V443" s="28">
        <f t="shared" si="336"/>
        <v>50</v>
      </c>
      <c r="W443" s="14">
        <f t="shared" si="332"/>
        <v>72</v>
      </c>
      <c r="X443" s="39">
        <f t="shared" si="333"/>
        <v>442</v>
      </c>
      <c r="Y443" s="15">
        <v>1</v>
      </c>
    </row>
    <row r="444" spans="20:25" x14ac:dyDescent="0.15">
      <c r="T444" s="28">
        <f t="shared" si="334"/>
        <v>6422</v>
      </c>
      <c r="U444" s="26">
        <f t="shared" si="335"/>
        <v>1458</v>
      </c>
      <c r="V444" s="28">
        <f t="shared" si="336"/>
        <v>50</v>
      </c>
      <c r="W444" s="14">
        <f t="shared" si="332"/>
        <v>78</v>
      </c>
      <c r="X444" s="39">
        <f t="shared" si="333"/>
        <v>486</v>
      </c>
      <c r="Y444" s="15">
        <v>1</v>
      </c>
    </row>
    <row r="445" spans="20:25" x14ac:dyDescent="0.15">
      <c r="T445" s="28">
        <f t="shared" si="334"/>
        <v>6423</v>
      </c>
      <c r="U445" s="26">
        <f t="shared" si="335"/>
        <v>1603</v>
      </c>
      <c r="V445" s="28">
        <f t="shared" si="336"/>
        <v>50</v>
      </c>
      <c r="W445" s="14">
        <f t="shared" si="332"/>
        <v>86</v>
      </c>
      <c r="X445" s="39">
        <f t="shared" si="333"/>
        <v>534.33333333333326</v>
      </c>
      <c r="Y445" s="15">
        <v>1</v>
      </c>
    </row>
    <row r="446" spans="20:25" x14ac:dyDescent="0.15">
      <c r="T446" s="28">
        <f t="shared" si="334"/>
        <v>6424</v>
      </c>
      <c r="U446" s="26">
        <f t="shared" si="335"/>
        <v>1763</v>
      </c>
      <c r="V446" s="28">
        <f t="shared" si="336"/>
        <v>50</v>
      </c>
      <c r="W446" s="14">
        <f t="shared" si="332"/>
        <v>94</v>
      </c>
      <c r="X446" s="39">
        <f t="shared" si="333"/>
        <v>587.66666666666674</v>
      </c>
      <c r="Y446" s="15">
        <v>1</v>
      </c>
    </row>
    <row r="447" spans="20:25" x14ac:dyDescent="0.15">
      <c r="T447" s="28">
        <f t="shared" si="334"/>
        <v>6425</v>
      </c>
      <c r="U447" s="26">
        <f t="shared" si="335"/>
        <v>1939</v>
      </c>
      <c r="V447" s="28">
        <f t="shared" si="336"/>
        <v>50</v>
      </c>
      <c r="W447" s="14">
        <f t="shared" si="332"/>
        <v>104</v>
      </c>
      <c r="X447" s="39">
        <f t="shared" si="333"/>
        <v>646.33333333333326</v>
      </c>
      <c r="Y447" s="15">
        <v>1</v>
      </c>
    </row>
    <row r="448" spans="20:25" x14ac:dyDescent="0.15">
      <c r="T448" s="28">
        <f t="shared" si="334"/>
        <v>6426</v>
      </c>
      <c r="U448" s="26">
        <f t="shared" si="335"/>
        <v>2132</v>
      </c>
      <c r="V448" s="28">
        <f t="shared" si="336"/>
        <v>50</v>
      </c>
      <c r="W448" s="14">
        <f t="shared" si="332"/>
        <v>114</v>
      </c>
      <c r="X448" s="39">
        <f t="shared" si="333"/>
        <v>710.66666666666674</v>
      </c>
      <c r="Y448" s="15">
        <v>1</v>
      </c>
    </row>
    <row r="449" spans="20:25" x14ac:dyDescent="0.15">
      <c r="T449" s="28">
        <f t="shared" si="334"/>
        <v>6427</v>
      </c>
      <c r="U449" s="26">
        <f t="shared" si="335"/>
        <v>2345</v>
      </c>
      <c r="V449" s="28">
        <f t="shared" si="336"/>
        <v>50</v>
      </c>
      <c r="W449" s="14">
        <f t="shared" si="332"/>
        <v>126</v>
      </c>
      <c r="X449" s="39">
        <f t="shared" si="333"/>
        <v>781.66666666666674</v>
      </c>
      <c r="Y449" s="15">
        <v>1</v>
      </c>
    </row>
    <row r="450" spans="20:25" x14ac:dyDescent="0.15">
      <c r="T450" s="28">
        <f t="shared" si="334"/>
        <v>6428</v>
      </c>
      <c r="U450" s="26">
        <f t="shared" si="335"/>
        <v>2579</v>
      </c>
      <c r="V450" s="28">
        <f t="shared" si="336"/>
        <v>50</v>
      </c>
      <c r="W450" s="14">
        <f t="shared" si="332"/>
        <v>138</v>
      </c>
      <c r="X450" s="39">
        <f t="shared" si="333"/>
        <v>859.66666666666663</v>
      </c>
      <c r="Y450" s="15">
        <v>1</v>
      </c>
    </row>
    <row r="451" spans="20:25" x14ac:dyDescent="0.15">
      <c r="T451" s="28">
        <f t="shared" si="334"/>
        <v>6429</v>
      </c>
      <c r="U451" s="26">
        <f t="shared" si="335"/>
        <v>2836</v>
      </c>
      <c r="V451" s="28">
        <f t="shared" si="336"/>
        <v>50</v>
      </c>
      <c r="W451" s="14">
        <f t="shared" si="332"/>
        <v>152</v>
      </c>
      <c r="X451" s="39">
        <f t="shared" si="333"/>
        <v>945.33333333333337</v>
      </c>
      <c r="Y451" s="15">
        <v>1</v>
      </c>
    </row>
    <row r="452" spans="20:25" x14ac:dyDescent="0.15">
      <c r="T452" s="28">
        <f t="shared" si="334"/>
        <v>6430</v>
      </c>
      <c r="U452" s="26">
        <f t="shared" si="335"/>
        <v>3119</v>
      </c>
      <c r="V452" s="28">
        <f t="shared" si="336"/>
        <v>50</v>
      </c>
      <c r="W452" s="14">
        <f t="shared" si="332"/>
        <v>168</v>
      </c>
      <c r="X452" s="39">
        <f t="shared" si="333"/>
        <v>1039.6666666666665</v>
      </c>
      <c r="Y452" s="15">
        <v>1</v>
      </c>
    </row>
    <row r="453" spans="20:25" x14ac:dyDescent="0.15">
      <c r="T453" s="28">
        <f t="shared" si="334"/>
        <v>6431</v>
      </c>
      <c r="U453" s="26">
        <f t="shared" si="335"/>
        <v>3430</v>
      </c>
      <c r="V453" s="28">
        <f t="shared" si="336"/>
        <v>50</v>
      </c>
      <c r="W453" s="14">
        <f t="shared" si="332"/>
        <v>184</v>
      </c>
      <c r="X453" s="39">
        <f t="shared" si="333"/>
        <v>1143.3333333333335</v>
      </c>
      <c r="Y453" s="15">
        <v>1</v>
      </c>
    </row>
    <row r="454" spans="20:25" x14ac:dyDescent="0.15">
      <c r="T454" s="28">
        <f t="shared" si="334"/>
        <v>6432</v>
      </c>
      <c r="U454" s="26">
        <f t="shared" si="335"/>
        <v>3773</v>
      </c>
      <c r="V454" s="28">
        <f t="shared" si="336"/>
        <v>50</v>
      </c>
      <c r="W454" s="14">
        <f t="shared" si="332"/>
        <v>202</v>
      </c>
      <c r="X454" s="39">
        <f t="shared" si="333"/>
        <v>1257.6666666666665</v>
      </c>
      <c r="Y454" s="15">
        <v>1</v>
      </c>
    </row>
    <row r="455" spans="20:25" x14ac:dyDescent="0.15">
      <c r="T455" s="28">
        <f t="shared" si="334"/>
        <v>6433</v>
      </c>
      <c r="U455" s="26">
        <f t="shared" si="335"/>
        <v>4150</v>
      </c>
      <c r="V455" s="28">
        <f t="shared" si="336"/>
        <v>50</v>
      </c>
      <c r="W455" s="14">
        <f t="shared" si="332"/>
        <v>222</v>
      </c>
      <c r="X455" s="39">
        <f t="shared" si="333"/>
        <v>1383.3333333333335</v>
      </c>
      <c r="Y455" s="15">
        <v>1</v>
      </c>
    </row>
    <row r="456" spans="20:25" x14ac:dyDescent="0.15">
      <c r="T456" s="28">
        <f t="shared" si="334"/>
        <v>6434</v>
      </c>
      <c r="U456" s="26">
        <f t="shared" si="335"/>
        <v>4565</v>
      </c>
      <c r="V456" s="28">
        <f t="shared" si="336"/>
        <v>50</v>
      </c>
      <c r="W456" s="14">
        <f t="shared" si="332"/>
        <v>246</v>
      </c>
      <c r="X456" s="39">
        <f t="shared" si="333"/>
        <v>1521.6666666666665</v>
      </c>
      <c r="Y456" s="15">
        <v>1</v>
      </c>
    </row>
    <row r="457" spans="20:25" x14ac:dyDescent="0.15">
      <c r="T457" s="28">
        <f t="shared" si="334"/>
        <v>6435</v>
      </c>
      <c r="U457" s="26">
        <f t="shared" si="335"/>
        <v>5021</v>
      </c>
      <c r="V457" s="28">
        <f t="shared" si="336"/>
        <v>50</v>
      </c>
      <c r="W457" s="14">
        <f t="shared" si="332"/>
        <v>270</v>
      </c>
      <c r="X457" s="39">
        <f t="shared" si="333"/>
        <v>1673.6666666666667</v>
      </c>
      <c r="Y457" s="15">
        <v>1</v>
      </c>
    </row>
    <row r="458" spans="20:25" x14ac:dyDescent="0.15">
      <c r="T458" s="28">
        <f t="shared" si="334"/>
        <v>6436</v>
      </c>
      <c r="U458" s="26">
        <f t="shared" si="335"/>
        <v>5523</v>
      </c>
      <c r="V458" s="28">
        <f t="shared" si="336"/>
        <v>50</v>
      </c>
      <c r="W458" s="14">
        <f t="shared" si="332"/>
        <v>296</v>
      </c>
      <c r="X458" s="39">
        <f t="shared" si="333"/>
        <v>1841</v>
      </c>
      <c r="Y458" s="15">
        <v>1</v>
      </c>
    </row>
    <row r="459" spans="20:25" x14ac:dyDescent="0.15">
      <c r="T459" s="28">
        <f t="shared" si="334"/>
        <v>6437</v>
      </c>
      <c r="U459" s="26">
        <f t="shared" si="335"/>
        <v>6075</v>
      </c>
      <c r="V459" s="28">
        <f t="shared" si="336"/>
        <v>50</v>
      </c>
      <c r="W459" s="14">
        <f t="shared" si="332"/>
        <v>326</v>
      </c>
      <c r="X459" s="39">
        <f t="shared" si="333"/>
        <v>2025</v>
      </c>
      <c r="Y459" s="15">
        <v>1</v>
      </c>
    </row>
    <row r="460" spans="20:25" x14ac:dyDescent="0.15">
      <c r="T460" s="28">
        <f t="shared" si="334"/>
        <v>6438</v>
      </c>
      <c r="U460" s="26">
        <f t="shared" si="335"/>
        <v>6682</v>
      </c>
      <c r="V460" s="28">
        <f t="shared" si="336"/>
        <v>50</v>
      </c>
      <c r="W460" s="14">
        <f t="shared" si="332"/>
        <v>358</v>
      </c>
      <c r="X460" s="39">
        <f t="shared" si="333"/>
        <v>2227.333333333333</v>
      </c>
      <c r="Y460" s="15">
        <v>1</v>
      </c>
    </row>
    <row r="461" spans="20:25" x14ac:dyDescent="0.15">
      <c r="T461" s="28">
        <f t="shared" si="334"/>
        <v>6439</v>
      </c>
      <c r="U461" s="26">
        <f t="shared" si="335"/>
        <v>7350</v>
      </c>
      <c r="V461" s="28">
        <f t="shared" si="336"/>
        <v>50</v>
      </c>
      <c r="W461" s="14">
        <f t="shared" si="332"/>
        <v>394</v>
      </c>
      <c r="X461" s="39">
        <f t="shared" si="333"/>
        <v>2450</v>
      </c>
      <c r="Y461" s="15">
        <v>1</v>
      </c>
    </row>
    <row r="462" spans="20:25" x14ac:dyDescent="0.15">
      <c r="T462" s="28">
        <f t="shared" si="334"/>
        <v>6440</v>
      </c>
      <c r="U462" s="26">
        <f t="shared" si="335"/>
        <v>8085</v>
      </c>
      <c r="V462" s="28">
        <f t="shared" si="336"/>
        <v>50</v>
      </c>
      <c r="W462" s="14">
        <f t="shared" si="332"/>
        <v>434</v>
      </c>
      <c r="X462" s="39">
        <f t="shared" si="333"/>
        <v>2695</v>
      </c>
      <c r="Y462" s="15">
        <v>1</v>
      </c>
    </row>
    <row r="463" spans="20:25" x14ac:dyDescent="0.15">
      <c r="T463" s="28">
        <f t="shared" si="334"/>
        <v>6441</v>
      </c>
      <c r="U463" s="26">
        <f t="shared" si="335"/>
        <v>8893</v>
      </c>
      <c r="V463" s="28">
        <f t="shared" si="336"/>
        <v>50</v>
      </c>
      <c r="W463" s="14">
        <f t="shared" si="332"/>
        <v>476</v>
      </c>
      <c r="X463" s="39">
        <f t="shared" si="333"/>
        <v>2964.333333333333</v>
      </c>
      <c r="Y463" s="15">
        <v>1</v>
      </c>
    </row>
    <row r="464" spans="20:25" x14ac:dyDescent="0.15">
      <c r="T464" s="28">
        <f t="shared" si="334"/>
        <v>6442</v>
      </c>
      <c r="U464" s="26">
        <f t="shared" si="335"/>
        <v>9782</v>
      </c>
      <c r="V464" s="28">
        <f t="shared" si="336"/>
        <v>50</v>
      </c>
      <c r="W464" s="14">
        <f t="shared" si="332"/>
        <v>524</v>
      </c>
      <c r="X464" s="39">
        <f t="shared" si="333"/>
        <v>3260.666666666667</v>
      </c>
      <c r="Y464" s="15">
        <v>1</v>
      </c>
    </row>
    <row r="465" spans="20:25" x14ac:dyDescent="0.15">
      <c r="T465" s="28">
        <f t="shared" si="334"/>
        <v>6443</v>
      </c>
      <c r="U465" s="26">
        <f t="shared" si="335"/>
        <v>10760</v>
      </c>
      <c r="V465" s="28">
        <f t="shared" si="336"/>
        <v>50</v>
      </c>
      <c r="W465" s="14">
        <f t="shared" si="332"/>
        <v>576</v>
      </c>
      <c r="X465" s="39">
        <f t="shared" si="333"/>
        <v>3586.6666666666665</v>
      </c>
      <c r="Y465" s="15">
        <v>1</v>
      </c>
    </row>
    <row r="466" spans="20:25" x14ac:dyDescent="0.15">
      <c r="T466" s="28">
        <f t="shared" si="334"/>
        <v>6444</v>
      </c>
      <c r="U466" s="26">
        <f t="shared" si="335"/>
        <v>11836</v>
      </c>
      <c r="V466" s="28">
        <f t="shared" si="336"/>
        <v>50</v>
      </c>
      <c r="W466" s="14">
        <f t="shared" si="332"/>
        <v>632</v>
      </c>
      <c r="X466" s="39">
        <f t="shared" si="333"/>
        <v>3945.3333333333335</v>
      </c>
      <c r="Y466" s="15">
        <v>1</v>
      </c>
    </row>
    <row r="467" spans="20:25" x14ac:dyDescent="0.15">
      <c r="T467" s="28">
        <f t="shared" si="334"/>
        <v>6445</v>
      </c>
      <c r="U467" s="26">
        <f t="shared" si="335"/>
        <v>13019</v>
      </c>
      <c r="V467" s="28">
        <f t="shared" si="336"/>
        <v>50</v>
      </c>
      <c r="W467" s="14">
        <f t="shared" si="332"/>
        <v>696</v>
      </c>
      <c r="X467" s="39">
        <f t="shared" si="333"/>
        <v>4339.6666666666661</v>
      </c>
      <c r="Y467" s="15">
        <v>1</v>
      </c>
    </row>
    <row r="468" spans="20:25" x14ac:dyDescent="0.15">
      <c r="T468" s="28">
        <f t="shared" si="334"/>
        <v>6446</v>
      </c>
      <c r="U468" s="26">
        <f t="shared" si="335"/>
        <v>14320</v>
      </c>
      <c r="V468" s="28">
        <f t="shared" si="336"/>
        <v>50</v>
      </c>
      <c r="W468" s="14">
        <f t="shared" si="332"/>
        <v>764</v>
      </c>
      <c r="X468" s="39">
        <f t="shared" si="333"/>
        <v>4773.3333333333339</v>
      </c>
      <c r="Y468" s="15">
        <v>1</v>
      </c>
    </row>
    <row r="469" spans="20:25" x14ac:dyDescent="0.15">
      <c r="T469" s="28">
        <f t="shared" si="334"/>
        <v>6447</v>
      </c>
      <c r="U469" s="26">
        <f t="shared" si="335"/>
        <v>15752</v>
      </c>
      <c r="V469" s="28">
        <f t="shared" si="336"/>
        <v>50</v>
      </c>
      <c r="W469" s="14">
        <f t="shared" si="332"/>
        <v>840</v>
      </c>
      <c r="X469" s="39">
        <f t="shared" si="333"/>
        <v>5250.6666666666661</v>
      </c>
      <c r="Y469" s="15">
        <v>1</v>
      </c>
    </row>
    <row r="470" spans="20:25" x14ac:dyDescent="0.15">
      <c r="T470" s="28">
        <f t="shared" si="334"/>
        <v>6448</v>
      </c>
      <c r="U470" s="26">
        <f t="shared" si="335"/>
        <v>17327</v>
      </c>
      <c r="V470" s="28">
        <f t="shared" si="336"/>
        <v>50</v>
      </c>
      <c r="W470" s="14">
        <f t="shared" si="332"/>
        <v>924</v>
      </c>
      <c r="X470" s="39">
        <f t="shared" si="333"/>
        <v>5775.6666666666661</v>
      </c>
      <c r="Y470" s="15">
        <v>1</v>
      </c>
    </row>
    <row r="471" spans="20:25" x14ac:dyDescent="0.15">
      <c r="T471" s="28">
        <f t="shared" si="334"/>
        <v>6449</v>
      </c>
      <c r="U471" s="26">
        <f t="shared" si="335"/>
        <v>19059</v>
      </c>
      <c r="V471" s="28">
        <f t="shared" si="336"/>
        <v>50</v>
      </c>
      <c r="W471" s="14">
        <f t="shared" si="332"/>
        <v>1016</v>
      </c>
      <c r="X471" s="39">
        <f t="shared" si="333"/>
        <v>6353</v>
      </c>
      <c r="Y471" s="15">
        <v>1</v>
      </c>
    </row>
    <row r="472" spans="20:25" x14ac:dyDescent="0.15">
      <c r="T472" s="28">
        <f t="shared" si="334"/>
        <v>6450</v>
      </c>
      <c r="U472" s="26">
        <f t="shared" si="335"/>
        <v>20964</v>
      </c>
      <c r="V472" s="28">
        <f t="shared" si="336"/>
        <v>50</v>
      </c>
      <c r="W472" s="14">
        <f t="shared" ref="W472:W535" si="337">_xlfn.FLOOR.MATH(V472*U472/15/10/RIGHT(T472,3)^0.3,2)</f>
        <v>1116</v>
      </c>
      <c r="X472" s="39">
        <f t="shared" ref="X472:X535" si="338">U472*V472/15/10</f>
        <v>6988</v>
      </c>
      <c r="Y472" s="15">
        <v>1</v>
      </c>
    </row>
    <row r="473" spans="20:25" x14ac:dyDescent="0.15">
      <c r="T473" s="28">
        <f t="shared" ref="T473:T536" si="339">T472+1</f>
        <v>6451</v>
      </c>
      <c r="U473" s="26">
        <f t="shared" si="335"/>
        <v>23060</v>
      </c>
      <c r="V473" s="28">
        <f t="shared" si="336"/>
        <v>50</v>
      </c>
      <c r="W473" s="14">
        <f t="shared" si="337"/>
        <v>1228</v>
      </c>
      <c r="X473" s="39">
        <f t="shared" si="338"/>
        <v>7686.666666666667</v>
      </c>
      <c r="Y473" s="15">
        <v>1</v>
      </c>
    </row>
    <row r="474" spans="20:25" x14ac:dyDescent="0.15">
      <c r="T474" s="28">
        <f t="shared" si="339"/>
        <v>6452</v>
      </c>
      <c r="U474" s="26">
        <f t="shared" si="335"/>
        <v>25366</v>
      </c>
      <c r="V474" s="28">
        <f t="shared" si="336"/>
        <v>50</v>
      </c>
      <c r="W474" s="14">
        <f t="shared" si="337"/>
        <v>1350</v>
      </c>
      <c r="X474" s="39">
        <f t="shared" si="338"/>
        <v>8455.3333333333321</v>
      </c>
      <c r="Y474" s="15">
        <v>1</v>
      </c>
    </row>
    <row r="475" spans="20:25" x14ac:dyDescent="0.15">
      <c r="T475" s="28">
        <f t="shared" si="339"/>
        <v>6453</v>
      </c>
      <c r="U475" s="26">
        <f t="shared" si="335"/>
        <v>27902</v>
      </c>
      <c r="V475" s="28">
        <f t="shared" si="336"/>
        <v>50</v>
      </c>
      <c r="W475" s="14">
        <f t="shared" si="337"/>
        <v>1484</v>
      </c>
      <c r="X475" s="39">
        <f t="shared" si="338"/>
        <v>9300.6666666666679</v>
      </c>
      <c r="Y475" s="15">
        <v>1</v>
      </c>
    </row>
    <row r="476" spans="20:25" x14ac:dyDescent="0.15">
      <c r="T476" s="28">
        <f t="shared" si="339"/>
        <v>6454</v>
      </c>
      <c r="U476" s="26">
        <f t="shared" si="335"/>
        <v>30692</v>
      </c>
      <c r="V476" s="28">
        <f t="shared" si="336"/>
        <v>50</v>
      </c>
      <c r="W476" s="14">
        <f t="shared" si="337"/>
        <v>1632</v>
      </c>
      <c r="X476" s="39">
        <f t="shared" si="338"/>
        <v>10230.666666666668</v>
      </c>
      <c r="Y476" s="15">
        <v>1</v>
      </c>
    </row>
    <row r="477" spans="20:25" x14ac:dyDescent="0.15">
      <c r="T477" s="28">
        <f t="shared" si="339"/>
        <v>6455</v>
      </c>
      <c r="U477" s="26">
        <f t="shared" si="335"/>
        <v>33761</v>
      </c>
      <c r="V477" s="28">
        <f t="shared" si="336"/>
        <v>50</v>
      </c>
      <c r="W477" s="14">
        <f t="shared" si="337"/>
        <v>1794</v>
      </c>
      <c r="X477" s="39">
        <f t="shared" si="338"/>
        <v>11253.666666666668</v>
      </c>
      <c r="Y477" s="15">
        <v>1</v>
      </c>
    </row>
    <row r="478" spans="20:25" x14ac:dyDescent="0.15">
      <c r="T478" s="28">
        <f t="shared" si="339"/>
        <v>6456</v>
      </c>
      <c r="U478" s="26">
        <f t="shared" si="335"/>
        <v>37137</v>
      </c>
      <c r="V478" s="28">
        <f t="shared" si="336"/>
        <v>50</v>
      </c>
      <c r="W478" s="14">
        <f t="shared" si="337"/>
        <v>1972</v>
      </c>
      <c r="X478" s="39">
        <f t="shared" si="338"/>
        <v>12379</v>
      </c>
      <c r="Y478" s="15">
        <v>1</v>
      </c>
    </row>
    <row r="479" spans="20:25" x14ac:dyDescent="0.15">
      <c r="T479" s="28">
        <f t="shared" si="339"/>
        <v>6457</v>
      </c>
      <c r="U479" s="26">
        <f t="shared" si="335"/>
        <v>40850</v>
      </c>
      <c r="V479" s="28">
        <f t="shared" si="336"/>
        <v>50</v>
      </c>
      <c r="W479" s="14">
        <f t="shared" si="337"/>
        <v>2168</v>
      </c>
      <c r="X479" s="39">
        <f t="shared" si="338"/>
        <v>13616.666666666666</v>
      </c>
      <c r="Y479" s="15">
        <v>1</v>
      </c>
    </row>
    <row r="480" spans="20:25" x14ac:dyDescent="0.15">
      <c r="T480" s="28">
        <f t="shared" si="339"/>
        <v>6458</v>
      </c>
      <c r="U480" s="26">
        <f t="shared" si="335"/>
        <v>44935</v>
      </c>
      <c r="V480" s="28">
        <f t="shared" si="336"/>
        <v>50</v>
      </c>
      <c r="W480" s="14">
        <f t="shared" si="337"/>
        <v>2382</v>
      </c>
      <c r="X480" s="39">
        <f t="shared" si="338"/>
        <v>14978.333333333334</v>
      </c>
      <c r="Y480" s="15">
        <v>1</v>
      </c>
    </row>
    <row r="481" spans="20:25" x14ac:dyDescent="0.15">
      <c r="T481" s="28">
        <f t="shared" si="339"/>
        <v>6459</v>
      </c>
      <c r="U481" s="26">
        <f t="shared" si="335"/>
        <v>49428</v>
      </c>
      <c r="V481" s="28">
        <f t="shared" si="336"/>
        <v>50</v>
      </c>
      <c r="W481" s="14">
        <f t="shared" si="337"/>
        <v>2620</v>
      </c>
      <c r="X481" s="39">
        <f t="shared" si="338"/>
        <v>16476</v>
      </c>
      <c r="Y481" s="15">
        <v>1</v>
      </c>
    </row>
    <row r="482" spans="20:25" x14ac:dyDescent="0.15">
      <c r="T482" s="28">
        <f t="shared" si="339"/>
        <v>6460</v>
      </c>
      <c r="U482" s="26">
        <f t="shared" si="335"/>
        <v>54370</v>
      </c>
      <c r="V482" s="28">
        <f t="shared" si="336"/>
        <v>50</v>
      </c>
      <c r="W482" s="14">
        <f t="shared" si="337"/>
        <v>2880</v>
      </c>
      <c r="X482" s="39">
        <f t="shared" si="338"/>
        <v>18123.333333333336</v>
      </c>
      <c r="Y482" s="15">
        <v>1</v>
      </c>
    </row>
    <row r="483" spans="20:25" x14ac:dyDescent="0.15">
      <c r="T483" s="28">
        <f t="shared" si="339"/>
        <v>6461</v>
      </c>
      <c r="U483" s="26">
        <f t="shared" si="335"/>
        <v>59807</v>
      </c>
      <c r="V483" s="28">
        <f t="shared" si="336"/>
        <v>50</v>
      </c>
      <c r="W483" s="14">
        <f t="shared" si="337"/>
        <v>3166</v>
      </c>
      <c r="X483" s="39">
        <f t="shared" si="338"/>
        <v>19935.666666666664</v>
      </c>
      <c r="Y483" s="15">
        <v>1</v>
      </c>
    </row>
    <row r="484" spans="20:25" x14ac:dyDescent="0.15">
      <c r="T484" s="28">
        <f t="shared" si="339"/>
        <v>6462</v>
      </c>
      <c r="U484" s="26">
        <f t="shared" si="335"/>
        <v>65787</v>
      </c>
      <c r="V484" s="28">
        <f t="shared" si="336"/>
        <v>50</v>
      </c>
      <c r="W484" s="14">
        <f t="shared" si="337"/>
        <v>3480</v>
      </c>
      <c r="X484" s="39">
        <f t="shared" si="338"/>
        <v>21929</v>
      </c>
      <c r="Y484" s="15">
        <v>1</v>
      </c>
    </row>
    <row r="485" spans="20:25" x14ac:dyDescent="0.15">
      <c r="T485" s="28">
        <f t="shared" si="339"/>
        <v>6463</v>
      </c>
      <c r="U485" s="26">
        <f t="shared" si="335"/>
        <v>72365</v>
      </c>
      <c r="V485" s="28">
        <f t="shared" si="336"/>
        <v>50</v>
      </c>
      <c r="W485" s="14">
        <f t="shared" si="337"/>
        <v>3824</v>
      </c>
      <c r="X485" s="39">
        <f t="shared" si="338"/>
        <v>24121.666666666664</v>
      </c>
      <c r="Y485" s="15">
        <v>1</v>
      </c>
    </row>
    <row r="486" spans="20:25" x14ac:dyDescent="0.15">
      <c r="T486" s="28">
        <f t="shared" si="339"/>
        <v>6464</v>
      </c>
      <c r="U486" s="26">
        <f t="shared" si="335"/>
        <v>79601</v>
      </c>
      <c r="V486" s="28">
        <f t="shared" si="336"/>
        <v>50</v>
      </c>
      <c r="W486" s="14">
        <f t="shared" si="337"/>
        <v>4204</v>
      </c>
      <c r="X486" s="39">
        <f t="shared" si="338"/>
        <v>26533.666666666668</v>
      </c>
      <c r="Y486" s="15">
        <v>1</v>
      </c>
    </row>
    <row r="487" spans="20:25" x14ac:dyDescent="0.15">
      <c r="T487" s="28">
        <f t="shared" si="339"/>
        <v>6465</v>
      </c>
      <c r="U487" s="26">
        <f t="shared" si="335"/>
        <v>87561</v>
      </c>
      <c r="V487" s="28">
        <f t="shared" si="336"/>
        <v>50</v>
      </c>
      <c r="W487" s="14">
        <f t="shared" si="337"/>
        <v>4622</v>
      </c>
      <c r="X487" s="39">
        <f t="shared" si="338"/>
        <v>29187</v>
      </c>
      <c r="Y487" s="15">
        <v>1</v>
      </c>
    </row>
    <row r="488" spans="20:25" x14ac:dyDescent="0.15">
      <c r="T488" s="28">
        <f t="shared" si="339"/>
        <v>6466</v>
      </c>
      <c r="U488" s="26">
        <f t="shared" ref="U488:U522" si="340">INT(U487*$U$18)</f>
        <v>96317</v>
      </c>
      <c r="V488" s="28">
        <f t="shared" ref="V488:V522" si="341">V487</f>
        <v>50</v>
      </c>
      <c r="W488" s="14">
        <f t="shared" si="337"/>
        <v>5082</v>
      </c>
      <c r="X488" s="39">
        <f t="shared" si="338"/>
        <v>32105.666666666668</v>
      </c>
      <c r="Y488" s="15">
        <v>1</v>
      </c>
    </row>
    <row r="489" spans="20:25" x14ac:dyDescent="0.15">
      <c r="T489" s="28">
        <f t="shared" si="339"/>
        <v>6467</v>
      </c>
      <c r="U489" s="26">
        <f t="shared" si="340"/>
        <v>105948</v>
      </c>
      <c r="V489" s="28">
        <f t="shared" si="341"/>
        <v>50</v>
      </c>
      <c r="W489" s="14">
        <f t="shared" si="337"/>
        <v>5586</v>
      </c>
      <c r="X489" s="39">
        <f t="shared" si="338"/>
        <v>35316</v>
      </c>
      <c r="Y489" s="15">
        <v>1</v>
      </c>
    </row>
    <row r="490" spans="20:25" x14ac:dyDescent="0.15">
      <c r="T490" s="28">
        <f t="shared" si="339"/>
        <v>6468</v>
      </c>
      <c r="U490" s="26">
        <f t="shared" si="340"/>
        <v>116542</v>
      </c>
      <c r="V490" s="28">
        <f t="shared" si="341"/>
        <v>50</v>
      </c>
      <c r="W490" s="14">
        <f t="shared" si="337"/>
        <v>6140</v>
      </c>
      <c r="X490" s="39">
        <f t="shared" si="338"/>
        <v>38847.333333333328</v>
      </c>
      <c r="Y490" s="15">
        <v>1</v>
      </c>
    </row>
    <row r="491" spans="20:25" x14ac:dyDescent="0.15">
      <c r="T491" s="28">
        <f t="shared" si="339"/>
        <v>6469</v>
      </c>
      <c r="U491" s="26">
        <f t="shared" si="340"/>
        <v>128196</v>
      </c>
      <c r="V491" s="28">
        <f t="shared" si="341"/>
        <v>50</v>
      </c>
      <c r="W491" s="14">
        <f t="shared" si="337"/>
        <v>6750</v>
      </c>
      <c r="X491" s="39">
        <f t="shared" si="338"/>
        <v>42732</v>
      </c>
      <c r="Y491" s="15">
        <v>1</v>
      </c>
    </row>
    <row r="492" spans="20:25" x14ac:dyDescent="0.15">
      <c r="T492" s="28">
        <f t="shared" si="339"/>
        <v>6470</v>
      </c>
      <c r="U492" s="26">
        <f t="shared" si="340"/>
        <v>141015</v>
      </c>
      <c r="V492" s="28">
        <f t="shared" si="341"/>
        <v>50</v>
      </c>
      <c r="W492" s="14">
        <f t="shared" si="337"/>
        <v>7420</v>
      </c>
      <c r="X492" s="39">
        <f t="shared" si="338"/>
        <v>47005</v>
      </c>
      <c r="Y492" s="15">
        <v>1</v>
      </c>
    </row>
    <row r="493" spans="20:25" x14ac:dyDescent="0.15">
      <c r="T493" s="28">
        <f t="shared" si="339"/>
        <v>6471</v>
      </c>
      <c r="U493" s="26">
        <f t="shared" si="340"/>
        <v>155116</v>
      </c>
      <c r="V493" s="28">
        <f t="shared" si="341"/>
        <v>50</v>
      </c>
      <c r="W493" s="14">
        <f t="shared" si="337"/>
        <v>8158</v>
      </c>
      <c r="X493" s="39">
        <f t="shared" si="338"/>
        <v>51705.333333333328</v>
      </c>
      <c r="Y493" s="15">
        <v>1</v>
      </c>
    </row>
    <row r="494" spans="20:25" x14ac:dyDescent="0.15">
      <c r="T494" s="28">
        <f t="shared" si="339"/>
        <v>6472</v>
      </c>
      <c r="U494" s="26">
        <f t="shared" si="340"/>
        <v>170627</v>
      </c>
      <c r="V494" s="28">
        <f t="shared" si="341"/>
        <v>50</v>
      </c>
      <c r="W494" s="14">
        <f t="shared" si="337"/>
        <v>8968</v>
      </c>
      <c r="X494" s="39">
        <f t="shared" si="338"/>
        <v>56875.666666666664</v>
      </c>
      <c r="Y494" s="15">
        <v>1</v>
      </c>
    </row>
    <row r="495" spans="20:25" x14ac:dyDescent="0.15">
      <c r="T495" s="28">
        <f t="shared" si="339"/>
        <v>6473</v>
      </c>
      <c r="U495" s="26">
        <f t="shared" si="340"/>
        <v>187689</v>
      </c>
      <c r="V495" s="28">
        <f t="shared" si="341"/>
        <v>50</v>
      </c>
      <c r="W495" s="14">
        <f t="shared" si="337"/>
        <v>9858</v>
      </c>
      <c r="X495" s="39">
        <f t="shared" si="338"/>
        <v>62563</v>
      </c>
      <c r="Y495" s="15">
        <v>1</v>
      </c>
    </row>
    <row r="496" spans="20:25" x14ac:dyDescent="0.15">
      <c r="T496" s="28">
        <f t="shared" si="339"/>
        <v>6474</v>
      </c>
      <c r="U496" s="26">
        <f t="shared" si="340"/>
        <v>206457</v>
      </c>
      <c r="V496" s="28">
        <f t="shared" si="341"/>
        <v>50</v>
      </c>
      <c r="W496" s="14">
        <f t="shared" si="337"/>
        <v>10838</v>
      </c>
      <c r="X496" s="39">
        <f t="shared" si="338"/>
        <v>68819</v>
      </c>
      <c r="Y496" s="15">
        <v>1</v>
      </c>
    </row>
    <row r="497" spans="20:25" x14ac:dyDescent="0.15">
      <c r="T497" s="28">
        <f t="shared" si="339"/>
        <v>6475</v>
      </c>
      <c r="U497" s="26">
        <f t="shared" si="340"/>
        <v>227102</v>
      </c>
      <c r="V497" s="28">
        <f t="shared" si="341"/>
        <v>50</v>
      </c>
      <c r="W497" s="14">
        <f t="shared" si="337"/>
        <v>11914</v>
      </c>
      <c r="X497" s="39">
        <f t="shared" si="338"/>
        <v>75700.666666666657</v>
      </c>
      <c r="Y497" s="15">
        <v>1</v>
      </c>
    </row>
    <row r="498" spans="20:25" x14ac:dyDescent="0.15">
      <c r="T498" s="28">
        <f t="shared" si="339"/>
        <v>6476</v>
      </c>
      <c r="U498" s="26">
        <f t="shared" si="340"/>
        <v>249812</v>
      </c>
      <c r="V498" s="28">
        <f t="shared" si="341"/>
        <v>50</v>
      </c>
      <c r="W498" s="14">
        <f t="shared" si="337"/>
        <v>13098</v>
      </c>
      <c r="X498" s="39">
        <f t="shared" si="338"/>
        <v>83270.666666666657</v>
      </c>
      <c r="Y498" s="15">
        <v>1</v>
      </c>
    </row>
    <row r="499" spans="20:25" x14ac:dyDescent="0.15">
      <c r="T499" s="28">
        <f t="shared" si="339"/>
        <v>6477</v>
      </c>
      <c r="U499" s="26">
        <f t="shared" si="340"/>
        <v>274793</v>
      </c>
      <c r="V499" s="28">
        <f t="shared" si="341"/>
        <v>50</v>
      </c>
      <c r="W499" s="14">
        <f t="shared" si="337"/>
        <v>14398</v>
      </c>
      <c r="X499" s="39">
        <f t="shared" si="338"/>
        <v>91597.666666666657</v>
      </c>
      <c r="Y499" s="15">
        <v>1</v>
      </c>
    </row>
    <row r="500" spans="20:25" x14ac:dyDescent="0.15">
      <c r="T500" s="28">
        <f t="shared" si="339"/>
        <v>6478</v>
      </c>
      <c r="U500" s="26">
        <f t="shared" si="340"/>
        <v>302272</v>
      </c>
      <c r="V500" s="28">
        <f t="shared" si="341"/>
        <v>50</v>
      </c>
      <c r="W500" s="14">
        <f t="shared" si="337"/>
        <v>15828</v>
      </c>
      <c r="X500" s="39">
        <f t="shared" si="338"/>
        <v>100757.33333333334</v>
      </c>
      <c r="Y500" s="15">
        <v>1</v>
      </c>
    </row>
    <row r="501" spans="20:25" x14ac:dyDescent="0.15">
      <c r="T501" s="28">
        <f t="shared" si="339"/>
        <v>6479</v>
      </c>
      <c r="U501" s="26">
        <f t="shared" si="340"/>
        <v>332499</v>
      </c>
      <c r="V501" s="28">
        <f t="shared" si="341"/>
        <v>50</v>
      </c>
      <c r="W501" s="14">
        <f t="shared" si="337"/>
        <v>17400</v>
      </c>
      <c r="X501" s="39">
        <f t="shared" si="338"/>
        <v>110833</v>
      </c>
      <c r="Y501" s="15">
        <v>1</v>
      </c>
    </row>
    <row r="502" spans="20:25" x14ac:dyDescent="0.15">
      <c r="T502" s="28">
        <f t="shared" si="339"/>
        <v>6480</v>
      </c>
      <c r="U502" s="26">
        <f t="shared" si="340"/>
        <v>365748</v>
      </c>
      <c r="V502" s="28">
        <f t="shared" si="341"/>
        <v>50</v>
      </c>
      <c r="W502" s="14">
        <f t="shared" si="337"/>
        <v>19128</v>
      </c>
      <c r="X502" s="39">
        <f t="shared" si="338"/>
        <v>121916</v>
      </c>
      <c r="Y502" s="15">
        <v>1</v>
      </c>
    </row>
    <row r="503" spans="20:25" x14ac:dyDescent="0.15">
      <c r="T503" s="28">
        <f t="shared" si="339"/>
        <v>6481</v>
      </c>
      <c r="U503" s="26">
        <f t="shared" si="340"/>
        <v>402322</v>
      </c>
      <c r="V503" s="28">
        <f t="shared" si="341"/>
        <v>50</v>
      </c>
      <c r="W503" s="14">
        <f t="shared" si="337"/>
        <v>21028</v>
      </c>
      <c r="X503" s="39">
        <f t="shared" si="338"/>
        <v>134107.33333333331</v>
      </c>
      <c r="Y503" s="15">
        <v>1</v>
      </c>
    </row>
    <row r="504" spans="20:25" x14ac:dyDescent="0.15">
      <c r="T504" s="28">
        <f t="shared" si="339"/>
        <v>6482</v>
      </c>
      <c r="U504" s="26">
        <f t="shared" si="340"/>
        <v>442554</v>
      </c>
      <c r="V504" s="28">
        <f t="shared" si="341"/>
        <v>50</v>
      </c>
      <c r="W504" s="14">
        <f t="shared" si="337"/>
        <v>23116</v>
      </c>
      <c r="X504" s="39">
        <f t="shared" si="338"/>
        <v>147518</v>
      </c>
      <c r="Y504" s="15">
        <v>1</v>
      </c>
    </row>
    <row r="505" spans="20:25" x14ac:dyDescent="0.15">
      <c r="T505" s="28">
        <f t="shared" si="339"/>
        <v>6483</v>
      </c>
      <c r="U505" s="26">
        <f t="shared" si="340"/>
        <v>486809</v>
      </c>
      <c r="V505" s="28">
        <f t="shared" si="341"/>
        <v>50</v>
      </c>
      <c r="W505" s="14">
        <f t="shared" si="337"/>
        <v>25412</v>
      </c>
      <c r="X505" s="39">
        <f t="shared" si="338"/>
        <v>162269.66666666669</v>
      </c>
      <c r="Y505" s="15">
        <v>1</v>
      </c>
    </row>
    <row r="506" spans="20:25" x14ac:dyDescent="0.15">
      <c r="T506" s="28">
        <f t="shared" si="339"/>
        <v>6484</v>
      </c>
      <c r="U506" s="26">
        <f t="shared" si="340"/>
        <v>535489</v>
      </c>
      <c r="V506" s="28">
        <f t="shared" si="341"/>
        <v>50</v>
      </c>
      <c r="W506" s="14">
        <f t="shared" si="337"/>
        <v>27936</v>
      </c>
      <c r="X506" s="39">
        <f t="shared" si="338"/>
        <v>178496.33333333331</v>
      </c>
      <c r="Y506" s="15">
        <v>1</v>
      </c>
    </row>
    <row r="507" spans="20:25" x14ac:dyDescent="0.15">
      <c r="T507" s="28">
        <f t="shared" si="339"/>
        <v>6485</v>
      </c>
      <c r="U507" s="26">
        <f t="shared" si="340"/>
        <v>589037</v>
      </c>
      <c r="V507" s="28">
        <f t="shared" si="341"/>
        <v>50</v>
      </c>
      <c r="W507" s="14">
        <f t="shared" si="337"/>
        <v>30710</v>
      </c>
      <c r="X507" s="39">
        <f t="shared" si="338"/>
        <v>196345.66666666669</v>
      </c>
      <c r="Y507" s="15">
        <v>1</v>
      </c>
    </row>
    <row r="508" spans="20:25" x14ac:dyDescent="0.15">
      <c r="T508" s="28">
        <f t="shared" si="339"/>
        <v>6486</v>
      </c>
      <c r="U508" s="26">
        <f t="shared" si="340"/>
        <v>647940</v>
      </c>
      <c r="V508" s="28">
        <f t="shared" si="341"/>
        <v>50</v>
      </c>
      <c r="W508" s="14">
        <f t="shared" si="337"/>
        <v>33760</v>
      </c>
      <c r="X508" s="39">
        <f t="shared" si="338"/>
        <v>215980</v>
      </c>
      <c r="Y508" s="15">
        <v>1</v>
      </c>
    </row>
    <row r="509" spans="20:25" x14ac:dyDescent="0.15">
      <c r="T509" s="28">
        <f t="shared" si="339"/>
        <v>6487</v>
      </c>
      <c r="U509" s="26">
        <f t="shared" si="340"/>
        <v>712734</v>
      </c>
      <c r="V509" s="28">
        <f t="shared" si="341"/>
        <v>50</v>
      </c>
      <c r="W509" s="14">
        <f t="shared" si="337"/>
        <v>37114</v>
      </c>
      <c r="X509" s="39">
        <f t="shared" si="338"/>
        <v>237578</v>
      </c>
      <c r="Y509" s="15">
        <v>1</v>
      </c>
    </row>
    <row r="510" spans="20:25" x14ac:dyDescent="0.15">
      <c r="T510" s="28">
        <f t="shared" si="339"/>
        <v>6488</v>
      </c>
      <c r="U510" s="26">
        <f t="shared" si="340"/>
        <v>784007</v>
      </c>
      <c r="V510" s="28">
        <f t="shared" si="341"/>
        <v>50</v>
      </c>
      <c r="W510" s="14">
        <f t="shared" si="337"/>
        <v>40800</v>
      </c>
      <c r="X510" s="39">
        <f t="shared" si="338"/>
        <v>261335.66666666666</v>
      </c>
      <c r="Y510" s="15">
        <v>1</v>
      </c>
    </row>
    <row r="511" spans="20:25" x14ac:dyDescent="0.15">
      <c r="T511" s="28">
        <f t="shared" si="339"/>
        <v>6489</v>
      </c>
      <c r="U511" s="26">
        <f t="shared" si="340"/>
        <v>862407</v>
      </c>
      <c r="V511" s="28">
        <f t="shared" si="341"/>
        <v>50</v>
      </c>
      <c r="W511" s="14">
        <f t="shared" si="337"/>
        <v>44852</v>
      </c>
      <c r="X511" s="39">
        <f t="shared" si="338"/>
        <v>287469</v>
      </c>
      <c r="Y511" s="15">
        <v>1</v>
      </c>
    </row>
    <row r="512" spans="20:25" x14ac:dyDescent="0.15">
      <c r="T512" s="28">
        <f t="shared" si="339"/>
        <v>6490</v>
      </c>
      <c r="U512" s="26">
        <f t="shared" si="340"/>
        <v>948647</v>
      </c>
      <c r="V512" s="28">
        <f t="shared" si="341"/>
        <v>50</v>
      </c>
      <c r="W512" s="14">
        <f t="shared" si="337"/>
        <v>49308</v>
      </c>
      <c r="X512" s="39">
        <f t="shared" si="338"/>
        <v>316215.66666666663</v>
      </c>
      <c r="Y512" s="15">
        <v>1</v>
      </c>
    </row>
    <row r="513" spans="20:25" x14ac:dyDescent="0.15">
      <c r="T513" s="28">
        <f t="shared" si="339"/>
        <v>6491</v>
      </c>
      <c r="U513" s="26">
        <f t="shared" si="340"/>
        <v>1043511</v>
      </c>
      <c r="V513" s="28">
        <f t="shared" si="341"/>
        <v>50</v>
      </c>
      <c r="W513" s="14">
        <f t="shared" si="337"/>
        <v>54206</v>
      </c>
      <c r="X513" s="39">
        <f t="shared" si="338"/>
        <v>347837</v>
      </c>
      <c r="Y513" s="15">
        <v>1</v>
      </c>
    </row>
    <row r="514" spans="20:25" x14ac:dyDescent="0.15">
      <c r="T514" s="28">
        <f t="shared" si="339"/>
        <v>6492</v>
      </c>
      <c r="U514" s="26">
        <f t="shared" si="340"/>
        <v>1147862</v>
      </c>
      <c r="V514" s="28">
        <f t="shared" si="341"/>
        <v>50</v>
      </c>
      <c r="W514" s="14">
        <f t="shared" si="337"/>
        <v>59590</v>
      </c>
      <c r="X514" s="39">
        <f t="shared" si="338"/>
        <v>382620.66666666663</v>
      </c>
      <c r="Y514" s="15">
        <v>1</v>
      </c>
    </row>
    <row r="515" spans="20:25" x14ac:dyDescent="0.15">
      <c r="T515" s="28">
        <f t="shared" si="339"/>
        <v>6493</v>
      </c>
      <c r="U515" s="26">
        <f t="shared" si="340"/>
        <v>1262648</v>
      </c>
      <c r="V515" s="28">
        <f t="shared" si="341"/>
        <v>50</v>
      </c>
      <c r="W515" s="14">
        <f t="shared" si="337"/>
        <v>65508</v>
      </c>
      <c r="X515" s="39">
        <f t="shared" si="338"/>
        <v>420882.66666666669</v>
      </c>
      <c r="Y515" s="15">
        <v>1</v>
      </c>
    </row>
    <row r="516" spans="20:25" x14ac:dyDescent="0.15">
      <c r="T516" s="28">
        <f t="shared" si="339"/>
        <v>6494</v>
      </c>
      <c r="U516" s="26">
        <f t="shared" si="340"/>
        <v>1388912</v>
      </c>
      <c r="V516" s="28">
        <f t="shared" si="341"/>
        <v>50</v>
      </c>
      <c r="W516" s="14">
        <f t="shared" si="337"/>
        <v>72016</v>
      </c>
      <c r="X516" s="39">
        <f t="shared" si="338"/>
        <v>462970.66666666669</v>
      </c>
      <c r="Y516" s="15">
        <v>1</v>
      </c>
    </row>
    <row r="517" spans="20:25" x14ac:dyDescent="0.15">
      <c r="T517" s="28">
        <f t="shared" si="339"/>
        <v>6495</v>
      </c>
      <c r="U517" s="26">
        <f t="shared" si="340"/>
        <v>1527803</v>
      </c>
      <c r="V517" s="28">
        <f t="shared" si="341"/>
        <v>50</v>
      </c>
      <c r="W517" s="14">
        <f t="shared" si="337"/>
        <v>79170</v>
      </c>
      <c r="X517" s="39">
        <f t="shared" si="338"/>
        <v>509267.66666666669</v>
      </c>
      <c r="Y517" s="15">
        <v>1</v>
      </c>
    </row>
    <row r="518" spans="20:25" x14ac:dyDescent="0.15">
      <c r="T518" s="28">
        <f t="shared" si="339"/>
        <v>6496</v>
      </c>
      <c r="U518" s="26">
        <f t="shared" si="340"/>
        <v>1680583</v>
      </c>
      <c r="V518" s="28">
        <f t="shared" si="341"/>
        <v>50</v>
      </c>
      <c r="W518" s="14">
        <f t="shared" si="337"/>
        <v>87034</v>
      </c>
      <c r="X518" s="39">
        <f t="shared" si="338"/>
        <v>560194.33333333326</v>
      </c>
      <c r="Y518" s="15">
        <v>1</v>
      </c>
    </row>
    <row r="519" spans="20:25" x14ac:dyDescent="0.15">
      <c r="T519" s="28">
        <f t="shared" si="339"/>
        <v>6497</v>
      </c>
      <c r="U519" s="26">
        <f t="shared" si="340"/>
        <v>1848641</v>
      </c>
      <c r="V519" s="28">
        <f t="shared" si="341"/>
        <v>50</v>
      </c>
      <c r="W519" s="14">
        <f t="shared" si="337"/>
        <v>95680</v>
      </c>
      <c r="X519" s="39">
        <f t="shared" si="338"/>
        <v>616213.66666666674</v>
      </c>
      <c r="Y519" s="15">
        <v>1</v>
      </c>
    </row>
    <row r="520" spans="20:25" x14ac:dyDescent="0.15">
      <c r="T520" s="28">
        <f t="shared" si="339"/>
        <v>6498</v>
      </c>
      <c r="U520" s="26">
        <f t="shared" si="340"/>
        <v>2033505</v>
      </c>
      <c r="V520" s="28">
        <f t="shared" si="341"/>
        <v>50</v>
      </c>
      <c r="W520" s="14">
        <f t="shared" si="337"/>
        <v>105184</v>
      </c>
      <c r="X520" s="39">
        <f t="shared" si="338"/>
        <v>677835</v>
      </c>
      <c r="Y520" s="15">
        <v>1</v>
      </c>
    </row>
    <row r="521" spans="20:25" x14ac:dyDescent="0.15">
      <c r="T521" s="28">
        <f t="shared" si="339"/>
        <v>6499</v>
      </c>
      <c r="U521" s="26">
        <f t="shared" si="340"/>
        <v>2236855</v>
      </c>
      <c r="V521" s="28">
        <f t="shared" si="341"/>
        <v>50</v>
      </c>
      <c r="W521" s="14">
        <f t="shared" si="337"/>
        <v>115634</v>
      </c>
      <c r="X521" s="39">
        <f t="shared" si="338"/>
        <v>745618.33333333326</v>
      </c>
      <c r="Y521" s="15">
        <v>1</v>
      </c>
    </row>
    <row r="522" spans="20:25" x14ac:dyDescent="0.15">
      <c r="T522" s="28">
        <f t="shared" si="339"/>
        <v>6500</v>
      </c>
      <c r="U522" s="26">
        <f t="shared" si="340"/>
        <v>2460540</v>
      </c>
      <c r="V522" s="28">
        <f t="shared" si="341"/>
        <v>50</v>
      </c>
      <c r="W522" s="14">
        <f t="shared" si="337"/>
        <v>127120</v>
      </c>
      <c r="X522" s="39">
        <f t="shared" si="338"/>
        <v>820180</v>
      </c>
      <c r="Y522" s="15">
        <v>1</v>
      </c>
    </row>
    <row r="523" spans="20:25" x14ac:dyDescent="0.15">
      <c r="T523" s="28">
        <f t="shared" si="339"/>
        <v>6501</v>
      </c>
      <c r="U523" s="38">
        <v>200</v>
      </c>
      <c r="V523" s="36">
        <f>V423+10</f>
        <v>60</v>
      </c>
      <c r="W523" s="14">
        <f t="shared" si="337"/>
        <v>12</v>
      </c>
      <c r="X523" s="39">
        <f t="shared" si="338"/>
        <v>80</v>
      </c>
      <c r="Y523" s="15">
        <v>1</v>
      </c>
    </row>
    <row r="524" spans="20:25" x14ac:dyDescent="0.15">
      <c r="T524" s="28">
        <f t="shared" si="339"/>
        <v>6502</v>
      </c>
      <c r="U524" s="26">
        <f t="shared" ref="U524:U587" si="342">INT(U523*$U$18)</f>
        <v>220</v>
      </c>
      <c r="V524" s="28">
        <f t="shared" ref="V524:V587" si="343">V523</f>
        <v>60</v>
      </c>
      <c r="W524" s="14">
        <f t="shared" si="337"/>
        <v>12</v>
      </c>
      <c r="X524" s="39">
        <f t="shared" si="338"/>
        <v>88</v>
      </c>
      <c r="Y524" s="15">
        <v>1</v>
      </c>
    </row>
    <row r="525" spans="20:25" x14ac:dyDescent="0.15">
      <c r="T525" s="28">
        <f t="shared" si="339"/>
        <v>6503</v>
      </c>
      <c r="U525" s="26">
        <f t="shared" si="342"/>
        <v>242</v>
      </c>
      <c r="V525" s="28">
        <f t="shared" si="343"/>
        <v>60</v>
      </c>
      <c r="W525" s="14">
        <f t="shared" si="337"/>
        <v>14</v>
      </c>
      <c r="X525" s="39">
        <f t="shared" si="338"/>
        <v>96.8</v>
      </c>
      <c r="Y525" s="15">
        <v>1</v>
      </c>
    </row>
    <row r="526" spans="20:25" x14ac:dyDescent="0.15">
      <c r="T526" s="28">
        <f t="shared" si="339"/>
        <v>6504</v>
      </c>
      <c r="U526" s="26">
        <f t="shared" si="342"/>
        <v>266</v>
      </c>
      <c r="V526" s="28">
        <f t="shared" si="343"/>
        <v>60</v>
      </c>
      <c r="W526" s="14">
        <f t="shared" si="337"/>
        <v>16</v>
      </c>
      <c r="X526" s="39">
        <f t="shared" si="338"/>
        <v>106.4</v>
      </c>
      <c r="Y526" s="15">
        <v>1</v>
      </c>
    </row>
    <row r="527" spans="20:25" x14ac:dyDescent="0.15">
      <c r="T527" s="28">
        <f t="shared" si="339"/>
        <v>6505</v>
      </c>
      <c r="U527" s="26">
        <f t="shared" si="342"/>
        <v>292</v>
      </c>
      <c r="V527" s="28">
        <f t="shared" si="343"/>
        <v>60</v>
      </c>
      <c r="W527" s="14">
        <f t="shared" si="337"/>
        <v>18</v>
      </c>
      <c r="X527" s="39">
        <f t="shared" si="338"/>
        <v>116.8</v>
      </c>
      <c r="Y527" s="15">
        <v>1</v>
      </c>
    </row>
    <row r="528" spans="20:25" x14ac:dyDescent="0.15">
      <c r="T528" s="28">
        <f t="shared" si="339"/>
        <v>6506</v>
      </c>
      <c r="U528" s="26">
        <f t="shared" si="342"/>
        <v>321</v>
      </c>
      <c r="V528" s="28">
        <f t="shared" si="343"/>
        <v>60</v>
      </c>
      <c r="W528" s="14">
        <f t="shared" si="337"/>
        <v>18</v>
      </c>
      <c r="X528" s="39">
        <f t="shared" si="338"/>
        <v>128.4</v>
      </c>
      <c r="Y528" s="15">
        <v>1</v>
      </c>
    </row>
    <row r="529" spans="20:25" x14ac:dyDescent="0.15">
      <c r="T529" s="28">
        <f t="shared" si="339"/>
        <v>6507</v>
      </c>
      <c r="U529" s="26">
        <f t="shared" si="342"/>
        <v>353</v>
      </c>
      <c r="V529" s="28">
        <f t="shared" si="343"/>
        <v>60</v>
      </c>
      <c r="W529" s="14">
        <f t="shared" si="337"/>
        <v>20</v>
      </c>
      <c r="X529" s="39">
        <f t="shared" si="338"/>
        <v>141.19999999999999</v>
      </c>
      <c r="Y529" s="15">
        <v>1</v>
      </c>
    </row>
    <row r="530" spans="20:25" x14ac:dyDescent="0.15">
      <c r="T530" s="28">
        <f t="shared" si="339"/>
        <v>6508</v>
      </c>
      <c r="U530" s="26">
        <f t="shared" si="342"/>
        <v>388</v>
      </c>
      <c r="V530" s="28">
        <f t="shared" si="343"/>
        <v>60</v>
      </c>
      <c r="W530" s="14">
        <f t="shared" si="337"/>
        <v>22</v>
      </c>
      <c r="X530" s="39">
        <f t="shared" si="338"/>
        <v>155.19999999999999</v>
      </c>
      <c r="Y530" s="15">
        <v>1</v>
      </c>
    </row>
    <row r="531" spans="20:25" x14ac:dyDescent="0.15">
      <c r="T531" s="28">
        <f t="shared" si="339"/>
        <v>6509</v>
      </c>
      <c r="U531" s="26">
        <f t="shared" si="342"/>
        <v>426</v>
      </c>
      <c r="V531" s="28">
        <f t="shared" si="343"/>
        <v>60</v>
      </c>
      <c r="W531" s="14">
        <f t="shared" si="337"/>
        <v>26</v>
      </c>
      <c r="X531" s="39">
        <f t="shared" si="338"/>
        <v>170.4</v>
      </c>
      <c r="Y531" s="15">
        <v>1</v>
      </c>
    </row>
    <row r="532" spans="20:25" x14ac:dyDescent="0.15">
      <c r="T532" s="28">
        <f t="shared" si="339"/>
        <v>6510</v>
      </c>
      <c r="U532" s="26">
        <f t="shared" si="342"/>
        <v>468</v>
      </c>
      <c r="V532" s="28">
        <f t="shared" si="343"/>
        <v>60</v>
      </c>
      <c r="W532" s="14">
        <f t="shared" si="337"/>
        <v>28</v>
      </c>
      <c r="X532" s="39">
        <f t="shared" si="338"/>
        <v>187.2</v>
      </c>
      <c r="Y532" s="15">
        <v>1</v>
      </c>
    </row>
    <row r="533" spans="20:25" x14ac:dyDescent="0.15">
      <c r="T533" s="28">
        <f t="shared" si="339"/>
        <v>6511</v>
      </c>
      <c r="U533" s="26">
        <f t="shared" si="342"/>
        <v>514</v>
      </c>
      <c r="V533" s="28">
        <f t="shared" si="343"/>
        <v>60</v>
      </c>
      <c r="W533" s="14">
        <f t="shared" si="337"/>
        <v>30</v>
      </c>
      <c r="X533" s="39">
        <f t="shared" si="338"/>
        <v>205.6</v>
      </c>
      <c r="Y533" s="15">
        <v>1</v>
      </c>
    </row>
    <row r="534" spans="20:25" x14ac:dyDescent="0.15">
      <c r="T534" s="28">
        <f t="shared" si="339"/>
        <v>6512</v>
      </c>
      <c r="U534" s="26">
        <f t="shared" si="342"/>
        <v>565</v>
      </c>
      <c r="V534" s="28">
        <f t="shared" si="343"/>
        <v>60</v>
      </c>
      <c r="W534" s="14">
        <f t="shared" si="337"/>
        <v>34</v>
      </c>
      <c r="X534" s="39">
        <f t="shared" si="338"/>
        <v>226</v>
      </c>
      <c r="Y534" s="15">
        <v>1</v>
      </c>
    </row>
    <row r="535" spans="20:25" x14ac:dyDescent="0.15">
      <c r="T535" s="28">
        <f t="shared" si="339"/>
        <v>6513</v>
      </c>
      <c r="U535" s="26">
        <f t="shared" si="342"/>
        <v>621</v>
      </c>
      <c r="V535" s="28">
        <f t="shared" si="343"/>
        <v>60</v>
      </c>
      <c r="W535" s="14">
        <f t="shared" si="337"/>
        <v>38</v>
      </c>
      <c r="X535" s="39">
        <f t="shared" si="338"/>
        <v>248.4</v>
      </c>
      <c r="Y535" s="15">
        <v>1</v>
      </c>
    </row>
    <row r="536" spans="20:25" x14ac:dyDescent="0.15">
      <c r="T536" s="28">
        <f t="shared" si="339"/>
        <v>6514</v>
      </c>
      <c r="U536" s="26">
        <f t="shared" si="342"/>
        <v>683</v>
      </c>
      <c r="V536" s="28">
        <f t="shared" si="343"/>
        <v>60</v>
      </c>
      <c r="W536" s="14">
        <f t="shared" ref="W536:W599" si="344">_xlfn.FLOOR.MATH(V536*U536/15/10/RIGHT(T536,3)^0.3,2)</f>
        <v>40</v>
      </c>
      <c r="X536" s="39">
        <f t="shared" ref="X536:X599" si="345">U536*V536/15/10</f>
        <v>273.2</v>
      </c>
      <c r="Y536" s="15">
        <v>1</v>
      </c>
    </row>
    <row r="537" spans="20:25" x14ac:dyDescent="0.15">
      <c r="T537" s="28">
        <f t="shared" ref="T537:T600" si="346">T536+1</f>
        <v>6515</v>
      </c>
      <c r="U537" s="26">
        <f t="shared" si="342"/>
        <v>751</v>
      </c>
      <c r="V537" s="28">
        <f t="shared" si="343"/>
        <v>60</v>
      </c>
      <c r="W537" s="14">
        <f t="shared" si="344"/>
        <v>46</v>
      </c>
      <c r="X537" s="39">
        <f t="shared" si="345"/>
        <v>300.39999999999998</v>
      </c>
      <c r="Y537" s="15">
        <v>1</v>
      </c>
    </row>
    <row r="538" spans="20:25" x14ac:dyDescent="0.15">
      <c r="T538" s="28">
        <f t="shared" si="346"/>
        <v>6516</v>
      </c>
      <c r="U538" s="26">
        <f t="shared" si="342"/>
        <v>826</v>
      </c>
      <c r="V538" s="28">
        <f t="shared" si="343"/>
        <v>60</v>
      </c>
      <c r="W538" s="14">
        <f t="shared" si="344"/>
        <v>50</v>
      </c>
      <c r="X538" s="39">
        <f t="shared" si="345"/>
        <v>330.4</v>
      </c>
      <c r="Y538" s="15">
        <v>1</v>
      </c>
    </row>
    <row r="539" spans="20:25" x14ac:dyDescent="0.15">
      <c r="T539" s="28">
        <f t="shared" si="346"/>
        <v>6517</v>
      </c>
      <c r="U539" s="26">
        <f t="shared" si="342"/>
        <v>908</v>
      </c>
      <c r="V539" s="28">
        <f t="shared" si="343"/>
        <v>60</v>
      </c>
      <c r="W539" s="14">
        <f t="shared" si="344"/>
        <v>54</v>
      </c>
      <c r="X539" s="39">
        <f t="shared" si="345"/>
        <v>363.2</v>
      </c>
      <c r="Y539" s="15">
        <v>1</v>
      </c>
    </row>
    <row r="540" spans="20:25" x14ac:dyDescent="0.15">
      <c r="T540" s="28">
        <f t="shared" si="346"/>
        <v>6518</v>
      </c>
      <c r="U540" s="26">
        <f t="shared" si="342"/>
        <v>998</v>
      </c>
      <c r="V540" s="28">
        <f t="shared" si="343"/>
        <v>60</v>
      </c>
      <c r="W540" s="14">
        <f t="shared" si="344"/>
        <v>60</v>
      </c>
      <c r="X540" s="39">
        <f t="shared" si="345"/>
        <v>399.2</v>
      </c>
      <c r="Y540" s="15">
        <v>1</v>
      </c>
    </row>
    <row r="541" spans="20:25" x14ac:dyDescent="0.15">
      <c r="T541" s="28">
        <f t="shared" si="346"/>
        <v>6519</v>
      </c>
      <c r="U541" s="26">
        <f t="shared" si="342"/>
        <v>1097</v>
      </c>
      <c r="V541" s="28">
        <f t="shared" si="343"/>
        <v>60</v>
      </c>
      <c r="W541" s="14">
        <f t="shared" si="344"/>
        <v>66</v>
      </c>
      <c r="X541" s="39">
        <f t="shared" si="345"/>
        <v>438.8</v>
      </c>
      <c r="Y541" s="15">
        <v>1</v>
      </c>
    </row>
    <row r="542" spans="20:25" x14ac:dyDescent="0.15">
      <c r="T542" s="28">
        <f t="shared" si="346"/>
        <v>6520</v>
      </c>
      <c r="U542" s="26">
        <f t="shared" si="342"/>
        <v>1206</v>
      </c>
      <c r="V542" s="28">
        <f t="shared" si="343"/>
        <v>60</v>
      </c>
      <c r="W542" s="14">
        <f t="shared" si="344"/>
        <v>72</v>
      </c>
      <c r="X542" s="39">
        <f t="shared" si="345"/>
        <v>482.4</v>
      </c>
      <c r="Y542" s="15">
        <v>1</v>
      </c>
    </row>
    <row r="543" spans="20:25" x14ac:dyDescent="0.15">
      <c r="T543" s="28">
        <f t="shared" si="346"/>
        <v>6521</v>
      </c>
      <c r="U543" s="26">
        <f t="shared" si="342"/>
        <v>1326</v>
      </c>
      <c r="V543" s="28">
        <f t="shared" si="343"/>
        <v>60</v>
      </c>
      <c r="W543" s="14">
        <f t="shared" si="344"/>
        <v>80</v>
      </c>
      <c r="X543" s="39">
        <f t="shared" si="345"/>
        <v>530.4</v>
      </c>
      <c r="Y543" s="15">
        <v>1</v>
      </c>
    </row>
    <row r="544" spans="20:25" x14ac:dyDescent="0.15">
      <c r="T544" s="28">
        <f t="shared" si="346"/>
        <v>6522</v>
      </c>
      <c r="U544" s="26">
        <f t="shared" si="342"/>
        <v>1458</v>
      </c>
      <c r="V544" s="28">
        <f t="shared" si="343"/>
        <v>60</v>
      </c>
      <c r="W544" s="14">
        <f t="shared" si="344"/>
        <v>88</v>
      </c>
      <c r="X544" s="39">
        <f t="shared" si="345"/>
        <v>583.20000000000005</v>
      </c>
      <c r="Y544" s="15">
        <v>1</v>
      </c>
    </row>
    <row r="545" spans="20:25" x14ac:dyDescent="0.15">
      <c r="T545" s="28">
        <f t="shared" si="346"/>
        <v>6523</v>
      </c>
      <c r="U545" s="26">
        <f t="shared" si="342"/>
        <v>1603</v>
      </c>
      <c r="V545" s="28">
        <f t="shared" si="343"/>
        <v>60</v>
      </c>
      <c r="W545" s="14">
        <f t="shared" si="344"/>
        <v>98</v>
      </c>
      <c r="X545" s="39">
        <f t="shared" si="345"/>
        <v>641.20000000000005</v>
      </c>
      <c r="Y545" s="15">
        <v>1</v>
      </c>
    </row>
    <row r="546" spans="20:25" x14ac:dyDescent="0.15">
      <c r="T546" s="28">
        <f t="shared" si="346"/>
        <v>6524</v>
      </c>
      <c r="U546" s="26">
        <f t="shared" si="342"/>
        <v>1763</v>
      </c>
      <c r="V546" s="28">
        <f t="shared" si="343"/>
        <v>60</v>
      </c>
      <c r="W546" s="14">
        <f t="shared" si="344"/>
        <v>106</v>
      </c>
      <c r="X546" s="39">
        <f t="shared" si="345"/>
        <v>705.2</v>
      </c>
      <c r="Y546" s="15">
        <v>1</v>
      </c>
    </row>
    <row r="547" spans="20:25" x14ac:dyDescent="0.15">
      <c r="T547" s="28">
        <f t="shared" si="346"/>
        <v>6525</v>
      </c>
      <c r="U547" s="26">
        <f t="shared" si="342"/>
        <v>1939</v>
      </c>
      <c r="V547" s="28">
        <f t="shared" si="343"/>
        <v>60</v>
      </c>
      <c r="W547" s="14">
        <f t="shared" si="344"/>
        <v>118</v>
      </c>
      <c r="X547" s="39">
        <f t="shared" si="345"/>
        <v>775.6</v>
      </c>
      <c r="Y547" s="15">
        <v>1</v>
      </c>
    </row>
    <row r="548" spans="20:25" x14ac:dyDescent="0.15">
      <c r="T548" s="28">
        <f t="shared" si="346"/>
        <v>6526</v>
      </c>
      <c r="U548" s="26">
        <f t="shared" si="342"/>
        <v>2132</v>
      </c>
      <c r="V548" s="28">
        <f t="shared" si="343"/>
        <v>60</v>
      </c>
      <c r="W548" s="14">
        <f t="shared" si="344"/>
        <v>130</v>
      </c>
      <c r="X548" s="39">
        <f t="shared" si="345"/>
        <v>852.8</v>
      </c>
      <c r="Y548" s="15">
        <v>1</v>
      </c>
    </row>
    <row r="549" spans="20:25" x14ac:dyDescent="0.15">
      <c r="T549" s="28">
        <f t="shared" si="346"/>
        <v>6527</v>
      </c>
      <c r="U549" s="26">
        <f t="shared" si="342"/>
        <v>2345</v>
      </c>
      <c r="V549" s="28">
        <f t="shared" si="343"/>
        <v>60</v>
      </c>
      <c r="W549" s="14">
        <f t="shared" si="344"/>
        <v>142</v>
      </c>
      <c r="X549" s="39">
        <f t="shared" si="345"/>
        <v>938</v>
      </c>
      <c r="Y549" s="15">
        <v>1</v>
      </c>
    </row>
    <row r="550" spans="20:25" x14ac:dyDescent="0.15">
      <c r="T550" s="28">
        <f t="shared" si="346"/>
        <v>6528</v>
      </c>
      <c r="U550" s="26">
        <f t="shared" si="342"/>
        <v>2579</v>
      </c>
      <c r="V550" s="28">
        <f t="shared" si="343"/>
        <v>60</v>
      </c>
      <c r="W550" s="14">
        <f t="shared" si="344"/>
        <v>156</v>
      </c>
      <c r="X550" s="39">
        <f t="shared" si="345"/>
        <v>1031.5999999999999</v>
      </c>
      <c r="Y550" s="15">
        <v>1</v>
      </c>
    </row>
    <row r="551" spans="20:25" x14ac:dyDescent="0.15">
      <c r="T551" s="28">
        <f t="shared" si="346"/>
        <v>6529</v>
      </c>
      <c r="U551" s="26">
        <f t="shared" si="342"/>
        <v>2836</v>
      </c>
      <c r="V551" s="28">
        <f t="shared" si="343"/>
        <v>60</v>
      </c>
      <c r="W551" s="14">
        <f t="shared" si="344"/>
        <v>172</v>
      </c>
      <c r="X551" s="39">
        <f t="shared" si="345"/>
        <v>1134.4000000000001</v>
      </c>
      <c r="Y551" s="15">
        <v>1</v>
      </c>
    </row>
    <row r="552" spans="20:25" x14ac:dyDescent="0.15">
      <c r="T552" s="28">
        <f t="shared" si="346"/>
        <v>6530</v>
      </c>
      <c r="U552" s="26">
        <f t="shared" si="342"/>
        <v>3119</v>
      </c>
      <c r="V552" s="28">
        <f t="shared" si="343"/>
        <v>60</v>
      </c>
      <c r="W552" s="14">
        <f t="shared" si="344"/>
        <v>190</v>
      </c>
      <c r="X552" s="39">
        <f t="shared" si="345"/>
        <v>1247.5999999999999</v>
      </c>
      <c r="Y552" s="15">
        <v>1</v>
      </c>
    </row>
    <row r="553" spans="20:25" x14ac:dyDescent="0.15">
      <c r="T553" s="28">
        <f t="shared" si="346"/>
        <v>6531</v>
      </c>
      <c r="U553" s="26">
        <f t="shared" si="342"/>
        <v>3430</v>
      </c>
      <c r="V553" s="28">
        <f t="shared" si="343"/>
        <v>60</v>
      </c>
      <c r="W553" s="14">
        <f t="shared" si="344"/>
        <v>208</v>
      </c>
      <c r="X553" s="39">
        <f t="shared" si="345"/>
        <v>1372</v>
      </c>
      <c r="Y553" s="15">
        <v>1</v>
      </c>
    </row>
    <row r="554" spans="20:25" x14ac:dyDescent="0.15">
      <c r="T554" s="28">
        <f t="shared" si="346"/>
        <v>6532</v>
      </c>
      <c r="U554" s="26">
        <f t="shared" si="342"/>
        <v>3773</v>
      </c>
      <c r="V554" s="28">
        <f t="shared" si="343"/>
        <v>60</v>
      </c>
      <c r="W554" s="14">
        <f t="shared" si="344"/>
        <v>228</v>
      </c>
      <c r="X554" s="39">
        <f t="shared" si="345"/>
        <v>1509.2</v>
      </c>
      <c r="Y554" s="15">
        <v>1</v>
      </c>
    </row>
    <row r="555" spans="20:25" x14ac:dyDescent="0.15">
      <c r="T555" s="28">
        <f t="shared" si="346"/>
        <v>6533</v>
      </c>
      <c r="U555" s="26">
        <f t="shared" si="342"/>
        <v>4150</v>
      </c>
      <c r="V555" s="28">
        <f t="shared" si="343"/>
        <v>60</v>
      </c>
      <c r="W555" s="14">
        <f t="shared" si="344"/>
        <v>252</v>
      </c>
      <c r="X555" s="39">
        <f t="shared" si="345"/>
        <v>1660</v>
      </c>
      <c r="Y555" s="15">
        <v>1</v>
      </c>
    </row>
    <row r="556" spans="20:25" x14ac:dyDescent="0.15">
      <c r="T556" s="28">
        <f t="shared" si="346"/>
        <v>6534</v>
      </c>
      <c r="U556" s="26">
        <f t="shared" si="342"/>
        <v>4565</v>
      </c>
      <c r="V556" s="28">
        <f t="shared" si="343"/>
        <v>60</v>
      </c>
      <c r="W556" s="14">
        <f t="shared" si="344"/>
        <v>276</v>
      </c>
      <c r="X556" s="39">
        <f t="shared" si="345"/>
        <v>1826</v>
      </c>
      <c r="Y556" s="15">
        <v>1</v>
      </c>
    </row>
    <row r="557" spans="20:25" x14ac:dyDescent="0.15">
      <c r="T557" s="28">
        <f t="shared" si="346"/>
        <v>6535</v>
      </c>
      <c r="U557" s="26">
        <f t="shared" si="342"/>
        <v>5021</v>
      </c>
      <c r="V557" s="28">
        <f t="shared" si="343"/>
        <v>60</v>
      </c>
      <c r="W557" s="14">
        <f t="shared" si="344"/>
        <v>304</v>
      </c>
      <c r="X557" s="39">
        <f t="shared" si="345"/>
        <v>2008.4</v>
      </c>
      <c r="Y557" s="15">
        <v>1</v>
      </c>
    </row>
    <row r="558" spans="20:25" x14ac:dyDescent="0.15">
      <c r="T558" s="28">
        <f t="shared" si="346"/>
        <v>6536</v>
      </c>
      <c r="U558" s="26">
        <f t="shared" si="342"/>
        <v>5523</v>
      </c>
      <c r="V558" s="28">
        <f t="shared" si="343"/>
        <v>60</v>
      </c>
      <c r="W558" s="14">
        <f t="shared" si="344"/>
        <v>334</v>
      </c>
      <c r="X558" s="39">
        <f t="shared" si="345"/>
        <v>2209.1999999999998</v>
      </c>
      <c r="Y558" s="15">
        <v>1</v>
      </c>
    </row>
    <row r="559" spans="20:25" x14ac:dyDescent="0.15">
      <c r="T559" s="28">
        <f t="shared" si="346"/>
        <v>6537</v>
      </c>
      <c r="U559" s="26">
        <f t="shared" si="342"/>
        <v>6075</v>
      </c>
      <c r="V559" s="28">
        <f t="shared" si="343"/>
        <v>60</v>
      </c>
      <c r="W559" s="14">
        <f t="shared" si="344"/>
        <v>368</v>
      </c>
      <c r="X559" s="39">
        <f t="shared" si="345"/>
        <v>2430</v>
      </c>
      <c r="Y559" s="15">
        <v>1</v>
      </c>
    </row>
    <row r="560" spans="20:25" x14ac:dyDescent="0.15">
      <c r="T560" s="28">
        <f t="shared" si="346"/>
        <v>6538</v>
      </c>
      <c r="U560" s="26">
        <f t="shared" si="342"/>
        <v>6682</v>
      </c>
      <c r="V560" s="28">
        <f t="shared" si="343"/>
        <v>60</v>
      </c>
      <c r="W560" s="14">
        <f t="shared" si="344"/>
        <v>404</v>
      </c>
      <c r="X560" s="39">
        <f t="shared" si="345"/>
        <v>2672.8</v>
      </c>
      <c r="Y560" s="15">
        <v>1</v>
      </c>
    </row>
    <row r="561" spans="20:25" x14ac:dyDescent="0.15">
      <c r="T561" s="28">
        <f t="shared" si="346"/>
        <v>6539</v>
      </c>
      <c r="U561" s="26">
        <f t="shared" si="342"/>
        <v>7350</v>
      </c>
      <c r="V561" s="28">
        <f t="shared" si="343"/>
        <v>60</v>
      </c>
      <c r="W561" s="14">
        <f t="shared" si="344"/>
        <v>444</v>
      </c>
      <c r="X561" s="39">
        <f t="shared" si="345"/>
        <v>2940</v>
      </c>
      <c r="Y561" s="15">
        <v>1</v>
      </c>
    </row>
    <row r="562" spans="20:25" x14ac:dyDescent="0.15">
      <c r="T562" s="28">
        <f t="shared" si="346"/>
        <v>6540</v>
      </c>
      <c r="U562" s="26">
        <f t="shared" si="342"/>
        <v>8085</v>
      </c>
      <c r="V562" s="28">
        <f t="shared" si="343"/>
        <v>60</v>
      </c>
      <c r="W562" s="14">
        <f t="shared" si="344"/>
        <v>488</v>
      </c>
      <c r="X562" s="39">
        <f t="shared" si="345"/>
        <v>3234</v>
      </c>
      <c r="Y562" s="15">
        <v>1</v>
      </c>
    </row>
    <row r="563" spans="20:25" x14ac:dyDescent="0.15">
      <c r="T563" s="28">
        <f t="shared" si="346"/>
        <v>6541</v>
      </c>
      <c r="U563" s="26">
        <f t="shared" si="342"/>
        <v>8893</v>
      </c>
      <c r="V563" s="28">
        <f t="shared" si="343"/>
        <v>60</v>
      </c>
      <c r="W563" s="14">
        <f t="shared" si="344"/>
        <v>538</v>
      </c>
      <c r="X563" s="39">
        <f t="shared" si="345"/>
        <v>3557.2</v>
      </c>
      <c r="Y563" s="15">
        <v>1</v>
      </c>
    </row>
    <row r="564" spans="20:25" x14ac:dyDescent="0.15">
      <c r="T564" s="28">
        <f t="shared" si="346"/>
        <v>6542</v>
      </c>
      <c r="U564" s="26">
        <f t="shared" si="342"/>
        <v>9782</v>
      </c>
      <c r="V564" s="28">
        <f t="shared" si="343"/>
        <v>60</v>
      </c>
      <c r="W564" s="14">
        <f t="shared" si="344"/>
        <v>590</v>
      </c>
      <c r="X564" s="39">
        <f t="shared" si="345"/>
        <v>3912.8</v>
      </c>
      <c r="Y564" s="15">
        <v>1</v>
      </c>
    </row>
    <row r="565" spans="20:25" x14ac:dyDescent="0.15">
      <c r="T565" s="28">
        <f t="shared" si="346"/>
        <v>6543</v>
      </c>
      <c r="U565" s="26">
        <f t="shared" si="342"/>
        <v>10760</v>
      </c>
      <c r="V565" s="28">
        <f t="shared" si="343"/>
        <v>60</v>
      </c>
      <c r="W565" s="14">
        <f t="shared" si="344"/>
        <v>650</v>
      </c>
      <c r="X565" s="39">
        <f t="shared" si="345"/>
        <v>4304</v>
      </c>
      <c r="Y565" s="15">
        <v>1</v>
      </c>
    </row>
    <row r="566" spans="20:25" x14ac:dyDescent="0.15">
      <c r="T566" s="28">
        <f t="shared" si="346"/>
        <v>6544</v>
      </c>
      <c r="U566" s="26">
        <f t="shared" si="342"/>
        <v>11836</v>
      </c>
      <c r="V566" s="28">
        <f t="shared" si="343"/>
        <v>60</v>
      </c>
      <c r="W566" s="14">
        <f t="shared" si="344"/>
        <v>714</v>
      </c>
      <c r="X566" s="39">
        <f t="shared" si="345"/>
        <v>4734.3999999999996</v>
      </c>
      <c r="Y566" s="15">
        <v>1</v>
      </c>
    </row>
    <row r="567" spans="20:25" x14ac:dyDescent="0.15">
      <c r="T567" s="28">
        <f t="shared" si="346"/>
        <v>6545</v>
      </c>
      <c r="U567" s="26">
        <f t="shared" si="342"/>
        <v>13019</v>
      </c>
      <c r="V567" s="28">
        <f t="shared" si="343"/>
        <v>60</v>
      </c>
      <c r="W567" s="14">
        <f t="shared" si="344"/>
        <v>786</v>
      </c>
      <c r="X567" s="39">
        <f t="shared" si="345"/>
        <v>5207.6000000000004</v>
      </c>
      <c r="Y567" s="15">
        <v>1</v>
      </c>
    </row>
    <row r="568" spans="20:25" x14ac:dyDescent="0.15">
      <c r="T568" s="28">
        <f t="shared" si="346"/>
        <v>6546</v>
      </c>
      <c r="U568" s="26">
        <f t="shared" si="342"/>
        <v>14320</v>
      </c>
      <c r="V568" s="28">
        <f t="shared" si="343"/>
        <v>60</v>
      </c>
      <c r="W568" s="14">
        <f t="shared" si="344"/>
        <v>864</v>
      </c>
      <c r="X568" s="39">
        <f t="shared" si="345"/>
        <v>5728</v>
      </c>
      <c r="Y568" s="15">
        <v>1</v>
      </c>
    </row>
    <row r="569" spans="20:25" x14ac:dyDescent="0.15">
      <c r="T569" s="28">
        <f t="shared" si="346"/>
        <v>6547</v>
      </c>
      <c r="U569" s="26">
        <f t="shared" si="342"/>
        <v>15752</v>
      </c>
      <c r="V569" s="28">
        <f t="shared" si="343"/>
        <v>60</v>
      </c>
      <c r="W569" s="14">
        <f t="shared" si="344"/>
        <v>950</v>
      </c>
      <c r="X569" s="39">
        <f t="shared" si="345"/>
        <v>6300.8</v>
      </c>
      <c r="Y569" s="15">
        <v>1</v>
      </c>
    </row>
    <row r="570" spans="20:25" x14ac:dyDescent="0.15">
      <c r="T570" s="28">
        <f t="shared" si="346"/>
        <v>6548</v>
      </c>
      <c r="U570" s="26">
        <f t="shared" si="342"/>
        <v>17327</v>
      </c>
      <c r="V570" s="28">
        <f t="shared" si="343"/>
        <v>60</v>
      </c>
      <c r="W570" s="14">
        <f t="shared" si="344"/>
        <v>1044</v>
      </c>
      <c r="X570" s="39">
        <f t="shared" si="345"/>
        <v>6930.8</v>
      </c>
      <c r="Y570" s="15">
        <v>1</v>
      </c>
    </row>
    <row r="571" spans="20:25" x14ac:dyDescent="0.15">
      <c r="T571" s="28">
        <f t="shared" si="346"/>
        <v>6549</v>
      </c>
      <c r="U571" s="26">
        <f t="shared" si="342"/>
        <v>19059</v>
      </c>
      <c r="V571" s="28">
        <f t="shared" si="343"/>
        <v>60</v>
      </c>
      <c r="W571" s="14">
        <f t="shared" si="344"/>
        <v>1148</v>
      </c>
      <c r="X571" s="39">
        <f t="shared" si="345"/>
        <v>7623.6</v>
      </c>
      <c r="Y571" s="15">
        <v>1</v>
      </c>
    </row>
    <row r="572" spans="20:25" x14ac:dyDescent="0.15">
      <c r="T572" s="28">
        <f t="shared" si="346"/>
        <v>6550</v>
      </c>
      <c r="U572" s="26">
        <f t="shared" si="342"/>
        <v>20964</v>
      </c>
      <c r="V572" s="28">
        <f t="shared" si="343"/>
        <v>60</v>
      </c>
      <c r="W572" s="14">
        <f t="shared" si="344"/>
        <v>1262</v>
      </c>
      <c r="X572" s="39">
        <f t="shared" si="345"/>
        <v>8385.6</v>
      </c>
      <c r="Y572" s="15">
        <v>1</v>
      </c>
    </row>
    <row r="573" spans="20:25" x14ac:dyDescent="0.15">
      <c r="T573" s="28">
        <f t="shared" si="346"/>
        <v>6551</v>
      </c>
      <c r="U573" s="26">
        <f t="shared" si="342"/>
        <v>23060</v>
      </c>
      <c r="V573" s="28">
        <f t="shared" si="343"/>
        <v>60</v>
      </c>
      <c r="W573" s="14">
        <f t="shared" si="344"/>
        <v>1388</v>
      </c>
      <c r="X573" s="39">
        <f t="shared" si="345"/>
        <v>9224</v>
      </c>
      <c r="Y573" s="15">
        <v>1</v>
      </c>
    </row>
    <row r="574" spans="20:25" x14ac:dyDescent="0.15">
      <c r="T574" s="28">
        <f t="shared" si="346"/>
        <v>6552</v>
      </c>
      <c r="U574" s="26">
        <f t="shared" si="342"/>
        <v>25366</v>
      </c>
      <c r="V574" s="28">
        <f t="shared" si="343"/>
        <v>60</v>
      </c>
      <c r="W574" s="14">
        <f t="shared" si="344"/>
        <v>1526</v>
      </c>
      <c r="X574" s="39">
        <f t="shared" si="345"/>
        <v>10146.4</v>
      </c>
      <c r="Y574" s="15">
        <v>1</v>
      </c>
    </row>
    <row r="575" spans="20:25" x14ac:dyDescent="0.15">
      <c r="T575" s="28">
        <f t="shared" si="346"/>
        <v>6553</v>
      </c>
      <c r="U575" s="26">
        <f t="shared" si="342"/>
        <v>27902</v>
      </c>
      <c r="V575" s="28">
        <f t="shared" si="343"/>
        <v>60</v>
      </c>
      <c r="W575" s="14">
        <f t="shared" si="344"/>
        <v>1678</v>
      </c>
      <c r="X575" s="39">
        <f t="shared" si="345"/>
        <v>11160.8</v>
      </c>
      <c r="Y575" s="15">
        <v>1</v>
      </c>
    </row>
    <row r="576" spans="20:25" x14ac:dyDescent="0.15">
      <c r="T576" s="28">
        <f t="shared" si="346"/>
        <v>6554</v>
      </c>
      <c r="U576" s="26">
        <f t="shared" si="342"/>
        <v>30692</v>
      </c>
      <c r="V576" s="28">
        <f t="shared" si="343"/>
        <v>60</v>
      </c>
      <c r="W576" s="14">
        <f t="shared" si="344"/>
        <v>1844</v>
      </c>
      <c r="X576" s="39">
        <f t="shared" si="345"/>
        <v>12276.8</v>
      </c>
      <c r="Y576" s="15">
        <v>1</v>
      </c>
    </row>
    <row r="577" spans="20:25" x14ac:dyDescent="0.15">
      <c r="T577" s="28">
        <f t="shared" si="346"/>
        <v>6555</v>
      </c>
      <c r="U577" s="26">
        <f t="shared" si="342"/>
        <v>33761</v>
      </c>
      <c r="V577" s="28">
        <f t="shared" si="343"/>
        <v>60</v>
      </c>
      <c r="W577" s="14">
        <f t="shared" si="344"/>
        <v>2028</v>
      </c>
      <c r="X577" s="39">
        <f t="shared" si="345"/>
        <v>13504.4</v>
      </c>
      <c r="Y577" s="15">
        <v>1</v>
      </c>
    </row>
    <row r="578" spans="20:25" x14ac:dyDescent="0.15">
      <c r="T578" s="28">
        <f t="shared" si="346"/>
        <v>6556</v>
      </c>
      <c r="U578" s="26">
        <f t="shared" si="342"/>
        <v>37137</v>
      </c>
      <c r="V578" s="28">
        <f t="shared" si="343"/>
        <v>60</v>
      </c>
      <c r="W578" s="14">
        <f t="shared" si="344"/>
        <v>2230</v>
      </c>
      <c r="X578" s="39">
        <f t="shared" si="345"/>
        <v>14854.8</v>
      </c>
      <c r="Y578" s="15">
        <v>1</v>
      </c>
    </row>
    <row r="579" spans="20:25" x14ac:dyDescent="0.15">
      <c r="T579" s="28">
        <f t="shared" si="346"/>
        <v>6557</v>
      </c>
      <c r="U579" s="26">
        <f t="shared" si="342"/>
        <v>40850</v>
      </c>
      <c r="V579" s="28">
        <f t="shared" si="343"/>
        <v>60</v>
      </c>
      <c r="W579" s="14">
        <f t="shared" si="344"/>
        <v>2450</v>
      </c>
      <c r="X579" s="39">
        <f t="shared" si="345"/>
        <v>16340</v>
      </c>
      <c r="Y579" s="15">
        <v>1</v>
      </c>
    </row>
    <row r="580" spans="20:25" x14ac:dyDescent="0.15">
      <c r="T580" s="28">
        <f t="shared" si="346"/>
        <v>6558</v>
      </c>
      <c r="U580" s="26">
        <f t="shared" si="342"/>
        <v>44935</v>
      </c>
      <c r="V580" s="28">
        <f t="shared" si="343"/>
        <v>60</v>
      </c>
      <c r="W580" s="14">
        <f t="shared" si="344"/>
        <v>2694</v>
      </c>
      <c r="X580" s="39">
        <f t="shared" si="345"/>
        <v>17974</v>
      </c>
      <c r="Y580" s="15">
        <v>1</v>
      </c>
    </row>
    <row r="581" spans="20:25" x14ac:dyDescent="0.15">
      <c r="T581" s="28">
        <f t="shared" si="346"/>
        <v>6559</v>
      </c>
      <c r="U581" s="26">
        <f t="shared" si="342"/>
        <v>49428</v>
      </c>
      <c r="V581" s="28">
        <f t="shared" si="343"/>
        <v>60</v>
      </c>
      <c r="W581" s="14">
        <f t="shared" si="344"/>
        <v>2962</v>
      </c>
      <c r="X581" s="39">
        <f t="shared" si="345"/>
        <v>19771.2</v>
      </c>
      <c r="Y581" s="15">
        <v>1</v>
      </c>
    </row>
    <row r="582" spans="20:25" x14ac:dyDescent="0.15">
      <c r="T582" s="28">
        <f t="shared" si="346"/>
        <v>6560</v>
      </c>
      <c r="U582" s="26">
        <f t="shared" si="342"/>
        <v>54370</v>
      </c>
      <c r="V582" s="28">
        <f t="shared" si="343"/>
        <v>60</v>
      </c>
      <c r="W582" s="14">
        <f t="shared" si="344"/>
        <v>3258</v>
      </c>
      <c r="X582" s="39">
        <f t="shared" si="345"/>
        <v>21748</v>
      </c>
      <c r="Y582" s="15">
        <v>1</v>
      </c>
    </row>
    <row r="583" spans="20:25" x14ac:dyDescent="0.15">
      <c r="T583" s="28">
        <f t="shared" si="346"/>
        <v>6561</v>
      </c>
      <c r="U583" s="26">
        <f t="shared" si="342"/>
        <v>59807</v>
      </c>
      <c r="V583" s="28">
        <f t="shared" si="343"/>
        <v>60</v>
      </c>
      <c r="W583" s="14">
        <f t="shared" si="344"/>
        <v>3580</v>
      </c>
      <c r="X583" s="39">
        <f t="shared" si="345"/>
        <v>23922.799999999999</v>
      </c>
      <c r="Y583" s="15">
        <v>1</v>
      </c>
    </row>
    <row r="584" spans="20:25" x14ac:dyDescent="0.15">
      <c r="T584" s="28">
        <f t="shared" si="346"/>
        <v>6562</v>
      </c>
      <c r="U584" s="26">
        <f t="shared" si="342"/>
        <v>65787</v>
      </c>
      <c r="V584" s="28">
        <f t="shared" si="343"/>
        <v>60</v>
      </c>
      <c r="W584" s="14">
        <f t="shared" si="344"/>
        <v>3938</v>
      </c>
      <c r="X584" s="39">
        <f t="shared" si="345"/>
        <v>26314.799999999999</v>
      </c>
      <c r="Y584" s="15">
        <v>1</v>
      </c>
    </row>
    <row r="585" spans="20:25" x14ac:dyDescent="0.15">
      <c r="T585" s="28">
        <f t="shared" si="346"/>
        <v>6563</v>
      </c>
      <c r="U585" s="26">
        <f t="shared" si="342"/>
        <v>72365</v>
      </c>
      <c r="V585" s="28">
        <f t="shared" si="343"/>
        <v>60</v>
      </c>
      <c r="W585" s="14">
        <f t="shared" si="344"/>
        <v>4328</v>
      </c>
      <c r="X585" s="39">
        <f t="shared" si="345"/>
        <v>28946</v>
      </c>
      <c r="Y585" s="15">
        <v>1</v>
      </c>
    </row>
    <row r="586" spans="20:25" x14ac:dyDescent="0.15">
      <c r="T586" s="28">
        <f t="shared" si="346"/>
        <v>6564</v>
      </c>
      <c r="U586" s="26">
        <f t="shared" si="342"/>
        <v>79601</v>
      </c>
      <c r="V586" s="28">
        <f t="shared" si="343"/>
        <v>60</v>
      </c>
      <c r="W586" s="14">
        <f t="shared" si="344"/>
        <v>4758</v>
      </c>
      <c r="X586" s="39">
        <f t="shared" si="345"/>
        <v>31840.400000000001</v>
      </c>
      <c r="Y586" s="15">
        <v>1</v>
      </c>
    </row>
    <row r="587" spans="20:25" x14ac:dyDescent="0.15">
      <c r="T587" s="28">
        <f t="shared" si="346"/>
        <v>6565</v>
      </c>
      <c r="U587" s="26">
        <f t="shared" si="342"/>
        <v>87561</v>
      </c>
      <c r="V587" s="28">
        <f t="shared" si="343"/>
        <v>60</v>
      </c>
      <c r="W587" s="14">
        <f t="shared" si="344"/>
        <v>5232</v>
      </c>
      <c r="X587" s="39">
        <f t="shared" si="345"/>
        <v>35024.400000000001</v>
      </c>
      <c r="Y587" s="15">
        <v>1</v>
      </c>
    </row>
    <row r="588" spans="20:25" x14ac:dyDescent="0.15">
      <c r="T588" s="28">
        <f t="shared" si="346"/>
        <v>6566</v>
      </c>
      <c r="U588" s="26">
        <f t="shared" ref="U588:U622" si="347">INT(U587*$U$18)</f>
        <v>96317</v>
      </c>
      <c r="V588" s="28">
        <f t="shared" ref="V588:V622" si="348">V587</f>
        <v>60</v>
      </c>
      <c r="W588" s="14">
        <f t="shared" si="344"/>
        <v>5752</v>
      </c>
      <c r="X588" s="39">
        <f t="shared" si="345"/>
        <v>38526.800000000003</v>
      </c>
      <c r="Y588" s="15">
        <v>1</v>
      </c>
    </row>
    <row r="589" spans="20:25" x14ac:dyDescent="0.15">
      <c r="T589" s="28">
        <f t="shared" si="346"/>
        <v>6567</v>
      </c>
      <c r="U589" s="26">
        <f t="shared" si="347"/>
        <v>105948</v>
      </c>
      <c r="V589" s="28">
        <f t="shared" si="348"/>
        <v>60</v>
      </c>
      <c r="W589" s="14">
        <f t="shared" si="344"/>
        <v>6324</v>
      </c>
      <c r="X589" s="39">
        <f t="shared" si="345"/>
        <v>42379.199999999997</v>
      </c>
      <c r="Y589" s="15">
        <v>1</v>
      </c>
    </row>
    <row r="590" spans="20:25" x14ac:dyDescent="0.15">
      <c r="T590" s="28">
        <f t="shared" si="346"/>
        <v>6568</v>
      </c>
      <c r="U590" s="26">
        <f t="shared" si="347"/>
        <v>116542</v>
      </c>
      <c r="V590" s="28">
        <f t="shared" si="348"/>
        <v>60</v>
      </c>
      <c r="W590" s="14">
        <f t="shared" si="344"/>
        <v>6954</v>
      </c>
      <c r="X590" s="39">
        <f t="shared" si="345"/>
        <v>46616.800000000003</v>
      </c>
      <c r="Y590" s="15">
        <v>1</v>
      </c>
    </row>
    <row r="591" spans="20:25" x14ac:dyDescent="0.15">
      <c r="T591" s="28">
        <f t="shared" si="346"/>
        <v>6569</v>
      </c>
      <c r="U591" s="26">
        <f t="shared" si="347"/>
        <v>128196</v>
      </c>
      <c r="V591" s="28">
        <f t="shared" si="348"/>
        <v>60</v>
      </c>
      <c r="W591" s="14">
        <f t="shared" si="344"/>
        <v>7644</v>
      </c>
      <c r="X591" s="39">
        <f t="shared" si="345"/>
        <v>51278.400000000001</v>
      </c>
      <c r="Y591" s="15">
        <v>1</v>
      </c>
    </row>
    <row r="592" spans="20:25" x14ac:dyDescent="0.15">
      <c r="T592" s="28">
        <f t="shared" si="346"/>
        <v>6570</v>
      </c>
      <c r="U592" s="26">
        <f t="shared" si="347"/>
        <v>141015</v>
      </c>
      <c r="V592" s="28">
        <f t="shared" si="348"/>
        <v>60</v>
      </c>
      <c r="W592" s="14">
        <f t="shared" si="344"/>
        <v>8404</v>
      </c>
      <c r="X592" s="39">
        <f t="shared" si="345"/>
        <v>56406</v>
      </c>
      <c r="Y592" s="15">
        <v>1</v>
      </c>
    </row>
    <row r="593" spans="20:25" x14ac:dyDescent="0.15">
      <c r="T593" s="28">
        <f t="shared" si="346"/>
        <v>6571</v>
      </c>
      <c r="U593" s="26">
        <f t="shared" si="347"/>
        <v>155116</v>
      </c>
      <c r="V593" s="28">
        <f t="shared" si="348"/>
        <v>60</v>
      </c>
      <c r="W593" s="14">
        <f t="shared" si="344"/>
        <v>9240</v>
      </c>
      <c r="X593" s="39">
        <f t="shared" si="345"/>
        <v>62046.400000000001</v>
      </c>
      <c r="Y593" s="15">
        <v>1</v>
      </c>
    </row>
    <row r="594" spans="20:25" x14ac:dyDescent="0.15">
      <c r="T594" s="28">
        <f t="shared" si="346"/>
        <v>6572</v>
      </c>
      <c r="U594" s="26">
        <f t="shared" si="347"/>
        <v>170627</v>
      </c>
      <c r="V594" s="28">
        <f t="shared" si="348"/>
        <v>60</v>
      </c>
      <c r="W594" s="14">
        <f t="shared" si="344"/>
        <v>10158</v>
      </c>
      <c r="X594" s="39">
        <f t="shared" si="345"/>
        <v>68250.8</v>
      </c>
      <c r="Y594" s="15">
        <v>1</v>
      </c>
    </row>
    <row r="595" spans="20:25" x14ac:dyDescent="0.15">
      <c r="T595" s="28">
        <f t="shared" si="346"/>
        <v>6573</v>
      </c>
      <c r="U595" s="26">
        <f t="shared" si="347"/>
        <v>187689</v>
      </c>
      <c r="V595" s="28">
        <f t="shared" si="348"/>
        <v>60</v>
      </c>
      <c r="W595" s="14">
        <f t="shared" si="344"/>
        <v>11168</v>
      </c>
      <c r="X595" s="39">
        <f t="shared" si="345"/>
        <v>75075.600000000006</v>
      </c>
      <c r="Y595" s="15">
        <v>1</v>
      </c>
    </row>
    <row r="596" spans="20:25" x14ac:dyDescent="0.15">
      <c r="T596" s="28">
        <f t="shared" si="346"/>
        <v>6574</v>
      </c>
      <c r="U596" s="26">
        <f t="shared" si="347"/>
        <v>206457</v>
      </c>
      <c r="V596" s="28">
        <f t="shared" si="348"/>
        <v>60</v>
      </c>
      <c r="W596" s="14">
        <f t="shared" si="344"/>
        <v>12280</v>
      </c>
      <c r="X596" s="39">
        <f t="shared" si="345"/>
        <v>82582.8</v>
      </c>
      <c r="Y596" s="15">
        <v>1</v>
      </c>
    </row>
    <row r="597" spans="20:25" x14ac:dyDescent="0.15">
      <c r="T597" s="28">
        <f t="shared" si="346"/>
        <v>6575</v>
      </c>
      <c r="U597" s="26">
        <f t="shared" si="347"/>
        <v>227102</v>
      </c>
      <c r="V597" s="28">
        <f t="shared" si="348"/>
        <v>60</v>
      </c>
      <c r="W597" s="14">
        <f t="shared" si="344"/>
        <v>13500</v>
      </c>
      <c r="X597" s="39">
        <f t="shared" si="345"/>
        <v>90840.8</v>
      </c>
      <c r="Y597" s="15">
        <v>1</v>
      </c>
    </row>
    <row r="598" spans="20:25" x14ac:dyDescent="0.15">
      <c r="T598" s="28">
        <f t="shared" si="346"/>
        <v>6576</v>
      </c>
      <c r="U598" s="26">
        <f t="shared" si="347"/>
        <v>249812</v>
      </c>
      <c r="V598" s="28">
        <f t="shared" si="348"/>
        <v>60</v>
      </c>
      <c r="W598" s="14">
        <f t="shared" si="344"/>
        <v>14842</v>
      </c>
      <c r="X598" s="39">
        <f t="shared" si="345"/>
        <v>99924.800000000003</v>
      </c>
      <c r="Y598" s="15">
        <v>1</v>
      </c>
    </row>
    <row r="599" spans="20:25" x14ac:dyDescent="0.15">
      <c r="T599" s="28">
        <f t="shared" si="346"/>
        <v>6577</v>
      </c>
      <c r="U599" s="26">
        <f t="shared" si="347"/>
        <v>274793</v>
      </c>
      <c r="V599" s="28">
        <f t="shared" si="348"/>
        <v>60</v>
      </c>
      <c r="W599" s="14">
        <f t="shared" si="344"/>
        <v>16318</v>
      </c>
      <c r="X599" s="39">
        <f t="shared" si="345"/>
        <v>109917.2</v>
      </c>
      <c r="Y599" s="15">
        <v>1</v>
      </c>
    </row>
    <row r="600" spans="20:25" x14ac:dyDescent="0.15">
      <c r="T600" s="28">
        <f t="shared" si="346"/>
        <v>6578</v>
      </c>
      <c r="U600" s="26">
        <f t="shared" si="347"/>
        <v>302272</v>
      </c>
      <c r="V600" s="28">
        <f t="shared" si="348"/>
        <v>60</v>
      </c>
      <c r="W600" s="14">
        <f t="shared" ref="W600:W663" si="349">_xlfn.FLOOR.MATH(V600*U600/15/10/RIGHT(T600,3)^0.3,2)</f>
        <v>17942</v>
      </c>
      <c r="X600" s="39">
        <f t="shared" ref="X600:X663" si="350">U600*V600/15/10</f>
        <v>120908.8</v>
      </c>
      <c r="Y600" s="15">
        <v>1</v>
      </c>
    </row>
    <row r="601" spans="20:25" x14ac:dyDescent="0.15">
      <c r="T601" s="28">
        <f t="shared" ref="T601:T664" si="351">T600+1</f>
        <v>6579</v>
      </c>
      <c r="U601" s="26">
        <f t="shared" si="347"/>
        <v>332499</v>
      </c>
      <c r="V601" s="28">
        <f t="shared" si="348"/>
        <v>60</v>
      </c>
      <c r="W601" s="14">
        <f t="shared" si="349"/>
        <v>19726</v>
      </c>
      <c r="X601" s="39">
        <f t="shared" si="350"/>
        <v>132999.6</v>
      </c>
      <c r="Y601" s="15">
        <v>1</v>
      </c>
    </row>
    <row r="602" spans="20:25" x14ac:dyDescent="0.15">
      <c r="T602" s="28">
        <f t="shared" si="351"/>
        <v>6580</v>
      </c>
      <c r="U602" s="26">
        <f t="shared" si="347"/>
        <v>365748</v>
      </c>
      <c r="V602" s="28">
        <f t="shared" si="348"/>
        <v>60</v>
      </c>
      <c r="W602" s="14">
        <f t="shared" si="349"/>
        <v>21686</v>
      </c>
      <c r="X602" s="39">
        <f t="shared" si="350"/>
        <v>146299.20000000001</v>
      </c>
      <c r="Y602" s="15">
        <v>1</v>
      </c>
    </row>
    <row r="603" spans="20:25" x14ac:dyDescent="0.15">
      <c r="T603" s="28">
        <f t="shared" si="351"/>
        <v>6581</v>
      </c>
      <c r="U603" s="26">
        <f t="shared" si="347"/>
        <v>402322</v>
      </c>
      <c r="V603" s="28">
        <f t="shared" si="348"/>
        <v>60</v>
      </c>
      <c r="W603" s="14">
        <f t="shared" si="349"/>
        <v>23844</v>
      </c>
      <c r="X603" s="39">
        <f t="shared" si="350"/>
        <v>160928.79999999999</v>
      </c>
      <c r="Y603" s="15">
        <v>1</v>
      </c>
    </row>
    <row r="604" spans="20:25" x14ac:dyDescent="0.15">
      <c r="T604" s="28">
        <f t="shared" si="351"/>
        <v>6582</v>
      </c>
      <c r="U604" s="26">
        <f t="shared" si="347"/>
        <v>442554</v>
      </c>
      <c r="V604" s="28">
        <f t="shared" si="348"/>
        <v>60</v>
      </c>
      <c r="W604" s="14">
        <f t="shared" si="349"/>
        <v>26214</v>
      </c>
      <c r="X604" s="39">
        <f t="shared" si="350"/>
        <v>177021.6</v>
      </c>
      <c r="Y604" s="15">
        <v>1</v>
      </c>
    </row>
    <row r="605" spans="20:25" x14ac:dyDescent="0.15">
      <c r="T605" s="28">
        <f t="shared" si="351"/>
        <v>6583</v>
      </c>
      <c r="U605" s="26">
        <f t="shared" si="347"/>
        <v>486809</v>
      </c>
      <c r="V605" s="28">
        <f t="shared" si="348"/>
        <v>60</v>
      </c>
      <c r="W605" s="14">
        <f t="shared" si="349"/>
        <v>28820</v>
      </c>
      <c r="X605" s="39">
        <f t="shared" si="350"/>
        <v>194723.6</v>
      </c>
      <c r="Y605" s="15">
        <v>1</v>
      </c>
    </row>
    <row r="606" spans="20:25" x14ac:dyDescent="0.15">
      <c r="T606" s="28">
        <f t="shared" si="351"/>
        <v>6584</v>
      </c>
      <c r="U606" s="26">
        <f t="shared" si="347"/>
        <v>535489</v>
      </c>
      <c r="V606" s="28">
        <f t="shared" si="348"/>
        <v>60</v>
      </c>
      <c r="W606" s="14">
        <f t="shared" si="349"/>
        <v>31686</v>
      </c>
      <c r="X606" s="39">
        <f t="shared" si="350"/>
        <v>214195.6</v>
      </c>
      <c r="Y606" s="15">
        <v>1</v>
      </c>
    </row>
    <row r="607" spans="20:25" x14ac:dyDescent="0.15">
      <c r="T607" s="28">
        <f t="shared" si="351"/>
        <v>6585</v>
      </c>
      <c r="U607" s="26">
        <f t="shared" si="347"/>
        <v>589037</v>
      </c>
      <c r="V607" s="28">
        <f t="shared" si="348"/>
        <v>60</v>
      </c>
      <c r="W607" s="14">
        <f t="shared" si="349"/>
        <v>34838</v>
      </c>
      <c r="X607" s="39">
        <f t="shared" si="350"/>
        <v>235614.8</v>
      </c>
      <c r="Y607" s="15">
        <v>1</v>
      </c>
    </row>
    <row r="608" spans="20:25" x14ac:dyDescent="0.15">
      <c r="T608" s="28">
        <f t="shared" si="351"/>
        <v>6586</v>
      </c>
      <c r="U608" s="26">
        <f t="shared" si="347"/>
        <v>647940</v>
      </c>
      <c r="V608" s="28">
        <f t="shared" si="348"/>
        <v>60</v>
      </c>
      <c r="W608" s="14">
        <f t="shared" si="349"/>
        <v>38302</v>
      </c>
      <c r="X608" s="39">
        <f t="shared" si="350"/>
        <v>259176</v>
      </c>
      <c r="Y608" s="15">
        <v>1</v>
      </c>
    </row>
    <row r="609" spans="20:25" x14ac:dyDescent="0.15">
      <c r="T609" s="28">
        <f t="shared" si="351"/>
        <v>6587</v>
      </c>
      <c r="U609" s="26">
        <f t="shared" si="347"/>
        <v>712734</v>
      </c>
      <c r="V609" s="28">
        <f t="shared" si="348"/>
        <v>60</v>
      </c>
      <c r="W609" s="14">
        <f t="shared" si="349"/>
        <v>42110</v>
      </c>
      <c r="X609" s="39">
        <f t="shared" si="350"/>
        <v>285093.59999999998</v>
      </c>
      <c r="Y609" s="15">
        <v>1</v>
      </c>
    </row>
    <row r="610" spans="20:25" x14ac:dyDescent="0.15">
      <c r="T610" s="28">
        <f t="shared" si="351"/>
        <v>6588</v>
      </c>
      <c r="U610" s="26">
        <f t="shared" si="347"/>
        <v>784007</v>
      </c>
      <c r="V610" s="28">
        <f t="shared" si="348"/>
        <v>60</v>
      </c>
      <c r="W610" s="14">
        <f t="shared" si="349"/>
        <v>46298</v>
      </c>
      <c r="X610" s="39">
        <f t="shared" si="350"/>
        <v>313602.8</v>
      </c>
      <c r="Y610" s="15">
        <v>1</v>
      </c>
    </row>
    <row r="611" spans="20:25" x14ac:dyDescent="0.15">
      <c r="T611" s="28">
        <f t="shared" si="351"/>
        <v>6589</v>
      </c>
      <c r="U611" s="26">
        <f t="shared" si="347"/>
        <v>862407</v>
      </c>
      <c r="V611" s="28">
        <f t="shared" si="348"/>
        <v>60</v>
      </c>
      <c r="W611" s="14">
        <f t="shared" si="349"/>
        <v>50902</v>
      </c>
      <c r="X611" s="39">
        <f t="shared" si="350"/>
        <v>344962.8</v>
      </c>
      <c r="Y611" s="15">
        <v>1</v>
      </c>
    </row>
    <row r="612" spans="20:25" x14ac:dyDescent="0.15">
      <c r="T612" s="28">
        <f t="shared" si="351"/>
        <v>6590</v>
      </c>
      <c r="U612" s="26">
        <f t="shared" si="347"/>
        <v>948647</v>
      </c>
      <c r="V612" s="28">
        <f t="shared" si="348"/>
        <v>60</v>
      </c>
      <c r="W612" s="14">
        <f t="shared" si="349"/>
        <v>55964</v>
      </c>
      <c r="X612" s="39">
        <f t="shared" si="350"/>
        <v>379458.8</v>
      </c>
      <c r="Y612" s="15">
        <v>1</v>
      </c>
    </row>
    <row r="613" spans="20:25" x14ac:dyDescent="0.15">
      <c r="T613" s="28">
        <f t="shared" si="351"/>
        <v>6591</v>
      </c>
      <c r="U613" s="26">
        <f t="shared" si="347"/>
        <v>1043511</v>
      </c>
      <c r="V613" s="28">
        <f t="shared" si="348"/>
        <v>60</v>
      </c>
      <c r="W613" s="14">
        <f t="shared" si="349"/>
        <v>61528</v>
      </c>
      <c r="X613" s="39">
        <f t="shared" si="350"/>
        <v>417404.4</v>
      </c>
      <c r="Y613" s="15">
        <v>1</v>
      </c>
    </row>
    <row r="614" spans="20:25" x14ac:dyDescent="0.15">
      <c r="T614" s="28">
        <f t="shared" si="351"/>
        <v>6592</v>
      </c>
      <c r="U614" s="26">
        <f t="shared" si="347"/>
        <v>1147862</v>
      </c>
      <c r="V614" s="28">
        <f t="shared" si="348"/>
        <v>60</v>
      </c>
      <c r="W614" s="14">
        <f t="shared" si="349"/>
        <v>67646</v>
      </c>
      <c r="X614" s="39">
        <f t="shared" si="350"/>
        <v>459144.8</v>
      </c>
      <c r="Y614" s="15">
        <v>1</v>
      </c>
    </row>
    <row r="615" spans="20:25" x14ac:dyDescent="0.15">
      <c r="T615" s="28">
        <f t="shared" si="351"/>
        <v>6593</v>
      </c>
      <c r="U615" s="26">
        <f t="shared" si="347"/>
        <v>1262648</v>
      </c>
      <c r="V615" s="28">
        <f t="shared" si="348"/>
        <v>60</v>
      </c>
      <c r="W615" s="14">
        <f t="shared" si="349"/>
        <v>74374</v>
      </c>
      <c r="X615" s="39">
        <f t="shared" si="350"/>
        <v>505059.2</v>
      </c>
      <c r="Y615" s="15">
        <v>1</v>
      </c>
    </row>
    <row r="616" spans="20:25" x14ac:dyDescent="0.15">
      <c r="T616" s="28">
        <f t="shared" si="351"/>
        <v>6594</v>
      </c>
      <c r="U616" s="26">
        <f t="shared" si="347"/>
        <v>1388912</v>
      </c>
      <c r="V616" s="28">
        <f t="shared" si="348"/>
        <v>60</v>
      </c>
      <c r="W616" s="14">
        <f t="shared" si="349"/>
        <v>81770</v>
      </c>
      <c r="X616" s="39">
        <f t="shared" si="350"/>
        <v>555564.80000000005</v>
      </c>
      <c r="Y616" s="15">
        <v>1</v>
      </c>
    </row>
    <row r="617" spans="20:25" x14ac:dyDescent="0.15">
      <c r="T617" s="28">
        <f t="shared" si="351"/>
        <v>6595</v>
      </c>
      <c r="U617" s="26">
        <f t="shared" si="347"/>
        <v>1527803</v>
      </c>
      <c r="V617" s="28">
        <f t="shared" si="348"/>
        <v>60</v>
      </c>
      <c r="W617" s="14">
        <f t="shared" si="349"/>
        <v>89902</v>
      </c>
      <c r="X617" s="39">
        <f t="shared" si="350"/>
        <v>611121.19999999995</v>
      </c>
      <c r="Y617" s="15">
        <v>1</v>
      </c>
    </row>
    <row r="618" spans="20:25" x14ac:dyDescent="0.15">
      <c r="T618" s="28">
        <f t="shared" si="351"/>
        <v>6596</v>
      </c>
      <c r="U618" s="26">
        <f t="shared" si="347"/>
        <v>1680583</v>
      </c>
      <c r="V618" s="28">
        <f t="shared" si="348"/>
        <v>60</v>
      </c>
      <c r="W618" s="14">
        <f t="shared" si="349"/>
        <v>98842</v>
      </c>
      <c r="X618" s="39">
        <f t="shared" si="350"/>
        <v>672233.2</v>
      </c>
      <c r="Y618" s="15">
        <v>1</v>
      </c>
    </row>
    <row r="619" spans="20:25" x14ac:dyDescent="0.15">
      <c r="T619" s="28">
        <f t="shared" si="351"/>
        <v>6597</v>
      </c>
      <c r="U619" s="26">
        <f t="shared" si="347"/>
        <v>1848641</v>
      </c>
      <c r="V619" s="28">
        <f t="shared" si="348"/>
        <v>60</v>
      </c>
      <c r="W619" s="14">
        <f t="shared" si="349"/>
        <v>108672</v>
      </c>
      <c r="X619" s="39">
        <f t="shared" si="350"/>
        <v>739456.4</v>
      </c>
      <c r="Y619" s="15">
        <v>1</v>
      </c>
    </row>
    <row r="620" spans="20:25" x14ac:dyDescent="0.15">
      <c r="T620" s="28">
        <f t="shared" si="351"/>
        <v>6598</v>
      </c>
      <c r="U620" s="26">
        <f t="shared" si="347"/>
        <v>2033505</v>
      </c>
      <c r="V620" s="28">
        <f t="shared" si="348"/>
        <v>60</v>
      </c>
      <c r="W620" s="14">
        <f t="shared" si="349"/>
        <v>119478</v>
      </c>
      <c r="X620" s="39">
        <f t="shared" si="350"/>
        <v>813402</v>
      </c>
      <c r="Y620" s="15">
        <v>1</v>
      </c>
    </row>
    <row r="621" spans="20:25" x14ac:dyDescent="0.15">
      <c r="T621" s="28">
        <f t="shared" si="351"/>
        <v>6599</v>
      </c>
      <c r="U621" s="26">
        <f t="shared" si="347"/>
        <v>2236855</v>
      </c>
      <c r="V621" s="28">
        <f t="shared" si="348"/>
        <v>60</v>
      </c>
      <c r="W621" s="14">
        <f t="shared" si="349"/>
        <v>131362</v>
      </c>
      <c r="X621" s="39">
        <f t="shared" si="350"/>
        <v>894742</v>
      </c>
      <c r="Y621" s="15">
        <v>1</v>
      </c>
    </row>
    <row r="622" spans="20:25" x14ac:dyDescent="0.15">
      <c r="T622" s="28">
        <f t="shared" si="351"/>
        <v>6600</v>
      </c>
      <c r="U622" s="26">
        <f t="shared" si="347"/>
        <v>2460540</v>
      </c>
      <c r="V622" s="28">
        <f t="shared" si="348"/>
        <v>60</v>
      </c>
      <c r="W622" s="14">
        <f t="shared" si="349"/>
        <v>144424</v>
      </c>
      <c r="X622" s="39">
        <f t="shared" si="350"/>
        <v>984216</v>
      </c>
      <c r="Y622" s="15">
        <v>1</v>
      </c>
    </row>
    <row r="623" spans="20:25" x14ac:dyDescent="0.15">
      <c r="T623" s="28">
        <f t="shared" si="351"/>
        <v>6601</v>
      </c>
      <c r="U623" s="38">
        <v>200</v>
      </c>
      <c r="V623" s="36">
        <f>V523+10</f>
        <v>70</v>
      </c>
      <c r="W623" s="14">
        <f t="shared" si="349"/>
        <v>12</v>
      </c>
      <c r="X623" s="39">
        <f t="shared" si="350"/>
        <v>93.333333333333343</v>
      </c>
      <c r="Y623" s="15">
        <v>1</v>
      </c>
    </row>
    <row r="624" spans="20:25" x14ac:dyDescent="0.15">
      <c r="T624" s="28">
        <f t="shared" si="351"/>
        <v>6602</v>
      </c>
      <c r="U624" s="26">
        <f t="shared" ref="U624:U687" si="352">INT(U623*$U$18)</f>
        <v>220</v>
      </c>
      <c r="V624" s="28">
        <f t="shared" ref="V624:V687" si="353">V623</f>
        <v>70</v>
      </c>
      <c r="W624" s="14">
        <f t="shared" si="349"/>
        <v>14</v>
      </c>
      <c r="X624" s="39">
        <f t="shared" si="350"/>
        <v>102.66666666666667</v>
      </c>
      <c r="Y624" s="15">
        <v>1</v>
      </c>
    </row>
    <row r="625" spans="20:25" x14ac:dyDescent="0.15">
      <c r="T625" s="28">
        <f t="shared" si="351"/>
        <v>6603</v>
      </c>
      <c r="U625" s="26">
        <f t="shared" si="352"/>
        <v>242</v>
      </c>
      <c r="V625" s="28">
        <f t="shared" si="353"/>
        <v>70</v>
      </c>
      <c r="W625" s="14">
        <f t="shared" si="349"/>
        <v>16</v>
      </c>
      <c r="X625" s="39">
        <f t="shared" si="350"/>
        <v>112.93333333333332</v>
      </c>
      <c r="Y625" s="15">
        <v>1</v>
      </c>
    </row>
    <row r="626" spans="20:25" x14ac:dyDescent="0.15">
      <c r="T626" s="28">
        <f t="shared" si="351"/>
        <v>6604</v>
      </c>
      <c r="U626" s="26">
        <f t="shared" si="352"/>
        <v>266</v>
      </c>
      <c r="V626" s="28">
        <f t="shared" si="353"/>
        <v>70</v>
      </c>
      <c r="W626" s="14">
        <f t="shared" si="349"/>
        <v>18</v>
      </c>
      <c r="X626" s="39">
        <f t="shared" si="350"/>
        <v>124.13333333333333</v>
      </c>
      <c r="Y626" s="15">
        <v>1</v>
      </c>
    </row>
    <row r="627" spans="20:25" x14ac:dyDescent="0.15">
      <c r="T627" s="28">
        <f t="shared" si="351"/>
        <v>6605</v>
      </c>
      <c r="U627" s="26">
        <f t="shared" si="352"/>
        <v>292</v>
      </c>
      <c r="V627" s="28">
        <f t="shared" si="353"/>
        <v>70</v>
      </c>
      <c r="W627" s="14">
        <f t="shared" si="349"/>
        <v>18</v>
      </c>
      <c r="X627" s="39">
        <f t="shared" si="350"/>
        <v>136.26666666666668</v>
      </c>
      <c r="Y627" s="15">
        <v>1</v>
      </c>
    </row>
    <row r="628" spans="20:25" x14ac:dyDescent="0.15">
      <c r="T628" s="28">
        <f t="shared" si="351"/>
        <v>6606</v>
      </c>
      <c r="U628" s="26">
        <f t="shared" si="352"/>
        <v>321</v>
      </c>
      <c r="V628" s="28">
        <f t="shared" si="353"/>
        <v>70</v>
      </c>
      <c r="W628" s="14">
        <f t="shared" si="349"/>
        <v>20</v>
      </c>
      <c r="X628" s="39">
        <f t="shared" si="350"/>
        <v>149.80000000000001</v>
      </c>
      <c r="Y628" s="15">
        <v>1</v>
      </c>
    </row>
    <row r="629" spans="20:25" x14ac:dyDescent="0.15">
      <c r="T629" s="28">
        <f t="shared" si="351"/>
        <v>6607</v>
      </c>
      <c r="U629" s="26">
        <f t="shared" si="352"/>
        <v>353</v>
      </c>
      <c r="V629" s="28">
        <f t="shared" si="353"/>
        <v>70</v>
      </c>
      <c r="W629" s="14">
        <f t="shared" si="349"/>
        <v>24</v>
      </c>
      <c r="X629" s="39">
        <f t="shared" si="350"/>
        <v>164.73333333333332</v>
      </c>
      <c r="Y629" s="15">
        <v>1</v>
      </c>
    </row>
    <row r="630" spans="20:25" x14ac:dyDescent="0.15">
      <c r="T630" s="28">
        <f t="shared" si="351"/>
        <v>6608</v>
      </c>
      <c r="U630" s="26">
        <f t="shared" si="352"/>
        <v>388</v>
      </c>
      <c r="V630" s="28">
        <f t="shared" si="353"/>
        <v>70</v>
      </c>
      <c r="W630" s="14">
        <f t="shared" si="349"/>
        <v>26</v>
      </c>
      <c r="X630" s="39">
        <f t="shared" si="350"/>
        <v>181.06666666666666</v>
      </c>
      <c r="Y630" s="15">
        <v>1</v>
      </c>
    </row>
    <row r="631" spans="20:25" x14ac:dyDescent="0.15">
      <c r="T631" s="28">
        <f t="shared" si="351"/>
        <v>6609</v>
      </c>
      <c r="U631" s="26">
        <f t="shared" si="352"/>
        <v>426</v>
      </c>
      <c r="V631" s="28">
        <f t="shared" si="353"/>
        <v>70</v>
      </c>
      <c r="W631" s="14">
        <f t="shared" si="349"/>
        <v>28</v>
      </c>
      <c r="X631" s="39">
        <f t="shared" si="350"/>
        <v>198.8</v>
      </c>
      <c r="Y631" s="15">
        <v>1</v>
      </c>
    </row>
    <row r="632" spans="20:25" x14ac:dyDescent="0.15">
      <c r="T632" s="28">
        <f t="shared" si="351"/>
        <v>6610</v>
      </c>
      <c r="U632" s="26">
        <f t="shared" si="352"/>
        <v>468</v>
      </c>
      <c r="V632" s="28">
        <f t="shared" si="353"/>
        <v>70</v>
      </c>
      <c r="W632" s="14">
        <f t="shared" si="349"/>
        <v>30</v>
      </c>
      <c r="X632" s="39">
        <f t="shared" si="350"/>
        <v>218.4</v>
      </c>
      <c r="Y632" s="15">
        <v>1</v>
      </c>
    </row>
    <row r="633" spans="20:25" x14ac:dyDescent="0.15">
      <c r="T633" s="28">
        <f t="shared" si="351"/>
        <v>6611</v>
      </c>
      <c r="U633" s="26">
        <f t="shared" si="352"/>
        <v>514</v>
      </c>
      <c r="V633" s="28">
        <f t="shared" si="353"/>
        <v>70</v>
      </c>
      <c r="W633" s="14">
        <f t="shared" si="349"/>
        <v>34</v>
      </c>
      <c r="X633" s="39">
        <f t="shared" si="350"/>
        <v>239.86666666666665</v>
      </c>
      <c r="Y633" s="15">
        <v>1</v>
      </c>
    </row>
    <row r="634" spans="20:25" x14ac:dyDescent="0.15">
      <c r="T634" s="28">
        <f t="shared" si="351"/>
        <v>6612</v>
      </c>
      <c r="U634" s="26">
        <f t="shared" si="352"/>
        <v>565</v>
      </c>
      <c r="V634" s="28">
        <f t="shared" si="353"/>
        <v>70</v>
      </c>
      <c r="W634" s="14">
        <f t="shared" si="349"/>
        <v>38</v>
      </c>
      <c r="X634" s="39">
        <f t="shared" si="350"/>
        <v>263.66666666666663</v>
      </c>
      <c r="Y634" s="15">
        <v>1</v>
      </c>
    </row>
    <row r="635" spans="20:25" x14ac:dyDescent="0.15">
      <c r="T635" s="28">
        <f t="shared" si="351"/>
        <v>6613</v>
      </c>
      <c r="U635" s="26">
        <f t="shared" si="352"/>
        <v>621</v>
      </c>
      <c r="V635" s="28">
        <f t="shared" si="353"/>
        <v>70</v>
      </c>
      <c r="W635" s="14">
        <f t="shared" si="349"/>
        <v>42</v>
      </c>
      <c r="X635" s="39">
        <f t="shared" si="350"/>
        <v>289.8</v>
      </c>
      <c r="Y635" s="15">
        <v>1</v>
      </c>
    </row>
    <row r="636" spans="20:25" x14ac:dyDescent="0.15">
      <c r="T636" s="28">
        <f t="shared" si="351"/>
        <v>6614</v>
      </c>
      <c r="U636" s="26">
        <f t="shared" si="352"/>
        <v>683</v>
      </c>
      <c r="V636" s="28">
        <f t="shared" si="353"/>
        <v>70</v>
      </c>
      <c r="W636" s="14">
        <f t="shared" si="349"/>
        <v>46</v>
      </c>
      <c r="X636" s="39">
        <f t="shared" si="350"/>
        <v>318.73333333333335</v>
      </c>
      <c r="Y636" s="15">
        <v>1</v>
      </c>
    </row>
    <row r="637" spans="20:25" x14ac:dyDescent="0.15">
      <c r="T637" s="28">
        <f t="shared" si="351"/>
        <v>6615</v>
      </c>
      <c r="U637" s="26">
        <f t="shared" si="352"/>
        <v>751</v>
      </c>
      <c r="V637" s="28">
        <f t="shared" si="353"/>
        <v>70</v>
      </c>
      <c r="W637" s="14">
        <f t="shared" si="349"/>
        <v>50</v>
      </c>
      <c r="X637" s="39">
        <f t="shared" si="350"/>
        <v>350.46666666666664</v>
      </c>
      <c r="Y637" s="15">
        <v>1</v>
      </c>
    </row>
    <row r="638" spans="20:25" x14ac:dyDescent="0.15">
      <c r="T638" s="28">
        <f t="shared" si="351"/>
        <v>6616</v>
      </c>
      <c r="U638" s="26">
        <f t="shared" si="352"/>
        <v>826</v>
      </c>
      <c r="V638" s="28">
        <f t="shared" si="353"/>
        <v>70</v>
      </c>
      <c r="W638" s="14">
        <f t="shared" si="349"/>
        <v>56</v>
      </c>
      <c r="X638" s="39">
        <f t="shared" si="350"/>
        <v>385.46666666666664</v>
      </c>
      <c r="Y638" s="15">
        <v>1</v>
      </c>
    </row>
    <row r="639" spans="20:25" x14ac:dyDescent="0.15">
      <c r="T639" s="28">
        <f t="shared" si="351"/>
        <v>6617</v>
      </c>
      <c r="U639" s="26">
        <f t="shared" si="352"/>
        <v>908</v>
      </c>
      <c r="V639" s="28">
        <f t="shared" si="353"/>
        <v>70</v>
      </c>
      <c r="W639" s="14">
        <f t="shared" si="349"/>
        <v>60</v>
      </c>
      <c r="X639" s="39">
        <f t="shared" si="350"/>
        <v>423.73333333333329</v>
      </c>
      <c r="Y639" s="15">
        <v>1</v>
      </c>
    </row>
    <row r="640" spans="20:25" x14ac:dyDescent="0.15">
      <c r="T640" s="28">
        <f t="shared" si="351"/>
        <v>6618</v>
      </c>
      <c r="U640" s="26">
        <f t="shared" si="352"/>
        <v>998</v>
      </c>
      <c r="V640" s="28">
        <f t="shared" si="353"/>
        <v>70</v>
      </c>
      <c r="W640" s="14">
        <f t="shared" si="349"/>
        <v>66</v>
      </c>
      <c r="X640" s="39">
        <f t="shared" si="350"/>
        <v>465.73333333333329</v>
      </c>
      <c r="Y640" s="15">
        <v>1</v>
      </c>
    </row>
    <row r="641" spans="20:25" x14ac:dyDescent="0.15">
      <c r="T641" s="28">
        <f t="shared" si="351"/>
        <v>6619</v>
      </c>
      <c r="U641" s="26">
        <f t="shared" si="352"/>
        <v>1097</v>
      </c>
      <c r="V641" s="28">
        <f t="shared" si="353"/>
        <v>70</v>
      </c>
      <c r="W641" s="14">
        <f t="shared" si="349"/>
        <v>74</v>
      </c>
      <c r="X641" s="39">
        <f t="shared" si="350"/>
        <v>511.93333333333328</v>
      </c>
      <c r="Y641" s="15">
        <v>1</v>
      </c>
    </row>
    <row r="642" spans="20:25" x14ac:dyDescent="0.15">
      <c r="T642" s="28">
        <f t="shared" si="351"/>
        <v>6620</v>
      </c>
      <c r="U642" s="26">
        <f t="shared" si="352"/>
        <v>1206</v>
      </c>
      <c r="V642" s="28">
        <f t="shared" si="353"/>
        <v>70</v>
      </c>
      <c r="W642" s="14">
        <f t="shared" si="349"/>
        <v>80</v>
      </c>
      <c r="X642" s="39">
        <f t="shared" si="350"/>
        <v>562.79999999999995</v>
      </c>
      <c r="Y642" s="15">
        <v>1</v>
      </c>
    </row>
    <row r="643" spans="20:25" x14ac:dyDescent="0.15">
      <c r="T643" s="28">
        <f t="shared" si="351"/>
        <v>6621</v>
      </c>
      <c r="U643" s="26">
        <f t="shared" si="352"/>
        <v>1326</v>
      </c>
      <c r="V643" s="28">
        <f t="shared" si="353"/>
        <v>70</v>
      </c>
      <c r="W643" s="14">
        <f t="shared" si="349"/>
        <v>88</v>
      </c>
      <c r="X643" s="39">
        <f t="shared" si="350"/>
        <v>618.79999999999995</v>
      </c>
      <c r="Y643" s="15">
        <v>1</v>
      </c>
    </row>
    <row r="644" spans="20:25" x14ac:dyDescent="0.15">
      <c r="T644" s="28">
        <f t="shared" si="351"/>
        <v>6622</v>
      </c>
      <c r="U644" s="26">
        <f t="shared" si="352"/>
        <v>1458</v>
      </c>
      <c r="V644" s="28">
        <f t="shared" si="353"/>
        <v>70</v>
      </c>
      <c r="W644" s="14">
        <f t="shared" si="349"/>
        <v>98</v>
      </c>
      <c r="X644" s="39">
        <f t="shared" si="350"/>
        <v>680.4</v>
      </c>
      <c r="Y644" s="15">
        <v>1</v>
      </c>
    </row>
    <row r="645" spans="20:25" x14ac:dyDescent="0.15">
      <c r="T645" s="28">
        <f t="shared" si="351"/>
        <v>6623</v>
      </c>
      <c r="U645" s="26">
        <f t="shared" si="352"/>
        <v>1603</v>
      </c>
      <c r="V645" s="28">
        <f t="shared" si="353"/>
        <v>70</v>
      </c>
      <c r="W645" s="14">
        <f t="shared" si="349"/>
        <v>108</v>
      </c>
      <c r="X645" s="39">
        <f t="shared" si="350"/>
        <v>748.06666666666672</v>
      </c>
      <c r="Y645" s="15">
        <v>1</v>
      </c>
    </row>
    <row r="646" spans="20:25" x14ac:dyDescent="0.15">
      <c r="T646" s="28">
        <f t="shared" si="351"/>
        <v>6624</v>
      </c>
      <c r="U646" s="26">
        <f t="shared" si="352"/>
        <v>1763</v>
      </c>
      <c r="V646" s="28">
        <f t="shared" si="353"/>
        <v>70</v>
      </c>
      <c r="W646" s="14">
        <f t="shared" si="349"/>
        <v>118</v>
      </c>
      <c r="X646" s="39">
        <f t="shared" si="350"/>
        <v>822.73333333333335</v>
      </c>
      <c r="Y646" s="15">
        <v>1</v>
      </c>
    </row>
    <row r="647" spans="20:25" x14ac:dyDescent="0.15">
      <c r="T647" s="28">
        <f t="shared" si="351"/>
        <v>6625</v>
      </c>
      <c r="U647" s="26">
        <f t="shared" si="352"/>
        <v>1939</v>
      </c>
      <c r="V647" s="28">
        <f t="shared" si="353"/>
        <v>70</v>
      </c>
      <c r="W647" s="14">
        <f t="shared" si="349"/>
        <v>130</v>
      </c>
      <c r="X647" s="39">
        <f t="shared" si="350"/>
        <v>904.86666666666656</v>
      </c>
      <c r="Y647" s="15">
        <v>1</v>
      </c>
    </row>
    <row r="648" spans="20:25" x14ac:dyDescent="0.15">
      <c r="T648" s="28">
        <f t="shared" si="351"/>
        <v>6626</v>
      </c>
      <c r="U648" s="26">
        <f t="shared" si="352"/>
        <v>2132</v>
      </c>
      <c r="V648" s="28">
        <f t="shared" si="353"/>
        <v>70</v>
      </c>
      <c r="W648" s="14">
        <f t="shared" si="349"/>
        <v>144</v>
      </c>
      <c r="X648" s="39">
        <f t="shared" si="350"/>
        <v>994.93333333333339</v>
      </c>
      <c r="Y648" s="15">
        <v>1</v>
      </c>
    </row>
    <row r="649" spans="20:25" x14ac:dyDescent="0.15">
      <c r="T649" s="28">
        <f t="shared" si="351"/>
        <v>6627</v>
      </c>
      <c r="U649" s="26">
        <f t="shared" si="352"/>
        <v>2345</v>
      </c>
      <c r="V649" s="28">
        <f t="shared" si="353"/>
        <v>70</v>
      </c>
      <c r="W649" s="14">
        <f t="shared" si="349"/>
        <v>158</v>
      </c>
      <c r="X649" s="39">
        <f t="shared" si="350"/>
        <v>1094.3333333333335</v>
      </c>
      <c r="Y649" s="15">
        <v>1</v>
      </c>
    </row>
    <row r="650" spans="20:25" x14ac:dyDescent="0.15">
      <c r="T650" s="28">
        <f t="shared" si="351"/>
        <v>6628</v>
      </c>
      <c r="U650" s="26">
        <f t="shared" si="352"/>
        <v>2579</v>
      </c>
      <c r="V650" s="28">
        <f t="shared" si="353"/>
        <v>70</v>
      </c>
      <c r="W650" s="14">
        <f t="shared" si="349"/>
        <v>174</v>
      </c>
      <c r="X650" s="39">
        <f t="shared" si="350"/>
        <v>1203.5333333333333</v>
      </c>
      <c r="Y650" s="15">
        <v>1</v>
      </c>
    </row>
    <row r="651" spans="20:25" x14ac:dyDescent="0.15">
      <c r="T651" s="28">
        <f t="shared" si="351"/>
        <v>6629</v>
      </c>
      <c r="U651" s="26">
        <f t="shared" si="352"/>
        <v>2836</v>
      </c>
      <c r="V651" s="28">
        <f t="shared" si="353"/>
        <v>70</v>
      </c>
      <c r="W651" s="14">
        <f t="shared" si="349"/>
        <v>190</v>
      </c>
      <c r="X651" s="39">
        <f t="shared" si="350"/>
        <v>1323.4666666666667</v>
      </c>
      <c r="Y651" s="15">
        <v>1</v>
      </c>
    </row>
    <row r="652" spans="20:25" x14ac:dyDescent="0.15">
      <c r="T652" s="28">
        <f t="shared" si="351"/>
        <v>6630</v>
      </c>
      <c r="U652" s="26">
        <f t="shared" si="352"/>
        <v>3119</v>
      </c>
      <c r="V652" s="28">
        <f t="shared" si="353"/>
        <v>70</v>
      </c>
      <c r="W652" s="14">
        <f t="shared" si="349"/>
        <v>210</v>
      </c>
      <c r="X652" s="39">
        <f t="shared" si="350"/>
        <v>1455.5333333333333</v>
      </c>
      <c r="Y652" s="15">
        <v>1</v>
      </c>
    </row>
    <row r="653" spans="20:25" x14ac:dyDescent="0.15">
      <c r="T653" s="28">
        <f t="shared" si="351"/>
        <v>6631</v>
      </c>
      <c r="U653" s="26">
        <f t="shared" si="352"/>
        <v>3430</v>
      </c>
      <c r="V653" s="28">
        <f t="shared" si="353"/>
        <v>70</v>
      </c>
      <c r="W653" s="14">
        <f t="shared" si="349"/>
        <v>230</v>
      </c>
      <c r="X653" s="39">
        <f t="shared" si="350"/>
        <v>1600.6666666666665</v>
      </c>
      <c r="Y653" s="15">
        <v>1</v>
      </c>
    </row>
    <row r="654" spans="20:25" x14ac:dyDescent="0.15">
      <c r="T654" s="28">
        <f t="shared" si="351"/>
        <v>6632</v>
      </c>
      <c r="U654" s="26">
        <f t="shared" si="352"/>
        <v>3773</v>
      </c>
      <c r="V654" s="28">
        <f t="shared" si="353"/>
        <v>70</v>
      </c>
      <c r="W654" s="14">
        <f t="shared" si="349"/>
        <v>254</v>
      </c>
      <c r="X654" s="39">
        <f t="shared" si="350"/>
        <v>1760.7333333333331</v>
      </c>
      <c r="Y654" s="15">
        <v>1</v>
      </c>
    </row>
    <row r="655" spans="20:25" x14ac:dyDescent="0.15">
      <c r="T655" s="28">
        <f t="shared" si="351"/>
        <v>6633</v>
      </c>
      <c r="U655" s="26">
        <f t="shared" si="352"/>
        <v>4150</v>
      </c>
      <c r="V655" s="28">
        <f t="shared" si="353"/>
        <v>70</v>
      </c>
      <c r="W655" s="14">
        <f t="shared" si="349"/>
        <v>278</v>
      </c>
      <c r="X655" s="39">
        <f t="shared" si="350"/>
        <v>1936.6666666666667</v>
      </c>
      <c r="Y655" s="15">
        <v>1</v>
      </c>
    </row>
    <row r="656" spans="20:25" x14ac:dyDescent="0.15">
      <c r="T656" s="28">
        <f t="shared" si="351"/>
        <v>6634</v>
      </c>
      <c r="U656" s="26">
        <f t="shared" si="352"/>
        <v>4565</v>
      </c>
      <c r="V656" s="28">
        <f t="shared" si="353"/>
        <v>70</v>
      </c>
      <c r="W656" s="14">
        <f t="shared" si="349"/>
        <v>306</v>
      </c>
      <c r="X656" s="39">
        <f t="shared" si="350"/>
        <v>2130.333333333333</v>
      </c>
      <c r="Y656" s="15">
        <v>1</v>
      </c>
    </row>
    <row r="657" spans="20:25" x14ac:dyDescent="0.15">
      <c r="T657" s="28">
        <f t="shared" si="351"/>
        <v>6635</v>
      </c>
      <c r="U657" s="26">
        <f t="shared" si="352"/>
        <v>5021</v>
      </c>
      <c r="V657" s="28">
        <f t="shared" si="353"/>
        <v>70</v>
      </c>
      <c r="W657" s="14">
        <f t="shared" si="349"/>
        <v>338</v>
      </c>
      <c r="X657" s="39">
        <f t="shared" si="350"/>
        <v>2343.1333333333332</v>
      </c>
      <c r="Y657" s="15">
        <v>1</v>
      </c>
    </row>
    <row r="658" spans="20:25" x14ac:dyDescent="0.15">
      <c r="T658" s="28">
        <f t="shared" si="351"/>
        <v>6636</v>
      </c>
      <c r="U658" s="26">
        <f t="shared" si="352"/>
        <v>5523</v>
      </c>
      <c r="V658" s="28">
        <f t="shared" si="353"/>
        <v>70</v>
      </c>
      <c r="W658" s="14">
        <f t="shared" si="349"/>
        <v>370</v>
      </c>
      <c r="X658" s="39">
        <f t="shared" si="350"/>
        <v>2577.4</v>
      </c>
      <c r="Y658" s="15">
        <v>1</v>
      </c>
    </row>
    <row r="659" spans="20:25" x14ac:dyDescent="0.15">
      <c r="T659" s="28">
        <f t="shared" si="351"/>
        <v>6637</v>
      </c>
      <c r="U659" s="26">
        <f t="shared" si="352"/>
        <v>6075</v>
      </c>
      <c r="V659" s="28">
        <f t="shared" si="353"/>
        <v>70</v>
      </c>
      <c r="W659" s="14">
        <f t="shared" si="349"/>
        <v>408</v>
      </c>
      <c r="X659" s="39">
        <f t="shared" si="350"/>
        <v>2835</v>
      </c>
      <c r="Y659" s="15">
        <v>1</v>
      </c>
    </row>
    <row r="660" spans="20:25" x14ac:dyDescent="0.15">
      <c r="T660" s="28">
        <f t="shared" si="351"/>
        <v>6638</v>
      </c>
      <c r="U660" s="26">
        <f t="shared" si="352"/>
        <v>6682</v>
      </c>
      <c r="V660" s="28">
        <f t="shared" si="353"/>
        <v>70</v>
      </c>
      <c r="W660" s="14">
        <f t="shared" si="349"/>
        <v>448</v>
      </c>
      <c r="X660" s="39">
        <f t="shared" si="350"/>
        <v>3118.2666666666669</v>
      </c>
      <c r="Y660" s="15">
        <v>1</v>
      </c>
    </row>
    <row r="661" spans="20:25" x14ac:dyDescent="0.15">
      <c r="T661" s="28">
        <f t="shared" si="351"/>
        <v>6639</v>
      </c>
      <c r="U661" s="26">
        <f t="shared" si="352"/>
        <v>7350</v>
      </c>
      <c r="V661" s="28">
        <f t="shared" si="353"/>
        <v>70</v>
      </c>
      <c r="W661" s="14">
        <f t="shared" si="349"/>
        <v>492</v>
      </c>
      <c r="X661" s="39">
        <f t="shared" si="350"/>
        <v>3430</v>
      </c>
      <c r="Y661" s="15">
        <v>1</v>
      </c>
    </row>
    <row r="662" spans="20:25" x14ac:dyDescent="0.15">
      <c r="T662" s="28">
        <f t="shared" si="351"/>
        <v>6640</v>
      </c>
      <c r="U662" s="26">
        <f t="shared" si="352"/>
        <v>8085</v>
      </c>
      <c r="V662" s="28">
        <f t="shared" si="353"/>
        <v>70</v>
      </c>
      <c r="W662" s="14">
        <f t="shared" si="349"/>
        <v>542</v>
      </c>
      <c r="X662" s="39">
        <f t="shared" si="350"/>
        <v>3773</v>
      </c>
      <c r="Y662" s="15">
        <v>1</v>
      </c>
    </row>
    <row r="663" spans="20:25" x14ac:dyDescent="0.15">
      <c r="T663" s="28">
        <f t="shared" si="351"/>
        <v>6641</v>
      </c>
      <c r="U663" s="26">
        <f t="shared" si="352"/>
        <v>8893</v>
      </c>
      <c r="V663" s="28">
        <f t="shared" si="353"/>
        <v>70</v>
      </c>
      <c r="W663" s="14">
        <f t="shared" si="349"/>
        <v>596</v>
      </c>
      <c r="X663" s="39">
        <f t="shared" si="350"/>
        <v>4150.0666666666666</v>
      </c>
      <c r="Y663" s="15">
        <v>1</v>
      </c>
    </row>
    <row r="664" spans="20:25" x14ac:dyDescent="0.15">
      <c r="T664" s="28">
        <f t="shared" si="351"/>
        <v>6642</v>
      </c>
      <c r="U664" s="26">
        <f t="shared" si="352"/>
        <v>9782</v>
      </c>
      <c r="V664" s="28">
        <f t="shared" si="353"/>
        <v>70</v>
      </c>
      <c r="W664" s="14">
        <f t="shared" ref="W664:W727" si="354">_xlfn.FLOOR.MATH(V664*U664/15/10/RIGHT(T664,3)^0.3,2)</f>
        <v>656</v>
      </c>
      <c r="X664" s="39">
        <f t="shared" ref="X664:X727" si="355">U664*V664/15/10</f>
        <v>4564.9333333333334</v>
      </c>
      <c r="Y664" s="15">
        <v>1</v>
      </c>
    </row>
    <row r="665" spans="20:25" x14ac:dyDescent="0.15">
      <c r="T665" s="28">
        <f t="shared" ref="T665:T728" si="356">T664+1</f>
        <v>6643</v>
      </c>
      <c r="U665" s="26">
        <f t="shared" si="352"/>
        <v>10760</v>
      </c>
      <c r="V665" s="28">
        <f t="shared" si="353"/>
        <v>70</v>
      </c>
      <c r="W665" s="14">
        <f t="shared" si="354"/>
        <v>720</v>
      </c>
      <c r="X665" s="39">
        <f t="shared" si="355"/>
        <v>5021.3333333333339</v>
      </c>
      <c r="Y665" s="15">
        <v>1</v>
      </c>
    </row>
    <row r="666" spans="20:25" x14ac:dyDescent="0.15">
      <c r="T666" s="28">
        <f t="shared" si="356"/>
        <v>6644</v>
      </c>
      <c r="U666" s="26">
        <f t="shared" si="352"/>
        <v>11836</v>
      </c>
      <c r="V666" s="28">
        <f t="shared" si="353"/>
        <v>70</v>
      </c>
      <c r="W666" s="14">
        <f t="shared" si="354"/>
        <v>792</v>
      </c>
      <c r="X666" s="39">
        <f t="shared" si="355"/>
        <v>5523.4666666666662</v>
      </c>
      <c r="Y666" s="15">
        <v>1</v>
      </c>
    </row>
    <row r="667" spans="20:25" x14ac:dyDescent="0.15">
      <c r="T667" s="28">
        <f t="shared" si="356"/>
        <v>6645</v>
      </c>
      <c r="U667" s="26">
        <f t="shared" si="352"/>
        <v>13019</v>
      </c>
      <c r="V667" s="28">
        <f t="shared" si="353"/>
        <v>70</v>
      </c>
      <c r="W667" s="14">
        <f t="shared" si="354"/>
        <v>872</v>
      </c>
      <c r="X667" s="39">
        <f t="shared" si="355"/>
        <v>6075.5333333333338</v>
      </c>
      <c r="Y667" s="15">
        <v>1</v>
      </c>
    </row>
    <row r="668" spans="20:25" x14ac:dyDescent="0.15">
      <c r="T668" s="28">
        <f t="shared" si="356"/>
        <v>6646</v>
      </c>
      <c r="U668" s="26">
        <f t="shared" si="352"/>
        <v>14320</v>
      </c>
      <c r="V668" s="28">
        <f t="shared" si="353"/>
        <v>70</v>
      </c>
      <c r="W668" s="14">
        <f t="shared" si="354"/>
        <v>958</v>
      </c>
      <c r="X668" s="39">
        <f t="shared" si="355"/>
        <v>6682.666666666667</v>
      </c>
      <c r="Y668" s="15">
        <v>1</v>
      </c>
    </row>
    <row r="669" spans="20:25" x14ac:dyDescent="0.15">
      <c r="T669" s="28">
        <f t="shared" si="356"/>
        <v>6647</v>
      </c>
      <c r="U669" s="26">
        <f t="shared" si="352"/>
        <v>15752</v>
      </c>
      <c r="V669" s="28">
        <f t="shared" si="353"/>
        <v>70</v>
      </c>
      <c r="W669" s="14">
        <f t="shared" si="354"/>
        <v>1054</v>
      </c>
      <c r="X669" s="39">
        <f t="shared" si="355"/>
        <v>7350.9333333333325</v>
      </c>
      <c r="Y669" s="15">
        <v>1</v>
      </c>
    </row>
    <row r="670" spans="20:25" x14ac:dyDescent="0.15">
      <c r="T670" s="28">
        <f t="shared" si="356"/>
        <v>6648</v>
      </c>
      <c r="U670" s="26">
        <f t="shared" si="352"/>
        <v>17327</v>
      </c>
      <c r="V670" s="28">
        <f t="shared" si="353"/>
        <v>70</v>
      </c>
      <c r="W670" s="14">
        <f t="shared" si="354"/>
        <v>1158</v>
      </c>
      <c r="X670" s="39">
        <f t="shared" si="355"/>
        <v>8085.9333333333325</v>
      </c>
      <c r="Y670" s="15">
        <v>1</v>
      </c>
    </row>
    <row r="671" spans="20:25" x14ac:dyDescent="0.15">
      <c r="T671" s="28">
        <f t="shared" si="356"/>
        <v>6649</v>
      </c>
      <c r="U671" s="26">
        <f t="shared" si="352"/>
        <v>19059</v>
      </c>
      <c r="V671" s="28">
        <f t="shared" si="353"/>
        <v>70</v>
      </c>
      <c r="W671" s="14">
        <f t="shared" si="354"/>
        <v>1274</v>
      </c>
      <c r="X671" s="39">
        <f t="shared" si="355"/>
        <v>8894.2000000000007</v>
      </c>
      <c r="Y671" s="15">
        <v>1</v>
      </c>
    </row>
    <row r="672" spans="20:25" x14ac:dyDescent="0.15">
      <c r="T672" s="28">
        <f t="shared" si="356"/>
        <v>6650</v>
      </c>
      <c r="U672" s="26">
        <f t="shared" si="352"/>
        <v>20964</v>
      </c>
      <c r="V672" s="28">
        <f t="shared" si="353"/>
        <v>70</v>
      </c>
      <c r="W672" s="14">
        <f t="shared" si="354"/>
        <v>1400</v>
      </c>
      <c r="X672" s="39">
        <f t="shared" si="355"/>
        <v>9783.2000000000007</v>
      </c>
      <c r="Y672" s="15">
        <v>1</v>
      </c>
    </row>
    <row r="673" spans="20:25" x14ac:dyDescent="0.15">
      <c r="T673" s="28">
        <f t="shared" si="356"/>
        <v>6651</v>
      </c>
      <c r="U673" s="26">
        <f t="shared" si="352"/>
        <v>23060</v>
      </c>
      <c r="V673" s="28">
        <f t="shared" si="353"/>
        <v>70</v>
      </c>
      <c r="W673" s="14">
        <f t="shared" si="354"/>
        <v>1540</v>
      </c>
      <c r="X673" s="39">
        <f t="shared" si="355"/>
        <v>10761.333333333332</v>
      </c>
      <c r="Y673" s="15">
        <v>1</v>
      </c>
    </row>
    <row r="674" spans="20:25" x14ac:dyDescent="0.15">
      <c r="T674" s="28">
        <f t="shared" si="356"/>
        <v>6652</v>
      </c>
      <c r="U674" s="26">
        <f t="shared" si="352"/>
        <v>25366</v>
      </c>
      <c r="V674" s="28">
        <f t="shared" si="353"/>
        <v>70</v>
      </c>
      <c r="W674" s="14">
        <f t="shared" si="354"/>
        <v>1694</v>
      </c>
      <c r="X674" s="39">
        <f t="shared" si="355"/>
        <v>11837.466666666667</v>
      </c>
      <c r="Y674" s="15">
        <v>1</v>
      </c>
    </row>
    <row r="675" spans="20:25" x14ac:dyDescent="0.15">
      <c r="T675" s="28">
        <f t="shared" si="356"/>
        <v>6653</v>
      </c>
      <c r="U675" s="26">
        <f t="shared" si="352"/>
        <v>27902</v>
      </c>
      <c r="V675" s="28">
        <f t="shared" si="353"/>
        <v>70</v>
      </c>
      <c r="W675" s="14">
        <f t="shared" si="354"/>
        <v>1862</v>
      </c>
      <c r="X675" s="39">
        <f t="shared" si="355"/>
        <v>13020.933333333332</v>
      </c>
      <c r="Y675" s="15">
        <v>1</v>
      </c>
    </row>
    <row r="676" spans="20:25" x14ac:dyDescent="0.15">
      <c r="T676" s="28">
        <f t="shared" si="356"/>
        <v>6654</v>
      </c>
      <c r="U676" s="26">
        <f t="shared" si="352"/>
        <v>30692</v>
      </c>
      <c r="V676" s="28">
        <f t="shared" si="353"/>
        <v>70</v>
      </c>
      <c r="W676" s="14">
        <f t="shared" si="354"/>
        <v>2048</v>
      </c>
      <c r="X676" s="39">
        <f t="shared" si="355"/>
        <v>14322.933333333334</v>
      </c>
      <c r="Y676" s="15">
        <v>1</v>
      </c>
    </row>
    <row r="677" spans="20:25" x14ac:dyDescent="0.15">
      <c r="T677" s="28">
        <f t="shared" si="356"/>
        <v>6655</v>
      </c>
      <c r="U677" s="26">
        <f t="shared" si="352"/>
        <v>33761</v>
      </c>
      <c r="V677" s="28">
        <f t="shared" si="353"/>
        <v>70</v>
      </c>
      <c r="W677" s="14">
        <f t="shared" si="354"/>
        <v>2250</v>
      </c>
      <c r="X677" s="39">
        <f t="shared" si="355"/>
        <v>15755.133333333335</v>
      </c>
      <c r="Y677" s="15">
        <v>1</v>
      </c>
    </row>
    <row r="678" spans="20:25" x14ac:dyDescent="0.15">
      <c r="T678" s="28">
        <f t="shared" si="356"/>
        <v>6656</v>
      </c>
      <c r="U678" s="26">
        <f t="shared" si="352"/>
        <v>37137</v>
      </c>
      <c r="V678" s="28">
        <f t="shared" si="353"/>
        <v>70</v>
      </c>
      <c r="W678" s="14">
        <f t="shared" si="354"/>
        <v>2474</v>
      </c>
      <c r="X678" s="39">
        <f t="shared" si="355"/>
        <v>17330.599999999999</v>
      </c>
      <c r="Y678" s="15">
        <v>1</v>
      </c>
    </row>
    <row r="679" spans="20:25" x14ac:dyDescent="0.15">
      <c r="T679" s="28">
        <f t="shared" si="356"/>
        <v>6657</v>
      </c>
      <c r="U679" s="26">
        <f t="shared" si="352"/>
        <v>40850</v>
      </c>
      <c r="V679" s="28">
        <f t="shared" si="353"/>
        <v>70</v>
      </c>
      <c r="W679" s="14">
        <f t="shared" si="354"/>
        <v>2722</v>
      </c>
      <c r="X679" s="39">
        <f t="shared" si="355"/>
        <v>19063.333333333336</v>
      </c>
      <c r="Y679" s="15">
        <v>1</v>
      </c>
    </row>
    <row r="680" spans="20:25" x14ac:dyDescent="0.15">
      <c r="T680" s="28">
        <f t="shared" si="356"/>
        <v>6658</v>
      </c>
      <c r="U680" s="26">
        <f t="shared" si="352"/>
        <v>44935</v>
      </c>
      <c r="V680" s="28">
        <f t="shared" si="353"/>
        <v>70</v>
      </c>
      <c r="W680" s="14">
        <f t="shared" si="354"/>
        <v>2992</v>
      </c>
      <c r="X680" s="39">
        <f t="shared" si="355"/>
        <v>20969.666666666664</v>
      </c>
      <c r="Y680" s="15">
        <v>1</v>
      </c>
    </row>
    <row r="681" spans="20:25" x14ac:dyDescent="0.15">
      <c r="T681" s="28">
        <f t="shared" si="356"/>
        <v>6659</v>
      </c>
      <c r="U681" s="26">
        <f t="shared" si="352"/>
        <v>49428</v>
      </c>
      <c r="V681" s="28">
        <f t="shared" si="353"/>
        <v>70</v>
      </c>
      <c r="W681" s="14">
        <f t="shared" si="354"/>
        <v>3290</v>
      </c>
      <c r="X681" s="39">
        <f t="shared" si="355"/>
        <v>23066.400000000001</v>
      </c>
      <c r="Y681" s="15">
        <v>1</v>
      </c>
    </row>
    <row r="682" spans="20:25" x14ac:dyDescent="0.15">
      <c r="T682" s="28">
        <f t="shared" si="356"/>
        <v>6660</v>
      </c>
      <c r="U682" s="26">
        <f t="shared" si="352"/>
        <v>54370</v>
      </c>
      <c r="V682" s="28">
        <f t="shared" si="353"/>
        <v>70</v>
      </c>
      <c r="W682" s="14">
        <f t="shared" si="354"/>
        <v>3618</v>
      </c>
      <c r="X682" s="39">
        <f t="shared" si="355"/>
        <v>25372.666666666664</v>
      </c>
      <c r="Y682" s="15">
        <v>1</v>
      </c>
    </row>
    <row r="683" spans="20:25" x14ac:dyDescent="0.15">
      <c r="T683" s="28">
        <f t="shared" si="356"/>
        <v>6661</v>
      </c>
      <c r="U683" s="26">
        <f t="shared" si="352"/>
        <v>59807</v>
      </c>
      <c r="V683" s="28">
        <f t="shared" si="353"/>
        <v>70</v>
      </c>
      <c r="W683" s="14">
        <f t="shared" si="354"/>
        <v>3978</v>
      </c>
      <c r="X683" s="39">
        <f t="shared" si="355"/>
        <v>27909.933333333331</v>
      </c>
      <c r="Y683" s="15">
        <v>1</v>
      </c>
    </row>
    <row r="684" spans="20:25" x14ac:dyDescent="0.15">
      <c r="T684" s="28">
        <f t="shared" si="356"/>
        <v>6662</v>
      </c>
      <c r="U684" s="26">
        <f t="shared" si="352"/>
        <v>65787</v>
      </c>
      <c r="V684" s="28">
        <f t="shared" si="353"/>
        <v>70</v>
      </c>
      <c r="W684" s="14">
        <f t="shared" si="354"/>
        <v>4374</v>
      </c>
      <c r="X684" s="39">
        <f t="shared" si="355"/>
        <v>30700.6</v>
      </c>
      <c r="Y684" s="15">
        <v>1</v>
      </c>
    </row>
    <row r="685" spans="20:25" x14ac:dyDescent="0.15">
      <c r="T685" s="28">
        <f t="shared" si="356"/>
        <v>6663</v>
      </c>
      <c r="U685" s="26">
        <f t="shared" si="352"/>
        <v>72365</v>
      </c>
      <c r="V685" s="28">
        <f t="shared" si="353"/>
        <v>70</v>
      </c>
      <c r="W685" s="14">
        <f t="shared" si="354"/>
        <v>4808</v>
      </c>
      <c r="X685" s="39">
        <f t="shared" si="355"/>
        <v>33770.333333333328</v>
      </c>
      <c r="Y685" s="15">
        <v>1</v>
      </c>
    </row>
    <row r="686" spans="20:25" x14ac:dyDescent="0.15">
      <c r="T686" s="28">
        <f t="shared" si="356"/>
        <v>6664</v>
      </c>
      <c r="U686" s="26">
        <f t="shared" si="352"/>
        <v>79601</v>
      </c>
      <c r="V686" s="28">
        <f t="shared" si="353"/>
        <v>70</v>
      </c>
      <c r="W686" s="14">
        <f t="shared" si="354"/>
        <v>5286</v>
      </c>
      <c r="X686" s="39">
        <f t="shared" si="355"/>
        <v>37147.133333333331</v>
      </c>
      <c r="Y686" s="15">
        <v>1</v>
      </c>
    </row>
    <row r="687" spans="20:25" x14ac:dyDescent="0.15">
      <c r="T687" s="28">
        <f t="shared" si="356"/>
        <v>6665</v>
      </c>
      <c r="U687" s="26">
        <f t="shared" si="352"/>
        <v>87561</v>
      </c>
      <c r="V687" s="28">
        <f t="shared" si="353"/>
        <v>70</v>
      </c>
      <c r="W687" s="14">
        <f t="shared" si="354"/>
        <v>5812</v>
      </c>
      <c r="X687" s="39">
        <f t="shared" si="355"/>
        <v>40861.800000000003</v>
      </c>
      <c r="Y687" s="15">
        <v>1</v>
      </c>
    </row>
    <row r="688" spans="20:25" x14ac:dyDescent="0.15">
      <c r="T688" s="28">
        <f t="shared" si="356"/>
        <v>6666</v>
      </c>
      <c r="U688" s="26">
        <f t="shared" ref="U688:U722" si="357">INT(U687*$U$18)</f>
        <v>96317</v>
      </c>
      <c r="V688" s="28">
        <f t="shared" ref="V688:V722" si="358">V687</f>
        <v>70</v>
      </c>
      <c r="W688" s="14">
        <f t="shared" si="354"/>
        <v>6392</v>
      </c>
      <c r="X688" s="39">
        <f t="shared" si="355"/>
        <v>44947.933333333334</v>
      </c>
      <c r="Y688" s="15">
        <v>1</v>
      </c>
    </row>
    <row r="689" spans="20:25" x14ac:dyDescent="0.15">
      <c r="T689" s="28">
        <f t="shared" si="356"/>
        <v>6667</v>
      </c>
      <c r="U689" s="26">
        <f t="shared" si="357"/>
        <v>105948</v>
      </c>
      <c r="V689" s="28">
        <f t="shared" si="358"/>
        <v>70</v>
      </c>
      <c r="W689" s="14">
        <f t="shared" si="354"/>
        <v>7028</v>
      </c>
      <c r="X689" s="39">
        <f t="shared" si="355"/>
        <v>49442.400000000001</v>
      </c>
      <c r="Y689" s="15">
        <v>1</v>
      </c>
    </row>
    <row r="690" spans="20:25" x14ac:dyDescent="0.15">
      <c r="T690" s="28">
        <f t="shared" si="356"/>
        <v>6668</v>
      </c>
      <c r="U690" s="26">
        <f t="shared" si="357"/>
        <v>116542</v>
      </c>
      <c r="V690" s="28">
        <f t="shared" si="358"/>
        <v>70</v>
      </c>
      <c r="W690" s="14">
        <f t="shared" si="354"/>
        <v>7726</v>
      </c>
      <c r="X690" s="39">
        <f t="shared" si="355"/>
        <v>54386.266666666663</v>
      </c>
      <c r="Y690" s="15">
        <v>1</v>
      </c>
    </row>
    <row r="691" spans="20:25" x14ac:dyDescent="0.15">
      <c r="T691" s="28">
        <f t="shared" si="356"/>
        <v>6669</v>
      </c>
      <c r="U691" s="26">
        <f t="shared" si="357"/>
        <v>128196</v>
      </c>
      <c r="V691" s="28">
        <f t="shared" si="358"/>
        <v>70</v>
      </c>
      <c r="W691" s="14">
        <f t="shared" si="354"/>
        <v>8496</v>
      </c>
      <c r="X691" s="39">
        <f t="shared" si="355"/>
        <v>59824.800000000003</v>
      </c>
      <c r="Y691" s="15">
        <v>1</v>
      </c>
    </row>
    <row r="692" spans="20:25" x14ac:dyDescent="0.15">
      <c r="T692" s="28">
        <f t="shared" si="356"/>
        <v>6670</v>
      </c>
      <c r="U692" s="26">
        <f t="shared" si="357"/>
        <v>141015</v>
      </c>
      <c r="V692" s="28">
        <f t="shared" si="358"/>
        <v>70</v>
      </c>
      <c r="W692" s="14">
        <f t="shared" si="354"/>
        <v>9342</v>
      </c>
      <c r="X692" s="39">
        <f t="shared" si="355"/>
        <v>65807</v>
      </c>
      <c r="Y692" s="15">
        <v>1</v>
      </c>
    </row>
    <row r="693" spans="20:25" x14ac:dyDescent="0.15">
      <c r="T693" s="28">
        <f t="shared" si="356"/>
        <v>6671</v>
      </c>
      <c r="U693" s="26">
        <f t="shared" si="357"/>
        <v>155116</v>
      </c>
      <c r="V693" s="28">
        <f t="shared" si="358"/>
        <v>70</v>
      </c>
      <c r="W693" s="14">
        <f t="shared" si="354"/>
        <v>10270</v>
      </c>
      <c r="X693" s="39">
        <f t="shared" si="355"/>
        <v>72387.46666666666</v>
      </c>
      <c r="Y693" s="15">
        <v>1</v>
      </c>
    </row>
    <row r="694" spans="20:25" x14ac:dyDescent="0.15">
      <c r="T694" s="28">
        <f t="shared" si="356"/>
        <v>6672</v>
      </c>
      <c r="U694" s="26">
        <f t="shared" si="357"/>
        <v>170627</v>
      </c>
      <c r="V694" s="28">
        <f t="shared" si="358"/>
        <v>70</v>
      </c>
      <c r="W694" s="14">
        <f t="shared" si="354"/>
        <v>11292</v>
      </c>
      <c r="X694" s="39">
        <f t="shared" si="355"/>
        <v>79625.933333333334</v>
      </c>
      <c r="Y694" s="15">
        <v>1</v>
      </c>
    </row>
    <row r="695" spans="20:25" x14ac:dyDescent="0.15">
      <c r="T695" s="28">
        <f t="shared" si="356"/>
        <v>6673</v>
      </c>
      <c r="U695" s="26">
        <f t="shared" si="357"/>
        <v>187689</v>
      </c>
      <c r="V695" s="28">
        <f t="shared" si="358"/>
        <v>70</v>
      </c>
      <c r="W695" s="14">
        <f t="shared" si="354"/>
        <v>12416</v>
      </c>
      <c r="X695" s="39">
        <f t="shared" si="355"/>
        <v>87588.2</v>
      </c>
      <c r="Y695" s="15">
        <v>1</v>
      </c>
    </row>
    <row r="696" spans="20:25" x14ac:dyDescent="0.15">
      <c r="T696" s="28">
        <f t="shared" si="356"/>
        <v>6674</v>
      </c>
      <c r="U696" s="26">
        <f t="shared" si="357"/>
        <v>206457</v>
      </c>
      <c r="V696" s="28">
        <f t="shared" si="358"/>
        <v>70</v>
      </c>
      <c r="W696" s="14">
        <f t="shared" si="354"/>
        <v>13652</v>
      </c>
      <c r="X696" s="39">
        <f t="shared" si="355"/>
        <v>96346.6</v>
      </c>
      <c r="Y696" s="15">
        <v>1</v>
      </c>
    </row>
    <row r="697" spans="20:25" x14ac:dyDescent="0.15">
      <c r="T697" s="28">
        <f t="shared" si="356"/>
        <v>6675</v>
      </c>
      <c r="U697" s="26">
        <f t="shared" si="357"/>
        <v>227102</v>
      </c>
      <c r="V697" s="28">
        <f t="shared" si="358"/>
        <v>70</v>
      </c>
      <c r="W697" s="14">
        <f t="shared" si="354"/>
        <v>15010</v>
      </c>
      <c r="X697" s="39">
        <f t="shared" si="355"/>
        <v>105980.93333333332</v>
      </c>
      <c r="Y697" s="15">
        <v>1</v>
      </c>
    </row>
    <row r="698" spans="20:25" x14ac:dyDescent="0.15">
      <c r="T698" s="28">
        <f t="shared" si="356"/>
        <v>6676</v>
      </c>
      <c r="U698" s="26">
        <f t="shared" si="357"/>
        <v>249812</v>
      </c>
      <c r="V698" s="28">
        <f t="shared" si="358"/>
        <v>70</v>
      </c>
      <c r="W698" s="14">
        <f t="shared" si="354"/>
        <v>16504</v>
      </c>
      <c r="X698" s="39">
        <f t="shared" si="355"/>
        <v>116578.93333333332</v>
      </c>
      <c r="Y698" s="15">
        <v>1</v>
      </c>
    </row>
    <row r="699" spans="20:25" x14ac:dyDescent="0.15">
      <c r="T699" s="28">
        <f t="shared" si="356"/>
        <v>6677</v>
      </c>
      <c r="U699" s="26">
        <f t="shared" si="357"/>
        <v>274793</v>
      </c>
      <c r="V699" s="28">
        <f t="shared" si="358"/>
        <v>70</v>
      </c>
      <c r="W699" s="14">
        <f t="shared" si="354"/>
        <v>18148</v>
      </c>
      <c r="X699" s="39">
        <f t="shared" si="355"/>
        <v>128236.73333333332</v>
      </c>
      <c r="Y699" s="15">
        <v>1</v>
      </c>
    </row>
    <row r="700" spans="20:25" x14ac:dyDescent="0.15">
      <c r="T700" s="28">
        <f t="shared" si="356"/>
        <v>6678</v>
      </c>
      <c r="U700" s="26">
        <f t="shared" si="357"/>
        <v>302272</v>
      </c>
      <c r="V700" s="28">
        <f t="shared" si="358"/>
        <v>70</v>
      </c>
      <c r="W700" s="14">
        <f t="shared" si="354"/>
        <v>19954</v>
      </c>
      <c r="X700" s="39">
        <f t="shared" si="355"/>
        <v>141060.26666666666</v>
      </c>
      <c r="Y700" s="15">
        <v>1</v>
      </c>
    </row>
    <row r="701" spans="20:25" x14ac:dyDescent="0.15">
      <c r="T701" s="28">
        <f t="shared" si="356"/>
        <v>6679</v>
      </c>
      <c r="U701" s="26">
        <f t="shared" si="357"/>
        <v>332499</v>
      </c>
      <c r="V701" s="28">
        <f t="shared" si="358"/>
        <v>70</v>
      </c>
      <c r="W701" s="14">
        <f t="shared" si="354"/>
        <v>21938</v>
      </c>
      <c r="X701" s="39">
        <f t="shared" si="355"/>
        <v>155166.20000000001</v>
      </c>
      <c r="Y701" s="15">
        <v>1</v>
      </c>
    </row>
    <row r="702" spans="20:25" x14ac:dyDescent="0.15">
      <c r="T702" s="28">
        <f t="shared" si="356"/>
        <v>6680</v>
      </c>
      <c r="U702" s="26">
        <f t="shared" si="357"/>
        <v>365748</v>
      </c>
      <c r="V702" s="28">
        <f t="shared" si="358"/>
        <v>70</v>
      </c>
      <c r="W702" s="14">
        <f t="shared" si="354"/>
        <v>24122</v>
      </c>
      <c r="X702" s="39">
        <f t="shared" si="355"/>
        <v>170682.4</v>
      </c>
      <c r="Y702" s="15">
        <v>1</v>
      </c>
    </row>
    <row r="703" spans="20:25" x14ac:dyDescent="0.15">
      <c r="T703" s="28">
        <f t="shared" si="356"/>
        <v>6681</v>
      </c>
      <c r="U703" s="26">
        <f t="shared" si="357"/>
        <v>402322</v>
      </c>
      <c r="V703" s="28">
        <f t="shared" si="358"/>
        <v>70</v>
      </c>
      <c r="W703" s="14">
        <f t="shared" si="354"/>
        <v>26522</v>
      </c>
      <c r="X703" s="39">
        <f t="shared" si="355"/>
        <v>187750.26666666666</v>
      </c>
      <c r="Y703" s="15">
        <v>1</v>
      </c>
    </row>
    <row r="704" spans="20:25" x14ac:dyDescent="0.15">
      <c r="T704" s="28">
        <f t="shared" si="356"/>
        <v>6682</v>
      </c>
      <c r="U704" s="26">
        <f t="shared" si="357"/>
        <v>442554</v>
      </c>
      <c r="V704" s="28">
        <f t="shared" si="358"/>
        <v>70</v>
      </c>
      <c r="W704" s="14">
        <f t="shared" si="354"/>
        <v>29162</v>
      </c>
      <c r="X704" s="39">
        <f t="shared" si="355"/>
        <v>206525.2</v>
      </c>
      <c r="Y704" s="15">
        <v>1</v>
      </c>
    </row>
    <row r="705" spans="20:25" x14ac:dyDescent="0.15">
      <c r="T705" s="28">
        <f t="shared" si="356"/>
        <v>6683</v>
      </c>
      <c r="U705" s="26">
        <f t="shared" si="357"/>
        <v>486809</v>
      </c>
      <c r="V705" s="28">
        <f t="shared" si="358"/>
        <v>70</v>
      </c>
      <c r="W705" s="14">
        <f t="shared" si="354"/>
        <v>32064</v>
      </c>
      <c r="X705" s="39">
        <f t="shared" si="355"/>
        <v>227177.53333333335</v>
      </c>
      <c r="Y705" s="15">
        <v>1</v>
      </c>
    </row>
    <row r="706" spans="20:25" x14ac:dyDescent="0.15">
      <c r="T706" s="28">
        <f t="shared" si="356"/>
        <v>6684</v>
      </c>
      <c r="U706" s="26">
        <f t="shared" si="357"/>
        <v>535489</v>
      </c>
      <c r="V706" s="28">
        <f t="shared" si="358"/>
        <v>70</v>
      </c>
      <c r="W706" s="14">
        <f t="shared" si="354"/>
        <v>35256</v>
      </c>
      <c r="X706" s="39">
        <f t="shared" si="355"/>
        <v>249894.86666666664</v>
      </c>
      <c r="Y706" s="15">
        <v>1</v>
      </c>
    </row>
    <row r="707" spans="20:25" x14ac:dyDescent="0.15">
      <c r="T707" s="28">
        <f t="shared" si="356"/>
        <v>6685</v>
      </c>
      <c r="U707" s="26">
        <f t="shared" si="357"/>
        <v>589037</v>
      </c>
      <c r="V707" s="28">
        <f t="shared" si="358"/>
        <v>70</v>
      </c>
      <c r="W707" s="14">
        <f t="shared" si="354"/>
        <v>38764</v>
      </c>
      <c r="X707" s="39">
        <f t="shared" si="355"/>
        <v>274883.93333333335</v>
      </c>
      <c r="Y707" s="15">
        <v>1</v>
      </c>
    </row>
    <row r="708" spans="20:25" x14ac:dyDescent="0.15">
      <c r="T708" s="28">
        <f t="shared" si="356"/>
        <v>6686</v>
      </c>
      <c r="U708" s="26">
        <f t="shared" si="357"/>
        <v>647940</v>
      </c>
      <c r="V708" s="28">
        <f t="shared" si="358"/>
        <v>70</v>
      </c>
      <c r="W708" s="14">
        <f t="shared" si="354"/>
        <v>42622</v>
      </c>
      <c r="X708" s="39">
        <f t="shared" si="355"/>
        <v>302372</v>
      </c>
      <c r="Y708" s="15">
        <v>1</v>
      </c>
    </row>
    <row r="709" spans="20:25" x14ac:dyDescent="0.15">
      <c r="T709" s="28">
        <f t="shared" si="356"/>
        <v>6687</v>
      </c>
      <c r="U709" s="26">
        <f t="shared" si="357"/>
        <v>712734</v>
      </c>
      <c r="V709" s="28">
        <f t="shared" si="358"/>
        <v>70</v>
      </c>
      <c r="W709" s="14">
        <f t="shared" si="354"/>
        <v>46864</v>
      </c>
      <c r="X709" s="39">
        <f t="shared" si="355"/>
        <v>332609.2</v>
      </c>
      <c r="Y709" s="15">
        <v>1</v>
      </c>
    </row>
    <row r="710" spans="20:25" x14ac:dyDescent="0.15">
      <c r="T710" s="28">
        <f t="shared" si="356"/>
        <v>6688</v>
      </c>
      <c r="U710" s="26">
        <f t="shared" si="357"/>
        <v>784007</v>
      </c>
      <c r="V710" s="28">
        <f t="shared" si="358"/>
        <v>70</v>
      </c>
      <c r="W710" s="14">
        <f t="shared" si="354"/>
        <v>51528</v>
      </c>
      <c r="X710" s="39">
        <f t="shared" si="355"/>
        <v>365869.93333333335</v>
      </c>
      <c r="Y710" s="15">
        <v>1</v>
      </c>
    </row>
    <row r="711" spans="20:25" x14ac:dyDescent="0.15">
      <c r="T711" s="28">
        <f t="shared" si="356"/>
        <v>6689</v>
      </c>
      <c r="U711" s="26">
        <f t="shared" si="357"/>
        <v>862407</v>
      </c>
      <c r="V711" s="28">
        <f t="shared" si="358"/>
        <v>70</v>
      </c>
      <c r="W711" s="14">
        <f t="shared" si="354"/>
        <v>56656</v>
      </c>
      <c r="X711" s="39">
        <f t="shared" si="355"/>
        <v>402456.6</v>
      </c>
      <c r="Y711" s="15">
        <v>1</v>
      </c>
    </row>
    <row r="712" spans="20:25" x14ac:dyDescent="0.15">
      <c r="T712" s="28">
        <f t="shared" si="356"/>
        <v>6690</v>
      </c>
      <c r="U712" s="26">
        <f t="shared" si="357"/>
        <v>948647</v>
      </c>
      <c r="V712" s="28">
        <f t="shared" si="358"/>
        <v>70</v>
      </c>
      <c r="W712" s="14">
        <f t="shared" si="354"/>
        <v>62294</v>
      </c>
      <c r="X712" s="39">
        <f t="shared" si="355"/>
        <v>442701.93333333329</v>
      </c>
      <c r="Y712" s="15">
        <v>1</v>
      </c>
    </row>
    <row r="713" spans="20:25" x14ac:dyDescent="0.15">
      <c r="T713" s="28">
        <f t="shared" si="356"/>
        <v>6691</v>
      </c>
      <c r="U713" s="26">
        <f t="shared" si="357"/>
        <v>1043511</v>
      </c>
      <c r="V713" s="28">
        <f t="shared" si="358"/>
        <v>70</v>
      </c>
      <c r="W713" s="14">
        <f t="shared" si="354"/>
        <v>68494</v>
      </c>
      <c r="X713" s="39">
        <f t="shared" si="355"/>
        <v>486971.8</v>
      </c>
      <c r="Y713" s="15">
        <v>1</v>
      </c>
    </row>
    <row r="714" spans="20:25" x14ac:dyDescent="0.15">
      <c r="T714" s="28">
        <f t="shared" si="356"/>
        <v>6692</v>
      </c>
      <c r="U714" s="26">
        <f t="shared" si="357"/>
        <v>1147862</v>
      </c>
      <c r="V714" s="28">
        <f t="shared" si="358"/>
        <v>70</v>
      </c>
      <c r="W714" s="14">
        <f t="shared" si="354"/>
        <v>75312</v>
      </c>
      <c r="X714" s="39">
        <f t="shared" si="355"/>
        <v>535668.93333333335</v>
      </c>
      <c r="Y714" s="15">
        <v>1</v>
      </c>
    </row>
    <row r="715" spans="20:25" x14ac:dyDescent="0.15">
      <c r="T715" s="28">
        <f t="shared" si="356"/>
        <v>6693</v>
      </c>
      <c r="U715" s="26">
        <f t="shared" si="357"/>
        <v>1262648</v>
      </c>
      <c r="V715" s="28">
        <f t="shared" si="358"/>
        <v>70</v>
      </c>
      <c r="W715" s="14">
        <f t="shared" si="354"/>
        <v>82806</v>
      </c>
      <c r="X715" s="39">
        <f t="shared" si="355"/>
        <v>589235.73333333328</v>
      </c>
      <c r="Y715" s="15">
        <v>1</v>
      </c>
    </row>
    <row r="716" spans="20:25" x14ac:dyDescent="0.15">
      <c r="T716" s="28">
        <f t="shared" si="356"/>
        <v>6694</v>
      </c>
      <c r="U716" s="26">
        <f t="shared" si="357"/>
        <v>1388912</v>
      </c>
      <c r="V716" s="28">
        <f t="shared" si="358"/>
        <v>70</v>
      </c>
      <c r="W716" s="14">
        <f t="shared" si="354"/>
        <v>91048</v>
      </c>
      <c r="X716" s="39">
        <f t="shared" si="355"/>
        <v>648158.93333333335</v>
      </c>
      <c r="Y716" s="15">
        <v>1</v>
      </c>
    </row>
    <row r="717" spans="20:25" x14ac:dyDescent="0.15">
      <c r="T717" s="28">
        <f t="shared" si="356"/>
        <v>6695</v>
      </c>
      <c r="U717" s="26">
        <f t="shared" si="357"/>
        <v>1527803</v>
      </c>
      <c r="V717" s="28">
        <f t="shared" si="358"/>
        <v>70</v>
      </c>
      <c r="W717" s="14">
        <f t="shared" si="354"/>
        <v>100110</v>
      </c>
      <c r="X717" s="39">
        <f t="shared" si="355"/>
        <v>712974.73333333328</v>
      </c>
      <c r="Y717" s="15">
        <v>1</v>
      </c>
    </row>
    <row r="718" spans="20:25" x14ac:dyDescent="0.15">
      <c r="T718" s="28">
        <f t="shared" si="356"/>
        <v>6696</v>
      </c>
      <c r="U718" s="26">
        <f t="shared" si="357"/>
        <v>1680583</v>
      </c>
      <c r="V718" s="28">
        <f t="shared" si="358"/>
        <v>70</v>
      </c>
      <c r="W718" s="14">
        <f t="shared" si="354"/>
        <v>110072</v>
      </c>
      <c r="X718" s="39">
        <f t="shared" si="355"/>
        <v>784272.06666666665</v>
      </c>
      <c r="Y718" s="15">
        <v>1</v>
      </c>
    </row>
    <row r="719" spans="20:25" x14ac:dyDescent="0.15">
      <c r="T719" s="28">
        <f t="shared" si="356"/>
        <v>6697</v>
      </c>
      <c r="U719" s="26">
        <f t="shared" si="357"/>
        <v>1848641</v>
      </c>
      <c r="V719" s="28">
        <f t="shared" si="358"/>
        <v>70</v>
      </c>
      <c r="W719" s="14">
        <f t="shared" si="354"/>
        <v>121028</v>
      </c>
      <c r="X719" s="39">
        <f t="shared" si="355"/>
        <v>862699.13333333342</v>
      </c>
      <c r="Y719" s="15">
        <v>1</v>
      </c>
    </row>
    <row r="720" spans="20:25" x14ac:dyDescent="0.15">
      <c r="T720" s="28">
        <f t="shared" si="356"/>
        <v>6698</v>
      </c>
      <c r="U720" s="26">
        <f t="shared" si="357"/>
        <v>2033505</v>
      </c>
      <c r="V720" s="28">
        <f t="shared" si="358"/>
        <v>70</v>
      </c>
      <c r="W720" s="14">
        <f t="shared" si="354"/>
        <v>133074</v>
      </c>
      <c r="X720" s="39">
        <f t="shared" si="355"/>
        <v>948969</v>
      </c>
      <c r="Y720" s="15">
        <v>1</v>
      </c>
    </row>
    <row r="721" spans="20:25" x14ac:dyDescent="0.15">
      <c r="T721" s="28">
        <f t="shared" si="356"/>
        <v>6699</v>
      </c>
      <c r="U721" s="26">
        <f t="shared" si="357"/>
        <v>2236855</v>
      </c>
      <c r="V721" s="28">
        <f t="shared" si="358"/>
        <v>70</v>
      </c>
      <c r="W721" s="14">
        <f t="shared" si="354"/>
        <v>146318</v>
      </c>
      <c r="X721" s="39">
        <f t="shared" si="355"/>
        <v>1043865.6666666666</v>
      </c>
      <c r="Y721" s="15">
        <v>1</v>
      </c>
    </row>
    <row r="722" spans="20:25" x14ac:dyDescent="0.15">
      <c r="T722" s="28">
        <f t="shared" si="356"/>
        <v>6700</v>
      </c>
      <c r="U722" s="26">
        <f t="shared" si="357"/>
        <v>2460540</v>
      </c>
      <c r="V722" s="28">
        <f t="shared" si="358"/>
        <v>70</v>
      </c>
      <c r="W722" s="14">
        <f t="shared" si="354"/>
        <v>160882</v>
      </c>
      <c r="X722" s="39">
        <f t="shared" si="355"/>
        <v>1148252</v>
      </c>
      <c r="Y722" s="15">
        <v>1</v>
      </c>
    </row>
    <row r="723" spans="20:25" x14ac:dyDescent="0.15">
      <c r="T723" s="28">
        <f t="shared" si="356"/>
        <v>6701</v>
      </c>
      <c r="U723" s="38">
        <v>200</v>
      </c>
      <c r="V723" s="36">
        <f>V623+10</f>
        <v>80</v>
      </c>
      <c r="W723" s="14">
        <f t="shared" si="354"/>
        <v>14</v>
      </c>
      <c r="X723" s="39">
        <f t="shared" si="355"/>
        <v>106.66666666666667</v>
      </c>
      <c r="Y723" s="15">
        <v>1</v>
      </c>
    </row>
    <row r="724" spans="20:25" x14ac:dyDescent="0.15">
      <c r="T724" s="28">
        <f t="shared" si="356"/>
        <v>6702</v>
      </c>
      <c r="U724" s="26">
        <f t="shared" ref="U724:U787" si="359">INT(U723*$U$18)</f>
        <v>220</v>
      </c>
      <c r="V724" s="28">
        <f t="shared" ref="V724:V787" si="360">V723</f>
        <v>80</v>
      </c>
      <c r="W724" s="14">
        <f t="shared" si="354"/>
        <v>16</v>
      </c>
      <c r="X724" s="39">
        <f t="shared" si="355"/>
        <v>117.33333333333333</v>
      </c>
      <c r="Y724" s="15">
        <v>1</v>
      </c>
    </row>
    <row r="725" spans="20:25" x14ac:dyDescent="0.15">
      <c r="T725" s="28">
        <f t="shared" si="356"/>
        <v>6703</v>
      </c>
      <c r="U725" s="26">
        <f t="shared" si="359"/>
        <v>242</v>
      </c>
      <c r="V725" s="28">
        <f t="shared" si="360"/>
        <v>80</v>
      </c>
      <c r="W725" s="14">
        <f t="shared" si="354"/>
        <v>18</v>
      </c>
      <c r="X725" s="39">
        <f t="shared" si="355"/>
        <v>129.06666666666666</v>
      </c>
      <c r="Y725" s="15">
        <v>1</v>
      </c>
    </row>
    <row r="726" spans="20:25" x14ac:dyDescent="0.15">
      <c r="T726" s="28">
        <f t="shared" si="356"/>
        <v>6704</v>
      </c>
      <c r="U726" s="26">
        <f t="shared" si="359"/>
        <v>266</v>
      </c>
      <c r="V726" s="28">
        <f t="shared" si="360"/>
        <v>80</v>
      </c>
      <c r="W726" s="14">
        <f t="shared" si="354"/>
        <v>18</v>
      </c>
      <c r="X726" s="39">
        <f t="shared" si="355"/>
        <v>141.86666666666667</v>
      </c>
      <c r="Y726" s="15">
        <v>1</v>
      </c>
    </row>
    <row r="727" spans="20:25" x14ac:dyDescent="0.15">
      <c r="T727" s="28">
        <f t="shared" si="356"/>
        <v>6705</v>
      </c>
      <c r="U727" s="26">
        <f t="shared" si="359"/>
        <v>292</v>
      </c>
      <c r="V727" s="28">
        <f t="shared" si="360"/>
        <v>80</v>
      </c>
      <c r="W727" s="14">
        <f t="shared" si="354"/>
        <v>20</v>
      </c>
      <c r="X727" s="39">
        <f t="shared" si="355"/>
        <v>155.73333333333332</v>
      </c>
      <c r="Y727" s="15">
        <v>1</v>
      </c>
    </row>
    <row r="728" spans="20:25" x14ac:dyDescent="0.15">
      <c r="T728" s="28">
        <f t="shared" si="356"/>
        <v>6706</v>
      </c>
      <c r="U728" s="26">
        <f t="shared" si="359"/>
        <v>321</v>
      </c>
      <c r="V728" s="28">
        <f t="shared" si="360"/>
        <v>80</v>
      </c>
      <c r="W728" s="14">
        <f t="shared" ref="W728:W791" si="361">_xlfn.FLOOR.MATH(V728*U728/15/10/RIGHT(T728,3)^0.3,2)</f>
        <v>22</v>
      </c>
      <c r="X728" s="39">
        <f t="shared" ref="X728:X791" si="362">U728*V728/15/10</f>
        <v>171.2</v>
      </c>
      <c r="Y728" s="15">
        <v>1</v>
      </c>
    </row>
    <row r="729" spans="20:25" x14ac:dyDescent="0.15">
      <c r="T729" s="28">
        <f t="shared" ref="T729:T792" si="363">T728+1</f>
        <v>6707</v>
      </c>
      <c r="U729" s="26">
        <f t="shared" si="359"/>
        <v>353</v>
      </c>
      <c r="V729" s="28">
        <f t="shared" si="360"/>
        <v>80</v>
      </c>
      <c r="W729" s="14">
        <f t="shared" si="361"/>
        <v>26</v>
      </c>
      <c r="X729" s="39">
        <f t="shared" si="362"/>
        <v>188.26666666666668</v>
      </c>
      <c r="Y729" s="15">
        <v>1</v>
      </c>
    </row>
    <row r="730" spans="20:25" x14ac:dyDescent="0.15">
      <c r="T730" s="28">
        <f t="shared" si="363"/>
        <v>6708</v>
      </c>
      <c r="U730" s="26">
        <f t="shared" si="359"/>
        <v>388</v>
      </c>
      <c r="V730" s="28">
        <f t="shared" si="360"/>
        <v>80</v>
      </c>
      <c r="W730" s="14">
        <f t="shared" si="361"/>
        <v>28</v>
      </c>
      <c r="X730" s="39">
        <f t="shared" si="362"/>
        <v>206.93333333333334</v>
      </c>
      <c r="Y730" s="15">
        <v>1</v>
      </c>
    </row>
    <row r="731" spans="20:25" x14ac:dyDescent="0.15">
      <c r="T731" s="28">
        <f t="shared" si="363"/>
        <v>6709</v>
      </c>
      <c r="U731" s="26">
        <f t="shared" si="359"/>
        <v>426</v>
      </c>
      <c r="V731" s="28">
        <f t="shared" si="360"/>
        <v>80</v>
      </c>
      <c r="W731" s="14">
        <f t="shared" si="361"/>
        <v>30</v>
      </c>
      <c r="X731" s="39">
        <f t="shared" si="362"/>
        <v>227.2</v>
      </c>
      <c r="Y731" s="15">
        <v>1</v>
      </c>
    </row>
    <row r="732" spans="20:25" x14ac:dyDescent="0.15">
      <c r="T732" s="28">
        <f t="shared" si="363"/>
        <v>6710</v>
      </c>
      <c r="U732" s="26">
        <f t="shared" si="359"/>
        <v>468</v>
      </c>
      <c r="V732" s="28">
        <f t="shared" si="360"/>
        <v>80</v>
      </c>
      <c r="W732" s="14">
        <f t="shared" si="361"/>
        <v>34</v>
      </c>
      <c r="X732" s="39">
        <f t="shared" si="362"/>
        <v>249.6</v>
      </c>
      <c r="Y732" s="15">
        <v>1</v>
      </c>
    </row>
    <row r="733" spans="20:25" x14ac:dyDescent="0.15">
      <c r="T733" s="28">
        <f t="shared" si="363"/>
        <v>6711</v>
      </c>
      <c r="U733" s="26">
        <f t="shared" si="359"/>
        <v>514</v>
      </c>
      <c r="V733" s="28">
        <f t="shared" si="360"/>
        <v>80</v>
      </c>
      <c r="W733" s="14">
        <f t="shared" si="361"/>
        <v>38</v>
      </c>
      <c r="X733" s="39">
        <f t="shared" si="362"/>
        <v>274.13333333333333</v>
      </c>
      <c r="Y733" s="15">
        <v>1</v>
      </c>
    </row>
    <row r="734" spans="20:25" x14ac:dyDescent="0.15">
      <c r="T734" s="28">
        <f t="shared" si="363"/>
        <v>6712</v>
      </c>
      <c r="U734" s="26">
        <f t="shared" si="359"/>
        <v>565</v>
      </c>
      <c r="V734" s="28">
        <f t="shared" si="360"/>
        <v>80</v>
      </c>
      <c r="W734" s="14">
        <f t="shared" si="361"/>
        <v>42</v>
      </c>
      <c r="X734" s="39">
        <f t="shared" si="362"/>
        <v>301.33333333333337</v>
      </c>
      <c r="Y734" s="15">
        <v>1</v>
      </c>
    </row>
    <row r="735" spans="20:25" x14ac:dyDescent="0.15">
      <c r="T735" s="28">
        <f t="shared" si="363"/>
        <v>6713</v>
      </c>
      <c r="U735" s="26">
        <f t="shared" si="359"/>
        <v>621</v>
      </c>
      <c r="V735" s="28">
        <f t="shared" si="360"/>
        <v>80</v>
      </c>
      <c r="W735" s="14">
        <f t="shared" si="361"/>
        <v>46</v>
      </c>
      <c r="X735" s="39">
        <f t="shared" si="362"/>
        <v>331.2</v>
      </c>
      <c r="Y735" s="15">
        <v>1</v>
      </c>
    </row>
    <row r="736" spans="20:25" x14ac:dyDescent="0.15">
      <c r="T736" s="28">
        <f t="shared" si="363"/>
        <v>6714</v>
      </c>
      <c r="U736" s="26">
        <f t="shared" si="359"/>
        <v>683</v>
      </c>
      <c r="V736" s="28">
        <f t="shared" si="360"/>
        <v>80</v>
      </c>
      <c r="W736" s="14">
        <f t="shared" si="361"/>
        <v>50</v>
      </c>
      <c r="X736" s="39">
        <f t="shared" si="362"/>
        <v>364.26666666666665</v>
      </c>
      <c r="Y736" s="15">
        <v>1</v>
      </c>
    </row>
    <row r="737" spans="20:25" x14ac:dyDescent="0.15">
      <c r="T737" s="28">
        <f t="shared" si="363"/>
        <v>6715</v>
      </c>
      <c r="U737" s="26">
        <f t="shared" si="359"/>
        <v>751</v>
      </c>
      <c r="V737" s="28">
        <f t="shared" si="360"/>
        <v>80</v>
      </c>
      <c r="W737" s="14">
        <f t="shared" si="361"/>
        <v>54</v>
      </c>
      <c r="X737" s="39">
        <f t="shared" si="362"/>
        <v>400.53333333333336</v>
      </c>
      <c r="Y737" s="15">
        <v>1</v>
      </c>
    </row>
    <row r="738" spans="20:25" x14ac:dyDescent="0.15">
      <c r="T738" s="28">
        <f t="shared" si="363"/>
        <v>6716</v>
      </c>
      <c r="U738" s="26">
        <f t="shared" si="359"/>
        <v>826</v>
      </c>
      <c r="V738" s="28">
        <f t="shared" si="360"/>
        <v>80</v>
      </c>
      <c r="W738" s="14">
        <f t="shared" si="361"/>
        <v>60</v>
      </c>
      <c r="X738" s="39">
        <f t="shared" si="362"/>
        <v>440.5333333333333</v>
      </c>
      <c r="Y738" s="15">
        <v>1</v>
      </c>
    </row>
    <row r="739" spans="20:25" x14ac:dyDescent="0.15">
      <c r="T739" s="28">
        <f t="shared" si="363"/>
        <v>6717</v>
      </c>
      <c r="U739" s="26">
        <f t="shared" si="359"/>
        <v>908</v>
      </c>
      <c r="V739" s="28">
        <f t="shared" si="360"/>
        <v>80</v>
      </c>
      <c r="W739" s="14">
        <f t="shared" si="361"/>
        <v>66</v>
      </c>
      <c r="X739" s="39">
        <f t="shared" si="362"/>
        <v>484.26666666666671</v>
      </c>
      <c r="Y739" s="15">
        <v>1</v>
      </c>
    </row>
    <row r="740" spans="20:25" x14ac:dyDescent="0.15">
      <c r="T740" s="28">
        <f t="shared" si="363"/>
        <v>6718</v>
      </c>
      <c r="U740" s="26">
        <f t="shared" si="359"/>
        <v>998</v>
      </c>
      <c r="V740" s="28">
        <f t="shared" si="360"/>
        <v>80</v>
      </c>
      <c r="W740" s="14">
        <f t="shared" si="361"/>
        <v>74</v>
      </c>
      <c r="X740" s="39">
        <f t="shared" si="362"/>
        <v>532.26666666666665</v>
      </c>
      <c r="Y740" s="15">
        <v>1</v>
      </c>
    </row>
    <row r="741" spans="20:25" x14ac:dyDescent="0.15">
      <c r="T741" s="28">
        <f t="shared" si="363"/>
        <v>6719</v>
      </c>
      <c r="U741" s="26">
        <f t="shared" si="359"/>
        <v>1097</v>
      </c>
      <c r="V741" s="28">
        <f t="shared" si="360"/>
        <v>80</v>
      </c>
      <c r="W741" s="14">
        <f t="shared" si="361"/>
        <v>80</v>
      </c>
      <c r="X741" s="39">
        <f t="shared" si="362"/>
        <v>585.06666666666672</v>
      </c>
      <c r="Y741" s="15">
        <v>1</v>
      </c>
    </row>
    <row r="742" spans="20:25" x14ac:dyDescent="0.15">
      <c r="T742" s="28">
        <f t="shared" si="363"/>
        <v>6720</v>
      </c>
      <c r="U742" s="26">
        <f t="shared" si="359"/>
        <v>1206</v>
      </c>
      <c r="V742" s="28">
        <f t="shared" si="360"/>
        <v>80</v>
      </c>
      <c r="W742" s="14">
        <f t="shared" si="361"/>
        <v>88</v>
      </c>
      <c r="X742" s="39">
        <f t="shared" si="362"/>
        <v>643.20000000000005</v>
      </c>
      <c r="Y742" s="15">
        <v>1</v>
      </c>
    </row>
    <row r="743" spans="20:25" x14ac:dyDescent="0.15">
      <c r="T743" s="28">
        <f t="shared" si="363"/>
        <v>6721</v>
      </c>
      <c r="U743" s="26">
        <f t="shared" si="359"/>
        <v>1326</v>
      </c>
      <c r="V743" s="28">
        <f t="shared" si="360"/>
        <v>80</v>
      </c>
      <c r="W743" s="14">
        <f t="shared" si="361"/>
        <v>98</v>
      </c>
      <c r="X743" s="39">
        <f t="shared" si="362"/>
        <v>707.2</v>
      </c>
      <c r="Y743" s="15">
        <v>1</v>
      </c>
    </row>
    <row r="744" spans="20:25" x14ac:dyDescent="0.15">
      <c r="T744" s="28">
        <f t="shared" si="363"/>
        <v>6722</v>
      </c>
      <c r="U744" s="26">
        <f t="shared" si="359"/>
        <v>1458</v>
      </c>
      <c r="V744" s="28">
        <f t="shared" si="360"/>
        <v>80</v>
      </c>
      <c r="W744" s="14">
        <f t="shared" si="361"/>
        <v>106</v>
      </c>
      <c r="X744" s="39">
        <f t="shared" si="362"/>
        <v>777.6</v>
      </c>
      <c r="Y744" s="15">
        <v>1</v>
      </c>
    </row>
    <row r="745" spans="20:25" x14ac:dyDescent="0.15">
      <c r="T745" s="28">
        <f t="shared" si="363"/>
        <v>6723</v>
      </c>
      <c r="U745" s="26">
        <f t="shared" si="359"/>
        <v>1603</v>
      </c>
      <c r="V745" s="28">
        <f t="shared" si="360"/>
        <v>80</v>
      </c>
      <c r="W745" s="14">
        <f t="shared" si="361"/>
        <v>118</v>
      </c>
      <c r="X745" s="39">
        <f t="shared" si="362"/>
        <v>854.93333333333339</v>
      </c>
      <c r="Y745" s="15">
        <v>1</v>
      </c>
    </row>
    <row r="746" spans="20:25" x14ac:dyDescent="0.15">
      <c r="T746" s="28">
        <f t="shared" si="363"/>
        <v>6724</v>
      </c>
      <c r="U746" s="26">
        <f t="shared" si="359"/>
        <v>1763</v>
      </c>
      <c r="V746" s="28">
        <f t="shared" si="360"/>
        <v>80</v>
      </c>
      <c r="W746" s="14">
        <f t="shared" si="361"/>
        <v>130</v>
      </c>
      <c r="X746" s="39">
        <f t="shared" si="362"/>
        <v>940.26666666666665</v>
      </c>
      <c r="Y746" s="15">
        <v>1</v>
      </c>
    </row>
    <row r="747" spans="20:25" x14ac:dyDescent="0.15">
      <c r="T747" s="28">
        <f t="shared" si="363"/>
        <v>6725</v>
      </c>
      <c r="U747" s="26">
        <f t="shared" si="359"/>
        <v>1939</v>
      </c>
      <c r="V747" s="28">
        <f t="shared" si="360"/>
        <v>80</v>
      </c>
      <c r="W747" s="14">
        <f t="shared" si="361"/>
        <v>142</v>
      </c>
      <c r="X747" s="39">
        <f t="shared" si="362"/>
        <v>1034.1333333333334</v>
      </c>
      <c r="Y747" s="15">
        <v>1</v>
      </c>
    </row>
    <row r="748" spans="20:25" x14ac:dyDescent="0.15">
      <c r="T748" s="28">
        <f t="shared" si="363"/>
        <v>6726</v>
      </c>
      <c r="U748" s="26">
        <f t="shared" si="359"/>
        <v>2132</v>
      </c>
      <c r="V748" s="28">
        <f t="shared" si="360"/>
        <v>80</v>
      </c>
      <c r="W748" s="14">
        <f t="shared" si="361"/>
        <v>156</v>
      </c>
      <c r="X748" s="39">
        <f t="shared" si="362"/>
        <v>1137.0666666666666</v>
      </c>
      <c r="Y748" s="15">
        <v>1</v>
      </c>
    </row>
    <row r="749" spans="20:25" x14ac:dyDescent="0.15">
      <c r="T749" s="28">
        <f t="shared" si="363"/>
        <v>6727</v>
      </c>
      <c r="U749" s="26">
        <f t="shared" si="359"/>
        <v>2345</v>
      </c>
      <c r="V749" s="28">
        <f t="shared" si="360"/>
        <v>80</v>
      </c>
      <c r="W749" s="14">
        <f t="shared" si="361"/>
        <v>172</v>
      </c>
      <c r="X749" s="39">
        <f t="shared" si="362"/>
        <v>1250.6666666666665</v>
      </c>
      <c r="Y749" s="15">
        <v>1</v>
      </c>
    </row>
    <row r="750" spans="20:25" x14ac:dyDescent="0.15">
      <c r="T750" s="28">
        <f t="shared" si="363"/>
        <v>6728</v>
      </c>
      <c r="U750" s="26">
        <f t="shared" si="359"/>
        <v>2579</v>
      </c>
      <c r="V750" s="28">
        <f t="shared" si="360"/>
        <v>80</v>
      </c>
      <c r="W750" s="14">
        <f t="shared" si="361"/>
        <v>190</v>
      </c>
      <c r="X750" s="39">
        <f t="shared" si="362"/>
        <v>1375.4666666666667</v>
      </c>
      <c r="Y750" s="15">
        <v>1</v>
      </c>
    </row>
    <row r="751" spans="20:25" x14ac:dyDescent="0.15">
      <c r="T751" s="28">
        <f t="shared" si="363"/>
        <v>6729</v>
      </c>
      <c r="U751" s="26">
        <f t="shared" si="359"/>
        <v>2836</v>
      </c>
      <c r="V751" s="28">
        <f t="shared" si="360"/>
        <v>80</v>
      </c>
      <c r="W751" s="14">
        <f t="shared" si="361"/>
        <v>208</v>
      </c>
      <c r="X751" s="39">
        <f t="shared" si="362"/>
        <v>1512.5333333333333</v>
      </c>
      <c r="Y751" s="15">
        <v>1</v>
      </c>
    </row>
    <row r="752" spans="20:25" x14ac:dyDescent="0.15">
      <c r="T752" s="28">
        <f t="shared" si="363"/>
        <v>6730</v>
      </c>
      <c r="U752" s="26">
        <f t="shared" si="359"/>
        <v>3119</v>
      </c>
      <c r="V752" s="28">
        <f t="shared" si="360"/>
        <v>80</v>
      </c>
      <c r="W752" s="14">
        <f t="shared" si="361"/>
        <v>230</v>
      </c>
      <c r="X752" s="39">
        <f t="shared" si="362"/>
        <v>1663.4666666666667</v>
      </c>
      <c r="Y752" s="15">
        <v>1</v>
      </c>
    </row>
    <row r="753" spans="20:25" x14ac:dyDescent="0.15">
      <c r="T753" s="28">
        <f t="shared" si="363"/>
        <v>6731</v>
      </c>
      <c r="U753" s="26">
        <f t="shared" si="359"/>
        <v>3430</v>
      </c>
      <c r="V753" s="28">
        <f t="shared" si="360"/>
        <v>80</v>
      </c>
      <c r="W753" s="14">
        <f t="shared" si="361"/>
        <v>252</v>
      </c>
      <c r="X753" s="39">
        <f t="shared" si="362"/>
        <v>1829.3333333333333</v>
      </c>
      <c r="Y753" s="15">
        <v>1</v>
      </c>
    </row>
    <row r="754" spans="20:25" x14ac:dyDescent="0.15">
      <c r="T754" s="28">
        <f t="shared" si="363"/>
        <v>6732</v>
      </c>
      <c r="U754" s="26">
        <f t="shared" si="359"/>
        <v>3773</v>
      </c>
      <c r="V754" s="28">
        <f t="shared" si="360"/>
        <v>80</v>
      </c>
      <c r="W754" s="14">
        <f t="shared" si="361"/>
        <v>278</v>
      </c>
      <c r="X754" s="39">
        <f t="shared" si="362"/>
        <v>2012.2666666666669</v>
      </c>
      <c r="Y754" s="15">
        <v>1</v>
      </c>
    </row>
    <row r="755" spans="20:25" x14ac:dyDescent="0.15">
      <c r="T755" s="28">
        <f t="shared" si="363"/>
        <v>6733</v>
      </c>
      <c r="U755" s="26">
        <f t="shared" si="359"/>
        <v>4150</v>
      </c>
      <c r="V755" s="28">
        <f t="shared" si="360"/>
        <v>80</v>
      </c>
      <c r="W755" s="14">
        <f t="shared" si="361"/>
        <v>304</v>
      </c>
      <c r="X755" s="39">
        <f t="shared" si="362"/>
        <v>2213.333333333333</v>
      </c>
      <c r="Y755" s="15">
        <v>1</v>
      </c>
    </row>
    <row r="756" spans="20:25" x14ac:dyDescent="0.15">
      <c r="T756" s="28">
        <f t="shared" si="363"/>
        <v>6734</v>
      </c>
      <c r="U756" s="26">
        <f t="shared" si="359"/>
        <v>4565</v>
      </c>
      <c r="V756" s="28">
        <f t="shared" si="360"/>
        <v>80</v>
      </c>
      <c r="W756" s="14">
        <f t="shared" si="361"/>
        <v>336</v>
      </c>
      <c r="X756" s="39">
        <f t="shared" si="362"/>
        <v>2434.666666666667</v>
      </c>
      <c r="Y756" s="15">
        <v>1</v>
      </c>
    </row>
    <row r="757" spans="20:25" x14ac:dyDescent="0.15">
      <c r="T757" s="28">
        <f t="shared" si="363"/>
        <v>6735</v>
      </c>
      <c r="U757" s="26">
        <f t="shared" si="359"/>
        <v>5021</v>
      </c>
      <c r="V757" s="28">
        <f t="shared" si="360"/>
        <v>80</v>
      </c>
      <c r="W757" s="14">
        <f t="shared" si="361"/>
        <v>368</v>
      </c>
      <c r="X757" s="39">
        <f t="shared" si="362"/>
        <v>2677.8666666666668</v>
      </c>
      <c r="Y757" s="15">
        <v>1</v>
      </c>
    </row>
    <row r="758" spans="20:25" x14ac:dyDescent="0.15">
      <c r="T758" s="28">
        <f t="shared" si="363"/>
        <v>6736</v>
      </c>
      <c r="U758" s="26">
        <f t="shared" si="359"/>
        <v>5523</v>
      </c>
      <c r="V758" s="28">
        <f t="shared" si="360"/>
        <v>80</v>
      </c>
      <c r="W758" s="14">
        <f t="shared" si="361"/>
        <v>406</v>
      </c>
      <c r="X758" s="39">
        <f t="shared" si="362"/>
        <v>2945.6</v>
      </c>
      <c r="Y758" s="15">
        <v>1</v>
      </c>
    </row>
    <row r="759" spans="20:25" x14ac:dyDescent="0.15">
      <c r="T759" s="28">
        <f t="shared" si="363"/>
        <v>6737</v>
      </c>
      <c r="U759" s="26">
        <f t="shared" si="359"/>
        <v>6075</v>
      </c>
      <c r="V759" s="28">
        <f t="shared" si="360"/>
        <v>80</v>
      </c>
      <c r="W759" s="14">
        <f t="shared" si="361"/>
        <v>446</v>
      </c>
      <c r="X759" s="39">
        <f t="shared" si="362"/>
        <v>3240</v>
      </c>
      <c r="Y759" s="15">
        <v>1</v>
      </c>
    </row>
    <row r="760" spans="20:25" x14ac:dyDescent="0.15">
      <c r="T760" s="28">
        <f t="shared" si="363"/>
        <v>6738</v>
      </c>
      <c r="U760" s="26">
        <f t="shared" si="359"/>
        <v>6682</v>
      </c>
      <c r="V760" s="28">
        <f t="shared" si="360"/>
        <v>80</v>
      </c>
      <c r="W760" s="14">
        <f t="shared" si="361"/>
        <v>490</v>
      </c>
      <c r="X760" s="39">
        <f t="shared" si="362"/>
        <v>3563.7333333333336</v>
      </c>
      <c r="Y760" s="15">
        <v>1</v>
      </c>
    </row>
    <row r="761" spans="20:25" x14ac:dyDescent="0.15">
      <c r="T761" s="28">
        <f t="shared" si="363"/>
        <v>6739</v>
      </c>
      <c r="U761" s="26">
        <f t="shared" si="359"/>
        <v>7350</v>
      </c>
      <c r="V761" s="28">
        <f t="shared" si="360"/>
        <v>80</v>
      </c>
      <c r="W761" s="14">
        <f t="shared" si="361"/>
        <v>540</v>
      </c>
      <c r="X761" s="39">
        <f t="shared" si="362"/>
        <v>3920</v>
      </c>
      <c r="Y761" s="15">
        <v>1</v>
      </c>
    </row>
    <row r="762" spans="20:25" x14ac:dyDescent="0.15">
      <c r="T762" s="28">
        <f t="shared" si="363"/>
        <v>6740</v>
      </c>
      <c r="U762" s="26">
        <f t="shared" si="359"/>
        <v>8085</v>
      </c>
      <c r="V762" s="28">
        <f t="shared" si="360"/>
        <v>80</v>
      </c>
      <c r="W762" s="14">
        <f t="shared" si="361"/>
        <v>594</v>
      </c>
      <c r="X762" s="39">
        <f t="shared" si="362"/>
        <v>4312</v>
      </c>
      <c r="Y762" s="15">
        <v>1</v>
      </c>
    </row>
    <row r="763" spans="20:25" x14ac:dyDescent="0.15">
      <c r="T763" s="28">
        <f t="shared" si="363"/>
        <v>6741</v>
      </c>
      <c r="U763" s="26">
        <f t="shared" si="359"/>
        <v>8893</v>
      </c>
      <c r="V763" s="28">
        <f t="shared" si="360"/>
        <v>80</v>
      </c>
      <c r="W763" s="14">
        <f t="shared" si="361"/>
        <v>652</v>
      </c>
      <c r="X763" s="39">
        <f t="shared" si="362"/>
        <v>4742.9333333333334</v>
      </c>
      <c r="Y763" s="15">
        <v>1</v>
      </c>
    </row>
    <row r="764" spans="20:25" x14ac:dyDescent="0.15">
      <c r="T764" s="28">
        <f t="shared" si="363"/>
        <v>6742</v>
      </c>
      <c r="U764" s="26">
        <f t="shared" si="359"/>
        <v>9782</v>
      </c>
      <c r="V764" s="28">
        <f t="shared" si="360"/>
        <v>80</v>
      </c>
      <c r="W764" s="14">
        <f t="shared" si="361"/>
        <v>718</v>
      </c>
      <c r="X764" s="39">
        <f t="shared" si="362"/>
        <v>5217.0666666666666</v>
      </c>
      <c r="Y764" s="15">
        <v>1</v>
      </c>
    </row>
    <row r="765" spans="20:25" x14ac:dyDescent="0.15">
      <c r="T765" s="28">
        <f t="shared" si="363"/>
        <v>6743</v>
      </c>
      <c r="U765" s="26">
        <f t="shared" si="359"/>
        <v>10760</v>
      </c>
      <c r="V765" s="28">
        <f t="shared" si="360"/>
        <v>80</v>
      </c>
      <c r="W765" s="14">
        <f t="shared" si="361"/>
        <v>788</v>
      </c>
      <c r="X765" s="39">
        <f t="shared" si="362"/>
        <v>5738.6666666666661</v>
      </c>
      <c r="Y765" s="15">
        <v>1</v>
      </c>
    </row>
    <row r="766" spans="20:25" x14ac:dyDescent="0.15">
      <c r="T766" s="28">
        <f t="shared" si="363"/>
        <v>6744</v>
      </c>
      <c r="U766" s="26">
        <f t="shared" si="359"/>
        <v>11836</v>
      </c>
      <c r="V766" s="28">
        <f t="shared" si="360"/>
        <v>80</v>
      </c>
      <c r="W766" s="14">
        <f t="shared" si="361"/>
        <v>868</v>
      </c>
      <c r="X766" s="39">
        <f t="shared" si="362"/>
        <v>6312.5333333333338</v>
      </c>
      <c r="Y766" s="15">
        <v>1</v>
      </c>
    </row>
    <row r="767" spans="20:25" x14ac:dyDescent="0.15">
      <c r="T767" s="28">
        <f t="shared" si="363"/>
        <v>6745</v>
      </c>
      <c r="U767" s="26">
        <f t="shared" si="359"/>
        <v>13019</v>
      </c>
      <c r="V767" s="28">
        <f t="shared" si="360"/>
        <v>80</v>
      </c>
      <c r="W767" s="14">
        <f t="shared" si="361"/>
        <v>954</v>
      </c>
      <c r="X767" s="39">
        <f t="shared" si="362"/>
        <v>6943.4666666666672</v>
      </c>
      <c r="Y767" s="15">
        <v>1</v>
      </c>
    </row>
    <row r="768" spans="20:25" x14ac:dyDescent="0.15">
      <c r="T768" s="28">
        <f t="shared" si="363"/>
        <v>6746</v>
      </c>
      <c r="U768" s="26">
        <f t="shared" si="359"/>
        <v>14320</v>
      </c>
      <c r="V768" s="28">
        <f t="shared" si="360"/>
        <v>80</v>
      </c>
      <c r="W768" s="14">
        <f t="shared" si="361"/>
        <v>1048</v>
      </c>
      <c r="X768" s="39">
        <f t="shared" si="362"/>
        <v>7637.333333333333</v>
      </c>
      <c r="Y768" s="15">
        <v>1</v>
      </c>
    </row>
    <row r="769" spans="20:25" x14ac:dyDescent="0.15">
      <c r="T769" s="28">
        <f t="shared" si="363"/>
        <v>6747</v>
      </c>
      <c r="U769" s="26">
        <f t="shared" si="359"/>
        <v>15752</v>
      </c>
      <c r="V769" s="28">
        <f t="shared" si="360"/>
        <v>80</v>
      </c>
      <c r="W769" s="14">
        <f t="shared" si="361"/>
        <v>1154</v>
      </c>
      <c r="X769" s="39">
        <f t="shared" si="362"/>
        <v>8401.0666666666675</v>
      </c>
      <c r="Y769" s="15">
        <v>1</v>
      </c>
    </row>
    <row r="770" spans="20:25" x14ac:dyDescent="0.15">
      <c r="T770" s="28">
        <f t="shared" si="363"/>
        <v>6748</v>
      </c>
      <c r="U770" s="26">
        <f t="shared" si="359"/>
        <v>17327</v>
      </c>
      <c r="V770" s="28">
        <f t="shared" si="360"/>
        <v>80</v>
      </c>
      <c r="W770" s="14">
        <f t="shared" si="361"/>
        <v>1268</v>
      </c>
      <c r="X770" s="39">
        <f t="shared" si="362"/>
        <v>9241.0666666666675</v>
      </c>
      <c r="Y770" s="15">
        <v>1</v>
      </c>
    </row>
    <row r="771" spans="20:25" x14ac:dyDescent="0.15">
      <c r="T771" s="28">
        <f t="shared" si="363"/>
        <v>6749</v>
      </c>
      <c r="U771" s="26">
        <f t="shared" si="359"/>
        <v>19059</v>
      </c>
      <c r="V771" s="28">
        <f t="shared" si="360"/>
        <v>80</v>
      </c>
      <c r="W771" s="14">
        <f t="shared" si="361"/>
        <v>1394</v>
      </c>
      <c r="X771" s="39">
        <f t="shared" si="362"/>
        <v>10164.799999999999</v>
      </c>
      <c r="Y771" s="15">
        <v>1</v>
      </c>
    </row>
    <row r="772" spans="20:25" x14ac:dyDescent="0.15">
      <c r="T772" s="28">
        <f t="shared" si="363"/>
        <v>6750</v>
      </c>
      <c r="U772" s="26">
        <f t="shared" si="359"/>
        <v>20964</v>
      </c>
      <c r="V772" s="28">
        <f t="shared" si="360"/>
        <v>80</v>
      </c>
      <c r="W772" s="14">
        <f t="shared" si="361"/>
        <v>1534</v>
      </c>
      <c r="X772" s="39">
        <f t="shared" si="362"/>
        <v>11180.8</v>
      </c>
      <c r="Y772" s="15">
        <v>1</v>
      </c>
    </row>
    <row r="773" spans="20:25" x14ac:dyDescent="0.15">
      <c r="T773" s="28">
        <f t="shared" si="363"/>
        <v>6751</v>
      </c>
      <c r="U773" s="26">
        <f t="shared" si="359"/>
        <v>23060</v>
      </c>
      <c r="V773" s="28">
        <f t="shared" si="360"/>
        <v>80</v>
      </c>
      <c r="W773" s="14">
        <f t="shared" si="361"/>
        <v>1686</v>
      </c>
      <c r="X773" s="39">
        <f t="shared" si="362"/>
        <v>12298.666666666668</v>
      </c>
      <c r="Y773" s="15">
        <v>1</v>
      </c>
    </row>
    <row r="774" spans="20:25" x14ac:dyDescent="0.15">
      <c r="T774" s="28">
        <f t="shared" si="363"/>
        <v>6752</v>
      </c>
      <c r="U774" s="26">
        <f t="shared" si="359"/>
        <v>25366</v>
      </c>
      <c r="V774" s="28">
        <f t="shared" si="360"/>
        <v>80</v>
      </c>
      <c r="W774" s="14">
        <f t="shared" si="361"/>
        <v>1854</v>
      </c>
      <c r="X774" s="39">
        <f t="shared" si="362"/>
        <v>13528.533333333335</v>
      </c>
      <c r="Y774" s="15">
        <v>1</v>
      </c>
    </row>
    <row r="775" spans="20:25" x14ac:dyDescent="0.15">
      <c r="T775" s="28">
        <f t="shared" si="363"/>
        <v>6753</v>
      </c>
      <c r="U775" s="26">
        <f t="shared" si="359"/>
        <v>27902</v>
      </c>
      <c r="V775" s="28">
        <f t="shared" si="360"/>
        <v>80</v>
      </c>
      <c r="W775" s="14">
        <f t="shared" si="361"/>
        <v>2038</v>
      </c>
      <c r="X775" s="39">
        <f t="shared" si="362"/>
        <v>14881.066666666666</v>
      </c>
      <c r="Y775" s="15">
        <v>1</v>
      </c>
    </row>
    <row r="776" spans="20:25" x14ac:dyDescent="0.15">
      <c r="T776" s="28">
        <f t="shared" si="363"/>
        <v>6754</v>
      </c>
      <c r="U776" s="26">
        <f t="shared" si="359"/>
        <v>30692</v>
      </c>
      <c r="V776" s="28">
        <f t="shared" si="360"/>
        <v>80</v>
      </c>
      <c r="W776" s="14">
        <f t="shared" si="361"/>
        <v>2242</v>
      </c>
      <c r="X776" s="39">
        <f t="shared" si="362"/>
        <v>16369.066666666666</v>
      </c>
      <c r="Y776" s="15">
        <v>1</v>
      </c>
    </row>
    <row r="777" spans="20:25" x14ac:dyDescent="0.15">
      <c r="T777" s="28">
        <f t="shared" si="363"/>
        <v>6755</v>
      </c>
      <c r="U777" s="26">
        <f t="shared" si="359"/>
        <v>33761</v>
      </c>
      <c r="V777" s="28">
        <f t="shared" si="360"/>
        <v>80</v>
      </c>
      <c r="W777" s="14">
        <f t="shared" si="361"/>
        <v>2466</v>
      </c>
      <c r="X777" s="39">
        <f t="shared" si="362"/>
        <v>18005.866666666665</v>
      </c>
      <c r="Y777" s="15">
        <v>1</v>
      </c>
    </row>
    <row r="778" spans="20:25" x14ac:dyDescent="0.15">
      <c r="T778" s="28">
        <f t="shared" si="363"/>
        <v>6756</v>
      </c>
      <c r="U778" s="26">
        <f t="shared" si="359"/>
        <v>37137</v>
      </c>
      <c r="V778" s="28">
        <f t="shared" si="360"/>
        <v>80</v>
      </c>
      <c r="W778" s="14">
        <f t="shared" si="361"/>
        <v>2710</v>
      </c>
      <c r="X778" s="39">
        <f t="shared" si="362"/>
        <v>19806.400000000001</v>
      </c>
      <c r="Y778" s="15">
        <v>1</v>
      </c>
    </row>
    <row r="779" spans="20:25" x14ac:dyDescent="0.15">
      <c r="T779" s="28">
        <f t="shared" si="363"/>
        <v>6757</v>
      </c>
      <c r="U779" s="26">
        <f t="shared" si="359"/>
        <v>40850</v>
      </c>
      <c r="V779" s="28">
        <f t="shared" si="360"/>
        <v>80</v>
      </c>
      <c r="W779" s="14">
        <f t="shared" si="361"/>
        <v>2980</v>
      </c>
      <c r="X779" s="39">
        <f t="shared" si="362"/>
        <v>21786.666666666664</v>
      </c>
      <c r="Y779" s="15">
        <v>1</v>
      </c>
    </row>
    <row r="780" spans="20:25" x14ac:dyDescent="0.15">
      <c r="T780" s="28">
        <f t="shared" si="363"/>
        <v>6758</v>
      </c>
      <c r="U780" s="26">
        <f t="shared" si="359"/>
        <v>44935</v>
      </c>
      <c r="V780" s="28">
        <f t="shared" si="360"/>
        <v>80</v>
      </c>
      <c r="W780" s="14">
        <f t="shared" si="361"/>
        <v>3278</v>
      </c>
      <c r="X780" s="39">
        <f t="shared" si="362"/>
        <v>23965.333333333336</v>
      </c>
      <c r="Y780" s="15">
        <v>1</v>
      </c>
    </row>
    <row r="781" spans="20:25" x14ac:dyDescent="0.15">
      <c r="T781" s="28">
        <f t="shared" si="363"/>
        <v>6759</v>
      </c>
      <c r="U781" s="26">
        <f t="shared" si="359"/>
        <v>49428</v>
      </c>
      <c r="V781" s="28">
        <f t="shared" si="360"/>
        <v>80</v>
      </c>
      <c r="W781" s="14">
        <f t="shared" si="361"/>
        <v>3604</v>
      </c>
      <c r="X781" s="39">
        <f t="shared" si="362"/>
        <v>26361.599999999999</v>
      </c>
      <c r="Y781" s="15">
        <v>1</v>
      </c>
    </row>
    <row r="782" spans="20:25" x14ac:dyDescent="0.15">
      <c r="T782" s="28">
        <f t="shared" si="363"/>
        <v>6760</v>
      </c>
      <c r="U782" s="26">
        <f t="shared" si="359"/>
        <v>54370</v>
      </c>
      <c r="V782" s="28">
        <f t="shared" si="360"/>
        <v>80</v>
      </c>
      <c r="W782" s="14">
        <f t="shared" si="361"/>
        <v>3962</v>
      </c>
      <c r="X782" s="39">
        <f t="shared" si="362"/>
        <v>28997.333333333332</v>
      </c>
      <c r="Y782" s="15">
        <v>1</v>
      </c>
    </row>
    <row r="783" spans="20:25" x14ac:dyDescent="0.15">
      <c r="T783" s="28">
        <f t="shared" si="363"/>
        <v>6761</v>
      </c>
      <c r="U783" s="26">
        <f t="shared" si="359"/>
        <v>59807</v>
      </c>
      <c r="V783" s="28">
        <f t="shared" si="360"/>
        <v>80</v>
      </c>
      <c r="W783" s="14">
        <f t="shared" si="361"/>
        <v>4358</v>
      </c>
      <c r="X783" s="39">
        <f t="shared" si="362"/>
        <v>31897.066666666669</v>
      </c>
      <c r="Y783" s="15">
        <v>1</v>
      </c>
    </row>
    <row r="784" spans="20:25" x14ac:dyDescent="0.15">
      <c r="T784" s="28">
        <f t="shared" si="363"/>
        <v>6762</v>
      </c>
      <c r="U784" s="26">
        <f t="shared" si="359"/>
        <v>65787</v>
      </c>
      <c r="V784" s="28">
        <f t="shared" si="360"/>
        <v>80</v>
      </c>
      <c r="W784" s="14">
        <f t="shared" si="361"/>
        <v>4792</v>
      </c>
      <c r="X784" s="39">
        <f t="shared" si="362"/>
        <v>35086.400000000001</v>
      </c>
      <c r="Y784" s="15">
        <v>1</v>
      </c>
    </row>
    <row r="785" spans="20:25" x14ac:dyDescent="0.15">
      <c r="T785" s="28">
        <f t="shared" si="363"/>
        <v>6763</v>
      </c>
      <c r="U785" s="26">
        <f t="shared" si="359"/>
        <v>72365</v>
      </c>
      <c r="V785" s="28">
        <f t="shared" si="360"/>
        <v>80</v>
      </c>
      <c r="W785" s="14">
        <f t="shared" si="361"/>
        <v>5268</v>
      </c>
      <c r="X785" s="39">
        <f t="shared" si="362"/>
        <v>38594.666666666672</v>
      </c>
      <c r="Y785" s="15">
        <v>1</v>
      </c>
    </row>
    <row r="786" spans="20:25" x14ac:dyDescent="0.15">
      <c r="T786" s="28">
        <f t="shared" si="363"/>
        <v>6764</v>
      </c>
      <c r="U786" s="26">
        <f t="shared" si="359"/>
        <v>79601</v>
      </c>
      <c r="V786" s="28">
        <f t="shared" si="360"/>
        <v>80</v>
      </c>
      <c r="W786" s="14">
        <f t="shared" si="361"/>
        <v>5794</v>
      </c>
      <c r="X786" s="39">
        <f t="shared" si="362"/>
        <v>42453.866666666669</v>
      </c>
      <c r="Y786" s="15">
        <v>1</v>
      </c>
    </row>
    <row r="787" spans="20:25" x14ac:dyDescent="0.15">
      <c r="T787" s="28">
        <f t="shared" si="363"/>
        <v>6765</v>
      </c>
      <c r="U787" s="26">
        <f t="shared" si="359"/>
        <v>87561</v>
      </c>
      <c r="V787" s="28">
        <f t="shared" si="360"/>
        <v>80</v>
      </c>
      <c r="W787" s="14">
        <f t="shared" si="361"/>
        <v>6370</v>
      </c>
      <c r="X787" s="39">
        <f t="shared" si="362"/>
        <v>46699.199999999997</v>
      </c>
      <c r="Y787" s="15">
        <v>1</v>
      </c>
    </row>
    <row r="788" spans="20:25" x14ac:dyDescent="0.15">
      <c r="T788" s="28">
        <f t="shared" si="363"/>
        <v>6766</v>
      </c>
      <c r="U788" s="26">
        <f t="shared" ref="U788:U822" si="364">INT(U787*$U$18)</f>
        <v>96317</v>
      </c>
      <c r="V788" s="28">
        <f t="shared" ref="V788:V822" si="365">V787</f>
        <v>80</v>
      </c>
      <c r="W788" s="14">
        <f t="shared" si="361"/>
        <v>7004</v>
      </c>
      <c r="X788" s="39">
        <f t="shared" si="362"/>
        <v>51369.066666666666</v>
      </c>
      <c r="Y788" s="15">
        <v>1</v>
      </c>
    </row>
    <row r="789" spans="20:25" x14ac:dyDescent="0.15">
      <c r="T789" s="28">
        <f t="shared" si="363"/>
        <v>6767</v>
      </c>
      <c r="U789" s="26">
        <f t="shared" si="364"/>
        <v>105948</v>
      </c>
      <c r="V789" s="28">
        <f t="shared" si="365"/>
        <v>80</v>
      </c>
      <c r="W789" s="14">
        <f t="shared" si="361"/>
        <v>7702</v>
      </c>
      <c r="X789" s="39">
        <f t="shared" si="362"/>
        <v>56505.599999999999</v>
      </c>
      <c r="Y789" s="15">
        <v>1</v>
      </c>
    </row>
    <row r="790" spans="20:25" x14ac:dyDescent="0.15">
      <c r="T790" s="28">
        <f t="shared" si="363"/>
        <v>6768</v>
      </c>
      <c r="U790" s="26">
        <f t="shared" si="364"/>
        <v>116542</v>
      </c>
      <c r="V790" s="28">
        <f t="shared" si="365"/>
        <v>80</v>
      </c>
      <c r="W790" s="14">
        <f t="shared" si="361"/>
        <v>8468</v>
      </c>
      <c r="X790" s="39">
        <f t="shared" si="362"/>
        <v>62155.733333333337</v>
      </c>
      <c r="Y790" s="15">
        <v>1</v>
      </c>
    </row>
    <row r="791" spans="20:25" x14ac:dyDescent="0.15">
      <c r="T791" s="28">
        <f t="shared" si="363"/>
        <v>6769</v>
      </c>
      <c r="U791" s="26">
        <f t="shared" si="364"/>
        <v>128196</v>
      </c>
      <c r="V791" s="28">
        <f t="shared" si="365"/>
        <v>80</v>
      </c>
      <c r="W791" s="14">
        <f t="shared" si="361"/>
        <v>9312</v>
      </c>
      <c r="X791" s="39">
        <f t="shared" si="362"/>
        <v>68371.199999999997</v>
      </c>
      <c r="Y791" s="15">
        <v>1</v>
      </c>
    </row>
    <row r="792" spans="20:25" x14ac:dyDescent="0.15">
      <c r="T792" s="28">
        <f t="shared" si="363"/>
        <v>6770</v>
      </c>
      <c r="U792" s="26">
        <f t="shared" si="364"/>
        <v>141015</v>
      </c>
      <c r="V792" s="28">
        <f t="shared" si="365"/>
        <v>80</v>
      </c>
      <c r="W792" s="14">
        <f t="shared" ref="W792:W855" si="366">_xlfn.FLOOR.MATH(V792*U792/15/10/RIGHT(T792,3)^0.3,2)</f>
        <v>10240</v>
      </c>
      <c r="X792" s="39">
        <f t="shared" ref="X792:X855" si="367">U792*V792/15/10</f>
        <v>75208</v>
      </c>
      <c r="Y792" s="15">
        <v>1</v>
      </c>
    </row>
    <row r="793" spans="20:25" x14ac:dyDescent="0.15">
      <c r="T793" s="28">
        <f t="shared" ref="T793:T856" si="368">T792+1</f>
        <v>6771</v>
      </c>
      <c r="U793" s="26">
        <f t="shared" si="364"/>
        <v>155116</v>
      </c>
      <c r="V793" s="28">
        <f t="shared" si="365"/>
        <v>80</v>
      </c>
      <c r="W793" s="14">
        <f t="shared" si="366"/>
        <v>11260</v>
      </c>
      <c r="X793" s="39">
        <f t="shared" si="367"/>
        <v>82728.53333333334</v>
      </c>
      <c r="Y793" s="15">
        <v>1</v>
      </c>
    </row>
    <row r="794" spans="20:25" x14ac:dyDescent="0.15">
      <c r="T794" s="28">
        <f t="shared" si="368"/>
        <v>6772</v>
      </c>
      <c r="U794" s="26">
        <f t="shared" si="364"/>
        <v>170627</v>
      </c>
      <c r="V794" s="28">
        <f t="shared" si="365"/>
        <v>80</v>
      </c>
      <c r="W794" s="14">
        <f t="shared" si="366"/>
        <v>12380</v>
      </c>
      <c r="X794" s="39">
        <f t="shared" si="367"/>
        <v>91001.066666666666</v>
      </c>
      <c r="Y794" s="15">
        <v>1</v>
      </c>
    </row>
    <row r="795" spans="20:25" x14ac:dyDescent="0.15">
      <c r="T795" s="28">
        <f t="shared" si="368"/>
        <v>6773</v>
      </c>
      <c r="U795" s="26">
        <f t="shared" si="364"/>
        <v>187689</v>
      </c>
      <c r="V795" s="28">
        <f t="shared" si="365"/>
        <v>80</v>
      </c>
      <c r="W795" s="14">
        <f t="shared" si="366"/>
        <v>13612</v>
      </c>
      <c r="X795" s="39">
        <f t="shared" si="367"/>
        <v>100100.8</v>
      </c>
      <c r="Y795" s="15">
        <v>1</v>
      </c>
    </row>
    <row r="796" spans="20:25" x14ac:dyDescent="0.15">
      <c r="T796" s="28">
        <f t="shared" si="368"/>
        <v>6774</v>
      </c>
      <c r="U796" s="26">
        <f t="shared" si="364"/>
        <v>206457</v>
      </c>
      <c r="V796" s="28">
        <f t="shared" si="365"/>
        <v>80</v>
      </c>
      <c r="W796" s="14">
        <f t="shared" si="366"/>
        <v>14968</v>
      </c>
      <c r="X796" s="39">
        <f t="shared" si="367"/>
        <v>110110.39999999999</v>
      </c>
      <c r="Y796" s="15">
        <v>1</v>
      </c>
    </row>
    <row r="797" spans="20:25" x14ac:dyDescent="0.15">
      <c r="T797" s="28">
        <f t="shared" si="368"/>
        <v>6775</v>
      </c>
      <c r="U797" s="26">
        <f t="shared" si="364"/>
        <v>227102</v>
      </c>
      <c r="V797" s="28">
        <f t="shared" si="365"/>
        <v>80</v>
      </c>
      <c r="W797" s="14">
        <f t="shared" si="366"/>
        <v>16458</v>
      </c>
      <c r="X797" s="39">
        <f t="shared" si="367"/>
        <v>121121.06666666668</v>
      </c>
      <c r="Y797" s="15">
        <v>1</v>
      </c>
    </row>
    <row r="798" spans="20:25" x14ac:dyDescent="0.15">
      <c r="T798" s="28">
        <f t="shared" si="368"/>
        <v>6776</v>
      </c>
      <c r="U798" s="26">
        <f t="shared" si="364"/>
        <v>249812</v>
      </c>
      <c r="V798" s="28">
        <f t="shared" si="365"/>
        <v>80</v>
      </c>
      <c r="W798" s="14">
        <f t="shared" si="366"/>
        <v>18098</v>
      </c>
      <c r="X798" s="39">
        <f t="shared" si="367"/>
        <v>133233.06666666668</v>
      </c>
      <c r="Y798" s="15">
        <v>1</v>
      </c>
    </row>
    <row r="799" spans="20:25" x14ac:dyDescent="0.15">
      <c r="T799" s="28">
        <f t="shared" si="368"/>
        <v>6777</v>
      </c>
      <c r="U799" s="26">
        <f t="shared" si="364"/>
        <v>274793</v>
      </c>
      <c r="V799" s="28">
        <f t="shared" si="365"/>
        <v>80</v>
      </c>
      <c r="W799" s="14">
        <f t="shared" si="366"/>
        <v>19900</v>
      </c>
      <c r="X799" s="39">
        <f t="shared" si="367"/>
        <v>146556.26666666666</v>
      </c>
      <c r="Y799" s="15">
        <v>1</v>
      </c>
    </row>
    <row r="800" spans="20:25" x14ac:dyDescent="0.15">
      <c r="T800" s="28">
        <f t="shared" si="368"/>
        <v>6778</v>
      </c>
      <c r="U800" s="26">
        <f t="shared" si="364"/>
        <v>302272</v>
      </c>
      <c r="V800" s="28">
        <f t="shared" si="365"/>
        <v>80</v>
      </c>
      <c r="W800" s="14">
        <f t="shared" si="366"/>
        <v>21882</v>
      </c>
      <c r="X800" s="39">
        <f t="shared" si="367"/>
        <v>161211.73333333334</v>
      </c>
      <c r="Y800" s="15">
        <v>1</v>
      </c>
    </row>
    <row r="801" spans="20:25" x14ac:dyDescent="0.15">
      <c r="T801" s="28">
        <f t="shared" si="368"/>
        <v>6779</v>
      </c>
      <c r="U801" s="26">
        <f t="shared" si="364"/>
        <v>332499</v>
      </c>
      <c r="V801" s="28">
        <f t="shared" si="365"/>
        <v>80</v>
      </c>
      <c r="W801" s="14">
        <f t="shared" si="366"/>
        <v>24060</v>
      </c>
      <c r="X801" s="39">
        <f t="shared" si="367"/>
        <v>177332.8</v>
      </c>
      <c r="Y801" s="15">
        <v>1</v>
      </c>
    </row>
    <row r="802" spans="20:25" x14ac:dyDescent="0.15">
      <c r="T802" s="28">
        <f t="shared" si="368"/>
        <v>6780</v>
      </c>
      <c r="U802" s="26">
        <f t="shared" si="364"/>
        <v>365748</v>
      </c>
      <c r="V802" s="28">
        <f t="shared" si="365"/>
        <v>80</v>
      </c>
      <c r="W802" s="14">
        <f t="shared" si="366"/>
        <v>26456</v>
      </c>
      <c r="X802" s="39">
        <f t="shared" si="367"/>
        <v>195065.60000000001</v>
      </c>
      <c r="Y802" s="15">
        <v>1</v>
      </c>
    </row>
    <row r="803" spans="20:25" x14ac:dyDescent="0.15">
      <c r="T803" s="28">
        <f t="shared" si="368"/>
        <v>6781</v>
      </c>
      <c r="U803" s="26">
        <f t="shared" si="364"/>
        <v>402322</v>
      </c>
      <c r="V803" s="28">
        <f t="shared" si="365"/>
        <v>80</v>
      </c>
      <c r="W803" s="14">
        <f t="shared" si="366"/>
        <v>29092</v>
      </c>
      <c r="X803" s="39">
        <f t="shared" si="367"/>
        <v>214571.73333333334</v>
      </c>
      <c r="Y803" s="15">
        <v>1</v>
      </c>
    </row>
    <row r="804" spans="20:25" x14ac:dyDescent="0.15">
      <c r="T804" s="28">
        <f t="shared" si="368"/>
        <v>6782</v>
      </c>
      <c r="U804" s="26">
        <f t="shared" si="364"/>
        <v>442554</v>
      </c>
      <c r="V804" s="28">
        <f t="shared" si="365"/>
        <v>80</v>
      </c>
      <c r="W804" s="14">
        <f t="shared" si="366"/>
        <v>31988</v>
      </c>
      <c r="X804" s="39">
        <f t="shared" si="367"/>
        <v>236028.79999999999</v>
      </c>
      <c r="Y804" s="15">
        <v>1</v>
      </c>
    </row>
    <row r="805" spans="20:25" x14ac:dyDescent="0.15">
      <c r="T805" s="28">
        <f t="shared" si="368"/>
        <v>6783</v>
      </c>
      <c r="U805" s="26">
        <f t="shared" si="364"/>
        <v>486809</v>
      </c>
      <c r="V805" s="28">
        <f t="shared" si="365"/>
        <v>80</v>
      </c>
      <c r="W805" s="14">
        <f t="shared" si="366"/>
        <v>35174</v>
      </c>
      <c r="X805" s="39">
        <f t="shared" si="367"/>
        <v>259631.46666666665</v>
      </c>
      <c r="Y805" s="15">
        <v>1</v>
      </c>
    </row>
    <row r="806" spans="20:25" x14ac:dyDescent="0.15">
      <c r="T806" s="28">
        <f t="shared" si="368"/>
        <v>6784</v>
      </c>
      <c r="U806" s="26">
        <f t="shared" si="364"/>
        <v>535489</v>
      </c>
      <c r="V806" s="28">
        <f t="shared" si="365"/>
        <v>80</v>
      </c>
      <c r="W806" s="14">
        <f t="shared" si="366"/>
        <v>38676</v>
      </c>
      <c r="X806" s="39">
        <f t="shared" si="367"/>
        <v>285594.13333333336</v>
      </c>
      <c r="Y806" s="15">
        <v>1</v>
      </c>
    </row>
    <row r="807" spans="20:25" x14ac:dyDescent="0.15">
      <c r="T807" s="28">
        <f t="shared" si="368"/>
        <v>6785</v>
      </c>
      <c r="U807" s="26">
        <f t="shared" si="364"/>
        <v>589037</v>
      </c>
      <c r="V807" s="28">
        <f t="shared" si="365"/>
        <v>80</v>
      </c>
      <c r="W807" s="14">
        <f t="shared" si="366"/>
        <v>42528</v>
      </c>
      <c r="X807" s="39">
        <f t="shared" si="367"/>
        <v>314153.06666666665</v>
      </c>
      <c r="Y807" s="15">
        <v>1</v>
      </c>
    </row>
    <row r="808" spans="20:25" x14ac:dyDescent="0.15">
      <c r="T808" s="28">
        <f t="shared" si="368"/>
        <v>6786</v>
      </c>
      <c r="U808" s="26">
        <f t="shared" si="364"/>
        <v>647940</v>
      </c>
      <c r="V808" s="28">
        <f t="shared" si="365"/>
        <v>80</v>
      </c>
      <c r="W808" s="14">
        <f t="shared" si="366"/>
        <v>46762</v>
      </c>
      <c r="X808" s="39">
        <f t="shared" si="367"/>
        <v>345568</v>
      </c>
      <c r="Y808" s="15">
        <v>1</v>
      </c>
    </row>
    <row r="809" spans="20:25" x14ac:dyDescent="0.15">
      <c r="T809" s="28">
        <f t="shared" si="368"/>
        <v>6787</v>
      </c>
      <c r="U809" s="26">
        <f t="shared" si="364"/>
        <v>712734</v>
      </c>
      <c r="V809" s="28">
        <f t="shared" si="365"/>
        <v>80</v>
      </c>
      <c r="W809" s="14">
        <f t="shared" si="366"/>
        <v>51420</v>
      </c>
      <c r="X809" s="39">
        <f t="shared" si="367"/>
        <v>380124.8</v>
      </c>
      <c r="Y809" s="15">
        <v>1</v>
      </c>
    </row>
    <row r="810" spans="20:25" x14ac:dyDescent="0.15">
      <c r="T810" s="28">
        <f t="shared" si="368"/>
        <v>6788</v>
      </c>
      <c r="U810" s="26">
        <f t="shared" si="364"/>
        <v>784007</v>
      </c>
      <c r="V810" s="28">
        <f t="shared" si="365"/>
        <v>80</v>
      </c>
      <c r="W810" s="14">
        <f t="shared" si="366"/>
        <v>56540</v>
      </c>
      <c r="X810" s="39">
        <f t="shared" si="367"/>
        <v>418137.06666666665</v>
      </c>
      <c r="Y810" s="15">
        <v>1</v>
      </c>
    </row>
    <row r="811" spans="20:25" x14ac:dyDescent="0.15">
      <c r="T811" s="28">
        <f t="shared" si="368"/>
        <v>6789</v>
      </c>
      <c r="U811" s="26">
        <f t="shared" si="364"/>
        <v>862407</v>
      </c>
      <c r="V811" s="28">
        <f t="shared" si="365"/>
        <v>80</v>
      </c>
      <c r="W811" s="14">
        <f t="shared" si="366"/>
        <v>62170</v>
      </c>
      <c r="X811" s="39">
        <f t="shared" si="367"/>
        <v>459950.4</v>
      </c>
      <c r="Y811" s="15">
        <v>1</v>
      </c>
    </row>
    <row r="812" spans="20:25" x14ac:dyDescent="0.15">
      <c r="T812" s="28">
        <f t="shared" si="368"/>
        <v>6790</v>
      </c>
      <c r="U812" s="26">
        <f t="shared" si="364"/>
        <v>948647</v>
      </c>
      <c r="V812" s="28">
        <f t="shared" si="365"/>
        <v>80</v>
      </c>
      <c r="W812" s="14">
        <f t="shared" si="366"/>
        <v>68362</v>
      </c>
      <c r="X812" s="39">
        <f t="shared" si="367"/>
        <v>505945.06666666671</v>
      </c>
      <c r="Y812" s="15">
        <v>1</v>
      </c>
    </row>
    <row r="813" spans="20:25" x14ac:dyDescent="0.15">
      <c r="T813" s="28">
        <f t="shared" si="368"/>
        <v>6791</v>
      </c>
      <c r="U813" s="26">
        <f t="shared" si="364"/>
        <v>1043511</v>
      </c>
      <c r="V813" s="28">
        <f t="shared" si="365"/>
        <v>80</v>
      </c>
      <c r="W813" s="14">
        <f t="shared" si="366"/>
        <v>75168</v>
      </c>
      <c r="X813" s="39">
        <f t="shared" si="367"/>
        <v>556539.19999999995</v>
      </c>
      <c r="Y813" s="15">
        <v>1</v>
      </c>
    </row>
    <row r="814" spans="20:25" x14ac:dyDescent="0.15">
      <c r="T814" s="28">
        <f t="shared" si="368"/>
        <v>6792</v>
      </c>
      <c r="U814" s="26">
        <f t="shared" si="364"/>
        <v>1147862</v>
      </c>
      <c r="V814" s="28">
        <f t="shared" si="365"/>
        <v>80</v>
      </c>
      <c r="W814" s="14">
        <f t="shared" si="366"/>
        <v>82654</v>
      </c>
      <c r="X814" s="39">
        <f t="shared" si="367"/>
        <v>612193.06666666665</v>
      </c>
      <c r="Y814" s="15">
        <v>1</v>
      </c>
    </row>
    <row r="815" spans="20:25" x14ac:dyDescent="0.15">
      <c r="T815" s="28">
        <f t="shared" si="368"/>
        <v>6793</v>
      </c>
      <c r="U815" s="26">
        <f t="shared" si="364"/>
        <v>1262648</v>
      </c>
      <c r="V815" s="28">
        <f t="shared" si="365"/>
        <v>80</v>
      </c>
      <c r="W815" s="14">
        <f t="shared" si="366"/>
        <v>90886</v>
      </c>
      <c r="X815" s="39">
        <f t="shared" si="367"/>
        <v>673412.26666666672</v>
      </c>
      <c r="Y815" s="15">
        <v>1</v>
      </c>
    </row>
    <row r="816" spans="20:25" x14ac:dyDescent="0.15">
      <c r="T816" s="28">
        <f t="shared" si="368"/>
        <v>6794</v>
      </c>
      <c r="U816" s="26">
        <f t="shared" si="364"/>
        <v>1388912</v>
      </c>
      <c r="V816" s="28">
        <f t="shared" si="365"/>
        <v>80</v>
      </c>
      <c r="W816" s="14">
        <f t="shared" si="366"/>
        <v>99936</v>
      </c>
      <c r="X816" s="39">
        <f t="shared" si="367"/>
        <v>740753.06666666665</v>
      </c>
      <c r="Y816" s="15">
        <v>1</v>
      </c>
    </row>
    <row r="817" spans="20:25" x14ac:dyDescent="0.15">
      <c r="T817" s="28">
        <f t="shared" si="368"/>
        <v>6795</v>
      </c>
      <c r="U817" s="26">
        <f t="shared" si="364"/>
        <v>1527803</v>
      </c>
      <c r="V817" s="28">
        <f t="shared" si="365"/>
        <v>80</v>
      </c>
      <c r="W817" s="14">
        <f t="shared" si="366"/>
        <v>109888</v>
      </c>
      <c r="X817" s="39">
        <f t="shared" si="367"/>
        <v>814828.26666666672</v>
      </c>
      <c r="Y817" s="15">
        <v>1</v>
      </c>
    </row>
    <row r="818" spans="20:25" x14ac:dyDescent="0.15">
      <c r="T818" s="28">
        <f t="shared" si="368"/>
        <v>6796</v>
      </c>
      <c r="U818" s="26">
        <f t="shared" si="364"/>
        <v>1680583</v>
      </c>
      <c r="V818" s="28">
        <f t="shared" si="365"/>
        <v>80</v>
      </c>
      <c r="W818" s="14">
        <f t="shared" si="366"/>
        <v>120832</v>
      </c>
      <c r="X818" s="39">
        <f t="shared" si="367"/>
        <v>896310.93333333335</v>
      </c>
      <c r="Y818" s="15">
        <v>1</v>
      </c>
    </row>
    <row r="819" spans="20:25" x14ac:dyDescent="0.15">
      <c r="T819" s="28">
        <f t="shared" si="368"/>
        <v>6797</v>
      </c>
      <c r="U819" s="26">
        <f t="shared" si="364"/>
        <v>1848641</v>
      </c>
      <c r="V819" s="28">
        <f t="shared" si="365"/>
        <v>80</v>
      </c>
      <c r="W819" s="14">
        <f t="shared" si="366"/>
        <v>132864</v>
      </c>
      <c r="X819" s="39">
        <f t="shared" si="367"/>
        <v>985941.86666666658</v>
      </c>
      <c r="Y819" s="15">
        <v>1</v>
      </c>
    </row>
    <row r="820" spans="20:25" x14ac:dyDescent="0.15">
      <c r="T820" s="28">
        <f t="shared" si="368"/>
        <v>6798</v>
      </c>
      <c r="U820" s="26">
        <f t="shared" si="364"/>
        <v>2033505</v>
      </c>
      <c r="V820" s="28">
        <f t="shared" si="365"/>
        <v>80</v>
      </c>
      <c r="W820" s="14">
        <f t="shared" si="366"/>
        <v>146096</v>
      </c>
      <c r="X820" s="39">
        <f t="shared" si="367"/>
        <v>1084536</v>
      </c>
      <c r="Y820" s="15">
        <v>1</v>
      </c>
    </row>
    <row r="821" spans="20:25" x14ac:dyDescent="0.15">
      <c r="T821" s="28">
        <f t="shared" si="368"/>
        <v>6799</v>
      </c>
      <c r="U821" s="26">
        <f t="shared" si="364"/>
        <v>2236855</v>
      </c>
      <c r="V821" s="28">
        <f t="shared" si="365"/>
        <v>80</v>
      </c>
      <c r="W821" s="14">
        <f t="shared" si="366"/>
        <v>160646</v>
      </c>
      <c r="X821" s="39">
        <f t="shared" si="367"/>
        <v>1192989.3333333335</v>
      </c>
      <c r="Y821" s="15">
        <v>1</v>
      </c>
    </row>
    <row r="822" spans="20:25" x14ac:dyDescent="0.15">
      <c r="T822" s="28">
        <f t="shared" si="368"/>
        <v>6800</v>
      </c>
      <c r="U822" s="26">
        <f t="shared" si="364"/>
        <v>2460540</v>
      </c>
      <c r="V822" s="28">
        <f t="shared" si="365"/>
        <v>80</v>
      </c>
      <c r="W822" s="14">
        <f t="shared" si="366"/>
        <v>176644</v>
      </c>
      <c r="X822" s="39">
        <f t="shared" si="367"/>
        <v>1312288</v>
      </c>
      <c r="Y822" s="15">
        <v>1</v>
      </c>
    </row>
    <row r="823" spans="20:25" x14ac:dyDescent="0.15">
      <c r="T823" s="28">
        <f t="shared" si="368"/>
        <v>6801</v>
      </c>
      <c r="U823" s="38">
        <v>200</v>
      </c>
      <c r="V823" s="36">
        <f>V723+10</f>
        <v>90</v>
      </c>
      <c r="W823" s="14">
        <f t="shared" si="366"/>
        <v>16</v>
      </c>
      <c r="X823" s="39">
        <f t="shared" si="367"/>
        <v>120</v>
      </c>
      <c r="Y823" s="15">
        <v>1</v>
      </c>
    </row>
    <row r="824" spans="20:25" x14ac:dyDescent="0.15">
      <c r="T824" s="28">
        <f t="shared" si="368"/>
        <v>6802</v>
      </c>
      <c r="U824" s="26">
        <f t="shared" ref="U824:U887" si="369">INT(U823*$U$18)</f>
        <v>220</v>
      </c>
      <c r="V824" s="28">
        <f t="shared" ref="V824:V887" si="370">V823</f>
        <v>90</v>
      </c>
      <c r="W824" s="14">
        <f t="shared" si="366"/>
        <v>16</v>
      </c>
      <c r="X824" s="39">
        <f t="shared" si="367"/>
        <v>132</v>
      </c>
      <c r="Y824" s="15">
        <v>1</v>
      </c>
    </row>
    <row r="825" spans="20:25" x14ac:dyDescent="0.15">
      <c r="T825" s="28">
        <f t="shared" si="368"/>
        <v>6803</v>
      </c>
      <c r="U825" s="26">
        <f t="shared" si="369"/>
        <v>242</v>
      </c>
      <c r="V825" s="28">
        <f t="shared" si="370"/>
        <v>90</v>
      </c>
      <c r="W825" s="14">
        <f t="shared" si="366"/>
        <v>18</v>
      </c>
      <c r="X825" s="39">
        <f t="shared" si="367"/>
        <v>145.19999999999999</v>
      </c>
      <c r="Y825" s="15">
        <v>1</v>
      </c>
    </row>
    <row r="826" spans="20:25" x14ac:dyDescent="0.15">
      <c r="T826" s="28">
        <f t="shared" si="368"/>
        <v>6804</v>
      </c>
      <c r="U826" s="26">
        <f t="shared" si="369"/>
        <v>266</v>
      </c>
      <c r="V826" s="28">
        <f t="shared" si="370"/>
        <v>90</v>
      </c>
      <c r="W826" s="14">
        <f t="shared" si="366"/>
        <v>20</v>
      </c>
      <c r="X826" s="39">
        <f t="shared" si="367"/>
        <v>159.6</v>
      </c>
      <c r="Y826" s="15">
        <v>1</v>
      </c>
    </row>
    <row r="827" spans="20:25" x14ac:dyDescent="0.15">
      <c r="T827" s="28">
        <f t="shared" si="368"/>
        <v>6805</v>
      </c>
      <c r="U827" s="26">
        <f t="shared" si="369"/>
        <v>292</v>
      </c>
      <c r="V827" s="28">
        <f t="shared" si="370"/>
        <v>90</v>
      </c>
      <c r="W827" s="14">
        <f t="shared" si="366"/>
        <v>22</v>
      </c>
      <c r="X827" s="39">
        <f t="shared" si="367"/>
        <v>175.2</v>
      </c>
      <c r="Y827" s="15">
        <v>1</v>
      </c>
    </row>
    <row r="828" spans="20:25" x14ac:dyDescent="0.15">
      <c r="T828" s="28">
        <f t="shared" si="368"/>
        <v>6806</v>
      </c>
      <c r="U828" s="26">
        <f t="shared" si="369"/>
        <v>321</v>
      </c>
      <c r="V828" s="28">
        <f t="shared" si="370"/>
        <v>90</v>
      </c>
      <c r="W828" s="14">
        <f t="shared" si="366"/>
        <v>24</v>
      </c>
      <c r="X828" s="39">
        <f t="shared" si="367"/>
        <v>192.6</v>
      </c>
      <c r="Y828" s="15">
        <v>1</v>
      </c>
    </row>
    <row r="829" spans="20:25" x14ac:dyDescent="0.15">
      <c r="T829" s="28">
        <f t="shared" si="368"/>
        <v>6807</v>
      </c>
      <c r="U829" s="26">
        <f t="shared" si="369"/>
        <v>353</v>
      </c>
      <c r="V829" s="28">
        <f t="shared" si="370"/>
        <v>90</v>
      </c>
      <c r="W829" s="14">
        <f t="shared" si="366"/>
        <v>28</v>
      </c>
      <c r="X829" s="39">
        <f t="shared" si="367"/>
        <v>211.8</v>
      </c>
      <c r="Y829" s="15">
        <v>1</v>
      </c>
    </row>
    <row r="830" spans="20:25" x14ac:dyDescent="0.15">
      <c r="T830" s="28">
        <f t="shared" si="368"/>
        <v>6808</v>
      </c>
      <c r="U830" s="26">
        <f t="shared" si="369"/>
        <v>388</v>
      </c>
      <c r="V830" s="28">
        <f t="shared" si="370"/>
        <v>90</v>
      </c>
      <c r="W830" s="14">
        <f t="shared" si="366"/>
        <v>30</v>
      </c>
      <c r="X830" s="39">
        <f t="shared" si="367"/>
        <v>232.8</v>
      </c>
      <c r="Y830" s="15">
        <v>1</v>
      </c>
    </row>
    <row r="831" spans="20:25" x14ac:dyDescent="0.15">
      <c r="T831" s="28">
        <f t="shared" si="368"/>
        <v>6809</v>
      </c>
      <c r="U831" s="26">
        <f t="shared" si="369"/>
        <v>426</v>
      </c>
      <c r="V831" s="28">
        <f t="shared" si="370"/>
        <v>90</v>
      </c>
      <c r="W831" s="14">
        <f t="shared" si="366"/>
        <v>34</v>
      </c>
      <c r="X831" s="39">
        <f t="shared" si="367"/>
        <v>255.6</v>
      </c>
      <c r="Y831" s="15">
        <v>1</v>
      </c>
    </row>
    <row r="832" spans="20:25" x14ac:dyDescent="0.15">
      <c r="T832" s="28">
        <f t="shared" si="368"/>
        <v>6810</v>
      </c>
      <c r="U832" s="26">
        <f t="shared" si="369"/>
        <v>468</v>
      </c>
      <c r="V832" s="28">
        <f t="shared" si="370"/>
        <v>90</v>
      </c>
      <c r="W832" s="14">
        <f t="shared" si="366"/>
        <v>36</v>
      </c>
      <c r="X832" s="39">
        <f t="shared" si="367"/>
        <v>280.8</v>
      </c>
      <c r="Y832" s="15">
        <v>1</v>
      </c>
    </row>
    <row r="833" spans="20:25" x14ac:dyDescent="0.15">
      <c r="T833" s="28">
        <f t="shared" si="368"/>
        <v>6811</v>
      </c>
      <c r="U833" s="26">
        <f t="shared" si="369"/>
        <v>514</v>
      </c>
      <c r="V833" s="28">
        <f t="shared" si="370"/>
        <v>90</v>
      </c>
      <c r="W833" s="14">
        <f t="shared" si="366"/>
        <v>40</v>
      </c>
      <c r="X833" s="39">
        <f t="shared" si="367"/>
        <v>308.39999999999998</v>
      </c>
      <c r="Y833" s="15">
        <v>1</v>
      </c>
    </row>
    <row r="834" spans="20:25" x14ac:dyDescent="0.15">
      <c r="T834" s="28">
        <f t="shared" si="368"/>
        <v>6812</v>
      </c>
      <c r="U834" s="26">
        <f t="shared" si="369"/>
        <v>565</v>
      </c>
      <c r="V834" s="28">
        <f t="shared" si="370"/>
        <v>90</v>
      </c>
      <c r="W834" s="14">
        <f t="shared" si="366"/>
        <v>44</v>
      </c>
      <c r="X834" s="39">
        <f t="shared" si="367"/>
        <v>339</v>
      </c>
      <c r="Y834" s="15">
        <v>1</v>
      </c>
    </row>
    <row r="835" spans="20:25" x14ac:dyDescent="0.15">
      <c r="T835" s="28">
        <f t="shared" si="368"/>
        <v>6813</v>
      </c>
      <c r="U835" s="26">
        <f t="shared" si="369"/>
        <v>621</v>
      </c>
      <c r="V835" s="28">
        <f t="shared" si="370"/>
        <v>90</v>
      </c>
      <c r="W835" s="14">
        <f t="shared" si="366"/>
        <v>48</v>
      </c>
      <c r="X835" s="39">
        <f t="shared" si="367"/>
        <v>372.6</v>
      </c>
      <c r="Y835" s="15">
        <v>1</v>
      </c>
    </row>
    <row r="836" spans="20:25" x14ac:dyDescent="0.15">
      <c r="T836" s="28">
        <f t="shared" si="368"/>
        <v>6814</v>
      </c>
      <c r="U836" s="26">
        <f t="shared" si="369"/>
        <v>683</v>
      </c>
      <c r="V836" s="28">
        <f t="shared" si="370"/>
        <v>90</v>
      </c>
      <c r="W836" s="14">
        <f t="shared" si="366"/>
        <v>54</v>
      </c>
      <c r="X836" s="39">
        <f t="shared" si="367"/>
        <v>409.8</v>
      </c>
      <c r="Y836" s="15">
        <v>1</v>
      </c>
    </row>
    <row r="837" spans="20:25" x14ac:dyDescent="0.15">
      <c r="T837" s="28">
        <f t="shared" si="368"/>
        <v>6815</v>
      </c>
      <c r="U837" s="26">
        <f t="shared" si="369"/>
        <v>751</v>
      </c>
      <c r="V837" s="28">
        <f t="shared" si="370"/>
        <v>90</v>
      </c>
      <c r="W837" s="14">
        <f t="shared" si="366"/>
        <v>60</v>
      </c>
      <c r="X837" s="39">
        <f t="shared" si="367"/>
        <v>450.6</v>
      </c>
      <c r="Y837" s="15">
        <v>1</v>
      </c>
    </row>
    <row r="838" spans="20:25" x14ac:dyDescent="0.15">
      <c r="T838" s="28">
        <f t="shared" si="368"/>
        <v>6816</v>
      </c>
      <c r="U838" s="26">
        <f t="shared" si="369"/>
        <v>826</v>
      </c>
      <c r="V838" s="28">
        <f t="shared" si="370"/>
        <v>90</v>
      </c>
      <c r="W838" s="14">
        <f t="shared" si="366"/>
        <v>66</v>
      </c>
      <c r="X838" s="39">
        <f t="shared" si="367"/>
        <v>495.6</v>
      </c>
      <c r="Y838" s="15">
        <v>1</v>
      </c>
    </row>
    <row r="839" spans="20:25" x14ac:dyDescent="0.15">
      <c r="T839" s="28">
        <f t="shared" si="368"/>
        <v>6817</v>
      </c>
      <c r="U839" s="26">
        <f t="shared" si="369"/>
        <v>908</v>
      </c>
      <c r="V839" s="28">
        <f t="shared" si="370"/>
        <v>90</v>
      </c>
      <c r="W839" s="14">
        <f t="shared" si="366"/>
        <v>72</v>
      </c>
      <c r="X839" s="39">
        <f t="shared" si="367"/>
        <v>544.79999999999995</v>
      </c>
      <c r="Y839" s="15">
        <v>1</v>
      </c>
    </row>
    <row r="840" spans="20:25" x14ac:dyDescent="0.15">
      <c r="T840" s="28">
        <f t="shared" si="368"/>
        <v>6818</v>
      </c>
      <c r="U840" s="26">
        <f t="shared" si="369"/>
        <v>998</v>
      </c>
      <c r="V840" s="28">
        <f t="shared" si="370"/>
        <v>90</v>
      </c>
      <c r="W840" s="14">
        <f t="shared" si="366"/>
        <v>80</v>
      </c>
      <c r="X840" s="39">
        <f t="shared" si="367"/>
        <v>598.79999999999995</v>
      </c>
      <c r="Y840" s="15">
        <v>1</v>
      </c>
    </row>
    <row r="841" spans="20:25" x14ac:dyDescent="0.15">
      <c r="T841" s="28">
        <f t="shared" si="368"/>
        <v>6819</v>
      </c>
      <c r="U841" s="26">
        <f t="shared" si="369"/>
        <v>1097</v>
      </c>
      <c r="V841" s="28">
        <f t="shared" si="370"/>
        <v>90</v>
      </c>
      <c r="W841" s="14">
        <f t="shared" si="366"/>
        <v>86</v>
      </c>
      <c r="X841" s="39">
        <f t="shared" si="367"/>
        <v>658.2</v>
      </c>
      <c r="Y841" s="15">
        <v>1</v>
      </c>
    </row>
    <row r="842" spans="20:25" x14ac:dyDescent="0.15">
      <c r="T842" s="28">
        <f t="shared" si="368"/>
        <v>6820</v>
      </c>
      <c r="U842" s="26">
        <f t="shared" si="369"/>
        <v>1206</v>
      </c>
      <c r="V842" s="28">
        <f t="shared" si="370"/>
        <v>90</v>
      </c>
      <c r="W842" s="14">
        <f t="shared" si="366"/>
        <v>96</v>
      </c>
      <c r="X842" s="39">
        <f t="shared" si="367"/>
        <v>723.6</v>
      </c>
      <c r="Y842" s="15">
        <v>1</v>
      </c>
    </row>
    <row r="843" spans="20:25" x14ac:dyDescent="0.15">
      <c r="T843" s="28">
        <f t="shared" si="368"/>
        <v>6821</v>
      </c>
      <c r="U843" s="26">
        <f t="shared" si="369"/>
        <v>1326</v>
      </c>
      <c r="V843" s="28">
        <f t="shared" si="370"/>
        <v>90</v>
      </c>
      <c r="W843" s="14">
        <f t="shared" si="366"/>
        <v>106</v>
      </c>
      <c r="X843" s="39">
        <f t="shared" si="367"/>
        <v>795.6</v>
      </c>
      <c r="Y843" s="15">
        <v>1</v>
      </c>
    </row>
    <row r="844" spans="20:25" x14ac:dyDescent="0.15">
      <c r="T844" s="28">
        <f t="shared" si="368"/>
        <v>6822</v>
      </c>
      <c r="U844" s="26">
        <f t="shared" si="369"/>
        <v>1458</v>
      </c>
      <c r="V844" s="28">
        <f t="shared" si="370"/>
        <v>90</v>
      </c>
      <c r="W844" s="14">
        <f t="shared" si="366"/>
        <v>116</v>
      </c>
      <c r="X844" s="39">
        <f t="shared" si="367"/>
        <v>874.8</v>
      </c>
      <c r="Y844" s="15">
        <v>1</v>
      </c>
    </row>
    <row r="845" spans="20:25" x14ac:dyDescent="0.15">
      <c r="T845" s="28">
        <f t="shared" si="368"/>
        <v>6823</v>
      </c>
      <c r="U845" s="26">
        <f t="shared" si="369"/>
        <v>1603</v>
      </c>
      <c r="V845" s="28">
        <f t="shared" si="370"/>
        <v>90</v>
      </c>
      <c r="W845" s="14">
        <f t="shared" si="366"/>
        <v>128</v>
      </c>
      <c r="X845" s="39">
        <f t="shared" si="367"/>
        <v>961.8</v>
      </c>
      <c r="Y845" s="15">
        <v>1</v>
      </c>
    </row>
    <row r="846" spans="20:25" x14ac:dyDescent="0.15">
      <c r="T846" s="28">
        <f t="shared" si="368"/>
        <v>6824</v>
      </c>
      <c r="U846" s="26">
        <f t="shared" si="369"/>
        <v>1763</v>
      </c>
      <c r="V846" s="28">
        <f t="shared" si="370"/>
        <v>90</v>
      </c>
      <c r="W846" s="14">
        <f t="shared" si="366"/>
        <v>140</v>
      </c>
      <c r="X846" s="39">
        <f t="shared" si="367"/>
        <v>1057.8</v>
      </c>
      <c r="Y846" s="15">
        <v>1</v>
      </c>
    </row>
    <row r="847" spans="20:25" x14ac:dyDescent="0.15">
      <c r="T847" s="28">
        <f t="shared" si="368"/>
        <v>6825</v>
      </c>
      <c r="U847" s="26">
        <f t="shared" si="369"/>
        <v>1939</v>
      </c>
      <c r="V847" s="28">
        <f t="shared" si="370"/>
        <v>90</v>
      </c>
      <c r="W847" s="14">
        <f t="shared" si="366"/>
        <v>154</v>
      </c>
      <c r="X847" s="39">
        <f t="shared" si="367"/>
        <v>1163.4000000000001</v>
      </c>
      <c r="Y847" s="15">
        <v>1</v>
      </c>
    </row>
    <row r="848" spans="20:25" x14ac:dyDescent="0.15">
      <c r="T848" s="28">
        <f t="shared" si="368"/>
        <v>6826</v>
      </c>
      <c r="U848" s="26">
        <f t="shared" si="369"/>
        <v>2132</v>
      </c>
      <c r="V848" s="28">
        <f t="shared" si="370"/>
        <v>90</v>
      </c>
      <c r="W848" s="14">
        <f t="shared" si="366"/>
        <v>170</v>
      </c>
      <c r="X848" s="39">
        <f t="shared" si="367"/>
        <v>1279.2</v>
      </c>
      <c r="Y848" s="15">
        <v>1</v>
      </c>
    </row>
    <row r="849" spans="20:25" x14ac:dyDescent="0.15">
      <c r="T849" s="28">
        <f t="shared" si="368"/>
        <v>6827</v>
      </c>
      <c r="U849" s="26">
        <f t="shared" si="369"/>
        <v>2345</v>
      </c>
      <c r="V849" s="28">
        <f t="shared" si="370"/>
        <v>90</v>
      </c>
      <c r="W849" s="14">
        <f t="shared" si="366"/>
        <v>186</v>
      </c>
      <c r="X849" s="39">
        <f t="shared" si="367"/>
        <v>1407</v>
      </c>
      <c r="Y849" s="15">
        <v>1</v>
      </c>
    </row>
    <row r="850" spans="20:25" x14ac:dyDescent="0.15">
      <c r="T850" s="28">
        <f t="shared" si="368"/>
        <v>6828</v>
      </c>
      <c r="U850" s="26">
        <f t="shared" si="369"/>
        <v>2579</v>
      </c>
      <c r="V850" s="28">
        <f t="shared" si="370"/>
        <v>90</v>
      </c>
      <c r="W850" s="14">
        <f t="shared" si="366"/>
        <v>206</v>
      </c>
      <c r="X850" s="39">
        <f t="shared" si="367"/>
        <v>1547.4</v>
      </c>
      <c r="Y850" s="15">
        <v>1</v>
      </c>
    </row>
    <row r="851" spans="20:25" x14ac:dyDescent="0.15">
      <c r="T851" s="28">
        <f t="shared" si="368"/>
        <v>6829</v>
      </c>
      <c r="U851" s="26">
        <f t="shared" si="369"/>
        <v>2836</v>
      </c>
      <c r="V851" s="28">
        <f t="shared" si="370"/>
        <v>90</v>
      </c>
      <c r="W851" s="14">
        <f t="shared" si="366"/>
        <v>226</v>
      </c>
      <c r="X851" s="39">
        <f t="shared" si="367"/>
        <v>1701.6</v>
      </c>
      <c r="Y851" s="15">
        <v>1</v>
      </c>
    </row>
    <row r="852" spans="20:25" x14ac:dyDescent="0.15">
      <c r="T852" s="28">
        <f t="shared" si="368"/>
        <v>6830</v>
      </c>
      <c r="U852" s="26">
        <f t="shared" si="369"/>
        <v>3119</v>
      </c>
      <c r="V852" s="28">
        <f t="shared" si="370"/>
        <v>90</v>
      </c>
      <c r="W852" s="14">
        <f t="shared" si="366"/>
        <v>248</v>
      </c>
      <c r="X852" s="39">
        <f t="shared" si="367"/>
        <v>1871.4</v>
      </c>
      <c r="Y852" s="15">
        <v>1</v>
      </c>
    </row>
    <row r="853" spans="20:25" x14ac:dyDescent="0.15">
      <c r="T853" s="28">
        <f t="shared" si="368"/>
        <v>6831</v>
      </c>
      <c r="U853" s="26">
        <f t="shared" si="369"/>
        <v>3430</v>
      </c>
      <c r="V853" s="28">
        <f t="shared" si="370"/>
        <v>90</v>
      </c>
      <c r="W853" s="14">
        <f t="shared" si="366"/>
        <v>272</v>
      </c>
      <c r="X853" s="39">
        <f t="shared" si="367"/>
        <v>2058</v>
      </c>
      <c r="Y853" s="15">
        <v>1</v>
      </c>
    </row>
    <row r="854" spans="20:25" x14ac:dyDescent="0.15">
      <c r="T854" s="28">
        <f t="shared" si="368"/>
        <v>6832</v>
      </c>
      <c r="U854" s="26">
        <f t="shared" si="369"/>
        <v>3773</v>
      </c>
      <c r="V854" s="28">
        <f t="shared" si="370"/>
        <v>90</v>
      </c>
      <c r="W854" s="14">
        <f t="shared" si="366"/>
        <v>300</v>
      </c>
      <c r="X854" s="39">
        <f t="shared" si="367"/>
        <v>2263.8000000000002</v>
      </c>
      <c r="Y854" s="15">
        <v>1</v>
      </c>
    </row>
    <row r="855" spans="20:25" x14ac:dyDescent="0.15">
      <c r="T855" s="28">
        <f t="shared" si="368"/>
        <v>6833</v>
      </c>
      <c r="U855" s="26">
        <f t="shared" si="369"/>
        <v>4150</v>
      </c>
      <c r="V855" s="28">
        <f t="shared" si="370"/>
        <v>90</v>
      </c>
      <c r="W855" s="14">
        <f t="shared" si="366"/>
        <v>330</v>
      </c>
      <c r="X855" s="39">
        <f t="shared" si="367"/>
        <v>2490</v>
      </c>
      <c r="Y855" s="15">
        <v>1</v>
      </c>
    </row>
    <row r="856" spans="20:25" x14ac:dyDescent="0.15">
      <c r="T856" s="28">
        <f t="shared" si="368"/>
        <v>6834</v>
      </c>
      <c r="U856" s="26">
        <f t="shared" si="369"/>
        <v>4565</v>
      </c>
      <c r="V856" s="28">
        <f t="shared" si="370"/>
        <v>90</v>
      </c>
      <c r="W856" s="14">
        <f t="shared" ref="W856:W919" si="371">_xlfn.FLOOR.MATH(V856*U856/15/10/RIGHT(T856,3)^0.3,2)</f>
        <v>364</v>
      </c>
      <c r="X856" s="39">
        <f t="shared" ref="X856:X919" si="372">U856*V856/15/10</f>
        <v>2739</v>
      </c>
      <c r="Y856" s="15">
        <v>1</v>
      </c>
    </row>
    <row r="857" spans="20:25" x14ac:dyDescent="0.15">
      <c r="T857" s="28">
        <f t="shared" ref="T857:T920" si="373">T856+1</f>
        <v>6835</v>
      </c>
      <c r="U857" s="26">
        <f t="shared" si="369"/>
        <v>5021</v>
      </c>
      <c r="V857" s="28">
        <f t="shared" si="370"/>
        <v>90</v>
      </c>
      <c r="W857" s="14">
        <f t="shared" si="371"/>
        <v>400</v>
      </c>
      <c r="X857" s="39">
        <f t="shared" si="372"/>
        <v>3012.6</v>
      </c>
      <c r="Y857" s="15">
        <v>1</v>
      </c>
    </row>
    <row r="858" spans="20:25" x14ac:dyDescent="0.15">
      <c r="T858" s="28">
        <f t="shared" si="373"/>
        <v>6836</v>
      </c>
      <c r="U858" s="26">
        <f t="shared" si="369"/>
        <v>5523</v>
      </c>
      <c r="V858" s="28">
        <f t="shared" si="370"/>
        <v>90</v>
      </c>
      <c r="W858" s="14">
        <f t="shared" si="371"/>
        <v>440</v>
      </c>
      <c r="X858" s="39">
        <f t="shared" si="372"/>
        <v>3313.8</v>
      </c>
      <c r="Y858" s="15">
        <v>1</v>
      </c>
    </row>
    <row r="859" spans="20:25" x14ac:dyDescent="0.15">
      <c r="T859" s="28">
        <f t="shared" si="373"/>
        <v>6837</v>
      </c>
      <c r="U859" s="26">
        <f t="shared" si="369"/>
        <v>6075</v>
      </c>
      <c r="V859" s="28">
        <f t="shared" si="370"/>
        <v>90</v>
      </c>
      <c r="W859" s="14">
        <f t="shared" si="371"/>
        <v>484</v>
      </c>
      <c r="X859" s="39">
        <f t="shared" si="372"/>
        <v>3645</v>
      </c>
      <c r="Y859" s="15">
        <v>1</v>
      </c>
    </row>
    <row r="860" spans="20:25" x14ac:dyDescent="0.15">
      <c r="T860" s="28">
        <f t="shared" si="373"/>
        <v>6838</v>
      </c>
      <c r="U860" s="26">
        <f t="shared" si="369"/>
        <v>6682</v>
      </c>
      <c r="V860" s="28">
        <f t="shared" si="370"/>
        <v>90</v>
      </c>
      <c r="W860" s="14">
        <f t="shared" si="371"/>
        <v>532</v>
      </c>
      <c r="X860" s="39">
        <f t="shared" si="372"/>
        <v>4009.2</v>
      </c>
      <c r="Y860" s="15">
        <v>1</v>
      </c>
    </row>
    <row r="861" spans="20:25" x14ac:dyDescent="0.15">
      <c r="T861" s="28">
        <f t="shared" si="373"/>
        <v>6839</v>
      </c>
      <c r="U861" s="26">
        <f t="shared" si="369"/>
        <v>7350</v>
      </c>
      <c r="V861" s="28">
        <f t="shared" si="370"/>
        <v>90</v>
      </c>
      <c r="W861" s="14">
        <f t="shared" si="371"/>
        <v>584</v>
      </c>
      <c r="X861" s="39">
        <f t="shared" si="372"/>
        <v>4410</v>
      </c>
      <c r="Y861" s="15">
        <v>1</v>
      </c>
    </row>
    <row r="862" spans="20:25" x14ac:dyDescent="0.15">
      <c r="T862" s="28">
        <f t="shared" si="373"/>
        <v>6840</v>
      </c>
      <c r="U862" s="26">
        <f t="shared" si="369"/>
        <v>8085</v>
      </c>
      <c r="V862" s="28">
        <f t="shared" si="370"/>
        <v>90</v>
      </c>
      <c r="W862" s="14">
        <f t="shared" si="371"/>
        <v>642</v>
      </c>
      <c r="X862" s="39">
        <f t="shared" si="372"/>
        <v>4851</v>
      </c>
      <c r="Y862" s="15">
        <v>1</v>
      </c>
    </row>
    <row r="863" spans="20:25" x14ac:dyDescent="0.15">
      <c r="T863" s="28">
        <f t="shared" si="373"/>
        <v>6841</v>
      </c>
      <c r="U863" s="26">
        <f t="shared" si="369"/>
        <v>8893</v>
      </c>
      <c r="V863" s="28">
        <f t="shared" si="370"/>
        <v>90</v>
      </c>
      <c r="W863" s="14">
        <f t="shared" si="371"/>
        <v>706</v>
      </c>
      <c r="X863" s="39">
        <f t="shared" si="372"/>
        <v>5335.8</v>
      </c>
      <c r="Y863" s="15">
        <v>1</v>
      </c>
    </row>
    <row r="864" spans="20:25" x14ac:dyDescent="0.15">
      <c r="T864" s="28">
        <f t="shared" si="373"/>
        <v>6842</v>
      </c>
      <c r="U864" s="26">
        <f t="shared" si="369"/>
        <v>9782</v>
      </c>
      <c r="V864" s="28">
        <f t="shared" si="370"/>
        <v>90</v>
      </c>
      <c r="W864" s="14">
        <f t="shared" si="371"/>
        <v>778</v>
      </c>
      <c r="X864" s="39">
        <f t="shared" si="372"/>
        <v>5869.2</v>
      </c>
      <c r="Y864" s="15">
        <v>1</v>
      </c>
    </row>
    <row r="865" spans="20:25" x14ac:dyDescent="0.15">
      <c r="T865" s="28">
        <f t="shared" si="373"/>
        <v>6843</v>
      </c>
      <c r="U865" s="26">
        <f t="shared" si="369"/>
        <v>10760</v>
      </c>
      <c r="V865" s="28">
        <f t="shared" si="370"/>
        <v>90</v>
      </c>
      <c r="W865" s="14">
        <f t="shared" si="371"/>
        <v>854</v>
      </c>
      <c r="X865" s="39">
        <f t="shared" si="372"/>
        <v>6456</v>
      </c>
      <c r="Y865" s="15">
        <v>1</v>
      </c>
    </row>
    <row r="866" spans="20:25" x14ac:dyDescent="0.15">
      <c r="T866" s="28">
        <f t="shared" si="373"/>
        <v>6844</v>
      </c>
      <c r="U866" s="26">
        <f t="shared" si="369"/>
        <v>11836</v>
      </c>
      <c r="V866" s="28">
        <f t="shared" si="370"/>
        <v>90</v>
      </c>
      <c r="W866" s="14">
        <f t="shared" si="371"/>
        <v>940</v>
      </c>
      <c r="X866" s="39">
        <f t="shared" si="372"/>
        <v>7101.6</v>
      </c>
      <c r="Y866" s="15">
        <v>1</v>
      </c>
    </row>
    <row r="867" spans="20:25" x14ac:dyDescent="0.15">
      <c r="T867" s="28">
        <f t="shared" si="373"/>
        <v>6845</v>
      </c>
      <c r="U867" s="26">
        <f t="shared" si="369"/>
        <v>13019</v>
      </c>
      <c r="V867" s="28">
        <f t="shared" si="370"/>
        <v>90</v>
      </c>
      <c r="W867" s="14">
        <f t="shared" si="371"/>
        <v>1034</v>
      </c>
      <c r="X867" s="39">
        <f t="shared" si="372"/>
        <v>7811.4</v>
      </c>
      <c r="Y867" s="15">
        <v>1</v>
      </c>
    </row>
    <row r="868" spans="20:25" x14ac:dyDescent="0.15">
      <c r="T868" s="28">
        <f t="shared" si="373"/>
        <v>6846</v>
      </c>
      <c r="U868" s="26">
        <f t="shared" si="369"/>
        <v>14320</v>
      </c>
      <c r="V868" s="28">
        <f t="shared" si="370"/>
        <v>90</v>
      </c>
      <c r="W868" s="14">
        <f t="shared" si="371"/>
        <v>1136</v>
      </c>
      <c r="X868" s="39">
        <f t="shared" si="372"/>
        <v>8592</v>
      </c>
      <c r="Y868" s="15">
        <v>1</v>
      </c>
    </row>
    <row r="869" spans="20:25" x14ac:dyDescent="0.15">
      <c r="T869" s="28">
        <f t="shared" si="373"/>
        <v>6847</v>
      </c>
      <c r="U869" s="26">
        <f t="shared" si="369"/>
        <v>15752</v>
      </c>
      <c r="V869" s="28">
        <f t="shared" si="370"/>
        <v>90</v>
      </c>
      <c r="W869" s="14">
        <f t="shared" si="371"/>
        <v>1250</v>
      </c>
      <c r="X869" s="39">
        <f t="shared" si="372"/>
        <v>9451.2000000000007</v>
      </c>
      <c r="Y869" s="15">
        <v>1</v>
      </c>
    </row>
    <row r="870" spans="20:25" x14ac:dyDescent="0.15">
      <c r="T870" s="28">
        <f t="shared" si="373"/>
        <v>6848</v>
      </c>
      <c r="U870" s="26">
        <f t="shared" si="369"/>
        <v>17327</v>
      </c>
      <c r="V870" s="28">
        <f t="shared" si="370"/>
        <v>90</v>
      </c>
      <c r="W870" s="14">
        <f t="shared" si="371"/>
        <v>1374</v>
      </c>
      <c r="X870" s="39">
        <f t="shared" si="372"/>
        <v>10396.200000000001</v>
      </c>
      <c r="Y870" s="15">
        <v>1</v>
      </c>
    </row>
    <row r="871" spans="20:25" x14ac:dyDescent="0.15">
      <c r="T871" s="28">
        <f t="shared" si="373"/>
        <v>6849</v>
      </c>
      <c r="U871" s="26">
        <f t="shared" si="369"/>
        <v>19059</v>
      </c>
      <c r="V871" s="28">
        <f t="shared" si="370"/>
        <v>90</v>
      </c>
      <c r="W871" s="14">
        <f t="shared" si="371"/>
        <v>1512</v>
      </c>
      <c r="X871" s="39">
        <f t="shared" si="372"/>
        <v>11435.4</v>
      </c>
      <c r="Y871" s="15">
        <v>1</v>
      </c>
    </row>
    <row r="872" spans="20:25" x14ac:dyDescent="0.15">
      <c r="T872" s="28">
        <f t="shared" si="373"/>
        <v>6850</v>
      </c>
      <c r="U872" s="26">
        <f t="shared" si="369"/>
        <v>20964</v>
      </c>
      <c r="V872" s="28">
        <f t="shared" si="370"/>
        <v>90</v>
      </c>
      <c r="W872" s="14">
        <f t="shared" si="371"/>
        <v>1662</v>
      </c>
      <c r="X872" s="39">
        <f t="shared" si="372"/>
        <v>12578.4</v>
      </c>
      <c r="Y872" s="15">
        <v>1</v>
      </c>
    </row>
    <row r="873" spans="20:25" x14ac:dyDescent="0.15">
      <c r="T873" s="28">
        <f t="shared" si="373"/>
        <v>6851</v>
      </c>
      <c r="U873" s="26">
        <f t="shared" si="369"/>
        <v>23060</v>
      </c>
      <c r="V873" s="28">
        <f t="shared" si="370"/>
        <v>90</v>
      </c>
      <c r="W873" s="14">
        <f t="shared" si="371"/>
        <v>1828</v>
      </c>
      <c r="X873" s="39">
        <f t="shared" si="372"/>
        <v>13836</v>
      </c>
      <c r="Y873" s="15">
        <v>1</v>
      </c>
    </row>
    <row r="874" spans="20:25" x14ac:dyDescent="0.15">
      <c r="T874" s="28">
        <f t="shared" si="373"/>
        <v>6852</v>
      </c>
      <c r="U874" s="26">
        <f t="shared" si="369"/>
        <v>25366</v>
      </c>
      <c r="V874" s="28">
        <f t="shared" si="370"/>
        <v>90</v>
      </c>
      <c r="W874" s="14">
        <f t="shared" si="371"/>
        <v>2010</v>
      </c>
      <c r="X874" s="39">
        <f t="shared" si="372"/>
        <v>15219.6</v>
      </c>
      <c r="Y874" s="15">
        <v>1</v>
      </c>
    </row>
    <row r="875" spans="20:25" x14ac:dyDescent="0.15">
      <c r="T875" s="28">
        <f t="shared" si="373"/>
        <v>6853</v>
      </c>
      <c r="U875" s="26">
        <f t="shared" si="369"/>
        <v>27902</v>
      </c>
      <c r="V875" s="28">
        <f t="shared" si="370"/>
        <v>90</v>
      </c>
      <c r="W875" s="14">
        <f t="shared" si="371"/>
        <v>2210</v>
      </c>
      <c r="X875" s="39">
        <f t="shared" si="372"/>
        <v>16741.2</v>
      </c>
      <c r="Y875" s="15">
        <v>1</v>
      </c>
    </row>
    <row r="876" spans="20:25" x14ac:dyDescent="0.15">
      <c r="T876" s="28">
        <f t="shared" si="373"/>
        <v>6854</v>
      </c>
      <c r="U876" s="26">
        <f t="shared" si="369"/>
        <v>30692</v>
      </c>
      <c r="V876" s="28">
        <f t="shared" si="370"/>
        <v>90</v>
      </c>
      <c r="W876" s="14">
        <f t="shared" si="371"/>
        <v>2430</v>
      </c>
      <c r="X876" s="39">
        <f t="shared" si="372"/>
        <v>18415.2</v>
      </c>
      <c r="Y876" s="15">
        <v>1</v>
      </c>
    </row>
    <row r="877" spans="20:25" x14ac:dyDescent="0.15">
      <c r="T877" s="28">
        <f t="shared" si="373"/>
        <v>6855</v>
      </c>
      <c r="U877" s="26">
        <f t="shared" si="369"/>
        <v>33761</v>
      </c>
      <c r="V877" s="28">
        <f t="shared" si="370"/>
        <v>90</v>
      </c>
      <c r="W877" s="14">
        <f t="shared" si="371"/>
        <v>2672</v>
      </c>
      <c r="X877" s="39">
        <f t="shared" si="372"/>
        <v>20256.599999999999</v>
      </c>
      <c r="Y877" s="15">
        <v>1</v>
      </c>
    </row>
    <row r="878" spans="20:25" x14ac:dyDescent="0.15">
      <c r="T878" s="28">
        <f t="shared" si="373"/>
        <v>6856</v>
      </c>
      <c r="U878" s="26">
        <f t="shared" si="369"/>
        <v>37137</v>
      </c>
      <c r="V878" s="28">
        <f t="shared" si="370"/>
        <v>90</v>
      </c>
      <c r="W878" s="14">
        <f t="shared" si="371"/>
        <v>2938</v>
      </c>
      <c r="X878" s="39">
        <f t="shared" si="372"/>
        <v>22282.2</v>
      </c>
      <c r="Y878" s="15">
        <v>1</v>
      </c>
    </row>
    <row r="879" spans="20:25" x14ac:dyDescent="0.15">
      <c r="T879" s="28">
        <f t="shared" si="373"/>
        <v>6857</v>
      </c>
      <c r="U879" s="26">
        <f t="shared" si="369"/>
        <v>40850</v>
      </c>
      <c r="V879" s="28">
        <f t="shared" si="370"/>
        <v>90</v>
      </c>
      <c r="W879" s="14">
        <f t="shared" si="371"/>
        <v>3230</v>
      </c>
      <c r="X879" s="39">
        <f t="shared" si="372"/>
        <v>24510</v>
      </c>
      <c r="Y879" s="15">
        <v>1</v>
      </c>
    </row>
    <row r="880" spans="20:25" x14ac:dyDescent="0.15">
      <c r="T880" s="28">
        <f t="shared" si="373"/>
        <v>6858</v>
      </c>
      <c r="U880" s="26">
        <f t="shared" si="369"/>
        <v>44935</v>
      </c>
      <c r="V880" s="28">
        <f t="shared" si="370"/>
        <v>90</v>
      </c>
      <c r="W880" s="14">
        <f t="shared" si="371"/>
        <v>3552</v>
      </c>
      <c r="X880" s="39">
        <f t="shared" si="372"/>
        <v>26961</v>
      </c>
      <c r="Y880" s="15">
        <v>1</v>
      </c>
    </row>
    <row r="881" spans="20:25" x14ac:dyDescent="0.15">
      <c r="T881" s="28">
        <f t="shared" si="373"/>
        <v>6859</v>
      </c>
      <c r="U881" s="26">
        <f t="shared" si="369"/>
        <v>49428</v>
      </c>
      <c r="V881" s="28">
        <f t="shared" si="370"/>
        <v>90</v>
      </c>
      <c r="W881" s="14">
        <f t="shared" si="371"/>
        <v>3906</v>
      </c>
      <c r="X881" s="39">
        <f t="shared" si="372"/>
        <v>29656.799999999999</v>
      </c>
      <c r="Y881" s="15">
        <v>1</v>
      </c>
    </row>
    <row r="882" spans="20:25" x14ac:dyDescent="0.15">
      <c r="T882" s="28">
        <f t="shared" si="373"/>
        <v>6860</v>
      </c>
      <c r="U882" s="26">
        <f t="shared" si="369"/>
        <v>54370</v>
      </c>
      <c r="V882" s="28">
        <f t="shared" si="370"/>
        <v>90</v>
      </c>
      <c r="W882" s="14">
        <f t="shared" si="371"/>
        <v>4296</v>
      </c>
      <c r="X882" s="39">
        <f t="shared" si="372"/>
        <v>32622</v>
      </c>
      <c r="Y882" s="15">
        <v>1</v>
      </c>
    </row>
    <row r="883" spans="20:25" x14ac:dyDescent="0.15">
      <c r="T883" s="28">
        <f t="shared" si="373"/>
        <v>6861</v>
      </c>
      <c r="U883" s="26">
        <f t="shared" si="369"/>
        <v>59807</v>
      </c>
      <c r="V883" s="28">
        <f t="shared" si="370"/>
        <v>90</v>
      </c>
      <c r="W883" s="14">
        <f t="shared" si="371"/>
        <v>4724</v>
      </c>
      <c r="X883" s="39">
        <f t="shared" si="372"/>
        <v>35884.199999999997</v>
      </c>
      <c r="Y883" s="15">
        <v>1</v>
      </c>
    </row>
    <row r="884" spans="20:25" x14ac:dyDescent="0.15">
      <c r="T884" s="28">
        <f t="shared" si="373"/>
        <v>6862</v>
      </c>
      <c r="U884" s="26">
        <f t="shared" si="369"/>
        <v>65787</v>
      </c>
      <c r="V884" s="28">
        <f t="shared" si="370"/>
        <v>90</v>
      </c>
      <c r="W884" s="14">
        <f t="shared" si="371"/>
        <v>5194</v>
      </c>
      <c r="X884" s="39">
        <f t="shared" si="372"/>
        <v>39472.199999999997</v>
      </c>
      <c r="Y884" s="15">
        <v>1</v>
      </c>
    </row>
    <row r="885" spans="20:25" x14ac:dyDescent="0.15">
      <c r="T885" s="28">
        <f t="shared" si="373"/>
        <v>6863</v>
      </c>
      <c r="U885" s="26">
        <f t="shared" si="369"/>
        <v>72365</v>
      </c>
      <c r="V885" s="28">
        <f t="shared" si="370"/>
        <v>90</v>
      </c>
      <c r="W885" s="14">
        <f t="shared" si="371"/>
        <v>5712</v>
      </c>
      <c r="X885" s="39">
        <f t="shared" si="372"/>
        <v>43419</v>
      </c>
      <c r="Y885" s="15">
        <v>1</v>
      </c>
    </row>
    <row r="886" spans="20:25" x14ac:dyDescent="0.15">
      <c r="T886" s="28">
        <f t="shared" si="373"/>
        <v>6864</v>
      </c>
      <c r="U886" s="26">
        <f t="shared" si="369"/>
        <v>79601</v>
      </c>
      <c r="V886" s="28">
        <f t="shared" si="370"/>
        <v>90</v>
      </c>
      <c r="W886" s="14">
        <f t="shared" si="371"/>
        <v>6282</v>
      </c>
      <c r="X886" s="39">
        <f t="shared" si="372"/>
        <v>47760.6</v>
      </c>
      <c r="Y886" s="15">
        <v>1</v>
      </c>
    </row>
    <row r="887" spans="20:25" x14ac:dyDescent="0.15">
      <c r="T887" s="28">
        <f t="shared" si="373"/>
        <v>6865</v>
      </c>
      <c r="U887" s="26">
        <f t="shared" si="369"/>
        <v>87561</v>
      </c>
      <c r="V887" s="28">
        <f t="shared" si="370"/>
        <v>90</v>
      </c>
      <c r="W887" s="14">
        <f t="shared" si="371"/>
        <v>6908</v>
      </c>
      <c r="X887" s="39">
        <f t="shared" si="372"/>
        <v>52536.6</v>
      </c>
      <c r="Y887" s="15">
        <v>1</v>
      </c>
    </row>
    <row r="888" spans="20:25" x14ac:dyDescent="0.15">
      <c r="T888" s="28">
        <f t="shared" si="373"/>
        <v>6866</v>
      </c>
      <c r="U888" s="26">
        <f t="shared" ref="U888:U922" si="374">INT(U887*$U$18)</f>
        <v>96317</v>
      </c>
      <c r="V888" s="28">
        <f t="shared" ref="V888:V922" si="375">V887</f>
        <v>90</v>
      </c>
      <c r="W888" s="14">
        <f t="shared" si="371"/>
        <v>7596</v>
      </c>
      <c r="X888" s="39">
        <f t="shared" si="372"/>
        <v>57790.2</v>
      </c>
      <c r="Y888" s="15">
        <v>1</v>
      </c>
    </row>
    <row r="889" spans="20:25" x14ac:dyDescent="0.15">
      <c r="T889" s="28">
        <f t="shared" si="373"/>
        <v>6867</v>
      </c>
      <c r="U889" s="26">
        <f t="shared" si="374"/>
        <v>105948</v>
      </c>
      <c r="V889" s="28">
        <f t="shared" si="375"/>
        <v>90</v>
      </c>
      <c r="W889" s="14">
        <f t="shared" si="371"/>
        <v>8352</v>
      </c>
      <c r="X889" s="39">
        <f t="shared" si="372"/>
        <v>63568.800000000003</v>
      </c>
      <c r="Y889" s="15">
        <v>1</v>
      </c>
    </row>
    <row r="890" spans="20:25" x14ac:dyDescent="0.15">
      <c r="T890" s="28">
        <f t="shared" si="373"/>
        <v>6868</v>
      </c>
      <c r="U890" s="26">
        <f t="shared" si="374"/>
        <v>116542</v>
      </c>
      <c r="V890" s="28">
        <f t="shared" si="375"/>
        <v>90</v>
      </c>
      <c r="W890" s="14">
        <f t="shared" si="371"/>
        <v>9184</v>
      </c>
      <c r="X890" s="39">
        <f t="shared" si="372"/>
        <v>69925.2</v>
      </c>
      <c r="Y890" s="15">
        <v>1</v>
      </c>
    </row>
    <row r="891" spans="20:25" x14ac:dyDescent="0.15">
      <c r="T891" s="28">
        <f t="shared" si="373"/>
        <v>6869</v>
      </c>
      <c r="U891" s="26">
        <f t="shared" si="374"/>
        <v>128196</v>
      </c>
      <c r="V891" s="28">
        <f t="shared" si="375"/>
        <v>90</v>
      </c>
      <c r="W891" s="14">
        <f t="shared" si="371"/>
        <v>10098</v>
      </c>
      <c r="X891" s="39">
        <f t="shared" si="372"/>
        <v>76917.600000000006</v>
      </c>
      <c r="Y891" s="15">
        <v>1</v>
      </c>
    </row>
    <row r="892" spans="20:25" x14ac:dyDescent="0.15">
      <c r="T892" s="28">
        <f t="shared" si="373"/>
        <v>6870</v>
      </c>
      <c r="U892" s="26">
        <f t="shared" si="374"/>
        <v>141015</v>
      </c>
      <c r="V892" s="28">
        <f t="shared" si="375"/>
        <v>90</v>
      </c>
      <c r="W892" s="14">
        <f t="shared" si="371"/>
        <v>11106</v>
      </c>
      <c r="X892" s="39">
        <f t="shared" si="372"/>
        <v>84609</v>
      </c>
      <c r="Y892" s="15">
        <v>1</v>
      </c>
    </row>
    <row r="893" spans="20:25" x14ac:dyDescent="0.15">
      <c r="T893" s="28">
        <f t="shared" si="373"/>
        <v>6871</v>
      </c>
      <c r="U893" s="26">
        <f t="shared" si="374"/>
        <v>155116</v>
      </c>
      <c r="V893" s="28">
        <f t="shared" si="375"/>
        <v>90</v>
      </c>
      <c r="W893" s="14">
        <f t="shared" si="371"/>
        <v>12212</v>
      </c>
      <c r="X893" s="39">
        <f t="shared" si="372"/>
        <v>93069.6</v>
      </c>
      <c r="Y893" s="15">
        <v>1</v>
      </c>
    </row>
    <row r="894" spans="20:25" x14ac:dyDescent="0.15">
      <c r="T894" s="28">
        <f t="shared" si="373"/>
        <v>6872</v>
      </c>
      <c r="U894" s="26">
        <f t="shared" si="374"/>
        <v>170627</v>
      </c>
      <c r="V894" s="28">
        <f t="shared" si="375"/>
        <v>90</v>
      </c>
      <c r="W894" s="14">
        <f t="shared" si="371"/>
        <v>13428</v>
      </c>
      <c r="X894" s="39">
        <f t="shared" si="372"/>
        <v>102376.2</v>
      </c>
      <c r="Y894" s="15">
        <v>1</v>
      </c>
    </row>
    <row r="895" spans="20:25" x14ac:dyDescent="0.15">
      <c r="T895" s="28">
        <f t="shared" si="373"/>
        <v>6873</v>
      </c>
      <c r="U895" s="26">
        <f t="shared" si="374"/>
        <v>187689</v>
      </c>
      <c r="V895" s="28">
        <f t="shared" si="375"/>
        <v>90</v>
      </c>
      <c r="W895" s="14">
        <f t="shared" si="371"/>
        <v>14766</v>
      </c>
      <c r="X895" s="39">
        <f t="shared" si="372"/>
        <v>112613.4</v>
      </c>
      <c r="Y895" s="15">
        <v>1</v>
      </c>
    </row>
    <row r="896" spans="20:25" x14ac:dyDescent="0.15">
      <c r="T896" s="28">
        <f t="shared" si="373"/>
        <v>6874</v>
      </c>
      <c r="U896" s="26">
        <f t="shared" si="374"/>
        <v>206457</v>
      </c>
      <c r="V896" s="28">
        <f t="shared" si="375"/>
        <v>90</v>
      </c>
      <c r="W896" s="14">
        <f t="shared" si="371"/>
        <v>16236</v>
      </c>
      <c r="X896" s="39">
        <f t="shared" si="372"/>
        <v>123874.2</v>
      </c>
      <c r="Y896" s="15">
        <v>1</v>
      </c>
    </row>
    <row r="897" spans="20:25" x14ac:dyDescent="0.15">
      <c r="T897" s="28">
        <f t="shared" si="373"/>
        <v>6875</v>
      </c>
      <c r="U897" s="26">
        <f t="shared" si="374"/>
        <v>227102</v>
      </c>
      <c r="V897" s="28">
        <f t="shared" si="375"/>
        <v>90</v>
      </c>
      <c r="W897" s="14">
        <f t="shared" si="371"/>
        <v>17854</v>
      </c>
      <c r="X897" s="39">
        <f t="shared" si="372"/>
        <v>136261.20000000001</v>
      </c>
      <c r="Y897" s="15">
        <v>1</v>
      </c>
    </row>
    <row r="898" spans="20:25" x14ac:dyDescent="0.15">
      <c r="T898" s="28">
        <f t="shared" si="373"/>
        <v>6876</v>
      </c>
      <c r="U898" s="26">
        <f t="shared" si="374"/>
        <v>249812</v>
      </c>
      <c r="V898" s="28">
        <f t="shared" si="375"/>
        <v>90</v>
      </c>
      <c r="W898" s="14">
        <f t="shared" si="371"/>
        <v>19634</v>
      </c>
      <c r="X898" s="39">
        <f t="shared" si="372"/>
        <v>149887.20000000001</v>
      </c>
      <c r="Y898" s="15">
        <v>1</v>
      </c>
    </row>
    <row r="899" spans="20:25" x14ac:dyDescent="0.15">
      <c r="T899" s="28">
        <f t="shared" si="373"/>
        <v>6877</v>
      </c>
      <c r="U899" s="26">
        <f t="shared" si="374"/>
        <v>274793</v>
      </c>
      <c r="V899" s="28">
        <f t="shared" si="375"/>
        <v>90</v>
      </c>
      <c r="W899" s="14">
        <f t="shared" si="371"/>
        <v>21590</v>
      </c>
      <c r="X899" s="39">
        <f t="shared" si="372"/>
        <v>164875.79999999999</v>
      </c>
      <c r="Y899" s="15">
        <v>1</v>
      </c>
    </row>
    <row r="900" spans="20:25" x14ac:dyDescent="0.15">
      <c r="T900" s="28">
        <f t="shared" si="373"/>
        <v>6878</v>
      </c>
      <c r="U900" s="26">
        <f t="shared" si="374"/>
        <v>302272</v>
      </c>
      <c r="V900" s="28">
        <f t="shared" si="375"/>
        <v>90</v>
      </c>
      <c r="W900" s="14">
        <f t="shared" si="371"/>
        <v>23740</v>
      </c>
      <c r="X900" s="39">
        <f t="shared" si="372"/>
        <v>181363.20000000001</v>
      </c>
      <c r="Y900" s="15">
        <v>1</v>
      </c>
    </row>
    <row r="901" spans="20:25" x14ac:dyDescent="0.15">
      <c r="T901" s="28">
        <f t="shared" si="373"/>
        <v>6879</v>
      </c>
      <c r="U901" s="26">
        <f t="shared" si="374"/>
        <v>332499</v>
      </c>
      <c r="V901" s="28">
        <f t="shared" si="375"/>
        <v>90</v>
      </c>
      <c r="W901" s="14">
        <f t="shared" si="371"/>
        <v>26106</v>
      </c>
      <c r="X901" s="39">
        <f t="shared" si="372"/>
        <v>199499.4</v>
      </c>
      <c r="Y901" s="15">
        <v>1</v>
      </c>
    </row>
    <row r="902" spans="20:25" x14ac:dyDescent="0.15">
      <c r="T902" s="28">
        <f t="shared" si="373"/>
        <v>6880</v>
      </c>
      <c r="U902" s="26">
        <f t="shared" si="374"/>
        <v>365748</v>
      </c>
      <c r="V902" s="28">
        <f t="shared" si="375"/>
        <v>90</v>
      </c>
      <c r="W902" s="14">
        <f t="shared" si="371"/>
        <v>28706</v>
      </c>
      <c r="X902" s="39">
        <f t="shared" si="372"/>
        <v>219448.8</v>
      </c>
      <c r="Y902" s="15">
        <v>1</v>
      </c>
    </row>
    <row r="903" spans="20:25" x14ac:dyDescent="0.15">
      <c r="T903" s="28">
        <f t="shared" si="373"/>
        <v>6881</v>
      </c>
      <c r="U903" s="26">
        <f t="shared" si="374"/>
        <v>402322</v>
      </c>
      <c r="V903" s="28">
        <f t="shared" si="375"/>
        <v>90</v>
      </c>
      <c r="W903" s="14">
        <f t="shared" si="371"/>
        <v>31566</v>
      </c>
      <c r="X903" s="39">
        <f t="shared" si="372"/>
        <v>241393.2</v>
      </c>
      <c r="Y903" s="15">
        <v>1</v>
      </c>
    </row>
    <row r="904" spans="20:25" x14ac:dyDescent="0.15">
      <c r="T904" s="28">
        <f t="shared" si="373"/>
        <v>6882</v>
      </c>
      <c r="U904" s="26">
        <f t="shared" si="374"/>
        <v>442554</v>
      </c>
      <c r="V904" s="28">
        <f t="shared" si="375"/>
        <v>90</v>
      </c>
      <c r="W904" s="14">
        <f t="shared" si="371"/>
        <v>34710</v>
      </c>
      <c r="X904" s="39">
        <f t="shared" si="372"/>
        <v>265532.40000000002</v>
      </c>
      <c r="Y904" s="15">
        <v>1</v>
      </c>
    </row>
    <row r="905" spans="20:25" x14ac:dyDescent="0.15">
      <c r="T905" s="28">
        <f t="shared" si="373"/>
        <v>6883</v>
      </c>
      <c r="U905" s="26">
        <f t="shared" si="374"/>
        <v>486809</v>
      </c>
      <c r="V905" s="28">
        <f t="shared" si="375"/>
        <v>90</v>
      </c>
      <c r="W905" s="14">
        <f t="shared" si="371"/>
        <v>38168</v>
      </c>
      <c r="X905" s="39">
        <f t="shared" si="372"/>
        <v>292085.40000000002</v>
      </c>
      <c r="Y905" s="15">
        <v>1</v>
      </c>
    </row>
    <row r="906" spans="20:25" x14ac:dyDescent="0.15">
      <c r="T906" s="28">
        <f t="shared" si="373"/>
        <v>6884</v>
      </c>
      <c r="U906" s="26">
        <f t="shared" si="374"/>
        <v>535489</v>
      </c>
      <c r="V906" s="28">
        <f t="shared" si="375"/>
        <v>90</v>
      </c>
      <c r="W906" s="14">
        <f t="shared" si="371"/>
        <v>41972</v>
      </c>
      <c r="X906" s="39">
        <f t="shared" si="372"/>
        <v>321293.40000000002</v>
      </c>
      <c r="Y906" s="15">
        <v>1</v>
      </c>
    </row>
    <row r="907" spans="20:25" x14ac:dyDescent="0.15">
      <c r="T907" s="28">
        <f t="shared" si="373"/>
        <v>6885</v>
      </c>
      <c r="U907" s="26">
        <f t="shared" si="374"/>
        <v>589037</v>
      </c>
      <c r="V907" s="28">
        <f t="shared" si="375"/>
        <v>90</v>
      </c>
      <c r="W907" s="14">
        <f t="shared" si="371"/>
        <v>46154</v>
      </c>
      <c r="X907" s="39">
        <f t="shared" si="372"/>
        <v>353422.2</v>
      </c>
      <c r="Y907" s="15">
        <v>1</v>
      </c>
    </row>
    <row r="908" spans="20:25" x14ac:dyDescent="0.15">
      <c r="T908" s="28">
        <f t="shared" si="373"/>
        <v>6886</v>
      </c>
      <c r="U908" s="26">
        <f t="shared" si="374"/>
        <v>647940</v>
      </c>
      <c r="V908" s="28">
        <f t="shared" si="375"/>
        <v>90</v>
      </c>
      <c r="W908" s="14">
        <f t="shared" si="371"/>
        <v>50752</v>
      </c>
      <c r="X908" s="39">
        <f t="shared" si="372"/>
        <v>388764</v>
      </c>
      <c r="Y908" s="15">
        <v>1</v>
      </c>
    </row>
    <row r="909" spans="20:25" x14ac:dyDescent="0.15">
      <c r="T909" s="28">
        <f t="shared" si="373"/>
        <v>6887</v>
      </c>
      <c r="U909" s="26">
        <f t="shared" si="374"/>
        <v>712734</v>
      </c>
      <c r="V909" s="28">
        <f t="shared" si="375"/>
        <v>90</v>
      </c>
      <c r="W909" s="14">
        <f t="shared" si="371"/>
        <v>55808</v>
      </c>
      <c r="X909" s="39">
        <f t="shared" si="372"/>
        <v>427640.4</v>
      </c>
      <c r="Y909" s="15">
        <v>1</v>
      </c>
    </row>
    <row r="910" spans="20:25" x14ac:dyDescent="0.15">
      <c r="T910" s="28">
        <f t="shared" si="373"/>
        <v>6888</v>
      </c>
      <c r="U910" s="26">
        <f t="shared" si="374"/>
        <v>784007</v>
      </c>
      <c r="V910" s="28">
        <f t="shared" si="375"/>
        <v>90</v>
      </c>
      <c r="W910" s="14">
        <f t="shared" si="371"/>
        <v>61368</v>
      </c>
      <c r="X910" s="39">
        <f t="shared" si="372"/>
        <v>470404.2</v>
      </c>
      <c r="Y910" s="15">
        <v>1</v>
      </c>
    </row>
    <row r="911" spans="20:25" x14ac:dyDescent="0.15">
      <c r="T911" s="28">
        <f t="shared" si="373"/>
        <v>6889</v>
      </c>
      <c r="U911" s="26">
        <f t="shared" si="374"/>
        <v>862407</v>
      </c>
      <c r="V911" s="28">
        <f t="shared" si="375"/>
        <v>90</v>
      </c>
      <c r="W911" s="14">
        <f t="shared" si="371"/>
        <v>67482</v>
      </c>
      <c r="X911" s="39">
        <f t="shared" si="372"/>
        <v>517444.2</v>
      </c>
      <c r="Y911" s="15">
        <v>1</v>
      </c>
    </row>
    <row r="912" spans="20:25" x14ac:dyDescent="0.15">
      <c r="T912" s="28">
        <f t="shared" si="373"/>
        <v>6890</v>
      </c>
      <c r="U912" s="26">
        <f t="shared" si="374"/>
        <v>948647</v>
      </c>
      <c r="V912" s="28">
        <f t="shared" si="375"/>
        <v>90</v>
      </c>
      <c r="W912" s="14">
        <f t="shared" si="371"/>
        <v>74204</v>
      </c>
      <c r="X912" s="39">
        <f t="shared" si="372"/>
        <v>569188.19999999995</v>
      </c>
      <c r="Y912" s="15">
        <v>1</v>
      </c>
    </row>
    <row r="913" spans="20:25" x14ac:dyDescent="0.15">
      <c r="T913" s="28">
        <f t="shared" si="373"/>
        <v>6891</v>
      </c>
      <c r="U913" s="26">
        <f t="shared" si="374"/>
        <v>1043511</v>
      </c>
      <c r="V913" s="28">
        <f t="shared" si="375"/>
        <v>90</v>
      </c>
      <c r="W913" s="14">
        <f t="shared" si="371"/>
        <v>81598</v>
      </c>
      <c r="X913" s="39">
        <f t="shared" si="372"/>
        <v>626106.6</v>
      </c>
      <c r="Y913" s="15">
        <v>1</v>
      </c>
    </row>
    <row r="914" spans="20:25" x14ac:dyDescent="0.15">
      <c r="T914" s="28">
        <f t="shared" si="373"/>
        <v>6892</v>
      </c>
      <c r="U914" s="26">
        <f t="shared" si="374"/>
        <v>1147862</v>
      </c>
      <c r="V914" s="28">
        <f t="shared" si="375"/>
        <v>90</v>
      </c>
      <c r="W914" s="14">
        <f t="shared" si="371"/>
        <v>89728</v>
      </c>
      <c r="X914" s="39">
        <f t="shared" si="372"/>
        <v>688717.2</v>
      </c>
      <c r="Y914" s="15">
        <v>1</v>
      </c>
    </row>
    <row r="915" spans="20:25" x14ac:dyDescent="0.15">
      <c r="T915" s="28">
        <f t="shared" si="373"/>
        <v>6893</v>
      </c>
      <c r="U915" s="26">
        <f t="shared" si="374"/>
        <v>1262648</v>
      </c>
      <c r="V915" s="28">
        <f t="shared" si="375"/>
        <v>90</v>
      </c>
      <c r="W915" s="14">
        <f t="shared" si="371"/>
        <v>98668</v>
      </c>
      <c r="X915" s="39">
        <f t="shared" si="372"/>
        <v>757588.8</v>
      </c>
      <c r="Y915" s="15">
        <v>1</v>
      </c>
    </row>
    <row r="916" spans="20:25" x14ac:dyDescent="0.15">
      <c r="T916" s="28">
        <f t="shared" si="373"/>
        <v>6894</v>
      </c>
      <c r="U916" s="26">
        <f t="shared" si="374"/>
        <v>1388912</v>
      </c>
      <c r="V916" s="28">
        <f t="shared" si="375"/>
        <v>90</v>
      </c>
      <c r="W916" s="14">
        <f t="shared" si="371"/>
        <v>108498</v>
      </c>
      <c r="X916" s="39">
        <f t="shared" si="372"/>
        <v>833347.2</v>
      </c>
      <c r="Y916" s="15">
        <v>1</v>
      </c>
    </row>
    <row r="917" spans="20:25" x14ac:dyDescent="0.15">
      <c r="T917" s="28">
        <f t="shared" si="373"/>
        <v>6895</v>
      </c>
      <c r="U917" s="26">
        <f t="shared" si="374"/>
        <v>1527803</v>
      </c>
      <c r="V917" s="28">
        <f t="shared" si="375"/>
        <v>90</v>
      </c>
      <c r="W917" s="14">
        <f t="shared" si="371"/>
        <v>119308</v>
      </c>
      <c r="X917" s="39">
        <f t="shared" si="372"/>
        <v>916681.8</v>
      </c>
      <c r="Y917" s="15">
        <v>1</v>
      </c>
    </row>
    <row r="918" spans="20:25" x14ac:dyDescent="0.15">
      <c r="T918" s="28">
        <f t="shared" si="373"/>
        <v>6896</v>
      </c>
      <c r="U918" s="26">
        <f t="shared" si="374"/>
        <v>1680583</v>
      </c>
      <c r="V918" s="28">
        <f t="shared" si="375"/>
        <v>90</v>
      </c>
      <c r="W918" s="14">
        <f t="shared" si="371"/>
        <v>131194</v>
      </c>
      <c r="X918" s="39">
        <f t="shared" si="372"/>
        <v>1008349.8</v>
      </c>
      <c r="Y918" s="15">
        <v>1</v>
      </c>
    </row>
    <row r="919" spans="20:25" x14ac:dyDescent="0.15">
      <c r="T919" s="28">
        <f t="shared" si="373"/>
        <v>6897</v>
      </c>
      <c r="U919" s="26">
        <f t="shared" si="374"/>
        <v>1848641</v>
      </c>
      <c r="V919" s="28">
        <f t="shared" si="375"/>
        <v>90</v>
      </c>
      <c r="W919" s="14">
        <f t="shared" si="371"/>
        <v>144266</v>
      </c>
      <c r="X919" s="39">
        <f t="shared" si="372"/>
        <v>1109184.6000000001</v>
      </c>
      <c r="Y919" s="15">
        <v>1</v>
      </c>
    </row>
    <row r="920" spans="20:25" x14ac:dyDescent="0.15">
      <c r="T920" s="28">
        <f t="shared" si="373"/>
        <v>6898</v>
      </c>
      <c r="U920" s="26">
        <f t="shared" si="374"/>
        <v>2033505</v>
      </c>
      <c r="V920" s="28">
        <f t="shared" si="375"/>
        <v>90</v>
      </c>
      <c r="W920" s="14">
        <f t="shared" ref="W920:W983" si="376">_xlfn.FLOOR.MATH(V920*U920/15/10/RIGHT(T920,3)^0.3,2)</f>
        <v>158640</v>
      </c>
      <c r="X920" s="39">
        <f t="shared" ref="X920:X983" si="377">U920*V920/15/10</f>
        <v>1220103</v>
      </c>
      <c r="Y920" s="15">
        <v>1</v>
      </c>
    </row>
    <row r="921" spans="20:25" x14ac:dyDescent="0.15">
      <c r="T921" s="28">
        <f t="shared" ref="T921:T984" si="378">T920+1</f>
        <v>6899</v>
      </c>
      <c r="U921" s="26">
        <f t="shared" si="374"/>
        <v>2236855</v>
      </c>
      <c r="V921" s="28">
        <f t="shared" si="375"/>
        <v>90</v>
      </c>
      <c r="W921" s="14">
        <f t="shared" si="376"/>
        <v>174446</v>
      </c>
      <c r="X921" s="39">
        <f t="shared" si="377"/>
        <v>1342113</v>
      </c>
      <c r="Y921" s="15">
        <v>1</v>
      </c>
    </row>
    <row r="922" spans="20:25" x14ac:dyDescent="0.15">
      <c r="T922" s="28">
        <f t="shared" si="378"/>
        <v>6900</v>
      </c>
      <c r="U922" s="26">
        <f t="shared" si="374"/>
        <v>2460540</v>
      </c>
      <c r="V922" s="28">
        <f t="shared" si="375"/>
        <v>90</v>
      </c>
      <c r="W922" s="14">
        <f t="shared" si="376"/>
        <v>191826</v>
      </c>
      <c r="X922" s="39">
        <f t="shared" si="377"/>
        <v>1476324</v>
      </c>
      <c r="Y922" s="15">
        <v>1</v>
      </c>
    </row>
    <row r="923" spans="20:25" x14ac:dyDescent="0.15">
      <c r="T923" s="28">
        <f t="shared" si="378"/>
        <v>6901</v>
      </c>
      <c r="U923" s="38">
        <v>200</v>
      </c>
      <c r="V923" s="36">
        <f>V823+10</f>
        <v>100</v>
      </c>
      <c r="W923" s="14">
        <f t="shared" si="376"/>
        <v>16</v>
      </c>
      <c r="X923" s="39">
        <f t="shared" si="377"/>
        <v>133.33333333333331</v>
      </c>
      <c r="Y923" s="15">
        <v>1</v>
      </c>
    </row>
    <row r="924" spans="20:25" x14ac:dyDescent="0.15">
      <c r="T924" s="28">
        <f t="shared" si="378"/>
        <v>6902</v>
      </c>
      <c r="U924" s="26">
        <f t="shared" ref="U924:U987" si="379">INT(U923*$U$18)</f>
        <v>220</v>
      </c>
      <c r="V924" s="28">
        <f t="shared" ref="V924:V987" si="380">V923</f>
        <v>100</v>
      </c>
      <c r="W924" s="14">
        <f t="shared" si="376"/>
        <v>18</v>
      </c>
      <c r="X924" s="39">
        <f t="shared" si="377"/>
        <v>146.66666666666669</v>
      </c>
      <c r="Y924" s="15">
        <v>1</v>
      </c>
    </row>
    <row r="925" spans="20:25" x14ac:dyDescent="0.15">
      <c r="T925" s="28">
        <f t="shared" si="378"/>
        <v>6903</v>
      </c>
      <c r="U925" s="26">
        <f t="shared" si="379"/>
        <v>242</v>
      </c>
      <c r="V925" s="28">
        <f t="shared" si="380"/>
        <v>100</v>
      </c>
      <c r="W925" s="14">
        <f t="shared" si="376"/>
        <v>20</v>
      </c>
      <c r="X925" s="39">
        <f t="shared" si="377"/>
        <v>161.33333333333331</v>
      </c>
      <c r="Y925" s="15">
        <v>1</v>
      </c>
    </row>
    <row r="926" spans="20:25" x14ac:dyDescent="0.15">
      <c r="T926" s="28">
        <f t="shared" si="378"/>
        <v>6904</v>
      </c>
      <c r="U926" s="26">
        <f t="shared" si="379"/>
        <v>266</v>
      </c>
      <c r="V926" s="28">
        <f t="shared" si="380"/>
        <v>100</v>
      </c>
      <c r="W926" s="14">
        <f t="shared" si="376"/>
        <v>22</v>
      </c>
      <c r="X926" s="39">
        <f t="shared" si="377"/>
        <v>177.33333333333331</v>
      </c>
      <c r="Y926" s="15">
        <v>1</v>
      </c>
    </row>
    <row r="927" spans="20:25" x14ac:dyDescent="0.15">
      <c r="T927" s="28">
        <f t="shared" si="378"/>
        <v>6905</v>
      </c>
      <c r="U927" s="26">
        <f t="shared" si="379"/>
        <v>292</v>
      </c>
      <c r="V927" s="28">
        <f t="shared" si="380"/>
        <v>100</v>
      </c>
      <c r="W927" s="14">
        <f t="shared" si="376"/>
        <v>24</v>
      </c>
      <c r="X927" s="39">
        <f t="shared" si="377"/>
        <v>194.66666666666669</v>
      </c>
      <c r="Y927" s="15">
        <v>1</v>
      </c>
    </row>
    <row r="928" spans="20:25" x14ac:dyDescent="0.15">
      <c r="T928" s="28">
        <f t="shared" si="378"/>
        <v>6906</v>
      </c>
      <c r="U928" s="26">
        <f t="shared" si="379"/>
        <v>321</v>
      </c>
      <c r="V928" s="28">
        <f t="shared" si="380"/>
        <v>100</v>
      </c>
      <c r="W928" s="14">
        <f t="shared" si="376"/>
        <v>26</v>
      </c>
      <c r="X928" s="39">
        <f t="shared" si="377"/>
        <v>214</v>
      </c>
      <c r="Y928" s="15">
        <v>1</v>
      </c>
    </row>
    <row r="929" spans="20:25" x14ac:dyDescent="0.15">
      <c r="T929" s="28">
        <f t="shared" si="378"/>
        <v>6907</v>
      </c>
      <c r="U929" s="26">
        <f t="shared" si="379"/>
        <v>353</v>
      </c>
      <c r="V929" s="28">
        <f t="shared" si="380"/>
        <v>100</v>
      </c>
      <c r="W929" s="14">
        <f t="shared" si="376"/>
        <v>30</v>
      </c>
      <c r="X929" s="39">
        <f t="shared" si="377"/>
        <v>235.33333333333334</v>
      </c>
      <c r="Y929" s="15">
        <v>1</v>
      </c>
    </row>
    <row r="930" spans="20:25" x14ac:dyDescent="0.15">
      <c r="T930" s="28">
        <f t="shared" si="378"/>
        <v>6908</v>
      </c>
      <c r="U930" s="26">
        <f t="shared" si="379"/>
        <v>388</v>
      </c>
      <c r="V930" s="28">
        <f t="shared" si="380"/>
        <v>100</v>
      </c>
      <c r="W930" s="14">
        <f t="shared" si="376"/>
        <v>32</v>
      </c>
      <c r="X930" s="39">
        <f t="shared" si="377"/>
        <v>258.66666666666663</v>
      </c>
      <c r="Y930" s="15">
        <v>1</v>
      </c>
    </row>
    <row r="931" spans="20:25" x14ac:dyDescent="0.15">
      <c r="T931" s="28">
        <f t="shared" si="378"/>
        <v>6909</v>
      </c>
      <c r="U931" s="26">
        <f t="shared" si="379"/>
        <v>426</v>
      </c>
      <c r="V931" s="28">
        <f t="shared" si="380"/>
        <v>100</v>
      </c>
      <c r="W931" s="14">
        <f t="shared" si="376"/>
        <v>36</v>
      </c>
      <c r="X931" s="39">
        <f t="shared" si="377"/>
        <v>284</v>
      </c>
      <c r="Y931" s="15">
        <v>1</v>
      </c>
    </row>
    <row r="932" spans="20:25" x14ac:dyDescent="0.15">
      <c r="T932" s="28">
        <f t="shared" si="378"/>
        <v>6910</v>
      </c>
      <c r="U932" s="26">
        <f t="shared" si="379"/>
        <v>468</v>
      </c>
      <c r="V932" s="28">
        <f t="shared" si="380"/>
        <v>100</v>
      </c>
      <c r="W932" s="14">
        <f t="shared" si="376"/>
        <v>40</v>
      </c>
      <c r="X932" s="39">
        <f t="shared" si="377"/>
        <v>312</v>
      </c>
      <c r="Y932" s="15">
        <v>1</v>
      </c>
    </row>
    <row r="933" spans="20:25" x14ac:dyDescent="0.15">
      <c r="T933" s="28">
        <f t="shared" si="378"/>
        <v>6911</v>
      </c>
      <c r="U933" s="26">
        <f t="shared" si="379"/>
        <v>514</v>
      </c>
      <c r="V933" s="28">
        <f t="shared" si="380"/>
        <v>100</v>
      </c>
      <c r="W933" s="14">
        <f t="shared" si="376"/>
        <v>44</v>
      </c>
      <c r="X933" s="39">
        <f t="shared" si="377"/>
        <v>342.66666666666663</v>
      </c>
      <c r="Y933" s="15">
        <v>1</v>
      </c>
    </row>
    <row r="934" spans="20:25" x14ac:dyDescent="0.15">
      <c r="T934" s="28">
        <f t="shared" si="378"/>
        <v>6912</v>
      </c>
      <c r="U934" s="26">
        <f t="shared" si="379"/>
        <v>565</v>
      </c>
      <c r="V934" s="28">
        <f t="shared" si="380"/>
        <v>100</v>
      </c>
      <c r="W934" s="14">
        <f t="shared" si="376"/>
        <v>48</v>
      </c>
      <c r="X934" s="39">
        <f t="shared" si="377"/>
        <v>376.66666666666663</v>
      </c>
      <c r="Y934" s="15">
        <v>1</v>
      </c>
    </row>
    <row r="935" spans="20:25" x14ac:dyDescent="0.15">
      <c r="T935" s="28">
        <f t="shared" si="378"/>
        <v>6913</v>
      </c>
      <c r="U935" s="26">
        <f t="shared" si="379"/>
        <v>621</v>
      </c>
      <c r="V935" s="28">
        <f t="shared" si="380"/>
        <v>100</v>
      </c>
      <c r="W935" s="14">
        <f t="shared" si="376"/>
        <v>52</v>
      </c>
      <c r="X935" s="39">
        <f t="shared" si="377"/>
        <v>414</v>
      </c>
      <c r="Y935" s="15">
        <v>1</v>
      </c>
    </row>
    <row r="936" spans="20:25" x14ac:dyDescent="0.15">
      <c r="T936" s="28">
        <f t="shared" si="378"/>
        <v>6914</v>
      </c>
      <c r="U936" s="26">
        <f t="shared" si="379"/>
        <v>683</v>
      </c>
      <c r="V936" s="28">
        <f t="shared" si="380"/>
        <v>100</v>
      </c>
      <c r="W936" s="14">
        <f t="shared" si="376"/>
        <v>58</v>
      </c>
      <c r="X936" s="39">
        <f t="shared" si="377"/>
        <v>455.33333333333331</v>
      </c>
      <c r="Y936" s="15">
        <v>1</v>
      </c>
    </row>
    <row r="937" spans="20:25" x14ac:dyDescent="0.15">
      <c r="T937" s="28">
        <f t="shared" si="378"/>
        <v>6915</v>
      </c>
      <c r="U937" s="26">
        <f t="shared" si="379"/>
        <v>751</v>
      </c>
      <c r="V937" s="28">
        <f t="shared" si="380"/>
        <v>100</v>
      </c>
      <c r="W937" s="14">
        <f t="shared" si="376"/>
        <v>64</v>
      </c>
      <c r="X937" s="39">
        <f t="shared" si="377"/>
        <v>500.66666666666669</v>
      </c>
      <c r="Y937" s="15">
        <v>1</v>
      </c>
    </row>
    <row r="938" spans="20:25" x14ac:dyDescent="0.15">
      <c r="T938" s="28">
        <f t="shared" si="378"/>
        <v>6916</v>
      </c>
      <c r="U938" s="26">
        <f t="shared" si="379"/>
        <v>826</v>
      </c>
      <c r="V938" s="28">
        <f t="shared" si="380"/>
        <v>100</v>
      </c>
      <c r="W938" s="14">
        <f t="shared" si="376"/>
        <v>70</v>
      </c>
      <c r="X938" s="39">
        <f t="shared" si="377"/>
        <v>550.66666666666674</v>
      </c>
      <c r="Y938" s="15">
        <v>1</v>
      </c>
    </row>
    <row r="939" spans="20:25" x14ac:dyDescent="0.15">
      <c r="T939" s="28">
        <f t="shared" si="378"/>
        <v>6917</v>
      </c>
      <c r="U939" s="26">
        <f t="shared" si="379"/>
        <v>908</v>
      </c>
      <c r="V939" s="28">
        <f t="shared" si="380"/>
        <v>100</v>
      </c>
      <c r="W939" s="14">
        <f t="shared" si="376"/>
        <v>78</v>
      </c>
      <c r="X939" s="39">
        <f t="shared" si="377"/>
        <v>605.33333333333326</v>
      </c>
      <c r="Y939" s="15">
        <v>1</v>
      </c>
    </row>
    <row r="940" spans="20:25" x14ac:dyDescent="0.15">
      <c r="T940" s="28">
        <f t="shared" si="378"/>
        <v>6918</v>
      </c>
      <c r="U940" s="26">
        <f t="shared" si="379"/>
        <v>998</v>
      </c>
      <c r="V940" s="28">
        <f t="shared" si="380"/>
        <v>100</v>
      </c>
      <c r="W940" s="14">
        <f t="shared" si="376"/>
        <v>84</v>
      </c>
      <c r="X940" s="39">
        <f t="shared" si="377"/>
        <v>665.33333333333326</v>
      </c>
      <c r="Y940" s="15">
        <v>1</v>
      </c>
    </row>
    <row r="941" spans="20:25" x14ac:dyDescent="0.15">
      <c r="T941" s="28">
        <f t="shared" si="378"/>
        <v>6919</v>
      </c>
      <c r="U941" s="26">
        <f t="shared" si="379"/>
        <v>1097</v>
      </c>
      <c r="V941" s="28">
        <f t="shared" si="380"/>
        <v>100</v>
      </c>
      <c r="W941" s="14">
        <f t="shared" si="376"/>
        <v>94</v>
      </c>
      <c r="X941" s="39">
        <f t="shared" si="377"/>
        <v>731.33333333333326</v>
      </c>
      <c r="Y941" s="15">
        <v>1</v>
      </c>
    </row>
    <row r="942" spans="20:25" x14ac:dyDescent="0.15">
      <c r="T942" s="28">
        <f t="shared" si="378"/>
        <v>6920</v>
      </c>
      <c r="U942" s="26">
        <f t="shared" si="379"/>
        <v>1206</v>
      </c>
      <c r="V942" s="28">
        <f t="shared" si="380"/>
        <v>100</v>
      </c>
      <c r="W942" s="14">
        <f t="shared" si="376"/>
        <v>102</v>
      </c>
      <c r="X942" s="39">
        <f t="shared" si="377"/>
        <v>804</v>
      </c>
      <c r="Y942" s="15">
        <v>1</v>
      </c>
    </row>
    <row r="943" spans="20:25" x14ac:dyDescent="0.15">
      <c r="T943" s="28">
        <f t="shared" si="378"/>
        <v>6921</v>
      </c>
      <c r="U943" s="26">
        <f t="shared" si="379"/>
        <v>1326</v>
      </c>
      <c r="V943" s="28">
        <f t="shared" si="380"/>
        <v>100</v>
      </c>
      <c r="W943" s="14">
        <f t="shared" si="376"/>
        <v>114</v>
      </c>
      <c r="X943" s="39">
        <f t="shared" si="377"/>
        <v>884</v>
      </c>
      <c r="Y943" s="15">
        <v>1</v>
      </c>
    </row>
    <row r="944" spans="20:25" x14ac:dyDescent="0.15">
      <c r="T944" s="28">
        <f t="shared" si="378"/>
        <v>6922</v>
      </c>
      <c r="U944" s="26">
        <f t="shared" si="379"/>
        <v>1458</v>
      </c>
      <c r="V944" s="28">
        <f t="shared" si="380"/>
        <v>100</v>
      </c>
      <c r="W944" s="14">
        <f t="shared" si="376"/>
        <v>124</v>
      </c>
      <c r="X944" s="39">
        <f t="shared" si="377"/>
        <v>972</v>
      </c>
      <c r="Y944" s="15">
        <v>1</v>
      </c>
    </row>
    <row r="945" spans="20:25" x14ac:dyDescent="0.15">
      <c r="T945" s="28">
        <f t="shared" si="378"/>
        <v>6923</v>
      </c>
      <c r="U945" s="26">
        <f t="shared" si="379"/>
        <v>1603</v>
      </c>
      <c r="V945" s="28">
        <f t="shared" si="380"/>
        <v>100</v>
      </c>
      <c r="W945" s="14">
        <f t="shared" si="376"/>
        <v>136</v>
      </c>
      <c r="X945" s="39">
        <f t="shared" si="377"/>
        <v>1068.6666666666665</v>
      </c>
      <c r="Y945" s="15">
        <v>1</v>
      </c>
    </row>
    <row r="946" spans="20:25" x14ac:dyDescent="0.15">
      <c r="T946" s="28">
        <f t="shared" si="378"/>
        <v>6924</v>
      </c>
      <c r="U946" s="26">
        <f t="shared" si="379"/>
        <v>1763</v>
      </c>
      <c r="V946" s="28">
        <f t="shared" si="380"/>
        <v>100</v>
      </c>
      <c r="W946" s="14">
        <f t="shared" si="376"/>
        <v>150</v>
      </c>
      <c r="X946" s="39">
        <f t="shared" si="377"/>
        <v>1175.3333333333335</v>
      </c>
      <c r="Y946" s="15">
        <v>1</v>
      </c>
    </row>
    <row r="947" spans="20:25" x14ac:dyDescent="0.15">
      <c r="T947" s="28">
        <f t="shared" si="378"/>
        <v>6925</v>
      </c>
      <c r="U947" s="26">
        <f t="shared" si="379"/>
        <v>1939</v>
      </c>
      <c r="V947" s="28">
        <f t="shared" si="380"/>
        <v>100</v>
      </c>
      <c r="W947" s="14">
        <f t="shared" si="376"/>
        <v>166</v>
      </c>
      <c r="X947" s="39">
        <f t="shared" si="377"/>
        <v>1292.6666666666665</v>
      </c>
      <c r="Y947" s="15">
        <v>1</v>
      </c>
    </row>
    <row r="948" spans="20:25" x14ac:dyDescent="0.15">
      <c r="T948" s="28">
        <f t="shared" si="378"/>
        <v>6926</v>
      </c>
      <c r="U948" s="26">
        <f t="shared" si="379"/>
        <v>2132</v>
      </c>
      <c r="V948" s="28">
        <f t="shared" si="380"/>
        <v>100</v>
      </c>
      <c r="W948" s="14">
        <f t="shared" si="376"/>
        <v>182</v>
      </c>
      <c r="X948" s="39">
        <f t="shared" si="377"/>
        <v>1421.3333333333335</v>
      </c>
      <c r="Y948" s="15">
        <v>1</v>
      </c>
    </row>
    <row r="949" spans="20:25" x14ac:dyDescent="0.15">
      <c r="T949" s="28">
        <f t="shared" si="378"/>
        <v>6927</v>
      </c>
      <c r="U949" s="26">
        <f t="shared" si="379"/>
        <v>2345</v>
      </c>
      <c r="V949" s="28">
        <f t="shared" si="380"/>
        <v>100</v>
      </c>
      <c r="W949" s="14">
        <f t="shared" si="376"/>
        <v>200</v>
      </c>
      <c r="X949" s="39">
        <f t="shared" si="377"/>
        <v>1563.3333333333335</v>
      </c>
      <c r="Y949" s="15">
        <v>1</v>
      </c>
    </row>
    <row r="950" spans="20:25" x14ac:dyDescent="0.15">
      <c r="T950" s="28">
        <f t="shared" si="378"/>
        <v>6928</v>
      </c>
      <c r="U950" s="26">
        <f t="shared" si="379"/>
        <v>2579</v>
      </c>
      <c r="V950" s="28">
        <f t="shared" si="380"/>
        <v>100</v>
      </c>
      <c r="W950" s="14">
        <f t="shared" si="376"/>
        <v>220</v>
      </c>
      <c r="X950" s="39">
        <f t="shared" si="377"/>
        <v>1719.3333333333333</v>
      </c>
      <c r="Y950" s="15">
        <v>1</v>
      </c>
    </row>
    <row r="951" spans="20:25" x14ac:dyDescent="0.15">
      <c r="T951" s="28">
        <f t="shared" si="378"/>
        <v>6929</v>
      </c>
      <c r="U951" s="26">
        <f t="shared" si="379"/>
        <v>2836</v>
      </c>
      <c r="V951" s="28">
        <f t="shared" si="380"/>
        <v>100</v>
      </c>
      <c r="W951" s="14">
        <f t="shared" si="376"/>
        <v>242</v>
      </c>
      <c r="X951" s="39">
        <f t="shared" si="377"/>
        <v>1890.6666666666667</v>
      </c>
      <c r="Y951" s="15">
        <v>1</v>
      </c>
    </row>
    <row r="952" spans="20:25" x14ac:dyDescent="0.15">
      <c r="T952" s="28">
        <f t="shared" si="378"/>
        <v>6930</v>
      </c>
      <c r="U952" s="26">
        <f t="shared" si="379"/>
        <v>3119</v>
      </c>
      <c r="V952" s="28">
        <f t="shared" si="380"/>
        <v>100</v>
      </c>
      <c r="W952" s="14">
        <f t="shared" si="376"/>
        <v>266</v>
      </c>
      <c r="X952" s="39">
        <f t="shared" si="377"/>
        <v>2079.333333333333</v>
      </c>
      <c r="Y952" s="15">
        <v>1</v>
      </c>
    </row>
    <row r="953" spans="20:25" x14ac:dyDescent="0.15">
      <c r="T953" s="28">
        <f t="shared" si="378"/>
        <v>6931</v>
      </c>
      <c r="U953" s="26">
        <f t="shared" si="379"/>
        <v>3430</v>
      </c>
      <c r="V953" s="28">
        <f t="shared" si="380"/>
        <v>100</v>
      </c>
      <c r="W953" s="14">
        <f t="shared" si="376"/>
        <v>294</v>
      </c>
      <c r="X953" s="39">
        <f t="shared" si="377"/>
        <v>2286.666666666667</v>
      </c>
      <c r="Y953" s="15">
        <v>1</v>
      </c>
    </row>
    <row r="954" spans="20:25" x14ac:dyDescent="0.15">
      <c r="T954" s="28">
        <f t="shared" si="378"/>
        <v>6932</v>
      </c>
      <c r="U954" s="26">
        <f t="shared" si="379"/>
        <v>3773</v>
      </c>
      <c r="V954" s="28">
        <f t="shared" si="380"/>
        <v>100</v>
      </c>
      <c r="W954" s="14">
        <f t="shared" si="376"/>
        <v>322</v>
      </c>
      <c r="X954" s="39">
        <f t="shared" si="377"/>
        <v>2515.333333333333</v>
      </c>
      <c r="Y954" s="15">
        <v>1</v>
      </c>
    </row>
    <row r="955" spans="20:25" x14ac:dyDescent="0.15">
      <c r="T955" s="28">
        <f t="shared" si="378"/>
        <v>6933</v>
      </c>
      <c r="U955" s="26">
        <f t="shared" si="379"/>
        <v>4150</v>
      </c>
      <c r="V955" s="28">
        <f t="shared" si="380"/>
        <v>100</v>
      </c>
      <c r="W955" s="14">
        <f t="shared" si="376"/>
        <v>354</v>
      </c>
      <c r="X955" s="39">
        <f t="shared" si="377"/>
        <v>2766.666666666667</v>
      </c>
      <c r="Y955" s="15">
        <v>1</v>
      </c>
    </row>
    <row r="956" spans="20:25" x14ac:dyDescent="0.15">
      <c r="T956" s="28">
        <f t="shared" si="378"/>
        <v>6934</v>
      </c>
      <c r="U956" s="26">
        <f t="shared" si="379"/>
        <v>4565</v>
      </c>
      <c r="V956" s="28">
        <f t="shared" si="380"/>
        <v>100</v>
      </c>
      <c r="W956" s="14">
        <f t="shared" si="376"/>
        <v>390</v>
      </c>
      <c r="X956" s="39">
        <f t="shared" si="377"/>
        <v>3043.333333333333</v>
      </c>
      <c r="Y956" s="15">
        <v>1</v>
      </c>
    </row>
    <row r="957" spans="20:25" x14ac:dyDescent="0.15">
      <c r="T957" s="28">
        <f t="shared" si="378"/>
        <v>6935</v>
      </c>
      <c r="U957" s="26">
        <f t="shared" si="379"/>
        <v>5021</v>
      </c>
      <c r="V957" s="28">
        <f t="shared" si="380"/>
        <v>100</v>
      </c>
      <c r="W957" s="14">
        <f t="shared" si="376"/>
        <v>428</v>
      </c>
      <c r="X957" s="39">
        <f t="shared" si="377"/>
        <v>3347.3333333333335</v>
      </c>
      <c r="Y957" s="15">
        <v>1</v>
      </c>
    </row>
    <row r="958" spans="20:25" x14ac:dyDescent="0.15">
      <c r="T958" s="28">
        <f t="shared" si="378"/>
        <v>6936</v>
      </c>
      <c r="U958" s="26">
        <f t="shared" si="379"/>
        <v>5523</v>
      </c>
      <c r="V958" s="28">
        <f t="shared" si="380"/>
        <v>100</v>
      </c>
      <c r="W958" s="14">
        <f t="shared" si="376"/>
        <v>472</v>
      </c>
      <c r="X958" s="39">
        <f t="shared" si="377"/>
        <v>3682</v>
      </c>
      <c r="Y958" s="15">
        <v>1</v>
      </c>
    </row>
    <row r="959" spans="20:25" x14ac:dyDescent="0.15">
      <c r="T959" s="28">
        <f t="shared" si="378"/>
        <v>6937</v>
      </c>
      <c r="U959" s="26">
        <f t="shared" si="379"/>
        <v>6075</v>
      </c>
      <c r="V959" s="28">
        <f t="shared" si="380"/>
        <v>100</v>
      </c>
      <c r="W959" s="14">
        <f t="shared" si="376"/>
        <v>518</v>
      </c>
      <c r="X959" s="39">
        <f t="shared" si="377"/>
        <v>4050</v>
      </c>
      <c r="Y959" s="15">
        <v>1</v>
      </c>
    </row>
    <row r="960" spans="20:25" x14ac:dyDescent="0.15">
      <c r="T960" s="28">
        <f t="shared" si="378"/>
        <v>6938</v>
      </c>
      <c r="U960" s="26">
        <f t="shared" si="379"/>
        <v>6682</v>
      </c>
      <c r="V960" s="28">
        <f t="shared" si="380"/>
        <v>100</v>
      </c>
      <c r="W960" s="14">
        <f t="shared" si="376"/>
        <v>570</v>
      </c>
      <c r="X960" s="39">
        <f t="shared" si="377"/>
        <v>4454.6666666666661</v>
      </c>
      <c r="Y960" s="15">
        <v>1</v>
      </c>
    </row>
    <row r="961" spans="20:25" x14ac:dyDescent="0.15">
      <c r="T961" s="28">
        <f t="shared" si="378"/>
        <v>6939</v>
      </c>
      <c r="U961" s="26">
        <f t="shared" si="379"/>
        <v>7350</v>
      </c>
      <c r="V961" s="28">
        <f t="shared" si="380"/>
        <v>100</v>
      </c>
      <c r="W961" s="14">
        <f t="shared" si="376"/>
        <v>628</v>
      </c>
      <c r="X961" s="39">
        <f t="shared" si="377"/>
        <v>4900</v>
      </c>
      <c r="Y961" s="15">
        <v>1</v>
      </c>
    </row>
    <row r="962" spans="20:25" x14ac:dyDescent="0.15">
      <c r="T962" s="28">
        <f t="shared" si="378"/>
        <v>6940</v>
      </c>
      <c r="U962" s="26">
        <f t="shared" si="379"/>
        <v>8085</v>
      </c>
      <c r="V962" s="28">
        <f t="shared" si="380"/>
        <v>100</v>
      </c>
      <c r="W962" s="14">
        <f t="shared" si="376"/>
        <v>690</v>
      </c>
      <c r="X962" s="39">
        <f t="shared" si="377"/>
        <v>5390</v>
      </c>
      <c r="Y962" s="15">
        <v>1</v>
      </c>
    </row>
    <row r="963" spans="20:25" x14ac:dyDescent="0.15">
      <c r="T963" s="28">
        <f t="shared" si="378"/>
        <v>6941</v>
      </c>
      <c r="U963" s="26">
        <f t="shared" si="379"/>
        <v>8893</v>
      </c>
      <c r="V963" s="28">
        <f t="shared" si="380"/>
        <v>100</v>
      </c>
      <c r="W963" s="14">
        <f t="shared" si="376"/>
        <v>760</v>
      </c>
      <c r="X963" s="39">
        <f t="shared" si="377"/>
        <v>5928.6666666666661</v>
      </c>
      <c r="Y963" s="15">
        <v>1</v>
      </c>
    </row>
    <row r="964" spans="20:25" x14ac:dyDescent="0.15">
      <c r="T964" s="28">
        <f t="shared" si="378"/>
        <v>6942</v>
      </c>
      <c r="U964" s="26">
        <f t="shared" si="379"/>
        <v>9782</v>
      </c>
      <c r="V964" s="28">
        <f t="shared" si="380"/>
        <v>100</v>
      </c>
      <c r="W964" s="14">
        <f t="shared" si="376"/>
        <v>834</v>
      </c>
      <c r="X964" s="39">
        <f t="shared" si="377"/>
        <v>6521.3333333333339</v>
      </c>
      <c r="Y964" s="15">
        <v>1</v>
      </c>
    </row>
    <row r="965" spans="20:25" x14ac:dyDescent="0.15">
      <c r="T965" s="28">
        <f t="shared" si="378"/>
        <v>6943</v>
      </c>
      <c r="U965" s="26">
        <f t="shared" si="379"/>
        <v>10760</v>
      </c>
      <c r="V965" s="28">
        <f t="shared" si="380"/>
        <v>100</v>
      </c>
      <c r="W965" s="14">
        <f t="shared" si="376"/>
        <v>918</v>
      </c>
      <c r="X965" s="39">
        <f t="shared" si="377"/>
        <v>7173.333333333333</v>
      </c>
      <c r="Y965" s="15">
        <v>1</v>
      </c>
    </row>
    <row r="966" spans="20:25" x14ac:dyDescent="0.15">
      <c r="T966" s="28">
        <f t="shared" si="378"/>
        <v>6944</v>
      </c>
      <c r="U966" s="26">
        <f t="shared" si="379"/>
        <v>11836</v>
      </c>
      <c r="V966" s="28">
        <f t="shared" si="380"/>
        <v>100</v>
      </c>
      <c r="W966" s="14">
        <f t="shared" si="376"/>
        <v>1010</v>
      </c>
      <c r="X966" s="39">
        <f t="shared" si="377"/>
        <v>7890.666666666667</v>
      </c>
      <c r="Y966" s="15">
        <v>1</v>
      </c>
    </row>
    <row r="967" spans="20:25" x14ac:dyDescent="0.15">
      <c r="T967" s="28">
        <f t="shared" si="378"/>
        <v>6945</v>
      </c>
      <c r="U967" s="26">
        <f t="shared" si="379"/>
        <v>13019</v>
      </c>
      <c r="V967" s="28">
        <f t="shared" si="380"/>
        <v>100</v>
      </c>
      <c r="W967" s="14">
        <f t="shared" si="376"/>
        <v>1110</v>
      </c>
      <c r="X967" s="39">
        <f t="shared" si="377"/>
        <v>8679.3333333333321</v>
      </c>
      <c r="Y967" s="15">
        <v>1</v>
      </c>
    </row>
    <row r="968" spans="20:25" x14ac:dyDescent="0.15">
      <c r="T968" s="28">
        <f t="shared" si="378"/>
        <v>6946</v>
      </c>
      <c r="U968" s="26">
        <f t="shared" si="379"/>
        <v>14320</v>
      </c>
      <c r="V968" s="28">
        <f t="shared" si="380"/>
        <v>100</v>
      </c>
      <c r="W968" s="14">
        <f t="shared" si="376"/>
        <v>1222</v>
      </c>
      <c r="X968" s="39">
        <f t="shared" si="377"/>
        <v>9546.6666666666679</v>
      </c>
      <c r="Y968" s="15">
        <v>1</v>
      </c>
    </row>
    <row r="969" spans="20:25" x14ac:dyDescent="0.15">
      <c r="T969" s="28">
        <f t="shared" si="378"/>
        <v>6947</v>
      </c>
      <c r="U969" s="26">
        <f t="shared" si="379"/>
        <v>15752</v>
      </c>
      <c r="V969" s="28">
        <f t="shared" si="380"/>
        <v>100</v>
      </c>
      <c r="W969" s="14">
        <f t="shared" si="376"/>
        <v>1342</v>
      </c>
      <c r="X969" s="39">
        <f t="shared" si="377"/>
        <v>10501.333333333332</v>
      </c>
      <c r="Y969" s="15">
        <v>1</v>
      </c>
    </row>
    <row r="970" spans="20:25" x14ac:dyDescent="0.15">
      <c r="T970" s="28">
        <f t="shared" si="378"/>
        <v>6948</v>
      </c>
      <c r="U970" s="26">
        <f t="shared" si="379"/>
        <v>17327</v>
      </c>
      <c r="V970" s="28">
        <f t="shared" si="380"/>
        <v>100</v>
      </c>
      <c r="W970" s="14">
        <f t="shared" si="376"/>
        <v>1476</v>
      </c>
      <c r="X970" s="39">
        <f t="shared" si="377"/>
        <v>11551.333333333332</v>
      </c>
      <c r="Y970" s="15">
        <v>1</v>
      </c>
    </row>
    <row r="971" spans="20:25" x14ac:dyDescent="0.15">
      <c r="T971" s="28">
        <f t="shared" si="378"/>
        <v>6949</v>
      </c>
      <c r="U971" s="26">
        <f t="shared" si="379"/>
        <v>19059</v>
      </c>
      <c r="V971" s="28">
        <f t="shared" si="380"/>
        <v>100</v>
      </c>
      <c r="W971" s="14">
        <f t="shared" si="376"/>
        <v>1624</v>
      </c>
      <c r="X971" s="39">
        <f t="shared" si="377"/>
        <v>12706</v>
      </c>
      <c r="Y971" s="15">
        <v>1</v>
      </c>
    </row>
    <row r="972" spans="20:25" x14ac:dyDescent="0.15">
      <c r="T972" s="28">
        <f t="shared" si="378"/>
        <v>6950</v>
      </c>
      <c r="U972" s="26">
        <f t="shared" si="379"/>
        <v>20964</v>
      </c>
      <c r="V972" s="28">
        <f t="shared" si="380"/>
        <v>100</v>
      </c>
      <c r="W972" s="14">
        <f t="shared" si="376"/>
        <v>1786</v>
      </c>
      <c r="X972" s="39">
        <f t="shared" si="377"/>
        <v>13976</v>
      </c>
      <c r="Y972" s="15">
        <v>1</v>
      </c>
    </row>
    <row r="973" spans="20:25" x14ac:dyDescent="0.15">
      <c r="T973" s="28">
        <f t="shared" si="378"/>
        <v>6951</v>
      </c>
      <c r="U973" s="26">
        <f t="shared" si="379"/>
        <v>23060</v>
      </c>
      <c r="V973" s="28">
        <f t="shared" si="380"/>
        <v>100</v>
      </c>
      <c r="W973" s="14">
        <f t="shared" si="376"/>
        <v>1964</v>
      </c>
      <c r="X973" s="39">
        <f t="shared" si="377"/>
        <v>15373.333333333334</v>
      </c>
      <c r="Y973" s="15">
        <v>1</v>
      </c>
    </row>
    <row r="974" spans="20:25" x14ac:dyDescent="0.15">
      <c r="T974" s="28">
        <f t="shared" si="378"/>
        <v>6952</v>
      </c>
      <c r="U974" s="26">
        <f t="shared" si="379"/>
        <v>25366</v>
      </c>
      <c r="V974" s="28">
        <f t="shared" si="380"/>
        <v>100</v>
      </c>
      <c r="W974" s="14">
        <f t="shared" si="376"/>
        <v>2160</v>
      </c>
      <c r="X974" s="39">
        <f t="shared" si="377"/>
        <v>16910.666666666664</v>
      </c>
      <c r="Y974" s="15">
        <v>1</v>
      </c>
    </row>
    <row r="975" spans="20:25" x14ac:dyDescent="0.15">
      <c r="T975" s="28">
        <f t="shared" si="378"/>
        <v>6953</v>
      </c>
      <c r="U975" s="26">
        <f t="shared" si="379"/>
        <v>27902</v>
      </c>
      <c r="V975" s="28">
        <f t="shared" si="380"/>
        <v>100</v>
      </c>
      <c r="W975" s="14">
        <f t="shared" si="376"/>
        <v>2374</v>
      </c>
      <c r="X975" s="39">
        <f t="shared" si="377"/>
        <v>18601.333333333336</v>
      </c>
      <c r="Y975" s="15">
        <v>1</v>
      </c>
    </row>
    <row r="976" spans="20:25" x14ac:dyDescent="0.15">
      <c r="T976" s="28">
        <f t="shared" si="378"/>
        <v>6954</v>
      </c>
      <c r="U976" s="26">
        <f t="shared" si="379"/>
        <v>30692</v>
      </c>
      <c r="V976" s="28">
        <f t="shared" si="380"/>
        <v>100</v>
      </c>
      <c r="W976" s="14">
        <f t="shared" si="376"/>
        <v>2612</v>
      </c>
      <c r="X976" s="39">
        <f t="shared" si="377"/>
        <v>20461.333333333336</v>
      </c>
      <c r="Y976" s="15">
        <v>1</v>
      </c>
    </row>
    <row r="977" spans="20:25" x14ac:dyDescent="0.15">
      <c r="T977" s="28">
        <f t="shared" si="378"/>
        <v>6955</v>
      </c>
      <c r="U977" s="26">
        <f t="shared" si="379"/>
        <v>33761</v>
      </c>
      <c r="V977" s="28">
        <f t="shared" si="380"/>
        <v>100</v>
      </c>
      <c r="W977" s="14">
        <f t="shared" si="376"/>
        <v>2872</v>
      </c>
      <c r="X977" s="39">
        <f t="shared" si="377"/>
        <v>22507.333333333336</v>
      </c>
      <c r="Y977" s="15">
        <v>1</v>
      </c>
    </row>
    <row r="978" spans="20:25" x14ac:dyDescent="0.15">
      <c r="T978" s="28">
        <f t="shared" si="378"/>
        <v>6956</v>
      </c>
      <c r="U978" s="26">
        <f t="shared" si="379"/>
        <v>37137</v>
      </c>
      <c r="V978" s="28">
        <f t="shared" si="380"/>
        <v>100</v>
      </c>
      <c r="W978" s="14">
        <f t="shared" si="376"/>
        <v>3158</v>
      </c>
      <c r="X978" s="39">
        <f t="shared" si="377"/>
        <v>24758</v>
      </c>
      <c r="Y978" s="15">
        <v>1</v>
      </c>
    </row>
    <row r="979" spans="20:25" x14ac:dyDescent="0.15">
      <c r="T979" s="28">
        <f t="shared" si="378"/>
        <v>6957</v>
      </c>
      <c r="U979" s="26">
        <f t="shared" si="379"/>
        <v>40850</v>
      </c>
      <c r="V979" s="28">
        <f t="shared" si="380"/>
        <v>100</v>
      </c>
      <c r="W979" s="14">
        <f t="shared" si="376"/>
        <v>3472</v>
      </c>
      <c r="X979" s="39">
        <f t="shared" si="377"/>
        <v>27233.333333333332</v>
      </c>
      <c r="Y979" s="15">
        <v>1</v>
      </c>
    </row>
    <row r="980" spans="20:25" x14ac:dyDescent="0.15">
      <c r="T980" s="28">
        <f t="shared" si="378"/>
        <v>6958</v>
      </c>
      <c r="U980" s="26">
        <f t="shared" si="379"/>
        <v>44935</v>
      </c>
      <c r="V980" s="28">
        <f t="shared" si="380"/>
        <v>100</v>
      </c>
      <c r="W980" s="14">
        <f t="shared" si="376"/>
        <v>3820</v>
      </c>
      <c r="X980" s="39">
        <f t="shared" si="377"/>
        <v>29956.666666666668</v>
      </c>
      <c r="Y980" s="15">
        <v>1</v>
      </c>
    </row>
    <row r="981" spans="20:25" x14ac:dyDescent="0.15">
      <c r="T981" s="28">
        <f t="shared" si="378"/>
        <v>6959</v>
      </c>
      <c r="U981" s="26">
        <f t="shared" si="379"/>
        <v>49428</v>
      </c>
      <c r="V981" s="28">
        <f t="shared" si="380"/>
        <v>100</v>
      </c>
      <c r="W981" s="14">
        <f t="shared" si="376"/>
        <v>4200</v>
      </c>
      <c r="X981" s="39">
        <f t="shared" si="377"/>
        <v>32952</v>
      </c>
      <c r="Y981" s="15">
        <v>1</v>
      </c>
    </row>
    <row r="982" spans="20:25" x14ac:dyDescent="0.15">
      <c r="T982" s="28">
        <f t="shared" si="378"/>
        <v>6960</v>
      </c>
      <c r="U982" s="26">
        <f t="shared" si="379"/>
        <v>54370</v>
      </c>
      <c r="V982" s="28">
        <f t="shared" si="380"/>
        <v>100</v>
      </c>
      <c r="W982" s="14">
        <f t="shared" si="376"/>
        <v>4618</v>
      </c>
      <c r="X982" s="39">
        <f t="shared" si="377"/>
        <v>36246.666666666672</v>
      </c>
      <c r="Y982" s="15">
        <v>1</v>
      </c>
    </row>
    <row r="983" spans="20:25" x14ac:dyDescent="0.15">
      <c r="T983" s="28">
        <f t="shared" si="378"/>
        <v>6961</v>
      </c>
      <c r="U983" s="26">
        <f t="shared" si="379"/>
        <v>59807</v>
      </c>
      <c r="V983" s="28">
        <f t="shared" si="380"/>
        <v>100</v>
      </c>
      <c r="W983" s="14">
        <f t="shared" si="376"/>
        <v>5078</v>
      </c>
      <c r="X983" s="39">
        <f t="shared" si="377"/>
        <v>39871.333333333328</v>
      </c>
      <c r="Y983" s="15">
        <v>1</v>
      </c>
    </row>
    <row r="984" spans="20:25" x14ac:dyDescent="0.15">
      <c r="T984" s="28">
        <f t="shared" si="378"/>
        <v>6962</v>
      </c>
      <c r="U984" s="26">
        <f t="shared" si="379"/>
        <v>65787</v>
      </c>
      <c r="V984" s="28">
        <f t="shared" si="380"/>
        <v>100</v>
      </c>
      <c r="W984" s="14">
        <f t="shared" ref="W984:W1021" si="381">_xlfn.FLOOR.MATH(V984*U984/15/10/RIGHT(T984,3)^0.3,2)</f>
        <v>5584</v>
      </c>
      <c r="X984" s="39">
        <f t="shared" ref="X984:X1021" si="382">U984*V984/15/10</f>
        <v>43858</v>
      </c>
      <c r="Y984" s="15">
        <v>1</v>
      </c>
    </row>
    <row r="985" spans="20:25" x14ac:dyDescent="0.15">
      <c r="T985" s="28">
        <f t="shared" ref="T985:T1021" si="383">T984+1</f>
        <v>6963</v>
      </c>
      <c r="U985" s="26">
        <f t="shared" si="379"/>
        <v>72365</v>
      </c>
      <c r="V985" s="28">
        <f t="shared" si="380"/>
        <v>100</v>
      </c>
      <c r="W985" s="14">
        <f t="shared" si="381"/>
        <v>6142</v>
      </c>
      <c r="X985" s="39">
        <f t="shared" si="382"/>
        <v>48243.333333333328</v>
      </c>
      <c r="Y985" s="15">
        <v>1</v>
      </c>
    </row>
    <row r="986" spans="20:25" x14ac:dyDescent="0.15">
      <c r="T986" s="28">
        <f t="shared" si="383"/>
        <v>6964</v>
      </c>
      <c r="U986" s="26">
        <f t="shared" si="379"/>
        <v>79601</v>
      </c>
      <c r="V986" s="28">
        <f t="shared" si="380"/>
        <v>100</v>
      </c>
      <c r="W986" s="14">
        <f t="shared" si="381"/>
        <v>6754</v>
      </c>
      <c r="X986" s="39">
        <f t="shared" si="382"/>
        <v>53067.333333333336</v>
      </c>
      <c r="Y986" s="15">
        <v>1</v>
      </c>
    </row>
    <row r="987" spans="20:25" x14ac:dyDescent="0.15">
      <c r="T987" s="28">
        <f t="shared" si="383"/>
        <v>6965</v>
      </c>
      <c r="U987" s="26">
        <f t="shared" si="379"/>
        <v>87561</v>
      </c>
      <c r="V987" s="28">
        <f t="shared" si="380"/>
        <v>100</v>
      </c>
      <c r="W987" s="14">
        <f t="shared" si="381"/>
        <v>7426</v>
      </c>
      <c r="X987" s="39">
        <f t="shared" si="382"/>
        <v>58374</v>
      </c>
      <c r="Y987" s="15">
        <v>1</v>
      </c>
    </row>
    <row r="988" spans="20:25" x14ac:dyDescent="0.15">
      <c r="T988" s="28">
        <f t="shared" si="383"/>
        <v>6966</v>
      </c>
      <c r="U988" s="26">
        <f t="shared" ref="U988:U1021" si="384">INT(U987*$U$18)</f>
        <v>96317</v>
      </c>
      <c r="V988" s="28">
        <f t="shared" ref="V988:V1021" si="385">V987</f>
        <v>100</v>
      </c>
      <c r="W988" s="14">
        <f t="shared" si="381"/>
        <v>8168</v>
      </c>
      <c r="X988" s="39">
        <f t="shared" si="382"/>
        <v>64211.333333333336</v>
      </c>
      <c r="Y988" s="15">
        <v>1</v>
      </c>
    </row>
    <row r="989" spans="20:25" x14ac:dyDescent="0.15">
      <c r="T989" s="28">
        <f t="shared" si="383"/>
        <v>6967</v>
      </c>
      <c r="U989" s="26">
        <f t="shared" si="384"/>
        <v>105948</v>
      </c>
      <c r="V989" s="28">
        <f t="shared" si="385"/>
        <v>100</v>
      </c>
      <c r="W989" s="14">
        <f t="shared" si="381"/>
        <v>8982</v>
      </c>
      <c r="X989" s="39">
        <f t="shared" si="382"/>
        <v>70632</v>
      </c>
      <c r="Y989" s="15">
        <v>1</v>
      </c>
    </row>
    <row r="990" spans="20:25" x14ac:dyDescent="0.15">
      <c r="T990" s="28">
        <f t="shared" si="383"/>
        <v>6968</v>
      </c>
      <c r="U990" s="26">
        <f t="shared" si="384"/>
        <v>116542</v>
      </c>
      <c r="V990" s="28">
        <f t="shared" si="385"/>
        <v>100</v>
      </c>
      <c r="W990" s="14">
        <f t="shared" si="381"/>
        <v>9876</v>
      </c>
      <c r="X990" s="39">
        <f t="shared" si="382"/>
        <v>77694.666666666657</v>
      </c>
      <c r="Y990" s="15">
        <v>1</v>
      </c>
    </row>
    <row r="991" spans="20:25" x14ac:dyDescent="0.15">
      <c r="T991" s="28">
        <f t="shared" si="383"/>
        <v>6969</v>
      </c>
      <c r="U991" s="26">
        <f t="shared" si="384"/>
        <v>128196</v>
      </c>
      <c r="V991" s="28">
        <f t="shared" si="385"/>
        <v>100</v>
      </c>
      <c r="W991" s="14">
        <f t="shared" si="381"/>
        <v>10860</v>
      </c>
      <c r="X991" s="39">
        <f t="shared" si="382"/>
        <v>85464</v>
      </c>
      <c r="Y991" s="15">
        <v>1</v>
      </c>
    </row>
    <row r="992" spans="20:25" x14ac:dyDescent="0.15">
      <c r="T992" s="28">
        <f t="shared" si="383"/>
        <v>6970</v>
      </c>
      <c r="U992" s="26">
        <f t="shared" si="384"/>
        <v>141015</v>
      </c>
      <c r="V992" s="28">
        <f t="shared" si="385"/>
        <v>100</v>
      </c>
      <c r="W992" s="14">
        <f t="shared" si="381"/>
        <v>11942</v>
      </c>
      <c r="X992" s="39">
        <f t="shared" si="382"/>
        <v>94010</v>
      </c>
      <c r="Y992" s="15">
        <v>1</v>
      </c>
    </row>
    <row r="993" spans="20:25" x14ac:dyDescent="0.15">
      <c r="T993" s="28">
        <f t="shared" si="383"/>
        <v>6971</v>
      </c>
      <c r="U993" s="26">
        <f t="shared" si="384"/>
        <v>155116</v>
      </c>
      <c r="V993" s="28">
        <f t="shared" si="385"/>
        <v>100</v>
      </c>
      <c r="W993" s="14">
        <f t="shared" si="381"/>
        <v>13134</v>
      </c>
      <c r="X993" s="39">
        <f t="shared" si="382"/>
        <v>103410.66666666666</v>
      </c>
      <c r="Y993" s="15">
        <v>1</v>
      </c>
    </row>
    <row r="994" spans="20:25" x14ac:dyDescent="0.15">
      <c r="T994" s="28">
        <f t="shared" si="383"/>
        <v>6972</v>
      </c>
      <c r="U994" s="26">
        <f t="shared" si="384"/>
        <v>170627</v>
      </c>
      <c r="V994" s="28">
        <f t="shared" si="385"/>
        <v>100</v>
      </c>
      <c r="W994" s="14">
        <f t="shared" si="381"/>
        <v>14442</v>
      </c>
      <c r="X994" s="39">
        <f t="shared" si="382"/>
        <v>113751.33333333333</v>
      </c>
      <c r="Y994" s="15">
        <v>1</v>
      </c>
    </row>
    <row r="995" spans="20:25" x14ac:dyDescent="0.15">
      <c r="T995" s="28">
        <f t="shared" si="383"/>
        <v>6973</v>
      </c>
      <c r="U995" s="26">
        <f t="shared" si="384"/>
        <v>187689</v>
      </c>
      <c r="V995" s="28">
        <f t="shared" si="385"/>
        <v>100</v>
      </c>
      <c r="W995" s="14">
        <f t="shared" si="381"/>
        <v>15882</v>
      </c>
      <c r="X995" s="39">
        <f t="shared" si="382"/>
        <v>125126</v>
      </c>
      <c r="Y995" s="15">
        <v>1</v>
      </c>
    </row>
    <row r="996" spans="20:25" x14ac:dyDescent="0.15">
      <c r="T996" s="28">
        <f t="shared" si="383"/>
        <v>6974</v>
      </c>
      <c r="U996" s="26">
        <f t="shared" si="384"/>
        <v>206457</v>
      </c>
      <c r="V996" s="28">
        <f t="shared" si="385"/>
        <v>100</v>
      </c>
      <c r="W996" s="14">
        <f t="shared" si="381"/>
        <v>17464</v>
      </c>
      <c r="X996" s="39">
        <f t="shared" si="382"/>
        <v>137638</v>
      </c>
      <c r="Y996" s="15">
        <v>1</v>
      </c>
    </row>
    <row r="997" spans="20:25" x14ac:dyDescent="0.15">
      <c r="T997" s="28">
        <f t="shared" si="383"/>
        <v>6975</v>
      </c>
      <c r="U997" s="26">
        <f t="shared" si="384"/>
        <v>227102</v>
      </c>
      <c r="V997" s="28">
        <f t="shared" si="385"/>
        <v>100</v>
      </c>
      <c r="W997" s="14">
        <f t="shared" si="381"/>
        <v>19204</v>
      </c>
      <c r="X997" s="39">
        <f t="shared" si="382"/>
        <v>151401.33333333331</v>
      </c>
      <c r="Y997" s="15">
        <v>1</v>
      </c>
    </row>
    <row r="998" spans="20:25" x14ac:dyDescent="0.15">
      <c r="T998" s="28">
        <f t="shared" si="383"/>
        <v>6976</v>
      </c>
      <c r="U998" s="26">
        <f t="shared" si="384"/>
        <v>249812</v>
      </c>
      <c r="V998" s="28">
        <f t="shared" si="385"/>
        <v>100</v>
      </c>
      <c r="W998" s="14">
        <f t="shared" si="381"/>
        <v>21118</v>
      </c>
      <c r="X998" s="39">
        <f t="shared" si="382"/>
        <v>166541.33333333331</v>
      </c>
      <c r="Y998" s="15">
        <v>1</v>
      </c>
    </row>
    <row r="999" spans="20:25" x14ac:dyDescent="0.15">
      <c r="T999" s="28">
        <f t="shared" si="383"/>
        <v>6977</v>
      </c>
      <c r="U999" s="26">
        <f t="shared" si="384"/>
        <v>274793</v>
      </c>
      <c r="V999" s="28">
        <f t="shared" si="385"/>
        <v>100</v>
      </c>
      <c r="W999" s="14">
        <f t="shared" si="381"/>
        <v>23224</v>
      </c>
      <c r="X999" s="39">
        <f t="shared" si="382"/>
        <v>183195.33333333331</v>
      </c>
      <c r="Y999" s="15">
        <v>1</v>
      </c>
    </row>
    <row r="1000" spans="20:25" x14ac:dyDescent="0.15">
      <c r="T1000" s="28">
        <f t="shared" si="383"/>
        <v>6978</v>
      </c>
      <c r="U1000" s="26">
        <f t="shared" si="384"/>
        <v>302272</v>
      </c>
      <c r="V1000" s="28">
        <f t="shared" si="385"/>
        <v>100</v>
      </c>
      <c r="W1000" s="14">
        <f t="shared" si="381"/>
        <v>25538</v>
      </c>
      <c r="X1000" s="39">
        <f t="shared" si="382"/>
        <v>201514.66666666669</v>
      </c>
      <c r="Y1000" s="15">
        <v>1</v>
      </c>
    </row>
    <row r="1001" spans="20:25" x14ac:dyDescent="0.15">
      <c r="T1001" s="28">
        <f t="shared" si="383"/>
        <v>6979</v>
      </c>
      <c r="U1001" s="26">
        <f t="shared" si="384"/>
        <v>332499</v>
      </c>
      <c r="V1001" s="28">
        <f t="shared" si="385"/>
        <v>100</v>
      </c>
      <c r="W1001" s="14">
        <f t="shared" si="381"/>
        <v>28084</v>
      </c>
      <c r="X1001" s="39">
        <f t="shared" si="382"/>
        <v>221666</v>
      </c>
      <c r="Y1001" s="15">
        <v>1</v>
      </c>
    </row>
    <row r="1002" spans="20:25" x14ac:dyDescent="0.15">
      <c r="T1002" s="28">
        <f t="shared" si="383"/>
        <v>6980</v>
      </c>
      <c r="U1002" s="26">
        <f t="shared" si="384"/>
        <v>365748</v>
      </c>
      <c r="V1002" s="28">
        <f t="shared" si="385"/>
        <v>100</v>
      </c>
      <c r="W1002" s="14">
        <f t="shared" si="381"/>
        <v>30882</v>
      </c>
      <c r="X1002" s="39">
        <f t="shared" si="382"/>
        <v>243832</v>
      </c>
      <c r="Y1002" s="15">
        <v>1</v>
      </c>
    </row>
    <row r="1003" spans="20:25" x14ac:dyDescent="0.15">
      <c r="T1003" s="28">
        <f t="shared" si="383"/>
        <v>6981</v>
      </c>
      <c r="U1003" s="26">
        <f t="shared" si="384"/>
        <v>402322</v>
      </c>
      <c r="V1003" s="28">
        <f t="shared" si="385"/>
        <v>100</v>
      </c>
      <c r="W1003" s="14">
        <f t="shared" si="381"/>
        <v>33960</v>
      </c>
      <c r="X1003" s="39">
        <f t="shared" si="382"/>
        <v>268214.66666666663</v>
      </c>
      <c r="Y1003" s="15">
        <v>1</v>
      </c>
    </row>
    <row r="1004" spans="20:25" x14ac:dyDescent="0.15">
      <c r="T1004" s="28">
        <f t="shared" si="383"/>
        <v>6982</v>
      </c>
      <c r="U1004" s="26">
        <f t="shared" si="384"/>
        <v>442554</v>
      </c>
      <c r="V1004" s="28">
        <f t="shared" si="385"/>
        <v>100</v>
      </c>
      <c r="W1004" s="14">
        <f t="shared" si="381"/>
        <v>37344</v>
      </c>
      <c r="X1004" s="39">
        <f t="shared" si="382"/>
        <v>295036</v>
      </c>
      <c r="Y1004" s="15">
        <v>1</v>
      </c>
    </row>
    <row r="1005" spans="20:25" x14ac:dyDescent="0.15">
      <c r="T1005" s="28">
        <f t="shared" si="383"/>
        <v>6983</v>
      </c>
      <c r="U1005" s="26">
        <f t="shared" si="384"/>
        <v>486809</v>
      </c>
      <c r="V1005" s="28">
        <f t="shared" si="385"/>
        <v>100</v>
      </c>
      <c r="W1005" s="14">
        <f t="shared" si="381"/>
        <v>41066</v>
      </c>
      <c r="X1005" s="39">
        <f t="shared" si="382"/>
        <v>324539.33333333337</v>
      </c>
      <c r="Y1005" s="15">
        <v>1</v>
      </c>
    </row>
    <row r="1006" spans="20:25" x14ac:dyDescent="0.15">
      <c r="T1006" s="28">
        <f t="shared" si="383"/>
        <v>6984</v>
      </c>
      <c r="U1006" s="26">
        <f t="shared" si="384"/>
        <v>535489</v>
      </c>
      <c r="V1006" s="28">
        <f t="shared" si="385"/>
        <v>100</v>
      </c>
      <c r="W1006" s="14">
        <f t="shared" si="381"/>
        <v>45160</v>
      </c>
      <c r="X1006" s="39">
        <f t="shared" si="382"/>
        <v>356992.66666666663</v>
      </c>
      <c r="Y1006" s="15">
        <v>1</v>
      </c>
    </row>
    <row r="1007" spans="20:25" x14ac:dyDescent="0.15">
      <c r="T1007" s="28">
        <f t="shared" si="383"/>
        <v>6985</v>
      </c>
      <c r="U1007" s="26">
        <f t="shared" si="384"/>
        <v>589037</v>
      </c>
      <c r="V1007" s="28">
        <f t="shared" si="385"/>
        <v>100</v>
      </c>
      <c r="W1007" s="14">
        <f t="shared" si="381"/>
        <v>49660</v>
      </c>
      <c r="X1007" s="39">
        <f t="shared" si="382"/>
        <v>392691.33333333337</v>
      </c>
      <c r="Y1007" s="15">
        <v>1</v>
      </c>
    </row>
    <row r="1008" spans="20:25" x14ac:dyDescent="0.15">
      <c r="T1008" s="28">
        <f t="shared" si="383"/>
        <v>6986</v>
      </c>
      <c r="U1008" s="26">
        <f t="shared" si="384"/>
        <v>647940</v>
      </c>
      <c r="V1008" s="28">
        <f t="shared" si="385"/>
        <v>100</v>
      </c>
      <c r="W1008" s="14">
        <f t="shared" si="381"/>
        <v>54610</v>
      </c>
      <c r="X1008" s="39">
        <f t="shared" si="382"/>
        <v>431960</v>
      </c>
      <c r="Y1008" s="15">
        <v>1</v>
      </c>
    </row>
    <row r="1009" spans="20:25" x14ac:dyDescent="0.15">
      <c r="T1009" s="28">
        <f t="shared" si="383"/>
        <v>6987</v>
      </c>
      <c r="U1009" s="26">
        <f t="shared" si="384"/>
        <v>712734</v>
      </c>
      <c r="V1009" s="28">
        <f t="shared" si="385"/>
        <v>100</v>
      </c>
      <c r="W1009" s="14">
        <f t="shared" si="381"/>
        <v>60052</v>
      </c>
      <c r="X1009" s="39">
        <f t="shared" si="382"/>
        <v>475156</v>
      </c>
      <c r="Y1009" s="15">
        <v>1</v>
      </c>
    </row>
    <row r="1010" spans="20:25" x14ac:dyDescent="0.15">
      <c r="T1010" s="28">
        <f t="shared" si="383"/>
        <v>6988</v>
      </c>
      <c r="U1010" s="26">
        <f t="shared" si="384"/>
        <v>784007</v>
      </c>
      <c r="V1010" s="28">
        <f t="shared" si="385"/>
        <v>100</v>
      </c>
      <c r="W1010" s="14">
        <f t="shared" si="381"/>
        <v>66038</v>
      </c>
      <c r="X1010" s="39">
        <f t="shared" si="382"/>
        <v>522671.33333333331</v>
      </c>
      <c r="Y1010" s="15">
        <v>1</v>
      </c>
    </row>
    <row r="1011" spans="20:25" x14ac:dyDescent="0.15">
      <c r="T1011" s="28">
        <f t="shared" si="383"/>
        <v>6989</v>
      </c>
      <c r="U1011" s="26">
        <f t="shared" si="384"/>
        <v>862407</v>
      </c>
      <c r="V1011" s="28">
        <f t="shared" si="385"/>
        <v>100</v>
      </c>
      <c r="W1011" s="14">
        <f t="shared" si="381"/>
        <v>72620</v>
      </c>
      <c r="X1011" s="39">
        <f t="shared" si="382"/>
        <v>574938</v>
      </c>
      <c r="Y1011" s="15">
        <v>1</v>
      </c>
    </row>
    <row r="1012" spans="20:25" x14ac:dyDescent="0.15">
      <c r="T1012" s="28">
        <f t="shared" si="383"/>
        <v>6990</v>
      </c>
      <c r="U1012" s="26">
        <f t="shared" si="384"/>
        <v>948647</v>
      </c>
      <c r="V1012" s="28">
        <f t="shared" si="385"/>
        <v>100</v>
      </c>
      <c r="W1012" s="14">
        <f t="shared" si="381"/>
        <v>79858</v>
      </c>
      <c r="X1012" s="39">
        <f t="shared" si="382"/>
        <v>632431.33333333326</v>
      </c>
      <c r="Y1012" s="15">
        <v>1</v>
      </c>
    </row>
    <row r="1013" spans="20:25" x14ac:dyDescent="0.15">
      <c r="T1013" s="28">
        <f t="shared" si="383"/>
        <v>6991</v>
      </c>
      <c r="U1013" s="26">
        <f t="shared" si="384"/>
        <v>1043511</v>
      </c>
      <c r="V1013" s="28">
        <f t="shared" si="385"/>
        <v>100</v>
      </c>
      <c r="W1013" s="14">
        <f t="shared" si="381"/>
        <v>87818</v>
      </c>
      <c r="X1013" s="39">
        <f t="shared" si="382"/>
        <v>695674</v>
      </c>
      <c r="Y1013" s="15">
        <v>1</v>
      </c>
    </row>
    <row r="1014" spans="20:25" x14ac:dyDescent="0.15">
      <c r="T1014" s="28">
        <f t="shared" si="383"/>
        <v>6992</v>
      </c>
      <c r="U1014" s="26">
        <f t="shared" si="384"/>
        <v>1147862</v>
      </c>
      <c r="V1014" s="28">
        <f t="shared" si="385"/>
        <v>100</v>
      </c>
      <c r="W1014" s="14">
        <f t="shared" si="381"/>
        <v>96570</v>
      </c>
      <c r="X1014" s="39">
        <f t="shared" si="382"/>
        <v>765241.33333333326</v>
      </c>
      <c r="Y1014" s="15">
        <v>1</v>
      </c>
    </row>
    <row r="1015" spans="20:25" x14ac:dyDescent="0.15">
      <c r="T1015" s="28">
        <f t="shared" si="383"/>
        <v>6993</v>
      </c>
      <c r="U1015" s="26">
        <f t="shared" si="384"/>
        <v>1262648</v>
      </c>
      <c r="V1015" s="28">
        <f t="shared" si="385"/>
        <v>100</v>
      </c>
      <c r="W1015" s="14">
        <f t="shared" si="381"/>
        <v>106194</v>
      </c>
      <c r="X1015" s="39">
        <f t="shared" si="382"/>
        <v>841765.33333333337</v>
      </c>
      <c r="Y1015" s="15">
        <v>1</v>
      </c>
    </row>
    <row r="1016" spans="20:25" x14ac:dyDescent="0.15">
      <c r="T1016" s="28">
        <f t="shared" si="383"/>
        <v>6994</v>
      </c>
      <c r="U1016" s="26">
        <f t="shared" si="384"/>
        <v>1388912</v>
      </c>
      <c r="V1016" s="28">
        <f t="shared" si="385"/>
        <v>100</v>
      </c>
      <c r="W1016" s="14">
        <f t="shared" si="381"/>
        <v>116778</v>
      </c>
      <c r="X1016" s="39">
        <f t="shared" si="382"/>
        <v>925941.33333333337</v>
      </c>
      <c r="Y1016" s="15">
        <v>1</v>
      </c>
    </row>
    <row r="1017" spans="20:25" x14ac:dyDescent="0.15">
      <c r="T1017" s="28">
        <f t="shared" si="383"/>
        <v>6995</v>
      </c>
      <c r="U1017" s="26">
        <f t="shared" si="384"/>
        <v>1527803</v>
      </c>
      <c r="V1017" s="28">
        <f t="shared" si="385"/>
        <v>100</v>
      </c>
      <c r="W1017" s="14">
        <f t="shared" si="381"/>
        <v>128418</v>
      </c>
      <c r="X1017" s="39">
        <f t="shared" si="382"/>
        <v>1018535.3333333334</v>
      </c>
      <c r="Y1017" s="15">
        <v>1</v>
      </c>
    </row>
    <row r="1018" spans="20:25" x14ac:dyDescent="0.15">
      <c r="T1018" s="28">
        <f t="shared" si="383"/>
        <v>6996</v>
      </c>
      <c r="U1018" s="26">
        <f t="shared" si="384"/>
        <v>1680583</v>
      </c>
      <c r="V1018" s="28">
        <f t="shared" si="385"/>
        <v>100</v>
      </c>
      <c r="W1018" s="14">
        <f t="shared" si="381"/>
        <v>141218</v>
      </c>
      <c r="X1018" s="39">
        <f t="shared" si="382"/>
        <v>1120388.6666666665</v>
      </c>
      <c r="Y1018" s="15">
        <v>1</v>
      </c>
    </row>
    <row r="1019" spans="20:25" x14ac:dyDescent="0.15">
      <c r="T1019" s="28">
        <f t="shared" si="383"/>
        <v>6997</v>
      </c>
      <c r="U1019" s="26">
        <f t="shared" si="384"/>
        <v>1848641</v>
      </c>
      <c r="V1019" s="28">
        <f t="shared" si="385"/>
        <v>100</v>
      </c>
      <c r="W1019" s="14">
        <f t="shared" si="381"/>
        <v>155292</v>
      </c>
      <c r="X1019" s="39">
        <f t="shared" si="382"/>
        <v>1232427.3333333335</v>
      </c>
      <c r="Y1019" s="15">
        <v>1</v>
      </c>
    </row>
    <row r="1020" spans="20:25" x14ac:dyDescent="0.15">
      <c r="T1020" s="28">
        <f t="shared" si="383"/>
        <v>6998</v>
      </c>
      <c r="U1020" s="26">
        <f t="shared" si="384"/>
        <v>2033505</v>
      </c>
      <c r="V1020" s="28">
        <f t="shared" si="385"/>
        <v>100</v>
      </c>
      <c r="W1020" s="14">
        <f t="shared" si="381"/>
        <v>170770</v>
      </c>
      <c r="X1020" s="39">
        <f t="shared" si="382"/>
        <v>1355670</v>
      </c>
      <c r="Y1020" s="15">
        <v>1</v>
      </c>
    </row>
    <row r="1021" spans="20:25" x14ac:dyDescent="0.15">
      <c r="T1021" s="28">
        <f t="shared" si="383"/>
        <v>6999</v>
      </c>
      <c r="U1021" s="26">
        <f t="shared" si="384"/>
        <v>2236855</v>
      </c>
      <c r="V1021" s="28">
        <f t="shared" si="385"/>
        <v>100</v>
      </c>
      <c r="W1021" s="14">
        <f t="shared" si="381"/>
        <v>187790</v>
      </c>
      <c r="X1021" s="39">
        <f t="shared" si="382"/>
        <v>1491236.6666666665</v>
      </c>
      <c r="Y1021" s="15">
        <v>1</v>
      </c>
    </row>
    <row r="1228" spans="17:17" x14ac:dyDescent="0.15">
      <c r="Q1228" s="11" t="s">
        <v>145</v>
      </c>
    </row>
  </sheetData>
  <mergeCells count="103">
    <mergeCell ref="AE311:AE318"/>
    <mergeCell ref="AF311:AF318"/>
    <mergeCell ref="AE302:AE309"/>
    <mergeCell ref="AT34:AT35"/>
    <mergeCell ref="AU34:AU35"/>
    <mergeCell ref="AT37:AT38"/>
    <mergeCell ref="AU37:AU38"/>
    <mergeCell ref="AT43:AT44"/>
    <mergeCell ref="AU43:AU44"/>
    <mergeCell ref="AT45:AT46"/>
    <mergeCell ref="AU45:AU46"/>
    <mergeCell ref="AT47:AT48"/>
    <mergeCell ref="AE293:AE300"/>
    <mergeCell ref="AF293:AF300"/>
    <mergeCell ref="AF41:AF48"/>
    <mergeCell ref="AF77:AF84"/>
    <mergeCell ref="AF86:AF93"/>
    <mergeCell ref="AF95:AF102"/>
    <mergeCell ref="AF104:AF111"/>
    <mergeCell ref="AE266:AE273"/>
    <mergeCell ref="AF266:AF273"/>
    <mergeCell ref="AE212:AE219"/>
    <mergeCell ref="AF212:AF219"/>
    <mergeCell ref="AE221:AE228"/>
    <mergeCell ref="AE194:AE201"/>
    <mergeCell ref="AF185:AF192"/>
    <mergeCell ref="AF194:AF201"/>
    <mergeCell ref="AE185:AE192"/>
    <mergeCell ref="AE203:AE210"/>
    <mergeCell ref="AE167:AE174"/>
    <mergeCell ref="AF167:AF174"/>
    <mergeCell ref="AE176:AE183"/>
    <mergeCell ref="AF176:AF183"/>
    <mergeCell ref="AE239:AE246"/>
    <mergeCell ref="AF239:AF246"/>
    <mergeCell ref="AE248:AE255"/>
    <mergeCell ref="AF248:AF255"/>
    <mergeCell ref="AE257:AE264"/>
    <mergeCell ref="AF257:AF264"/>
    <mergeCell ref="AF221:AF228"/>
    <mergeCell ref="AE230:AE237"/>
    <mergeCell ref="AF230:AF237"/>
    <mergeCell ref="C83:C88"/>
    <mergeCell ref="C71:C76"/>
    <mergeCell ref="C65:C70"/>
    <mergeCell ref="AS43:AS44"/>
    <mergeCell ref="AE77:AE84"/>
    <mergeCell ref="AE86:AE93"/>
    <mergeCell ref="C77:C82"/>
    <mergeCell ref="AE23:AE30"/>
    <mergeCell ref="AF23:AF30"/>
    <mergeCell ref="AF32:AF39"/>
    <mergeCell ref="AE41:AE48"/>
    <mergeCell ref="AS34:AS35"/>
    <mergeCell ref="C41:C46"/>
    <mergeCell ref="C47:C52"/>
    <mergeCell ref="C59:C64"/>
    <mergeCell ref="C53:C58"/>
    <mergeCell ref="AS24:AS25"/>
    <mergeCell ref="AS26:AS27"/>
    <mergeCell ref="C29:C34"/>
    <mergeCell ref="C35:C40"/>
    <mergeCell ref="AE32:AE39"/>
    <mergeCell ref="AV34:AV35"/>
    <mergeCell ref="AS37:AS38"/>
    <mergeCell ref="AV37:AV38"/>
    <mergeCell ref="C23:C28"/>
    <mergeCell ref="AV24:AV25"/>
    <mergeCell ref="AV26:AV27"/>
    <mergeCell ref="AE50:AE57"/>
    <mergeCell ref="AF50:AF57"/>
    <mergeCell ref="AE59:AE66"/>
    <mergeCell ref="AF59:AF66"/>
    <mergeCell ref="AV43:AV44"/>
    <mergeCell ref="AS45:AS46"/>
    <mergeCell ref="AV45:AV46"/>
    <mergeCell ref="AS47:AS48"/>
    <mergeCell ref="AV47:AV48"/>
    <mergeCell ref="AU47:AU48"/>
    <mergeCell ref="AE320:AE327"/>
    <mergeCell ref="AF320:AF327"/>
    <mergeCell ref="AE68:AE75"/>
    <mergeCell ref="AF68:AF75"/>
    <mergeCell ref="AF302:AF309"/>
    <mergeCell ref="AE95:AE102"/>
    <mergeCell ref="AE104:AE111"/>
    <mergeCell ref="AE113:AE120"/>
    <mergeCell ref="AF113:AF120"/>
    <mergeCell ref="AE122:AE129"/>
    <mergeCell ref="AF122:AF129"/>
    <mergeCell ref="AE131:AE138"/>
    <mergeCell ref="AF131:AF138"/>
    <mergeCell ref="AE140:AE147"/>
    <mergeCell ref="AF140:AF147"/>
    <mergeCell ref="AE149:AE156"/>
    <mergeCell ref="AF149:AF156"/>
    <mergeCell ref="AF203:AF210"/>
    <mergeCell ref="AE158:AE165"/>
    <mergeCell ref="AF158:AF165"/>
    <mergeCell ref="AE275:AE282"/>
    <mergeCell ref="AF275:AF282"/>
    <mergeCell ref="AE284:AE291"/>
    <mergeCell ref="AF284:AF291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99F9B-EA6B-421A-B4E7-FB6E86AE138D}">
  <sheetPr codeName="Sheet4"/>
  <dimension ref="A1:AE370"/>
  <sheetViews>
    <sheetView workbookViewId="0">
      <selection activeCell="K20" sqref="K20"/>
    </sheetView>
  </sheetViews>
  <sheetFormatPr defaultRowHeight="13.5" x14ac:dyDescent="0.15"/>
  <cols>
    <col min="4" max="4" width="17.25" bestFit="1" customWidth="1"/>
    <col min="7" max="7" width="17.25" bestFit="1" customWidth="1"/>
    <col min="27" max="27" width="10.25" customWidth="1"/>
  </cols>
  <sheetData>
    <row r="1" spans="1:31" x14ac:dyDescent="0.15">
      <c r="A1" t="s">
        <v>74</v>
      </c>
      <c r="C1" s="17"/>
      <c r="D1" s="17"/>
      <c r="G1" s="17">
        <v>0</v>
      </c>
      <c r="H1" s="17" t="s">
        <v>70</v>
      </c>
    </row>
    <row r="2" spans="1:31" x14ac:dyDescent="0.15">
      <c r="A2" t="s">
        <v>138</v>
      </c>
      <c r="C2" s="17"/>
      <c r="D2" s="17"/>
      <c r="G2" s="17">
        <v>1</v>
      </c>
      <c r="H2" s="17" t="s">
        <v>71</v>
      </c>
    </row>
    <row r="3" spans="1:31" x14ac:dyDescent="0.15">
      <c r="A3" t="s">
        <v>73</v>
      </c>
      <c r="D3" s="17"/>
      <c r="G3" s="44">
        <f>SUM($P$13:$P$50)</f>
        <v>5158</v>
      </c>
      <c r="H3" s="17" t="s">
        <v>72</v>
      </c>
      <c r="I3">
        <v>5000</v>
      </c>
      <c r="M3">
        <f>3500/27</f>
        <v>129.62962962962962</v>
      </c>
    </row>
    <row r="8" spans="1:31" x14ac:dyDescent="0.15">
      <c r="R8" s="54" t="s">
        <v>115</v>
      </c>
      <c r="Z8" s="54" t="s">
        <v>116</v>
      </c>
    </row>
    <row r="9" spans="1:31" x14ac:dyDescent="0.15">
      <c r="C9" s="60" t="s">
        <v>0</v>
      </c>
      <c r="D9" s="60" t="s">
        <v>20</v>
      </c>
      <c r="E9" s="60" t="s">
        <v>21</v>
      </c>
      <c r="F9" s="60" t="s">
        <v>75</v>
      </c>
      <c r="G9" s="60" t="s">
        <v>39</v>
      </c>
      <c r="H9" s="60" t="s">
        <v>21</v>
      </c>
      <c r="I9" s="60" t="s">
        <v>75</v>
      </c>
      <c r="J9" s="60" t="s">
        <v>40</v>
      </c>
      <c r="K9" s="60" t="s">
        <v>21</v>
      </c>
      <c r="L9" s="60" t="s">
        <v>75</v>
      </c>
      <c r="M9" s="60" t="s">
        <v>76</v>
      </c>
      <c r="N9" s="60" t="s">
        <v>21</v>
      </c>
      <c r="O9" s="60" t="s">
        <v>75</v>
      </c>
      <c r="P9" s="43" t="s">
        <v>77</v>
      </c>
      <c r="T9" s="61"/>
      <c r="U9" s="61"/>
      <c r="V9" s="61"/>
      <c r="W9" s="61"/>
      <c r="X9" s="61"/>
      <c r="Y9" s="61"/>
      <c r="AB9" s="61"/>
      <c r="AC9" s="53"/>
      <c r="AD9" s="53"/>
      <c r="AE9" s="53"/>
    </row>
    <row r="10" spans="1:31" x14ac:dyDescent="0.15">
      <c r="C10" s="60">
        <v>1</v>
      </c>
      <c r="D10" s="60" t="s">
        <v>124</v>
      </c>
      <c r="E10" s="60">
        <v>1</v>
      </c>
      <c r="F10" s="25">
        <f>IF(D10="",0,INDEX(道具信息!$J:$J,MATCH(奖励设计!D10,道具信息!$D:$D,0)))</f>
        <v>300</v>
      </c>
      <c r="G10" s="60" t="s">
        <v>126</v>
      </c>
      <c r="H10" s="60">
        <v>5</v>
      </c>
      <c r="I10" s="25">
        <f>IF(G10="",0,INDEX(道具信息!$J:$J,MATCH(奖励设计!G10,道具信息!$D:$D,0)))</f>
        <v>6</v>
      </c>
      <c r="J10" s="60" t="s">
        <v>125</v>
      </c>
      <c r="K10" s="60">
        <v>2</v>
      </c>
      <c r="L10" s="25">
        <f>IF(J10="",0,INDEX(道具信息!$J:$J,MATCH(奖励设计!J10,道具信息!$D:$D,0)))</f>
        <v>50</v>
      </c>
      <c r="M10" s="60"/>
      <c r="N10" s="60"/>
      <c r="O10" s="25">
        <f>IF(M10="",0,INDEX(道具信息!$J:$J,MATCH(奖励设计!M10,道具信息!$D:$D,0)))</f>
        <v>0</v>
      </c>
      <c r="P10" s="60">
        <f>IF(D10="","",SUM(E10*F10+H10*I10+K10*L10+N10*O10))</f>
        <v>430</v>
      </c>
      <c r="R10" s="60" t="s">
        <v>99</v>
      </c>
      <c r="S10" s="60" t="s">
        <v>90</v>
      </c>
      <c r="T10" s="60" t="s">
        <v>92</v>
      </c>
      <c r="U10" s="60" t="s">
        <v>93</v>
      </c>
      <c r="V10" s="60" t="s">
        <v>95</v>
      </c>
      <c r="W10" s="60" t="s">
        <v>96</v>
      </c>
      <c r="X10" s="61"/>
      <c r="Y10" s="61"/>
      <c r="Z10" s="60" t="s">
        <v>9</v>
      </c>
      <c r="AA10" s="60" t="s">
        <v>90</v>
      </c>
      <c r="AB10" s="60" t="s">
        <v>92</v>
      </c>
      <c r="AC10" s="60" t="s">
        <v>93</v>
      </c>
      <c r="AD10" s="60" t="s">
        <v>95</v>
      </c>
      <c r="AE10" s="60" t="s">
        <v>96</v>
      </c>
    </row>
    <row r="11" spans="1:31" x14ac:dyDescent="0.15">
      <c r="C11" s="60">
        <v>2</v>
      </c>
      <c r="D11" s="60" t="s">
        <v>124</v>
      </c>
      <c r="E11" s="60">
        <v>1</v>
      </c>
      <c r="F11" s="25">
        <f>IF(D11="",0,INDEX(道具信息!$J:$J,MATCH(奖励设计!D11,道具信息!$D:$D,0)))</f>
        <v>300</v>
      </c>
      <c r="G11" s="60" t="s">
        <v>126</v>
      </c>
      <c r="H11" s="60">
        <v>10</v>
      </c>
      <c r="I11" s="25">
        <f>IF(G11="",0,INDEX(道具信息!$J:$J,MATCH(奖励设计!G11,道具信息!$D:$D,0)))</f>
        <v>6</v>
      </c>
      <c r="J11" s="60" t="s">
        <v>125</v>
      </c>
      <c r="K11" s="60">
        <v>3</v>
      </c>
      <c r="L11" s="25">
        <f>IF(J11="",0,INDEX(道具信息!$J:$J,MATCH(奖励设计!J11,道具信息!$D:$D,0)))</f>
        <v>50</v>
      </c>
      <c r="M11" s="60"/>
      <c r="N11" s="60"/>
      <c r="O11" s="25">
        <f>IF(M11="",0,INDEX(道具信息!$J:$J,MATCH(奖励设计!M11,道具信息!$D:$D,0)))</f>
        <v>0</v>
      </c>
      <c r="P11" s="60">
        <f t="shared" ref="P11:P42" si="0">IF(D11="","",SUM(E11*F11+H11*I11+K11*L11+N11*O11))</f>
        <v>510</v>
      </c>
      <c r="R11" s="60">
        <v>1</v>
      </c>
      <c r="S11" s="60">
        <f>$R11*$G$3/30*$G$2</f>
        <v>171.93333333333334</v>
      </c>
      <c r="T11" s="60">
        <f t="shared" ref="T11:W26" si="1">$R11*$G$3/30*$G$2</f>
        <v>171.93333333333334</v>
      </c>
      <c r="U11" s="60">
        <f t="shared" si="1"/>
        <v>171.93333333333334</v>
      </c>
      <c r="V11" s="60">
        <f t="shared" si="1"/>
        <v>171.93333333333334</v>
      </c>
      <c r="W11" s="60">
        <f t="shared" si="1"/>
        <v>171.93333333333334</v>
      </c>
      <c r="X11" s="61"/>
      <c r="Y11" s="61"/>
      <c r="Z11" s="60">
        <v>1</v>
      </c>
      <c r="AA11" s="60">
        <f>求节点(节奏总纲!AD$4:AD$363,S$11:S$370,$Z11)</f>
        <v>17.193333333333328</v>
      </c>
      <c r="AB11" s="60">
        <f>求节点(节奏总纲!AE$4:AE$363,T$11:T$370,$Z11)</f>
        <v>15.422178319484459</v>
      </c>
      <c r="AC11" s="60">
        <f>求节点(节奏总纲!AF$4:AF$363,U$11:U$370,$Z11)</f>
        <v>13.472564262403495</v>
      </c>
      <c r="AD11" s="60">
        <f>求节点(节奏总纲!AG$4:AG$363,V$11:V$370,$Z11)</f>
        <v>11.126763696939065</v>
      </c>
      <c r="AE11" s="60">
        <f>求节点(节奏总纲!AH$4:AH$363,W$11:W$370,$Z11)</f>
        <v>8.0750537479110562</v>
      </c>
    </row>
    <row r="12" spans="1:31" x14ac:dyDescent="0.15">
      <c r="C12" s="60">
        <v>3</v>
      </c>
      <c r="D12" s="60" t="s">
        <v>124</v>
      </c>
      <c r="E12" s="60">
        <v>1</v>
      </c>
      <c r="F12" s="25">
        <f>IF(D12="",0,INDEX(道具信息!$J:$J,MATCH(奖励设计!D12,道具信息!$D:$D,0)))</f>
        <v>300</v>
      </c>
      <c r="G12" s="60" t="s">
        <v>126</v>
      </c>
      <c r="H12" s="60">
        <v>15</v>
      </c>
      <c r="I12" s="25">
        <f>IF(G12="",0,INDEX(道具信息!$J:$J,MATCH(奖励设计!G12,道具信息!$D:$D,0)))</f>
        <v>6</v>
      </c>
      <c r="J12" s="60" t="s">
        <v>125</v>
      </c>
      <c r="K12" s="60">
        <v>4</v>
      </c>
      <c r="L12" s="25">
        <f>IF(J12="",0,INDEX(道具信息!$J:$J,MATCH(奖励设计!J12,道具信息!$D:$D,0)))</f>
        <v>50</v>
      </c>
      <c r="M12" s="60"/>
      <c r="N12" s="60"/>
      <c r="O12" s="25">
        <f>IF(M12="",0,INDEX(道具信息!$J:$J,MATCH(奖励设计!M12,道具信息!$D:$D,0)))</f>
        <v>0</v>
      </c>
      <c r="P12" s="60">
        <f t="shared" si="0"/>
        <v>590</v>
      </c>
      <c r="R12" s="60">
        <v>2</v>
      </c>
      <c r="S12" s="60">
        <f t="shared" ref="S12:W74" si="2">$R12*$G$3/30*$G$2</f>
        <v>343.86666666666667</v>
      </c>
      <c r="T12" s="60">
        <f t="shared" si="1"/>
        <v>343.86666666666667</v>
      </c>
      <c r="U12" s="60">
        <f t="shared" si="1"/>
        <v>343.86666666666667</v>
      </c>
      <c r="V12" s="60">
        <f t="shared" si="1"/>
        <v>343.86666666666667</v>
      </c>
      <c r="W12" s="60">
        <f t="shared" si="1"/>
        <v>343.86666666666667</v>
      </c>
      <c r="X12" s="61"/>
      <c r="Y12" s="61"/>
      <c r="Z12" s="60">
        <v>2</v>
      </c>
      <c r="AA12" s="60">
        <f>求节点(节奏总纲!AD$4:AD$363,S$11:S$370,$Z12)</f>
        <v>34.386666666666656</v>
      </c>
      <c r="AB12" s="60">
        <f>求节点(节奏总纲!AE$4:AE$363,T$11:T$370,$Z12)</f>
        <v>30.844356638968947</v>
      </c>
      <c r="AC12" s="60">
        <f>求节点(节奏总纲!AF$4:AF$363,U$11:U$370,$Z12)</f>
        <v>26.945128524806989</v>
      </c>
      <c r="AD12" s="60">
        <f>求节点(节奏总纲!AG$4:AG$363,V$11:V$370,$Z12)</f>
        <v>22.253527393878102</v>
      </c>
      <c r="AE12" s="60">
        <f>求节点(节奏总纲!AH$4:AH$363,W$11:W$370,$Z12)</f>
        <v>16.150107495822084</v>
      </c>
    </row>
    <row r="13" spans="1:31" x14ac:dyDescent="0.15">
      <c r="C13" s="60">
        <v>1</v>
      </c>
      <c r="D13" s="60" t="s">
        <v>139</v>
      </c>
      <c r="E13" s="60">
        <v>3</v>
      </c>
      <c r="F13" s="25">
        <f>IF(D13="",0,INDEX(道具信息!$J:$J,MATCH(奖励设计!D13,道具信息!$D:$D,0)))</f>
        <v>6</v>
      </c>
      <c r="G13" s="60" t="s">
        <v>140</v>
      </c>
      <c r="H13" s="60">
        <v>3</v>
      </c>
      <c r="I13" s="25">
        <f>IF(G13="",0,INDEX(道具信息!$J:$J,MATCH(奖励设计!G13,道具信息!$D:$D,0)))</f>
        <v>6</v>
      </c>
      <c r="J13" s="60" t="s">
        <v>141</v>
      </c>
      <c r="K13" s="60">
        <v>3</v>
      </c>
      <c r="L13" s="25">
        <f>IF(J13="",0,INDEX(道具信息!$J:$J,MATCH(奖励设计!J13,道具信息!$D:$D,0)))</f>
        <v>6</v>
      </c>
      <c r="M13" s="60" t="s">
        <v>142</v>
      </c>
      <c r="N13" s="60">
        <v>3</v>
      </c>
      <c r="O13" s="25">
        <f>IF(M13="",0,INDEX(道具信息!$J:$J,MATCH(奖励设计!M13,道具信息!$D:$D,0)))</f>
        <v>6</v>
      </c>
      <c r="P13" s="60">
        <f t="shared" ref="P13:P15" si="3">IF(D13="","",SUM(E13*F13+H13*I13+K13*L13+N13*O13))</f>
        <v>72</v>
      </c>
      <c r="R13" s="60">
        <v>3</v>
      </c>
      <c r="S13" s="60">
        <f t="shared" si="2"/>
        <v>515.79999999999995</v>
      </c>
      <c r="T13" s="60">
        <f t="shared" si="1"/>
        <v>515.79999999999995</v>
      </c>
      <c r="U13" s="60">
        <f t="shared" si="1"/>
        <v>515.79999999999995</v>
      </c>
      <c r="V13" s="60">
        <f t="shared" si="1"/>
        <v>515.79999999999995</v>
      </c>
      <c r="W13" s="60">
        <f t="shared" si="1"/>
        <v>515.79999999999995</v>
      </c>
      <c r="X13" s="61"/>
      <c r="Y13" s="61"/>
      <c r="Z13" s="60">
        <v>3</v>
      </c>
      <c r="AA13" s="60">
        <f>求节点(节奏总纲!AD$4:AD$363,S$11:S$370,$Z13)</f>
        <v>51.579999999999984</v>
      </c>
      <c r="AB13" s="60">
        <f>求节点(节奏总纲!AE$4:AE$363,T$11:T$370,$Z13)</f>
        <v>46.266534958453406</v>
      </c>
      <c r="AC13" s="60">
        <f>求节点(节奏总纲!AF$4:AF$363,U$11:U$370,$Z13)</f>
        <v>40.417692787210484</v>
      </c>
      <c r="AD13" s="60">
        <f>求节点(节奏总纲!AG$4:AG$363,V$11:V$370,$Z13)</f>
        <v>33.380291090817167</v>
      </c>
      <c r="AE13" s="60">
        <f>求节点(节奏总纲!AH$4:AH$363,W$11:W$370,$Z13)</f>
        <v>24.225161243733112</v>
      </c>
    </row>
    <row r="14" spans="1:31" x14ac:dyDescent="0.15">
      <c r="C14" s="60">
        <v>2</v>
      </c>
      <c r="D14" s="60" t="s">
        <v>139</v>
      </c>
      <c r="E14" s="60">
        <v>3</v>
      </c>
      <c r="F14" s="25">
        <f>IF(D14="",0,INDEX(道具信息!$J:$J,MATCH(奖励设计!D14,道具信息!$D:$D,0)))</f>
        <v>6</v>
      </c>
      <c r="G14" s="60" t="s">
        <v>140</v>
      </c>
      <c r="H14" s="60">
        <v>3</v>
      </c>
      <c r="I14" s="25">
        <f>IF(G14="",0,INDEX(道具信息!$J:$J,MATCH(奖励设计!G14,道具信息!$D:$D,0)))</f>
        <v>6</v>
      </c>
      <c r="J14" s="60" t="s">
        <v>141</v>
      </c>
      <c r="K14" s="60">
        <v>3</v>
      </c>
      <c r="L14" s="25">
        <f>IF(J14="",0,INDEX(道具信息!$J:$J,MATCH(奖励设计!J14,道具信息!$D:$D,0)))</f>
        <v>6</v>
      </c>
      <c r="M14" s="60" t="s">
        <v>142</v>
      </c>
      <c r="N14" s="60">
        <v>3</v>
      </c>
      <c r="O14" s="25">
        <f>IF(M14="",0,INDEX(道具信息!$J:$J,MATCH(奖励设计!M14,道具信息!$D:$D,0)))</f>
        <v>6</v>
      </c>
      <c r="P14" s="60">
        <f t="shared" si="3"/>
        <v>72</v>
      </c>
      <c r="R14" s="60">
        <v>4</v>
      </c>
      <c r="S14" s="60">
        <f t="shared" si="2"/>
        <v>687.73333333333335</v>
      </c>
      <c r="T14" s="60">
        <f t="shared" si="1"/>
        <v>687.73333333333335</v>
      </c>
      <c r="U14" s="60">
        <f t="shared" si="1"/>
        <v>687.73333333333335</v>
      </c>
      <c r="V14" s="60">
        <f t="shared" si="1"/>
        <v>687.73333333333335</v>
      </c>
      <c r="W14" s="60">
        <f t="shared" si="1"/>
        <v>687.73333333333335</v>
      </c>
      <c r="X14" s="61"/>
      <c r="Y14" s="61"/>
      <c r="Z14" s="60">
        <v>4</v>
      </c>
      <c r="AA14" s="60">
        <f>求节点(节奏总纲!AD$4:AD$363,S$11:S$370,$Z14)</f>
        <v>68.773333333333326</v>
      </c>
      <c r="AB14" s="60">
        <f>求节点(节奏总纲!AE$4:AE$363,T$11:T$370,$Z14)</f>
        <v>61.688713277937879</v>
      </c>
      <c r="AC14" s="60">
        <f>求节点(节奏总纲!AF$4:AF$363,U$11:U$370,$Z14)</f>
        <v>53.890257049613993</v>
      </c>
      <c r="AD14" s="60">
        <f>求节点(节奏总纲!AG$4:AG$363,V$11:V$370,$Z14)</f>
        <v>44.507054787756218</v>
      </c>
      <c r="AE14" s="60">
        <f>求节点(节奏总纲!AH$4:AH$363,W$11:W$370,$Z14)</f>
        <v>32.300214991644168</v>
      </c>
    </row>
    <row r="15" spans="1:31" x14ac:dyDescent="0.15">
      <c r="C15" s="60">
        <v>3</v>
      </c>
      <c r="D15" s="60" t="s">
        <v>139</v>
      </c>
      <c r="E15" s="60">
        <v>3</v>
      </c>
      <c r="F15" s="25">
        <f>IF(D15="",0,INDEX(道具信息!$J:$J,MATCH(奖励设计!D15,道具信息!$D:$D,0)))</f>
        <v>6</v>
      </c>
      <c r="G15" s="60" t="s">
        <v>140</v>
      </c>
      <c r="H15" s="60">
        <v>3</v>
      </c>
      <c r="I15" s="25">
        <f>IF(G15="",0,INDEX(道具信息!$J:$J,MATCH(奖励设计!G15,道具信息!$D:$D,0)))</f>
        <v>6</v>
      </c>
      <c r="J15" s="60" t="s">
        <v>141</v>
      </c>
      <c r="K15" s="60">
        <v>3</v>
      </c>
      <c r="L15" s="25">
        <f>IF(J15="",0,INDEX(道具信息!$J:$J,MATCH(奖励设计!J15,道具信息!$D:$D,0)))</f>
        <v>6</v>
      </c>
      <c r="M15" s="60" t="s">
        <v>142</v>
      </c>
      <c r="N15" s="60">
        <v>3</v>
      </c>
      <c r="O15" s="25">
        <f>IF(M15="",0,INDEX(道具信息!$J:$J,MATCH(奖励设计!M15,道具信息!$D:$D,0)))</f>
        <v>6</v>
      </c>
      <c r="P15" s="60">
        <f t="shared" si="3"/>
        <v>72</v>
      </c>
      <c r="R15" s="60">
        <v>5</v>
      </c>
      <c r="S15" s="60">
        <f t="shared" si="2"/>
        <v>859.66666666666663</v>
      </c>
      <c r="T15" s="60">
        <f t="shared" si="1"/>
        <v>859.66666666666663</v>
      </c>
      <c r="U15" s="60">
        <f t="shared" si="1"/>
        <v>859.66666666666663</v>
      </c>
      <c r="V15" s="60">
        <f t="shared" si="1"/>
        <v>859.66666666666663</v>
      </c>
      <c r="W15" s="60">
        <f t="shared" si="1"/>
        <v>859.66666666666663</v>
      </c>
      <c r="Z15" s="60">
        <v>5</v>
      </c>
      <c r="AA15" s="60">
        <f>求节点(节奏总纲!AD$4:AD$363,S$11:S$370,$Z15)</f>
        <v>85.966666666666669</v>
      </c>
      <c r="AB15" s="60">
        <f>求节点(节奏总纲!AE$4:AE$363,T$11:T$370,$Z15)</f>
        <v>77.110891597422352</v>
      </c>
      <c r="AC15" s="60">
        <f>求节点(节奏总纲!AF$4:AF$363,U$11:U$370,$Z15)</f>
        <v>67.362821312017488</v>
      </c>
      <c r="AD15" s="60">
        <f>求节点(节奏总纲!AG$4:AG$363,V$11:V$370,$Z15)</f>
        <v>55.633818484695283</v>
      </c>
      <c r="AE15" s="60">
        <f>求节点(节奏总纲!AH$4:AH$363,W$11:W$370,$Z15)</f>
        <v>40.375268739555196</v>
      </c>
    </row>
    <row r="16" spans="1:31" x14ac:dyDescent="0.15">
      <c r="C16" s="60">
        <v>4</v>
      </c>
      <c r="D16" s="60" t="s">
        <v>139</v>
      </c>
      <c r="E16" s="60">
        <v>3</v>
      </c>
      <c r="F16" s="25">
        <f>IF(D16="",0,INDEX(道具信息!$J:$J,MATCH(奖励设计!D16,道具信息!$D:$D,0)))</f>
        <v>6</v>
      </c>
      <c r="G16" s="60" t="s">
        <v>140</v>
      </c>
      <c r="H16" s="60">
        <v>3</v>
      </c>
      <c r="I16" s="25">
        <f>IF(G16="",0,INDEX(道具信息!$J:$J,MATCH(奖励设计!G16,道具信息!$D:$D,0)))</f>
        <v>6</v>
      </c>
      <c r="J16" s="60" t="s">
        <v>141</v>
      </c>
      <c r="K16" s="60">
        <v>3</v>
      </c>
      <c r="L16" s="25">
        <f>IF(J16="",0,INDEX(道具信息!$J:$J,MATCH(奖励设计!J16,道具信息!$D:$D,0)))</f>
        <v>6</v>
      </c>
      <c r="M16" s="60" t="s">
        <v>142</v>
      </c>
      <c r="N16" s="60">
        <v>3</v>
      </c>
      <c r="O16" s="25">
        <f>IF(M16="",0,INDEX(道具信息!$J:$J,MATCH(奖励设计!M16,道具信息!$D:$D,0)))</f>
        <v>6</v>
      </c>
      <c r="P16" s="60">
        <f t="shared" ref="P16" si="4">IF(D16="","",SUM(E16*F16+H16*I16+K16*L16+N16*O16))</f>
        <v>72</v>
      </c>
      <c r="R16" s="60">
        <v>6</v>
      </c>
      <c r="S16" s="60">
        <f t="shared" si="2"/>
        <v>1031.5999999999999</v>
      </c>
      <c r="T16" s="60">
        <f t="shared" si="1"/>
        <v>1031.5999999999999</v>
      </c>
      <c r="U16" s="60">
        <f t="shared" si="1"/>
        <v>1031.5999999999999</v>
      </c>
      <c r="V16" s="60">
        <f t="shared" si="1"/>
        <v>1031.5999999999999</v>
      </c>
      <c r="W16" s="60">
        <f t="shared" si="1"/>
        <v>1031.5999999999999</v>
      </c>
      <c r="Z16" s="60">
        <v>6</v>
      </c>
      <c r="AA16" s="60">
        <f>求节点(节奏总纲!AD$4:AD$363,S$11:S$370,$Z16)</f>
        <v>103.16</v>
      </c>
      <c r="AB16" s="60">
        <f>求节点(节奏总纲!AE$4:AE$363,T$11:T$370,$Z16)</f>
        <v>92.533069916906825</v>
      </c>
      <c r="AC16" s="60">
        <f>求节点(节奏总纲!AF$4:AF$363,U$11:U$370,$Z16)</f>
        <v>80.835385574420982</v>
      </c>
      <c r="AD16" s="60">
        <f>求节点(节奏总纲!AG$4:AG$363,V$11:V$370,$Z16)</f>
        <v>66.760582181634334</v>
      </c>
      <c r="AE16" s="60">
        <f>求节点(节奏总纲!AH$4:AH$363,W$11:W$370,$Z16)</f>
        <v>48.450322487466224</v>
      </c>
    </row>
    <row r="17" spans="3:31" x14ac:dyDescent="0.15">
      <c r="C17" s="60">
        <v>5</v>
      </c>
      <c r="D17" s="60" t="s">
        <v>143</v>
      </c>
      <c r="E17" s="60">
        <v>1</v>
      </c>
      <c r="F17" s="25">
        <f>IF(D17="",0,INDEX(道具信息!$J:$J,MATCH(奖励设计!D17,道具信息!$D:$D,0)))</f>
        <v>240</v>
      </c>
      <c r="G17" s="60" t="s">
        <v>126</v>
      </c>
      <c r="H17" s="60">
        <v>15</v>
      </c>
      <c r="I17" s="25">
        <f>IF(G17="",0,INDEX(道具信息!$J:$J,MATCH(奖励设计!G17,道具信息!$D:$D,0)))</f>
        <v>6</v>
      </c>
      <c r="J17" s="60"/>
      <c r="K17" s="60"/>
      <c r="L17" s="25">
        <f>IF(J17="",0,INDEX(道具信息!$J:$J,MATCH(奖励设计!J17,道具信息!$D:$D,0)))</f>
        <v>0</v>
      </c>
      <c r="M17" s="60"/>
      <c r="N17" s="60"/>
      <c r="O17" s="25">
        <f>IF(M17="",0,INDEX(道具信息!$J:$J,MATCH(奖励设计!M17,道具信息!$D:$D,0)))</f>
        <v>0</v>
      </c>
      <c r="P17" s="60">
        <f t="shared" si="0"/>
        <v>330</v>
      </c>
      <c r="R17" s="60">
        <v>7</v>
      </c>
      <c r="S17" s="60">
        <f t="shared" si="2"/>
        <v>1203.5333333333333</v>
      </c>
      <c r="T17" s="60">
        <f t="shared" si="1"/>
        <v>1203.5333333333333</v>
      </c>
      <c r="U17" s="60">
        <f t="shared" si="1"/>
        <v>1203.5333333333333</v>
      </c>
      <c r="V17" s="60">
        <f t="shared" si="1"/>
        <v>1203.5333333333333</v>
      </c>
      <c r="W17" s="60">
        <f t="shared" si="1"/>
        <v>1203.5333333333333</v>
      </c>
      <c r="Z17" s="60">
        <v>7</v>
      </c>
      <c r="AA17" s="60">
        <f>求节点(节奏总纲!AD$4:AD$363,S$11:S$370,$Z17)</f>
        <v>120.35333333333332</v>
      </c>
      <c r="AB17" s="60">
        <f>求节点(节奏总纲!AE$4:AE$363,T$11:T$370,$Z17)</f>
        <v>107.9552482363913</v>
      </c>
      <c r="AC17" s="60">
        <f>求节点(节奏总纲!AF$4:AF$363,U$11:U$370,$Z17)</f>
        <v>94.307949836824477</v>
      </c>
      <c r="AD17" s="60">
        <f>求节点(节奏总纲!AG$4:AG$363,V$11:V$370,$Z17)</f>
        <v>77.887345878573385</v>
      </c>
      <c r="AE17" s="60">
        <f>求节点(节奏总纲!AH$4:AH$363,W$11:W$370,$Z17)</f>
        <v>56.525376235377266</v>
      </c>
    </row>
    <row r="18" spans="3:31" x14ac:dyDescent="0.15">
      <c r="C18" s="60">
        <v>6</v>
      </c>
      <c r="D18" s="60" t="s">
        <v>139</v>
      </c>
      <c r="E18" s="60">
        <v>3</v>
      </c>
      <c r="F18" s="25">
        <f>IF(D18="",0,INDEX(道具信息!$J:$J,MATCH(奖励设计!D18,道具信息!$D:$D,0)))</f>
        <v>6</v>
      </c>
      <c r="G18" s="60" t="s">
        <v>140</v>
      </c>
      <c r="H18" s="60">
        <v>3</v>
      </c>
      <c r="I18" s="25">
        <f>IF(G18="",0,INDEX(道具信息!$J:$J,MATCH(奖励设计!G18,道具信息!$D:$D,0)))</f>
        <v>6</v>
      </c>
      <c r="J18" s="60" t="s">
        <v>141</v>
      </c>
      <c r="K18" s="60">
        <v>3</v>
      </c>
      <c r="L18" s="25">
        <f>IF(J18="",0,INDEX(道具信息!$J:$J,MATCH(奖励设计!J18,道具信息!$D:$D,0)))</f>
        <v>6</v>
      </c>
      <c r="M18" s="60" t="s">
        <v>142</v>
      </c>
      <c r="N18" s="60">
        <v>3</v>
      </c>
      <c r="O18" s="25">
        <f>IF(M18="",0,INDEX(道具信息!$J:$J,MATCH(奖励设计!M18,道具信息!$D:$D,0)))</f>
        <v>6</v>
      </c>
      <c r="P18" s="60">
        <f t="shared" si="0"/>
        <v>72</v>
      </c>
      <c r="R18" s="60">
        <v>8</v>
      </c>
      <c r="S18" s="60">
        <f t="shared" si="2"/>
        <v>1375.4666666666667</v>
      </c>
      <c r="T18" s="60">
        <f t="shared" si="1"/>
        <v>1375.4666666666667</v>
      </c>
      <c r="U18" s="60">
        <f t="shared" si="1"/>
        <v>1375.4666666666667</v>
      </c>
      <c r="V18" s="60">
        <f t="shared" si="1"/>
        <v>1375.4666666666667</v>
      </c>
      <c r="W18" s="60">
        <f t="shared" si="1"/>
        <v>1375.4666666666667</v>
      </c>
      <c r="Z18" s="60">
        <v>8</v>
      </c>
      <c r="AA18" s="60">
        <f>求节点(节奏总纲!AD$4:AD$363,S$11:S$370,$Z18)</f>
        <v>137.54666666666668</v>
      </c>
      <c r="AB18" s="60">
        <f>求节点(节奏总纲!AE$4:AE$363,T$11:T$370,$Z18)</f>
        <v>123.37742655587576</v>
      </c>
      <c r="AC18" s="60">
        <f>求节点(节奏总纲!AF$4:AF$363,U$11:U$370,$Z18)</f>
        <v>107.78051409922799</v>
      </c>
      <c r="AD18" s="60">
        <f>求节点(节奏总纲!AG$4:AG$363,V$11:V$370,$Z18)</f>
        <v>89.014109575512435</v>
      </c>
      <c r="AE18" s="60">
        <f>求节点(节奏总纲!AH$4:AH$363,W$11:W$370,$Z18)</f>
        <v>64.600429983288294</v>
      </c>
    </row>
    <row r="19" spans="3:31" x14ac:dyDescent="0.15">
      <c r="C19" s="60">
        <v>7</v>
      </c>
      <c r="D19" s="60" t="s">
        <v>139</v>
      </c>
      <c r="E19" s="60">
        <v>3</v>
      </c>
      <c r="F19" s="25">
        <f>IF(D19="",0,INDEX(道具信息!$J:$J,MATCH(奖励设计!D19,道具信息!$D:$D,0)))</f>
        <v>6</v>
      </c>
      <c r="G19" s="60" t="s">
        <v>140</v>
      </c>
      <c r="H19" s="60">
        <v>3</v>
      </c>
      <c r="I19" s="25">
        <f>IF(G19="",0,INDEX(道具信息!$J:$J,MATCH(奖励设计!G19,道具信息!$D:$D,0)))</f>
        <v>6</v>
      </c>
      <c r="J19" s="60" t="s">
        <v>141</v>
      </c>
      <c r="K19" s="60">
        <v>3</v>
      </c>
      <c r="L19" s="25">
        <f>IF(J19="",0,INDEX(道具信息!$J:$J,MATCH(奖励设计!J19,道具信息!$D:$D,0)))</f>
        <v>6</v>
      </c>
      <c r="M19" s="60" t="s">
        <v>142</v>
      </c>
      <c r="N19" s="60">
        <v>3</v>
      </c>
      <c r="O19" s="25">
        <f>IF(M19="",0,INDEX(道具信息!$J:$J,MATCH(奖励设计!M19,道具信息!$D:$D,0)))</f>
        <v>6</v>
      </c>
      <c r="P19" s="60">
        <f t="shared" si="0"/>
        <v>72</v>
      </c>
      <c r="R19" s="60">
        <v>9</v>
      </c>
      <c r="S19" s="60">
        <f t="shared" si="2"/>
        <v>1547.4</v>
      </c>
      <c r="T19" s="60">
        <f t="shared" si="1"/>
        <v>1547.4</v>
      </c>
      <c r="U19" s="60">
        <f t="shared" si="1"/>
        <v>1547.4</v>
      </c>
      <c r="V19" s="60">
        <f t="shared" si="1"/>
        <v>1547.4</v>
      </c>
      <c r="W19" s="60">
        <f t="shared" si="1"/>
        <v>1547.4</v>
      </c>
      <c r="Z19" s="60">
        <v>9</v>
      </c>
      <c r="AA19" s="60">
        <f>求节点(节奏总纲!AD$4:AD$363,S$11:S$370,$Z19)</f>
        <v>154.74</v>
      </c>
      <c r="AB19" s="60">
        <f>求节点(节奏总纲!AE$4:AE$363,T$11:T$370,$Z19)</f>
        <v>138.79960487536022</v>
      </c>
      <c r="AC19" s="60">
        <f>求节点(节奏总纲!AF$4:AF$363,U$11:U$370,$Z19)</f>
        <v>121.25307836163148</v>
      </c>
      <c r="AD19" s="60">
        <f>求节点(节奏总纲!AG$4:AG$363,V$11:V$370,$Z19)</f>
        <v>100.1408732724515</v>
      </c>
      <c r="AE19" s="60">
        <f>求节点(节奏总纲!AH$4:AH$363,W$11:W$370,$Z19)</f>
        <v>72.675483731199336</v>
      </c>
    </row>
    <row r="20" spans="3:31" x14ac:dyDescent="0.15">
      <c r="C20" s="60">
        <v>8</v>
      </c>
      <c r="D20" s="60" t="s">
        <v>139</v>
      </c>
      <c r="E20" s="60">
        <v>3</v>
      </c>
      <c r="F20" s="25">
        <f>IF(D20="",0,INDEX(道具信息!$J:$J,MATCH(奖励设计!D20,道具信息!$D:$D,0)))</f>
        <v>6</v>
      </c>
      <c r="G20" s="60" t="s">
        <v>140</v>
      </c>
      <c r="H20" s="60">
        <v>3</v>
      </c>
      <c r="I20" s="25">
        <f>IF(G20="",0,INDEX(道具信息!$J:$J,MATCH(奖励设计!G20,道具信息!$D:$D,0)))</f>
        <v>6</v>
      </c>
      <c r="J20" s="60" t="s">
        <v>141</v>
      </c>
      <c r="K20" s="60">
        <v>3</v>
      </c>
      <c r="L20" s="25">
        <f>IF(J20="",0,INDEX(道具信息!$J:$J,MATCH(奖励设计!J20,道具信息!$D:$D,0)))</f>
        <v>6</v>
      </c>
      <c r="M20" s="60" t="s">
        <v>142</v>
      </c>
      <c r="N20" s="60">
        <v>3</v>
      </c>
      <c r="O20" s="25">
        <f>IF(M20="",0,INDEX(道具信息!$J:$J,MATCH(奖励设计!M20,道具信息!$D:$D,0)))</f>
        <v>6</v>
      </c>
      <c r="P20" s="60">
        <f t="shared" si="0"/>
        <v>72</v>
      </c>
      <c r="R20" s="60">
        <v>10</v>
      </c>
      <c r="S20" s="60">
        <f t="shared" si="2"/>
        <v>1719.3333333333333</v>
      </c>
      <c r="T20" s="60">
        <f t="shared" si="1"/>
        <v>1719.3333333333333</v>
      </c>
      <c r="U20" s="60">
        <f t="shared" si="1"/>
        <v>1719.3333333333333</v>
      </c>
      <c r="V20" s="60">
        <f t="shared" si="1"/>
        <v>1719.3333333333333</v>
      </c>
      <c r="W20" s="60">
        <f t="shared" si="1"/>
        <v>1719.3333333333333</v>
      </c>
      <c r="Z20" s="60">
        <v>10</v>
      </c>
      <c r="AA20" s="60">
        <f>求节点(节奏总纲!AD$4:AD$363,S$11:S$370,$Z20)</f>
        <v>171.93333333333334</v>
      </c>
      <c r="AB20" s="60">
        <f>求节点(节奏总纲!AE$4:AE$363,T$11:T$370,$Z20)</f>
        <v>154.2217831948447</v>
      </c>
      <c r="AC20" s="60">
        <f>求节点(节奏总纲!AF$4:AF$363,U$11:U$370,$Z20)</f>
        <v>134.72564262403498</v>
      </c>
      <c r="AD20" s="60">
        <f>求节点(节奏总纲!AG$4:AG$363,V$11:V$370,$Z20)</f>
        <v>111.26763696939055</v>
      </c>
      <c r="AE20" s="60">
        <f>求节点(节奏总纲!AH$4:AH$363,W$11:W$370,$Z20)</f>
        <v>80.750537479110363</v>
      </c>
    </row>
    <row r="21" spans="3:31" x14ac:dyDescent="0.15">
      <c r="C21" s="60">
        <v>9</v>
      </c>
      <c r="D21" s="60" t="s">
        <v>139</v>
      </c>
      <c r="E21" s="60">
        <v>3</v>
      </c>
      <c r="F21" s="25">
        <f>IF(D21="",0,INDEX(道具信息!$J:$J,MATCH(奖励设计!D21,道具信息!$D:$D,0)))</f>
        <v>6</v>
      </c>
      <c r="G21" s="60" t="s">
        <v>140</v>
      </c>
      <c r="H21" s="60">
        <v>3</v>
      </c>
      <c r="I21" s="25">
        <f>IF(G21="",0,INDEX(道具信息!$J:$J,MATCH(奖励设计!G21,道具信息!$D:$D,0)))</f>
        <v>6</v>
      </c>
      <c r="J21" s="60" t="s">
        <v>141</v>
      </c>
      <c r="K21" s="60">
        <v>3</v>
      </c>
      <c r="L21" s="25">
        <f>IF(J21="",0,INDEX(道具信息!$J:$J,MATCH(奖励设计!J21,道具信息!$D:$D,0)))</f>
        <v>6</v>
      </c>
      <c r="M21" s="60" t="s">
        <v>142</v>
      </c>
      <c r="N21" s="60">
        <v>3</v>
      </c>
      <c r="O21" s="25">
        <f>IF(M21="",0,INDEX(道具信息!$J:$J,MATCH(奖励设计!M21,道具信息!$D:$D,0)))</f>
        <v>6</v>
      </c>
      <c r="P21" s="60">
        <f t="shared" ref="P21" si="5">IF(D21="","",SUM(E21*F21+H21*I21+K21*L21+N21*O21))</f>
        <v>72</v>
      </c>
      <c r="R21" s="60">
        <v>11</v>
      </c>
      <c r="S21" s="60">
        <f t="shared" si="2"/>
        <v>1891.2666666666667</v>
      </c>
      <c r="T21" s="60">
        <f t="shared" si="1"/>
        <v>1891.2666666666667</v>
      </c>
      <c r="U21" s="60">
        <f t="shared" si="1"/>
        <v>1891.2666666666667</v>
      </c>
      <c r="V21" s="60">
        <f t="shared" si="1"/>
        <v>1891.2666666666667</v>
      </c>
      <c r="W21" s="60">
        <f t="shared" si="1"/>
        <v>1891.2666666666667</v>
      </c>
      <c r="Z21" s="60">
        <v>11</v>
      </c>
      <c r="AA21" s="60">
        <f>求节点(节奏总纲!AD$4:AD$363,S$11:S$370,$Z21)</f>
        <v>201.3479750810273</v>
      </c>
      <c r="AB21" s="60">
        <f>求节点(节奏总纲!AE$4:AE$363,T$11:T$370,$Z21)</f>
        <v>169.64396151432916</v>
      </c>
      <c r="AC21" s="60">
        <f>求节点(节奏总纲!AF$4:AF$363,U$11:U$370,$Z21)</f>
        <v>148.19820688643847</v>
      </c>
      <c r="AD21" s="60">
        <f>求节点(节奏总纲!AG$4:AG$363,V$11:V$370,$Z21)</f>
        <v>122.3944006663296</v>
      </c>
      <c r="AE21" s="60">
        <f>求节点(节奏总纲!AH$4:AH$363,W$11:W$370,$Z21)</f>
        <v>88.825591227021405</v>
      </c>
    </row>
    <row r="22" spans="3:31" x14ac:dyDescent="0.15">
      <c r="C22" s="60">
        <v>10</v>
      </c>
      <c r="D22" s="60" t="s">
        <v>143</v>
      </c>
      <c r="E22" s="60">
        <v>1</v>
      </c>
      <c r="F22" s="25">
        <f>IF(D22="",0,INDEX(道具信息!$J:$J,MATCH(奖励设计!D22,道具信息!$D:$D,0)))</f>
        <v>240</v>
      </c>
      <c r="G22" s="60" t="s">
        <v>126</v>
      </c>
      <c r="H22" s="60">
        <v>15</v>
      </c>
      <c r="I22" s="25">
        <f>IF(G22="",0,INDEX(道具信息!$J:$J,MATCH(奖励设计!G22,道具信息!$D:$D,0)))</f>
        <v>6</v>
      </c>
      <c r="J22" s="60"/>
      <c r="K22" s="60"/>
      <c r="L22" s="25">
        <f>IF(J22="",0,INDEX(道具信息!$J:$J,MATCH(奖励设计!J22,道具信息!$D:$D,0)))</f>
        <v>0</v>
      </c>
      <c r="M22" s="60"/>
      <c r="N22" s="60"/>
      <c r="O22" s="25">
        <f>IF(M22="",0,INDEX(道具信息!$J:$J,MATCH(奖励设计!M22,道具信息!$D:$D,0)))</f>
        <v>0</v>
      </c>
      <c r="P22" s="60">
        <f t="shared" si="0"/>
        <v>330</v>
      </c>
      <c r="R22" s="60">
        <v>12</v>
      </c>
      <c r="S22" s="60">
        <f t="shared" si="2"/>
        <v>2063.1999999999998</v>
      </c>
      <c r="T22" s="60">
        <f t="shared" si="1"/>
        <v>2063.1999999999998</v>
      </c>
      <c r="U22" s="60">
        <f t="shared" si="1"/>
        <v>2063.1999999999998</v>
      </c>
      <c r="V22" s="60">
        <f t="shared" si="1"/>
        <v>2063.1999999999998</v>
      </c>
      <c r="W22" s="60">
        <f t="shared" si="1"/>
        <v>2063.1999999999998</v>
      </c>
      <c r="Z22" s="60">
        <v>12</v>
      </c>
      <c r="AA22" s="60">
        <f>求节点(节奏总纲!AD$4:AD$363,S$11:S$370,$Z22)</f>
        <v>230.76261682872124</v>
      </c>
      <c r="AB22" s="60">
        <f>求节点(节奏总纲!AE$4:AE$363,T$11:T$370,$Z22)</f>
        <v>195.84272964972925</v>
      </c>
      <c r="AC22" s="60">
        <f>求节点(节奏总纲!AF$4:AF$363,U$11:U$370,$Z22)</f>
        <v>161.67077114884196</v>
      </c>
      <c r="AD22" s="60">
        <f>求节点(节奏总纲!AG$4:AG$363,V$11:V$370,$Z22)</f>
        <v>133.52116436326867</v>
      </c>
      <c r="AE22" s="60">
        <f>求节点(节奏总纲!AH$4:AH$363,W$11:W$370,$Z22)</f>
        <v>96.900644974932433</v>
      </c>
    </row>
    <row r="23" spans="3:31" x14ac:dyDescent="0.15">
      <c r="C23" s="60">
        <v>11</v>
      </c>
      <c r="D23" s="60" t="s">
        <v>139</v>
      </c>
      <c r="E23" s="60">
        <v>3</v>
      </c>
      <c r="F23" s="25">
        <f>IF(D23="",0,INDEX(道具信息!$J:$J,MATCH(奖励设计!D23,道具信息!$D:$D,0)))</f>
        <v>6</v>
      </c>
      <c r="G23" s="60" t="s">
        <v>140</v>
      </c>
      <c r="H23" s="60">
        <v>3</v>
      </c>
      <c r="I23" s="25">
        <f>IF(G23="",0,INDEX(道具信息!$J:$J,MATCH(奖励设计!G23,道具信息!$D:$D,0)))</f>
        <v>6</v>
      </c>
      <c r="J23" s="60" t="s">
        <v>141</v>
      </c>
      <c r="K23" s="60">
        <v>3</v>
      </c>
      <c r="L23" s="25">
        <f>IF(J23="",0,INDEX(道具信息!$J:$J,MATCH(奖励设计!J23,道具信息!$D:$D,0)))</f>
        <v>6</v>
      </c>
      <c r="M23" s="60" t="s">
        <v>142</v>
      </c>
      <c r="N23" s="60">
        <v>3</v>
      </c>
      <c r="O23" s="25">
        <f>IF(M23="",0,INDEX(道具信息!$J:$J,MATCH(奖励设计!M23,道具信息!$D:$D,0)))</f>
        <v>6</v>
      </c>
      <c r="P23" s="60">
        <f t="shared" si="0"/>
        <v>72</v>
      </c>
      <c r="R23" s="60">
        <v>13</v>
      </c>
      <c r="S23" s="60">
        <f t="shared" si="2"/>
        <v>2235.1333333333332</v>
      </c>
      <c r="T23" s="60">
        <f t="shared" si="1"/>
        <v>2235.1333333333332</v>
      </c>
      <c r="U23" s="60">
        <f t="shared" si="1"/>
        <v>2235.1333333333332</v>
      </c>
      <c r="V23" s="60">
        <f t="shared" si="1"/>
        <v>2235.1333333333332</v>
      </c>
      <c r="W23" s="60">
        <f t="shared" si="1"/>
        <v>2235.1333333333332</v>
      </c>
      <c r="Z23" s="60">
        <v>13</v>
      </c>
      <c r="AA23" s="60">
        <f>求节点(节奏总纲!AD$4:AD$363,S$11:S$370,$Z23)</f>
        <v>260.17725857641517</v>
      </c>
      <c r="AB23" s="60">
        <f>求节点(节奏总纲!AE$4:AE$363,T$11:T$370,$Z23)</f>
        <v>223.9201229692149</v>
      </c>
      <c r="AC23" s="60">
        <f>求节点(节奏总纲!AF$4:AF$363,U$11:U$370,$Z23)</f>
        <v>178.23435522087416</v>
      </c>
      <c r="AD23" s="60">
        <f>求节点(节奏总纲!AG$4:AG$363,V$11:V$370,$Z23)</f>
        <v>144.6479280602077</v>
      </c>
      <c r="AE23" s="60">
        <f>求节点(节奏总纲!AH$4:AH$363,W$11:W$370,$Z23)</f>
        <v>104.97569872284348</v>
      </c>
    </row>
    <row r="24" spans="3:31" x14ac:dyDescent="0.15">
      <c r="C24" s="60">
        <v>12</v>
      </c>
      <c r="D24" s="60" t="s">
        <v>139</v>
      </c>
      <c r="E24" s="60">
        <v>3</v>
      </c>
      <c r="F24" s="25">
        <f>IF(D24="",0,INDEX(道具信息!$J:$J,MATCH(奖励设计!D24,道具信息!$D:$D,0)))</f>
        <v>6</v>
      </c>
      <c r="G24" s="60" t="s">
        <v>140</v>
      </c>
      <c r="H24" s="60">
        <v>3</v>
      </c>
      <c r="I24" s="25">
        <f>IF(G24="",0,INDEX(道具信息!$J:$J,MATCH(奖励设计!G24,道具信息!$D:$D,0)))</f>
        <v>6</v>
      </c>
      <c r="J24" s="60" t="s">
        <v>141</v>
      </c>
      <c r="K24" s="60">
        <v>3</v>
      </c>
      <c r="L24" s="25">
        <f>IF(J24="",0,INDEX(道具信息!$J:$J,MATCH(奖励设计!J24,道具信息!$D:$D,0)))</f>
        <v>6</v>
      </c>
      <c r="M24" s="60" t="s">
        <v>142</v>
      </c>
      <c r="N24" s="60">
        <v>3</v>
      </c>
      <c r="O24" s="25">
        <f>IF(M24="",0,INDEX(道具信息!$J:$J,MATCH(奖励设计!M24,道具信息!$D:$D,0)))</f>
        <v>6</v>
      </c>
      <c r="P24" s="60">
        <f t="shared" si="0"/>
        <v>72</v>
      </c>
      <c r="R24" s="60">
        <v>14</v>
      </c>
      <c r="S24" s="60">
        <f t="shared" si="2"/>
        <v>2407.0666666666666</v>
      </c>
      <c r="T24" s="60">
        <f t="shared" si="1"/>
        <v>2407.0666666666666</v>
      </c>
      <c r="U24" s="60">
        <f t="shared" si="1"/>
        <v>2407.0666666666666</v>
      </c>
      <c r="V24" s="60">
        <f t="shared" si="1"/>
        <v>2407.0666666666666</v>
      </c>
      <c r="W24" s="60">
        <f t="shared" si="1"/>
        <v>2407.0666666666666</v>
      </c>
      <c r="Z24" s="60">
        <v>14</v>
      </c>
      <c r="AA24" s="60">
        <f>求节点(节奏总纲!AD$4:AD$363,S$11:S$370,$Z24)</f>
        <v>289.59190032410913</v>
      </c>
      <c r="AB24" s="60">
        <f>求节点(节奏总纲!AE$4:AE$363,T$11:T$370,$Z24)</f>
        <v>251.99751628870052</v>
      </c>
      <c r="AC24" s="60">
        <f>求节点(节奏总纲!AF$4:AF$363,U$11:U$370,$Z24)</f>
        <v>204.68010828839866</v>
      </c>
      <c r="AD24" s="60">
        <f>求节点(节奏总纲!AG$4:AG$363,V$11:V$370,$Z24)</f>
        <v>155.77469175714677</v>
      </c>
      <c r="AE24" s="60">
        <f>求节点(节奏总纲!AH$4:AH$363,W$11:W$370,$Z24)</f>
        <v>113.0507524707545</v>
      </c>
    </row>
    <row r="25" spans="3:31" x14ac:dyDescent="0.15">
      <c r="C25" s="60">
        <v>13</v>
      </c>
      <c r="D25" s="60" t="s">
        <v>139</v>
      </c>
      <c r="E25" s="60">
        <v>3</v>
      </c>
      <c r="F25" s="25">
        <f>IF(D25="",0,INDEX(道具信息!$J:$J,MATCH(奖励设计!D25,道具信息!$D:$D,0)))</f>
        <v>6</v>
      </c>
      <c r="G25" s="60" t="s">
        <v>140</v>
      </c>
      <c r="H25" s="60">
        <v>3</v>
      </c>
      <c r="I25" s="25">
        <f>IF(G25="",0,INDEX(道具信息!$J:$J,MATCH(奖励设计!G25,道具信息!$D:$D,0)))</f>
        <v>6</v>
      </c>
      <c r="J25" s="60" t="s">
        <v>141</v>
      </c>
      <c r="K25" s="60">
        <v>3</v>
      </c>
      <c r="L25" s="25">
        <f>IF(J25="",0,INDEX(道具信息!$J:$J,MATCH(奖励设计!J25,道具信息!$D:$D,0)))</f>
        <v>6</v>
      </c>
      <c r="M25" s="60" t="s">
        <v>142</v>
      </c>
      <c r="N25" s="60">
        <v>3</v>
      </c>
      <c r="O25" s="25">
        <f>IF(M25="",0,INDEX(道具信息!$J:$J,MATCH(奖励设计!M25,道具信息!$D:$D,0)))</f>
        <v>6</v>
      </c>
      <c r="P25" s="60">
        <f t="shared" si="0"/>
        <v>72</v>
      </c>
      <c r="R25" s="60">
        <v>15</v>
      </c>
      <c r="S25" s="60">
        <f t="shared" si="2"/>
        <v>2579</v>
      </c>
      <c r="T25" s="60">
        <f t="shared" si="1"/>
        <v>2579</v>
      </c>
      <c r="U25" s="60">
        <f t="shared" si="1"/>
        <v>2579</v>
      </c>
      <c r="V25" s="60">
        <f t="shared" si="1"/>
        <v>2579</v>
      </c>
      <c r="W25" s="60">
        <f t="shared" si="1"/>
        <v>2579</v>
      </c>
      <c r="Z25" s="60">
        <v>15</v>
      </c>
      <c r="AA25" s="60">
        <f>求节点(节奏总纲!AD$4:AD$363,S$11:S$370,$Z25)</f>
        <v>319.0065420718031</v>
      </c>
      <c r="AB25" s="60">
        <f>求节点(节奏总纲!AE$4:AE$363,T$11:T$370,$Z25)</f>
        <v>280.07490960818615</v>
      </c>
      <c r="AC25" s="60">
        <f>求节点(节奏总纲!AF$4:AF$363,U$11:U$370,$Z25)</f>
        <v>231.12586135592312</v>
      </c>
      <c r="AD25" s="60">
        <f>求节点(节奏总纲!AG$4:AG$363,V$11:V$370,$Z25)</f>
        <v>166.90145545408583</v>
      </c>
      <c r="AE25" s="60">
        <f>求节点(节奏总纲!AH$4:AH$363,W$11:W$370,$Z25)</f>
        <v>121.12580621866553</v>
      </c>
    </row>
    <row r="26" spans="3:31" x14ac:dyDescent="0.15">
      <c r="C26" s="60">
        <v>14</v>
      </c>
      <c r="D26" s="60" t="s">
        <v>139</v>
      </c>
      <c r="E26" s="60">
        <v>3</v>
      </c>
      <c r="F26" s="25">
        <f>IF(D26="",0,INDEX(道具信息!$J:$J,MATCH(奖励设计!D26,道具信息!$D:$D,0)))</f>
        <v>6</v>
      </c>
      <c r="G26" s="60" t="s">
        <v>140</v>
      </c>
      <c r="H26" s="60">
        <v>3</v>
      </c>
      <c r="I26" s="25">
        <f>IF(G26="",0,INDEX(道具信息!$J:$J,MATCH(奖励设计!G26,道具信息!$D:$D,0)))</f>
        <v>6</v>
      </c>
      <c r="J26" s="60" t="s">
        <v>141</v>
      </c>
      <c r="K26" s="60">
        <v>3</v>
      </c>
      <c r="L26" s="25">
        <f>IF(J26="",0,INDEX(道具信息!$J:$J,MATCH(奖励设计!J26,道具信息!$D:$D,0)))</f>
        <v>6</v>
      </c>
      <c r="M26" s="60" t="s">
        <v>142</v>
      </c>
      <c r="N26" s="60">
        <v>3</v>
      </c>
      <c r="O26" s="25">
        <f>IF(M26="",0,INDEX(道具信息!$J:$J,MATCH(奖励设计!M26,道具信息!$D:$D,0)))</f>
        <v>6</v>
      </c>
      <c r="P26" s="60">
        <f t="shared" si="0"/>
        <v>72</v>
      </c>
      <c r="R26" s="60">
        <v>16</v>
      </c>
      <c r="S26" s="60">
        <f t="shared" si="2"/>
        <v>2750.9333333333334</v>
      </c>
      <c r="T26" s="60">
        <f t="shared" si="1"/>
        <v>2750.9333333333334</v>
      </c>
      <c r="U26" s="60">
        <f t="shared" si="1"/>
        <v>2750.9333333333334</v>
      </c>
      <c r="V26" s="60">
        <f t="shared" si="1"/>
        <v>2750.9333333333334</v>
      </c>
      <c r="W26" s="60">
        <f t="shared" si="1"/>
        <v>2750.9333333333334</v>
      </c>
      <c r="Z26" s="60">
        <v>16</v>
      </c>
      <c r="AA26" s="60">
        <f>求节点(节奏总纲!AD$4:AD$363,S$11:S$370,$Z26)</f>
        <v>350.27410921913366</v>
      </c>
      <c r="AB26" s="60">
        <f>求节点(节奏总纲!AE$4:AE$363,T$11:T$370,$Z26)</f>
        <v>308.15230292767177</v>
      </c>
      <c r="AC26" s="60">
        <f>求节点(节奏总纲!AF$4:AF$363,U$11:U$370,$Z26)</f>
        <v>257.57161442344761</v>
      </c>
      <c r="AD26" s="60">
        <f>求节点(节奏总纲!AG$4:AG$363,V$11:V$370,$Z26)</f>
        <v>185.22718024607647</v>
      </c>
      <c r="AE26" s="60">
        <f>求节点(节奏总纲!AH$4:AH$363,W$11:W$370,$Z26)</f>
        <v>129.20085996657656</v>
      </c>
    </row>
    <row r="27" spans="3:31" x14ac:dyDescent="0.15">
      <c r="C27" s="60">
        <v>15</v>
      </c>
      <c r="D27" s="60" t="s">
        <v>143</v>
      </c>
      <c r="E27" s="60">
        <v>3</v>
      </c>
      <c r="F27" s="25">
        <f>IF(D27="",0,INDEX(道具信息!$J:$J,MATCH(奖励设计!D27,道具信息!$D:$D,0)))</f>
        <v>240</v>
      </c>
      <c r="G27" s="60" t="s">
        <v>125</v>
      </c>
      <c r="H27" s="60">
        <v>2</v>
      </c>
      <c r="I27" s="25">
        <f>IF(G27="",0,INDEX(道具信息!$J:$J,MATCH(奖励设计!G27,道具信息!$D:$D,0)))</f>
        <v>50</v>
      </c>
      <c r="J27" s="60"/>
      <c r="K27" s="60"/>
      <c r="L27" s="25">
        <f>IF(J27="",0,INDEX(道具信息!$J:$J,MATCH(奖励设计!J27,道具信息!$D:$D,0)))</f>
        <v>0</v>
      </c>
      <c r="M27" s="60"/>
      <c r="N27" s="60"/>
      <c r="O27" s="25">
        <f>IF(M27="",0,INDEX(道具信息!$J:$J,MATCH(奖励设计!M27,道具信息!$D:$D,0)))</f>
        <v>0</v>
      </c>
      <c r="P27" s="60">
        <f t="shared" si="0"/>
        <v>820</v>
      </c>
      <c r="R27" s="60">
        <v>17</v>
      </c>
      <c r="S27" s="60">
        <f t="shared" si="2"/>
        <v>2922.8666666666668</v>
      </c>
      <c r="T27" s="60">
        <f t="shared" si="2"/>
        <v>2922.8666666666668</v>
      </c>
      <c r="U27" s="60">
        <f t="shared" si="2"/>
        <v>2922.8666666666668</v>
      </c>
      <c r="V27" s="60">
        <f t="shared" si="2"/>
        <v>2922.8666666666668</v>
      </c>
      <c r="W27" s="60">
        <f t="shared" si="2"/>
        <v>2922.8666666666668</v>
      </c>
      <c r="Z27" s="60">
        <v>17</v>
      </c>
      <c r="AA27" s="60">
        <f>求节点(节奏总纲!AD$4:AD$363,S$11:S$370,$Z27)</f>
        <v>391.65558191435025</v>
      </c>
      <c r="AB27" s="60">
        <f>求节点(节奏总纲!AE$4:AE$363,T$11:T$370,$Z27)</f>
        <v>336.22969624715745</v>
      </c>
      <c r="AC27" s="60">
        <f>求节点(节奏总纲!AF$4:AF$363,U$11:U$370,$Z27)</f>
        <v>284.01736749097211</v>
      </c>
      <c r="AD27" s="60">
        <f>求节点(节奏总纲!AG$4:AG$363,V$11:V$370,$Z27)</f>
        <v>209.49629662427301</v>
      </c>
      <c r="AE27" s="60">
        <f>求节点(节奏总纲!AH$4:AH$363,W$11:W$370,$Z27)</f>
        <v>137.27591371448761</v>
      </c>
    </row>
    <row r="28" spans="3:31" x14ac:dyDescent="0.15">
      <c r="C28" s="60">
        <v>16</v>
      </c>
      <c r="D28" s="60" t="s">
        <v>139</v>
      </c>
      <c r="E28" s="60">
        <v>3</v>
      </c>
      <c r="F28" s="25">
        <f>IF(D28="",0,INDEX(道具信息!$J:$J,MATCH(奖励设计!D28,道具信息!$D:$D,0)))</f>
        <v>6</v>
      </c>
      <c r="G28" s="60" t="s">
        <v>140</v>
      </c>
      <c r="H28" s="60">
        <v>3</v>
      </c>
      <c r="I28" s="25">
        <f>IF(G28="",0,INDEX(道具信息!$J:$J,MATCH(奖励设计!G28,道具信息!$D:$D,0)))</f>
        <v>6</v>
      </c>
      <c r="J28" s="60" t="s">
        <v>141</v>
      </c>
      <c r="K28" s="60">
        <v>3</v>
      </c>
      <c r="L28" s="25">
        <f>IF(J28="",0,INDEX(道具信息!$J:$J,MATCH(奖励设计!J28,道具信息!$D:$D,0)))</f>
        <v>6</v>
      </c>
      <c r="M28" s="60" t="s">
        <v>142</v>
      </c>
      <c r="N28" s="60">
        <v>3</v>
      </c>
      <c r="O28" s="25">
        <f>IF(M28="",0,INDEX(道具信息!$J:$J,MATCH(奖励设计!M28,道具信息!$D:$D,0)))</f>
        <v>6</v>
      </c>
      <c r="P28" s="60">
        <f t="shared" si="0"/>
        <v>72</v>
      </c>
      <c r="R28" s="60">
        <v>18</v>
      </c>
      <c r="S28" s="60">
        <f t="shared" si="2"/>
        <v>3094.8</v>
      </c>
      <c r="T28" s="60">
        <f t="shared" si="2"/>
        <v>3094.8</v>
      </c>
      <c r="U28" s="60">
        <f t="shared" si="2"/>
        <v>3094.8</v>
      </c>
      <c r="V28" s="60">
        <f t="shared" si="2"/>
        <v>3094.8</v>
      </c>
      <c r="W28" s="60">
        <f t="shared" si="2"/>
        <v>3094.8</v>
      </c>
      <c r="Z28" s="60">
        <v>18</v>
      </c>
      <c r="AA28" s="60">
        <f>求节点(节奏总纲!AD$4:AD$363,S$11:S$370,$Z28)</f>
        <v>433.03705460956678</v>
      </c>
      <c r="AB28" s="60">
        <f>求节点(节奏总纲!AE$4:AE$363,T$11:T$370,$Z28)</f>
        <v>373.16732824220873</v>
      </c>
      <c r="AC28" s="60">
        <f>求节点(节奏总纲!AF$4:AF$363,U$11:U$370,$Z28)</f>
        <v>310.4631205584966</v>
      </c>
      <c r="AD28" s="60">
        <f>求节点(节奏总纲!AG$4:AG$363,V$11:V$370,$Z28)</f>
        <v>233.76541300246959</v>
      </c>
      <c r="AE28" s="60">
        <f>求节点(节奏总纲!AH$4:AH$363,W$11:W$370,$Z28)</f>
        <v>145.35096746239864</v>
      </c>
    </row>
    <row r="29" spans="3:31" x14ac:dyDescent="0.15">
      <c r="C29" s="60">
        <v>17</v>
      </c>
      <c r="D29" s="60" t="s">
        <v>139</v>
      </c>
      <c r="E29" s="60">
        <v>3</v>
      </c>
      <c r="F29" s="25">
        <f>IF(D29="",0,INDEX(道具信息!$J:$J,MATCH(奖励设计!D29,道具信息!$D:$D,0)))</f>
        <v>6</v>
      </c>
      <c r="G29" s="60" t="s">
        <v>140</v>
      </c>
      <c r="H29" s="60">
        <v>3</v>
      </c>
      <c r="I29" s="25">
        <f>IF(G29="",0,INDEX(道具信息!$J:$J,MATCH(奖励设计!G29,道具信息!$D:$D,0)))</f>
        <v>6</v>
      </c>
      <c r="J29" s="60" t="s">
        <v>141</v>
      </c>
      <c r="K29" s="60">
        <v>3</v>
      </c>
      <c r="L29" s="25">
        <f>IF(J29="",0,INDEX(道具信息!$J:$J,MATCH(奖励设计!J29,道具信息!$D:$D,0)))</f>
        <v>6</v>
      </c>
      <c r="M29" s="60" t="s">
        <v>142</v>
      </c>
      <c r="N29" s="60">
        <v>3</v>
      </c>
      <c r="O29" s="25">
        <f>IF(M29="",0,INDEX(道具信息!$J:$J,MATCH(奖励设计!M29,道具信息!$D:$D,0)))</f>
        <v>6</v>
      </c>
      <c r="P29" s="60">
        <f t="shared" si="0"/>
        <v>72</v>
      </c>
      <c r="R29" s="60">
        <v>19</v>
      </c>
      <c r="S29" s="60">
        <f t="shared" si="2"/>
        <v>3266.7333333333331</v>
      </c>
      <c r="T29" s="60">
        <f t="shared" si="2"/>
        <v>3266.7333333333331</v>
      </c>
      <c r="U29" s="60">
        <f t="shared" si="2"/>
        <v>3266.7333333333331</v>
      </c>
      <c r="V29" s="60">
        <f t="shared" si="2"/>
        <v>3266.7333333333331</v>
      </c>
      <c r="W29" s="60">
        <f t="shared" si="2"/>
        <v>3266.7333333333331</v>
      </c>
      <c r="Z29" s="60">
        <v>19</v>
      </c>
      <c r="AA29" s="60">
        <f>求节点(节奏总纲!AD$4:AD$363,S$11:S$370,$Z29)</f>
        <v>474.41852730478342</v>
      </c>
      <c r="AB29" s="60">
        <f>求节点(节奏总纲!AE$4:AE$363,T$11:T$370,$Z29)</f>
        <v>413.41533111393915</v>
      </c>
      <c r="AC29" s="60">
        <f>求节点(节奏总纲!AF$4:AF$363,U$11:U$370,$Z29)</f>
        <v>336.90887362602109</v>
      </c>
      <c r="AD29" s="60">
        <f>求节点(节奏总纲!AG$4:AG$363,V$11:V$370,$Z29)</f>
        <v>258.03452938066613</v>
      </c>
      <c r="AE29" s="60">
        <f>求节点(节奏总纲!AH$4:AH$363,W$11:W$370,$Z29)</f>
        <v>153.42602121030967</v>
      </c>
    </row>
    <row r="30" spans="3:31" x14ac:dyDescent="0.15">
      <c r="C30" s="60">
        <v>18</v>
      </c>
      <c r="D30" s="60" t="s">
        <v>139</v>
      </c>
      <c r="E30" s="60">
        <v>3</v>
      </c>
      <c r="F30" s="25">
        <f>IF(D30="",0,INDEX(道具信息!$J:$J,MATCH(奖励设计!D30,道具信息!$D:$D,0)))</f>
        <v>6</v>
      </c>
      <c r="G30" s="60" t="s">
        <v>140</v>
      </c>
      <c r="H30" s="60">
        <v>3</v>
      </c>
      <c r="I30" s="25">
        <f>IF(G30="",0,INDEX(道具信息!$J:$J,MATCH(奖励设计!G30,道具信息!$D:$D,0)))</f>
        <v>6</v>
      </c>
      <c r="J30" s="60" t="s">
        <v>141</v>
      </c>
      <c r="K30" s="60">
        <v>3</v>
      </c>
      <c r="L30" s="25">
        <f>IF(J30="",0,INDEX(道具信息!$J:$J,MATCH(奖励设计!J30,道具信息!$D:$D,0)))</f>
        <v>6</v>
      </c>
      <c r="M30" s="60" t="s">
        <v>142</v>
      </c>
      <c r="N30" s="60">
        <v>3</v>
      </c>
      <c r="O30" s="25">
        <f>IF(M30="",0,INDEX(道具信息!$J:$J,MATCH(奖励设计!M30,道具信息!$D:$D,0)))</f>
        <v>6</v>
      </c>
      <c r="P30" s="60">
        <f t="shared" si="0"/>
        <v>72</v>
      </c>
      <c r="R30" s="60">
        <v>20</v>
      </c>
      <c r="S30" s="60">
        <f t="shared" si="2"/>
        <v>3438.6666666666665</v>
      </c>
      <c r="T30" s="60">
        <f t="shared" si="2"/>
        <v>3438.6666666666665</v>
      </c>
      <c r="U30" s="60">
        <f t="shared" si="2"/>
        <v>3438.6666666666665</v>
      </c>
      <c r="V30" s="60">
        <f t="shared" si="2"/>
        <v>3438.6666666666665</v>
      </c>
      <c r="W30" s="60">
        <f t="shared" si="2"/>
        <v>3438.6666666666665</v>
      </c>
      <c r="Z30" s="60">
        <v>20</v>
      </c>
      <c r="AA30" s="60">
        <f>求节点(节奏总纲!AD$4:AD$363,S$11:S$370,$Z30)</f>
        <v>515.79999999999995</v>
      </c>
      <c r="AB30" s="60">
        <f>求节点(节奏总纲!AE$4:AE$363,T$11:T$370,$Z30)</f>
        <v>453.66333398566957</v>
      </c>
      <c r="AC30" s="60">
        <f>求节点(节奏总纲!AF$4:AF$363,U$11:U$370,$Z30)</f>
        <v>372.20116033946545</v>
      </c>
      <c r="AD30" s="60">
        <f>求节点(节奏总纲!AG$4:AG$363,V$11:V$370,$Z30)</f>
        <v>282.30364575886267</v>
      </c>
      <c r="AE30" s="60">
        <f>求节点(节奏总纲!AH$4:AH$363,W$11:W$370,$Z30)</f>
        <v>161.50107495822073</v>
      </c>
    </row>
    <row r="31" spans="3:31" x14ac:dyDescent="0.15">
      <c r="C31" s="60">
        <v>19</v>
      </c>
      <c r="D31" s="60" t="s">
        <v>139</v>
      </c>
      <c r="E31" s="60">
        <v>3</v>
      </c>
      <c r="F31" s="25">
        <f>IF(D31="",0,INDEX(道具信息!$J:$J,MATCH(奖励设计!D31,道具信息!$D:$D,0)))</f>
        <v>6</v>
      </c>
      <c r="G31" s="60" t="s">
        <v>140</v>
      </c>
      <c r="H31" s="60">
        <v>3</v>
      </c>
      <c r="I31" s="25">
        <f>IF(G31="",0,INDEX(道具信息!$J:$J,MATCH(奖励设计!G31,道具信息!$D:$D,0)))</f>
        <v>6</v>
      </c>
      <c r="J31" s="60" t="s">
        <v>141</v>
      </c>
      <c r="K31" s="60">
        <v>3</v>
      </c>
      <c r="L31" s="25">
        <f>IF(J31="",0,INDEX(道具信息!$J:$J,MATCH(奖励设计!J31,道具信息!$D:$D,0)))</f>
        <v>6</v>
      </c>
      <c r="M31" s="60" t="s">
        <v>142</v>
      </c>
      <c r="N31" s="60">
        <v>3</v>
      </c>
      <c r="O31" s="25">
        <f>IF(M31="",0,INDEX(道具信息!$J:$J,MATCH(奖励设计!M31,道具信息!$D:$D,0)))</f>
        <v>6</v>
      </c>
      <c r="P31" s="60">
        <f t="shared" si="0"/>
        <v>72</v>
      </c>
      <c r="R31" s="60">
        <v>21</v>
      </c>
      <c r="S31" s="60">
        <f t="shared" si="2"/>
        <v>3610.6</v>
      </c>
      <c r="T31" s="60">
        <f t="shared" si="2"/>
        <v>3610.6</v>
      </c>
      <c r="U31" s="60">
        <f t="shared" si="2"/>
        <v>3610.6</v>
      </c>
      <c r="V31" s="60">
        <f t="shared" si="2"/>
        <v>3610.6</v>
      </c>
      <c r="W31" s="60">
        <f t="shared" si="2"/>
        <v>3610.6</v>
      </c>
      <c r="Z31" s="60">
        <v>21</v>
      </c>
      <c r="AA31" s="60">
        <f>求节点(节奏总纲!AD$4:AD$363,S$11:S$370,$Z31)</f>
        <v>569.3053370504424</v>
      </c>
      <c r="AB31" s="60">
        <f>求节点(节奏总纲!AE$4:AE$363,T$11:T$370,$Z31)</f>
        <v>493.91133685739999</v>
      </c>
      <c r="AC31" s="60">
        <f>求节点(节奏总纲!AF$4:AF$363,U$11:U$370,$Z31)</f>
        <v>410.6519279893713</v>
      </c>
      <c r="AD31" s="60">
        <f>求节点(节奏总纲!AG$4:AG$363,V$11:V$370,$Z31)</f>
        <v>306.57276213705921</v>
      </c>
      <c r="AE31" s="60">
        <f>求节点(节奏总纲!AH$4:AH$363,W$11:W$370,$Z31)</f>
        <v>169.57612870613175</v>
      </c>
    </row>
    <row r="32" spans="3:31" x14ac:dyDescent="0.15">
      <c r="C32" s="60">
        <v>20</v>
      </c>
      <c r="D32" s="60" t="s">
        <v>124</v>
      </c>
      <c r="E32" s="60">
        <v>1</v>
      </c>
      <c r="F32" s="25">
        <f>IF(D32="",0,INDEX(道具信息!$J:$J,MATCH(奖励设计!D32,道具信息!$D:$D,0)))</f>
        <v>300</v>
      </c>
      <c r="G32" s="60" t="s">
        <v>125</v>
      </c>
      <c r="H32" s="60">
        <v>2</v>
      </c>
      <c r="I32" s="25">
        <f>IF(G32="",0,INDEX(道具信息!$J:$J,MATCH(奖励设计!G32,道具信息!$D:$D,0)))</f>
        <v>50</v>
      </c>
      <c r="J32" s="60"/>
      <c r="K32" s="60"/>
      <c r="L32" s="25">
        <f>IF(J32="",0,INDEX(道具信息!$J:$J,MATCH(奖励设计!J32,道具信息!$D:$D,0)))</f>
        <v>0</v>
      </c>
      <c r="M32" s="60"/>
      <c r="N32" s="60"/>
      <c r="O32" s="25">
        <f>IF(M32="",0,INDEX(道具信息!$J:$J,MATCH(奖励设计!M32,道具信息!$D:$D,0)))</f>
        <v>0</v>
      </c>
      <c r="P32" s="60">
        <f t="shared" si="0"/>
        <v>400</v>
      </c>
      <c r="R32" s="60">
        <v>22</v>
      </c>
      <c r="S32" s="60">
        <f t="shared" si="2"/>
        <v>3782.5333333333333</v>
      </c>
      <c r="T32" s="60">
        <f t="shared" si="2"/>
        <v>3782.5333333333333</v>
      </c>
      <c r="U32" s="60">
        <f t="shared" si="2"/>
        <v>3782.5333333333333</v>
      </c>
      <c r="V32" s="60">
        <f t="shared" si="2"/>
        <v>3782.5333333333333</v>
      </c>
      <c r="W32" s="60">
        <f t="shared" si="2"/>
        <v>3782.5333333333333</v>
      </c>
      <c r="Z32" s="60">
        <v>22</v>
      </c>
      <c r="AA32" s="60">
        <f>求节点(节奏总纲!AD$4:AD$363,S$11:S$370,$Z32)</f>
        <v>622.81067410088485</v>
      </c>
      <c r="AB32" s="60">
        <f>求节点(节奏总纲!AE$4:AE$363,T$11:T$370,$Z32)</f>
        <v>539.6157944765622</v>
      </c>
      <c r="AC32" s="60">
        <f>求节点(节奏总纲!AF$4:AF$363,U$11:U$370,$Z32)</f>
        <v>449.1026956392771</v>
      </c>
      <c r="AD32" s="60">
        <f>求节点(节奏总纲!AG$4:AG$363,V$11:V$370,$Z32)</f>
        <v>330.84187851525576</v>
      </c>
      <c r="AE32" s="60">
        <f>求节点(节奏总纲!AH$4:AH$363,W$11:W$370,$Z32)</f>
        <v>186.97442733754801</v>
      </c>
    </row>
    <row r="33" spans="3:31" x14ac:dyDescent="0.15">
      <c r="C33" s="60">
        <v>21</v>
      </c>
      <c r="D33" s="60" t="s">
        <v>139</v>
      </c>
      <c r="E33" s="60">
        <v>3</v>
      </c>
      <c r="F33" s="25">
        <f>IF(D33="",0,INDEX(道具信息!$J:$J,MATCH(奖励设计!D33,道具信息!$D:$D,0)))</f>
        <v>6</v>
      </c>
      <c r="G33" s="60" t="s">
        <v>140</v>
      </c>
      <c r="H33" s="60">
        <v>3</v>
      </c>
      <c r="I33" s="25">
        <f>IF(G33="",0,INDEX(道具信息!$J:$J,MATCH(奖励设计!G33,道具信息!$D:$D,0)))</f>
        <v>6</v>
      </c>
      <c r="J33" s="60" t="s">
        <v>141</v>
      </c>
      <c r="K33" s="60">
        <v>3</v>
      </c>
      <c r="L33" s="25">
        <f>IF(J33="",0,INDEX(道具信息!$J:$J,MATCH(奖励设计!J33,道具信息!$D:$D,0)))</f>
        <v>6</v>
      </c>
      <c r="M33" s="60" t="s">
        <v>142</v>
      </c>
      <c r="N33" s="60">
        <v>3</v>
      </c>
      <c r="O33" s="25">
        <f>IF(M33="",0,INDEX(道具信息!$J:$J,MATCH(奖励设计!M33,道具信息!$D:$D,0)))</f>
        <v>6</v>
      </c>
      <c r="P33" s="60">
        <f t="shared" si="0"/>
        <v>72</v>
      </c>
      <c r="R33" s="60">
        <v>23</v>
      </c>
      <c r="S33" s="60">
        <f t="shared" si="2"/>
        <v>3954.4666666666667</v>
      </c>
      <c r="T33" s="60">
        <f t="shared" si="2"/>
        <v>3954.4666666666667</v>
      </c>
      <c r="U33" s="60">
        <f t="shared" si="2"/>
        <v>3954.4666666666667</v>
      </c>
      <c r="V33" s="60">
        <f t="shared" si="2"/>
        <v>3954.4666666666667</v>
      </c>
      <c r="W33" s="60">
        <f t="shared" si="2"/>
        <v>3954.4666666666667</v>
      </c>
      <c r="Z33" s="60">
        <v>23</v>
      </c>
      <c r="AA33" s="60">
        <f>求节点(节奏总纲!AD$4:AD$363,S$11:S$370,$Z33)</f>
        <v>676.3160111513273</v>
      </c>
      <c r="AB33" s="60">
        <f>求节点(节奏总纲!AE$4:AE$363,T$11:T$370,$Z33)</f>
        <v>591.82563309969737</v>
      </c>
      <c r="AC33" s="60">
        <f>求节点(节奏总纲!AF$4:AF$363,U$11:U$370,$Z33)</f>
        <v>487.5534632891829</v>
      </c>
      <c r="AD33" s="60">
        <f>求节点(节奏总纲!AG$4:AG$363,V$11:V$370,$Z33)</f>
        <v>360.50431496164742</v>
      </c>
      <c r="AE33" s="60">
        <f>求节点(节奏总纲!AH$4:AH$363,W$11:W$370,$Z33)</f>
        <v>208.21626844725989</v>
      </c>
    </row>
    <row r="34" spans="3:31" x14ac:dyDescent="0.15">
      <c r="C34" s="60">
        <v>22</v>
      </c>
      <c r="D34" s="60" t="s">
        <v>139</v>
      </c>
      <c r="E34" s="60">
        <v>3</v>
      </c>
      <c r="F34" s="25">
        <f>IF(D34="",0,INDEX(道具信息!$J:$J,MATCH(奖励设计!D34,道具信息!$D:$D,0)))</f>
        <v>6</v>
      </c>
      <c r="G34" s="60" t="s">
        <v>140</v>
      </c>
      <c r="H34" s="60">
        <v>3</v>
      </c>
      <c r="I34" s="25">
        <f>IF(G34="",0,INDEX(道具信息!$J:$J,MATCH(奖励设计!G34,道具信息!$D:$D,0)))</f>
        <v>6</v>
      </c>
      <c r="J34" s="60" t="s">
        <v>141</v>
      </c>
      <c r="K34" s="60">
        <v>3</v>
      </c>
      <c r="L34" s="25">
        <f>IF(J34="",0,INDEX(道具信息!$J:$J,MATCH(奖励设计!J34,道具信息!$D:$D,0)))</f>
        <v>6</v>
      </c>
      <c r="M34" s="60" t="s">
        <v>142</v>
      </c>
      <c r="N34" s="60">
        <v>3</v>
      </c>
      <c r="O34" s="25">
        <f>IF(M34="",0,INDEX(道具信息!$J:$J,MATCH(奖励设计!M34,道具信息!$D:$D,0)))</f>
        <v>6</v>
      </c>
      <c r="P34" s="60">
        <f t="shared" si="0"/>
        <v>72</v>
      </c>
      <c r="R34" s="60">
        <v>24</v>
      </c>
      <c r="S34" s="60">
        <f t="shared" si="2"/>
        <v>4126.3999999999996</v>
      </c>
      <c r="T34" s="60">
        <f t="shared" si="2"/>
        <v>4126.3999999999996</v>
      </c>
      <c r="U34" s="60">
        <f t="shared" si="2"/>
        <v>4126.3999999999996</v>
      </c>
      <c r="V34" s="60">
        <f t="shared" si="2"/>
        <v>4126.3999999999996</v>
      </c>
      <c r="W34" s="60">
        <f t="shared" si="2"/>
        <v>4126.3999999999996</v>
      </c>
      <c r="Z34" s="60">
        <v>24</v>
      </c>
      <c r="AA34" s="60">
        <f>求节点(节奏总纲!AD$4:AD$363,S$11:S$370,$Z34)</f>
        <v>739.12262964332535</v>
      </c>
      <c r="AB34" s="60">
        <f>求节点(节奏总纲!AE$4:AE$363,T$11:T$370,$Z34)</f>
        <v>644.03547172283265</v>
      </c>
      <c r="AC34" s="60">
        <f>求节点(节奏总纲!AF$4:AF$363,U$11:U$370,$Z34)</f>
        <v>529.13734506233209</v>
      </c>
      <c r="AD34" s="60">
        <f>求节点(节奏总纲!AG$4:AG$363,V$11:V$370,$Z34)</f>
        <v>396.4140656009543</v>
      </c>
      <c r="AE34" s="60">
        <f>求节点(节奏总纲!AH$4:AH$363,W$11:W$370,$Z34)</f>
        <v>229.45810955697181</v>
      </c>
    </row>
    <row r="35" spans="3:31" x14ac:dyDescent="0.15">
      <c r="C35" s="60">
        <v>23</v>
      </c>
      <c r="D35" s="60" t="s">
        <v>139</v>
      </c>
      <c r="E35" s="60">
        <v>3</v>
      </c>
      <c r="F35" s="25">
        <f>IF(D35="",0,INDEX(道具信息!$J:$J,MATCH(奖励设计!D35,道具信息!$D:$D,0)))</f>
        <v>6</v>
      </c>
      <c r="G35" s="60" t="s">
        <v>140</v>
      </c>
      <c r="H35" s="60">
        <v>3</v>
      </c>
      <c r="I35" s="25">
        <f>IF(G35="",0,INDEX(道具信息!$J:$J,MATCH(奖励设计!G35,道具信息!$D:$D,0)))</f>
        <v>6</v>
      </c>
      <c r="J35" s="60" t="s">
        <v>141</v>
      </c>
      <c r="K35" s="60">
        <v>3</v>
      </c>
      <c r="L35" s="25">
        <f>IF(J35="",0,INDEX(道具信息!$J:$J,MATCH(奖励设计!J35,道具信息!$D:$D,0)))</f>
        <v>6</v>
      </c>
      <c r="M35" s="60" t="s">
        <v>142</v>
      </c>
      <c r="N35" s="60">
        <v>3</v>
      </c>
      <c r="O35" s="25">
        <f>IF(M35="",0,INDEX(道具信息!$J:$J,MATCH(奖励设计!M35,道具信息!$D:$D,0)))</f>
        <v>6</v>
      </c>
      <c r="P35" s="60">
        <f t="shared" si="0"/>
        <v>72</v>
      </c>
      <c r="R35" s="60">
        <v>25</v>
      </c>
      <c r="S35" s="60">
        <f t="shared" si="2"/>
        <v>4298.333333333333</v>
      </c>
      <c r="T35" s="60">
        <f t="shared" si="2"/>
        <v>4298.333333333333</v>
      </c>
      <c r="U35" s="60">
        <f t="shared" si="2"/>
        <v>4298.333333333333</v>
      </c>
      <c r="V35" s="60">
        <f t="shared" si="2"/>
        <v>4298.333333333333</v>
      </c>
      <c r="W35" s="60">
        <f t="shared" si="2"/>
        <v>4298.333333333333</v>
      </c>
      <c r="Z35" s="60">
        <v>25</v>
      </c>
      <c r="AA35" s="60">
        <f>求节点(节奏总纲!AD$4:AD$363,S$11:S$370,$Z35)</f>
        <v>804.45243026343542</v>
      </c>
      <c r="AB35" s="60">
        <f>求节点(节奏总纲!AE$4:AE$363,T$11:T$370,$Z35)</f>
        <v>698.16043953249971</v>
      </c>
      <c r="AC35" s="60">
        <f>求节点(节奏总纲!AF$4:AF$363,U$11:U$370,$Z35)</f>
        <v>579.39406299821076</v>
      </c>
      <c r="AD35" s="60">
        <f>求节点(节奏总纲!AG$4:AG$363,V$11:V$370,$Z35)</f>
        <v>432.32381624026118</v>
      </c>
      <c r="AE35" s="60">
        <f>求节点(节奏总纲!AH$4:AH$363,W$11:W$370,$Z35)</f>
        <v>250.69995066668369</v>
      </c>
    </row>
    <row r="36" spans="3:31" x14ac:dyDescent="0.15">
      <c r="C36" s="60">
        <v>24</v>
      </c>
      <c r="D36" s="60" t="s">
        <v>139</v>
      </c>
      <c r="E36" s="60">
        <v>3</v>
      </c>
      <c r="F36" s="25">
        <f>IF(D36="",0,INDEX(道具信息!$J:$J,MATCH(奖励设计!D36,道具信息!$D:$D,0)))</f>
        <v>6</v>
      </c>
      <c r="G36" s="60" t="s">
        <v>140</v>
      </c>
      <c r="H36" s="60">
        <v>3</v>
      </c>
      <c r="I36" s="25">
        <f>IF(G36="",0,INDEX(道具信息!$J:$J,MATCH(奖励设计!G36,道具信息!$D:$D,0)))</f>
        <v>6</v>
      </c>
      <c r="J36" s="60" t="s">
        <v>141</v>
      </c>
      <c r="K36" s="60">
        <v>3</v>
      </c>
      <c r="L36" s="25">
        <f>IF(J36="",0,INDEX(道具信息!$J:$J,MATCH(奖励设计!J36,道具信息!$D:$D,0)))</f>
        <v>6</v>
      </c>
      <c r="M36" s="60" t="s">
        <v>142</v>
      </c>
      <c r="N36" s="60">
        <v>3</v>
      </c>
      <c r="O36" s="25">
        <f>IF(M36="",0,INDEX(道具信息!$J:$J,MATCH(奖励设计!M36,道具信息!$D:$D,0)))</f>
        <v>6</v>
      </c>
      <c r="P36" s="60">
        <f t="shared" si="0"/>
        <v>72</v>
      </c>
      <c r="R36" s="60">
        <v>26</v>
      </c>
      <c r="S36" s="60">
        <f t="shared" si="2"/>
        <v>4470.2666666666664</v>
      </c>
      <c r="T36" s="60">
        <f t="shared" si="2"/>
        <v>4470.2666666666664</v>
      </c>
      <c r="U36" s="60">
        <f t="shared" si="2"/>
        <v>4470.2666666666664</v>
      </c>
      <c r="V36" s="60">
        <f t="shared" si="2"/>
        <v>4470.2666666666664</v>
      </c>
      <c r="W36" s="60">
        <f t="shared" si="2"/>
        <v>4470.2666666666664</v>
      </c>
      <c r="Z36" s="60">
        <v>26</v>
      </c>
      <c r="AA36" s="60">
        <f>求节点(节奏总纲!AD$4:AD$363,S$11:S$370,$Z36)</f>
        <v>871.62591970951996</v>
      </c>
      <c r="AB36" s="60">
        <f>求节点(节奏总纲!AE$4:AE$363,T$11:T$370,$Z36)</f>
        <v>762.11708922230878</v>
      </c>
      <c r="AC36" s="60">
        <f>求节点(节奏总纲!AF$4:AF$363,U$11:U$370,$Z36)</f>
        <v>629.65078093408931</v>
      </c>
      <c r="AD36" s="60">
        <f>求节点(节奏总纲!AG$4:AG$363,V$11:V$370,$Z36)</f>
        <v>468.23356687956806</v>
      </c>
      <c r="AE36" s="60">
        <f>求节点(节奏总纲!AH$4:AH$363,W$11:W$370,$Z36)</f>
        <v>271.94179177639558</v>
      </c>
    </row>
    <row r="37" spans="3:31" x14ac:dyDescent="0.15">
      <c r="C37" s="60">
        <v>25</v>
      </c>
      <c r="D37" s="60" t="s">
        <v>124</v>
      </c>
      <c r="E37" s="60">
        <v>1</v>
      </c>
      <c r="F37" s="25">
        <f>IF(D37="",0,INDEX(道具信息!$J:$J,MATCH(奖励设计!D37,道具信息!$D:$D,0)))</f>
        <v>300</v>
      </c>
      <c r="G37" s="60" t="s">
        <v>125</v>
      </c>
      <c r="H37" s="60">
        <v>2</v>
      </c>
      <c r="I37" s="25">
        <f>IF(G37="",0,INDEX(道具信息!$J:$J,MATCH(奖励设计!G37,道具信息!$D:$D,0)))</f>
        <v>50</v>
      </c>
      <c r="J37" s="60"/>
      <c r="K37" s="60"/>
      <c r="L37" s="25">
        <f>IF(J37="",0,INDEX(道具信息!$J:$J,MATCH(奖励设计!J37,道具信息!$D:$D,0)))</f>
        <v>0</v>
      </c>
      <c r="M37" s="60"/>
      <c r="N37" s="60"/>
      <c r="O37" s="25">
        <f>IF(M37="",0,INDEX(道具信息!$J:$J,MATCH(奖励设计!M37,道具信息!$D:$D,0)))</f>
        <v>0</v>
      </c>
      <c r="P37" s="60">
        <f t="shared" ref="P37" si="6">IF(D37="","",SUM(E37*F37+H37*I37+K37*L37+N37*O37))</f>
        <v>400</v>
      </c>
      <c r="R37" s="60">
        <v>27</v>
      </c>
      <c r="S37" s="60">
        <f t="shared" si="2"/>
        <v>4642.2</v>
      </c>
      <c r="T37" s="60">
        <f t="shared" si="2"/>
        <v>4642.2</v>
      </c>
      <c r="U37" s="60">
        <f t="shared" si="2"/>
        <v>4642.2</v>
      </c>
      <c r="V37" s="60">
        <f t="shared" si="2"/>
        <v>4642.2</v>
      </c>
      <c r="W37" s="60">
        <f t="shared" si="2"/>
        <v>4642.2</v>
      </c>
      <c r="Z37" s="60">
        <v>27</v>
      </c>
      <c r="AA37" s="60">
        <f>求节点(节奏总纲!AD$4:AD$363,S$11:S$370,$Z37)</f>
        <v>948.86289830052954</v>
      </c>
      <c r="AB37" s="60">
        <f>求节点(节奏总纲!AE$4:AE$363,T$11:T$370,$Z37)</f>
        <v>826.07373891211785</v>
      </c>
      <c r="AC37" s="60">
        <f>求节点(节奏总纲!AF$4:AF$363,U$11:U$370,$Z37)</f>
        <v>679.90749886996798</v>
      </c>
      <c r="AD37" s="60">
        <f>求节点(节奏总纲!AG$4:AG$363,V$11:V$370,$Z37)</f>
        <v>504.14331751887494</v>
      </c>
      <c r="AE37" s="60">
        <f>求节点(节奏总纲!AH$4:AH$363,W$11:W$370,$Z37)</f>
        <v>293.18363288610749</v>
      </c>
    </row>
    <row r="38" spans="3:31" x14ac:dyDescent="0.15">
      <c r="C38" s="60">
        <v>26</v>
      </c>
      <c r="D38" s="60" t="s">
        <v>139</v>
      </c>
      <c r="E38" s="60">
        <v>3</v>
      </c>
      <c r="F38" s="25">
        <f>IF(D38="",0,INDEX(道具信息!$J:$J,MATCH(奖励设计!D38,道具信息!$D:$D,0)))</f>
        <v>6</v>
      </c>
      <c r="G38" s="60" t="s">
        <v>140</v>
      </c>
      <c r="H38" s="60">
        <v>3</v>
      </c>
      <c r="I38" s="25">
        <f>IF(G38="",0,INDEX(道具信息!$J:$J,MATCH(奖励设计!G38,道具信息!$D:$D,0)))</f>
        <v>6</v>
      </c>
      <c r="J38" s="60" t="s">
        <v>141</v>
      </c>
      <c r="K38" s="60">
        <v>3</v>
      </c>
      <c r="L38" s="25">
        <f>IF(J38="",0,INDEX(道具信息!$J:$J,MATCH(奖励设计!J38,道具信息!$D:$D,0)))</f>
        <v>6</v>
      </c>
      <c r="M38" s="60" t="s">
        <v>142</v>
      </c>
      <c r="N38" s="60">
        <v>3</v>
      </c>
      <c r="O38" s="25">
        <f>IF(M38="",0,INDEX(道具信息!$J:$J,MATCH(奖励设计!M38,道具信息!$D:$D,0)))</f>
        <v>6</v>
      </c>
      <c r="P38" s="60">
        <f t="shared" si="0"/>
        <v>72</v>
      </c>
      <c r="R38" s="60">
        <v>28</v>
      </c>
      <c r="S38" s="60">
        <f t="shared" si="2"/>
        <v>4814.1333333333332</v>
      </c>
      <c r="T38" s="60">
        <f t="shared" si="2"/>
        <v>4814.1333333333332</v>
      </c>
      <c r="U38" s="60">
        <f t="shared" si="2"/>
        <v>4814.1333333333332</v>
      </c>
      <c r="V38" s="60">
        <f t="shared" si="2"/>
        <v>4814.1333333333332</v>
      </c>
      <c r="W38" s="60">
        <f t="shared" si="2"/>
        <v>4814.1333333333332</v>
      </c>
      <c r="Z38" s="60">
        <v>28</v>
      </c>
      <c r="AA38" s="60">
        <f>求节点(节奏总纲!AD$4:AD$363,S$11:S$370,$Z38)</f>
        <v>1026.0998768915392</v>
      </c>
      <c r="AB38" s="60">
        <f>求节点(节奏总纲!AE$4:AE$363,T$11:T$370,$Z38)</f>
        <v>895.83901661052948</v>
      </c>
      <c r="AC38" s="60">
        <f>求节点(节奏总纲!AF$4:AF$363,U$11:U$370,$Z38)</f>
        <v>740.77685891411329</v>
      </c>
      <c r="AD38" s="60">
        <f>求节点(节奏总纲!AG$4:AG$363,V$11:V$370,$Z38)</f>
        <v>548.91481439842005</v>
      </c>
      <c r="AE38" s="60">
        <f>求节点(节奏总纲!AH$4:AH$363,W$11:W$370,$Z38)</f>
        <v>314.4254739958194</v>
      </c>
    </row>
    <row r="39" spans="3:31" x14ac:dyDescent="0.15">
      <c r="C39" s="60">
        <v>27</v>
      </c>
      <c r="D39" s="60" t="s">
        <v>139</v>
      </c>
      <c r="E39" s="60">
        <v>3</v>
      </c>
      <c r="F39" s="25">
        <f>IF(D39="",0,INDEX(道具信息!$J:$J,MATCH(奖励设计!D39,道具信息!$D:$D,0)))</f>
        <v>6</v>
      </c>
      <c r="G39" s="60" t="s">
        <v>140</v>
      </c>
      <c r="H39" s="60">
        <v>3</v>
      </c>
      <c r="I39" s="25">
        <f>IF(G39="",0,INDEX(道具信息!$J:$J,MATCH(奖励设计!G39,道具信息!$D:$D,0)))</f>
        <v>6</v>
      </c>
      <c r="J39" s="60" t="s">
        <v>141</v>
      </c>
      <c r="K39" s="60">
        <v>3</v>
      </c>
      <c r="L39" s="25">
        <f>IF(J39="",0,INDEX(道具信息!$J:$J,MATCH(奖励设计!J39,道具信息!$D:$D,0)))</f>
        <v>6</v>
      </c>
      <c r="M39" s="60" t="s">
        <v>142</v>
      </c>
      <c r="N39" s="60">
        <v>3</v>
      </c>
      <c r="O39" s="25">
        <f>IF(M39="",0,INDEX(道具信息!$J:$J,MATCH(奖励设计!M39,道具信息!$D:$D,0)))</f>
        <v>6</v>
      </c>
      <c r="P39" s="60">
        <f t="shared" si="0"/>
        <v>72</v>
      </c>
      <c r="R39" s="60">
        <v>29</v>
      </c>
      <c r="S39" s="60">
        <f t="shared" si="2"/>
        <v>4986.0666666666666</v>
      </c>
      <c r="T39" s="60">
        <f t="shared" si="2"/>
        <v>4986.0666666666666</v>
      </c>
      <c r="U39" s="60">
        <f t="shared" si="2"/>
        <v>4986.0666666666666</v>
      </c>
      <c r="V39" s="60">
        <f t="shared" si="2"/>
        <v>4986.0666666666666</v>
      </c>
      <c r="W39" s="60">
        <f t="shared" si="2"/>
        <v>4986.0666666666666</v>
      </c>
      <c r="Z39" s="60">
        <v>29</v>
      </c>
      <c r="AA39" s="60">
        <f>求节点(节奏总纲!AD$4:AD$363,S$11:S$370,$Z39)</f>
        <v>1114.3927720506683</v>
      </c>
      <c r="AB39" s="60">
        <f>求节点(节奏总纲!AE$4:AE$363,T$11:T$370,$Z39)</f>
        <v>972.03067449586547</v>
      </c>
      <c r="AC39" s="60">
        <f>求节点(节奏总纲!AF$4:AF$363,U$11:U$370,$Z39)</f>
        <v>803.6035852339819</v>
      </c>
      <c r="AD39" s="60">
        <f>求节点(节奏总纲!AG$4:AG$363,V$11:V$370,$Z39)</f>
        <v>597.94550691775123</v>
      </c>
      <c r="AE39" s="60">
        <f>求节点(节奏总纲!AH$4:AH$363,W$11:W$370,$Z39)</f>
        <v>335.66731510553126</v>
      </c>
    </row>
    <row r="40" spans="3:31" x14ac:dyDescent="0.15">
      <c r="C40" s="60">
        <v>28</v>
      </c>
      <c r="D40" s="60" t="s">
        <v>139</v>
      </c>
      <c r="E40" s="60">
        <v>3</v>
      </c>
      <c r="F40" s="25">
        <f>IF(D40="",0,INDEX(道具信息!$J:$J,MATCH(奖励设计!D40,道具信息!$D:$D,0)))</f>
        <v>6</v>
      </c>
      <c r="G40" s="60" t="s">
        <v>140</v>
      </c>
      <c r="H40" s="60">
        <v>3</v>
      </c>
      <c r="I40" s="25">
        <f>IF(G40="",0,INDEX(道具信息!$J:$J,MATCH(奖励设计!G40,道具信息!$D:$D,0)))</f>
        <v>6</v>
      </c>
      <c r="J40" s="60" t="s">
        <v>141</v>
      </c>
      <c r="K40" s="60">
        <v>3</v>
      </c>
      <c r="L40" s="25">
        <f>IF(J40="",0,INDEX(道具信息!$J:$J,MATCH(奖励设计!J40,道具信息!$D:$D,0)))</f>
        <v>6</v>
      </c>
      <c r="M40" s="60" t="s">
        <v>142</v>
      </c>
      <c r="N40" s="60">
        <v>3</v>
      </c>
      <c r="O40" s="25">
        <f>IF(M40="",0,INDEX(道具信息!$J:$J,MATCH(奖励设计!M40,道具信息!$D:$D,0)))</f>
        <v>6</v>
      </c>
      <c r="P40" s="60">
        <f t="shared" si="0"/>
        <v>72</v>
      </c>
      <c r="R40" s="60">
        <v>30</v>
      </c>
      <c r="S40" s="60">
        <f t="shared" si="2"/>
        <v>5158</v>
      </c>
      <c r="T40" s="60">
        <f t="shared" si="2"/>
        <v>5158</v>
      </c>
      <c r="U40" s="60">
        <f t="shared" si="2"/>
        <v>5158</v>
      </c>
      <c r="V40" s="60">
        <f t="shared" si="2"/>
        <v>5158</v>
      </c>
      <c r="W40" s="60">
        <f t="shared" si="2"/>
        <v>5158</v>
      </c>
      <c r="Z40" s="60">
        <v>30</v>
      </c>
      <c r="AA40" s="60">
        <f>求节点(节奏总纲!AD$4:AD$363,S$11:S$370,$Z40)</f>
        <v>1203.5333333333333</v>
      </c>
      <c r="AB40" s="60">
        <f>求节点(节奏总纲!AE$4:AE$363,T$11:T$370,$Z40)</f>
        <v>1050.965046342186</v>
      </c>
      <c r="AC40" s="60">
        <f>求节点(节奏总纲!AF$4:AF$363,U$11:U$370,$Z40)</f>
        <v>867.6800282789568</v>
      </c>
      <c r="AD40" s="60">
        <f>求节点(节奏总纲!AG$4:AG$363,V$11:V$370,$Z40)</f>
        <v>646.97619943708241</v>
      </c>
      <c r="AE40" s="60">
        <f>求节点(节奏总纲!AH$4:AH$363,W$11:W$370,$Z40)</f>
        <v>364.43726744458604</v>
      </c>
    </row>
    <row r="41" spans="3:31" x14ac:dyDescent="0.15">
      <c r="C41" s="60">
        <v>29</v>
      </c>
      <c r="D41" s="60" t="s">
        <v>139</v>
      </c>
      <c r="E41" s="60">
        <v>3</v>
      </c>
      <c r="F41" s="25">
        <f>IF(D41="",0,INDEX(道具信息!$J:$J,MATCH(奖励设计!D41,道具信息!$D:$D,0)))</f>
        <v>6</v>
      </c>
      <c r="G41" s="60" t="s">
        <v>140</v>
      </c>
      <c r="H41" s="60">
        <v>3</v>
      </c>
      <c r="I41" s="25">
        <f>IF(G41="",0,INDEX(道具信息!$J:$J,MATCH(奖励设计!G41,道具信息!$D:$D,0)))</f>
        <v>6</v>
      </c>
      <c r="J41" s="60" t="s">
        <v>141</v>
      </c>
      <c r="K41" s="60">
        <v>3</v>
      </c>
      <c r="L41" s="25">
        <f>IF(J41="",0,INDEX(道具信息!$J:$J,MATCH(奖励设计!J41,道具信息!$D:$D,0)))</f>
        <v>6</v>
      </c>
      <c r="M41" s="60" t="s">
        <v>142</v>
      </c>
      <c r="N41" s="60">
        <v>3</v>
      </c>
      <c r="O41" s="25">
        <f>IF(M41="",0,INDEX(道具信息!$J:$J,MATCH(奖励设计!M41,道具信息!$D:$D,0)))</f>
        <v>6</v>
      </c>
      <c r="P41" s="60">
        <f t="shared" si="0"/>
        <v>72</v>
      </c>
      <c r="R41" s="60">
        <v>31</v>
      </c>
      <c r="S41" s="60">
        <f t="shared" si="2"/>
        <v>5329.9333333333334</v>
      </c>
      <c r="T41" s="60">
        <f t="shared" si="2"/>
        <v>5329.9333333333334</v>
      </c>
      <c r="U41" s="60">
        <f t="shared" si="2"/>
        <v>5329.9333333333334</v>
      </c>
      <c r="V41" s="60">
        <f t="shared" si="2"/>
        <v>5329.9333333333334</v>
      </c>
      <c r="W41" s="60">
        <f t="shared" si="2"/>
        <v>5329.9333333333334</v>
      </c>
      <c r="Z41" s="60">
        <v>31</v>
      </c>
      <c r="AA41" s="60">
        <f>求节点(节奏总纲!AD$4:AD$363,S$11:S$370,$Z41)</f>
        <v>1305.1530634028456</v>
      </c>
      <c r="AB41" s="60">
        <f>求节点(节奏总纲!AE$4:AE$363,T$11:T$370,$Z41)</f>
        <v>1139.7284612469521</v>
      </c>
      <c r="AC41" s="60">
        <f>求节点(节奏总纲!AF$4:AF$363,U$11:U$370,$Z41)</f>
        <v>942.11523079401979</v>
      </c>
      <c r="AD41" s="60">
        <f>求节点(节奏总纲!AG$4:AG$363,V$11:V$370,$Z41)</f>
        <v>697.94579295041444</v>
      </c>
      <c r="AE41" s="60">
        <f>求节点(节奏总纲!AH$4:AH$363,W$11:W$370,$Z41)</f>
        <v>397.93987686807384</v>
      </c>
    </row>
    <row r="42" spans="3:31" x14ac:dyDescent="0.15">
      <c r="C42" s="60">
        <v>30</v>
      </c>
      <c r="D42" s="60" t="s">
        <v>124</v>
      </c>
      <c r="E42" s="60">
        <v>3</v>
      </c>
      <c r="F42" s="25">
        <f>IF(D42="",0,INDEX(道具信息!$J:$J,MATCH(奖励设计!D42,道具信息!$D:$D,0)))</f>
        <v>300</v>
      </c>
      <c r="G42" s="60" t="s">
        <v>125</v>
      </c>
      <c r="H42" s="60">
        <v>5</v>
      </c>
      <c r="I42" s="25">
        <f>IF(G42="",0,INDEX(道具信息!$J:$J,MATCH(奖励设计!G42,道具信息!$D:$D,0)))</f>
        <v>50</v>
      </c>
      <c r="J42" s="60"/>
      <c r="K42" s="60"/>
      <c r="L42" s="25">
        <f>IF(J42="",0,INDEX(道具信息!$J:$J,MATCH(奖励设计!J42,道具信息!$D:$D,0)))</f>
        <v>0</v>
      </c>
      <c r="M42" s="60"/>
      <c r="N42" s="60"/>
      <c r="O42" s="25">
        <f>IF(M42="",0,INDEX(道具信息!$J:$J,MATCH(奖励设计!M42,道具信息!$D:$D,0)))</f>
        <v>0</v>
      </c>
      <c r="P42" s="60">
        <f t="shared" si="0"/>
        <v>1150</v>
      </c>
      <c r="R42" s="60">
        <v>32</v>
      </c>
      <c r="S42" s="60">
        <f t="shared" si="2"/>
        <v>5501.8666666666668</v>
      </c>
      <c r="T42" s="60">
        <f t="shared" si="2"/>
        <v>5501.8666666666668</v>
      </c>
      <c r="U42" s="60">
        <f t="shared" si="2"/>
        <v>5501.8666666666668</v>
      </c>
      <c r="V42" s="60">
        <f t="shared" si="2"/>
        <v>5501.8666666666668</v>
      </c>
      <c r="W42" s="60">
        <f t="shared" si="2"/>
        <v>5501.8666666666668</v>
      </c>
      <c r="Z42" s="60">
        <v>32</v>
      </c>
      <c r="AA42" s="60">
        <f>求节点(节奏总纲!AD$4:AD$363,S$11:S$370,$Z42)</f>
        <v>1410.2804668910303</v>
      </c>
      <c r="AB42" s="60">
        <f>求节点(节奏总纲!AE$4:AE$363,T$11:T$370,$Z42)</f>
        <v>1231.2150954926058</v>
      </c>
      <c r="AC42" s="60">
        <f>求节点(节奏总纲!AF$4:AF$363,U$11:U$370,$Z42)</f>
        <v>1016.5504333090829</v>
      </c>
      <c r="AD42" s="60">
        <f>求节点(节奏总纲!AG$4:AG$363,V$11:V$370,$Z42)</f>
        <v>758.46678399704183</v>
      </c>
      <c r="AE42" s="60">
        <f>求节点(节奏总纲!AH$4:AH$363,W$11:W$370,$Z42)</f>
        <v>431.44248629156164</v>
      </c>
    </row>
    <row r="43" spans="3:31" x14ac:dyDescent="0.15">
      <c r="C43" s="60"/>
      <c r="D43" s="60"/>
      <c r="E43" s="60"/>
      <c r="F43" s="25"/>
      <c r="G43" s="60"/>
      <c r="H43" s="60"/>
      <c r="I43" s="25"/>
      <c r="J43" s="60"/>
      <c r="K43" s="60"/>
      <c r="L43" s="25"/>
      <c r="M43" s="60"/>
      <c r="N43" s="60"/>
      <c r="O43" s="25"/>
      <c r="P43" s="60"/>
      <c r="R43" s="60">
        <v>33</v>
      </c>
      <c r="S43" s="60">
        <f t="shared" si="2"/>
        <v>5673.8</v>
      </c>
      <c r="T43" s="60">
        <f t="shared" si="2"/>
        <v>5673.8</v>
      </c>
      <c r="U43" s="60">
        <f t="shared" si="2"/>
        <v>5673.8</v>
      </c>
      <c r="V43" s="60">
        <f t="shared" si="2"/>
        <v>5673.8</v>
      </c>
      <c r="W43" s="60">
        <f t="shared" si="2"/>
        <v>5673.8</v>
      </c>
      <c r="Z43" s="60">
        <v>33</v>
      </c>
      <c r="AA43" s="60">
        <f>求节点(节奏总纲!AD$4:AD$363,S$11:S$370,$Z43)</f>
        <v>1523.2861096347563</v>
      </c>
      <c r="AB43" s="60">
        <f>求节点(节奏总纲!AE$4:AE$363,T$11:T$370,$Z43)</f>
        <v>1329.6634607564858</v>
      </c>
      <c r="AC43" s="60">
        <f>求节点(节奏总纲!AF$4:AF$363,U$11:U$370,$Z43)</f>
        <v>1100.5312597438824</v>
      </c>
      <c r="AD43" s="60">
        <f>求节点(节奏总纲!AG$4:AG$363,V$11:V$370,$Z43)</f>
        <v>818.9877750436691</v>
      </c>
      <c r="AE43" s="60">
        <f>求节点(节奏总纲!AH$4:AH$363,W$11:W$370,$Z43)</f>
        <v>464.94509571504938</v>
      </c>
    </row>
    <row r="44" spans="3:31" x14ac:dyDescent="0.15">
      <c r="C44" s="60"/>
      <c r="D44" s="60"/>
      <c r="E44" s="60"/>
      <c r="F44" s="25"/>
      <c r="G44" s="60"/>
      <c r="H44" s="60"/>
      <c r="I44" s="25"/>
      <c r="J44" s="60"/>
      <c r="K44" s="60"/>
      <c r="L44" s="25"/>
      <c r="M44" s="60"/>
      <c r="N44" s="60"/>
      <c r="O44" s="25"/>
      <c r="P44" s="60"/>
      <c r="R44" s="60">
        <v>34</v>
      </c>
      <c r="S44" s="60">
        <f t="shared" si="2"/>
        <v>5845.7333333333336</v>
      </c>
      <c r="T44" s="60">
        <f t="shared" si="2"/>
        <v>5845.7333333333336</v>
      </c>
      <c r="U44" s="60">
        <f t="shared" si="2"/>
        <v>5845.7333333333336</v>
      </c>
      <c r="V44" s="60">
        <f t="shared" si="2"/>
        <v>5845.7333333333336</v>
      </c>
      <c r="W44" s="60">
        <f t="shared" si="2"/>
        <v>5845.7333333333336</v>
      </c>
      <c r="Z44" s="60">
        <v>34</v>
      </c>
      <c r="AA44" s="60">
        <f>求节点(节奏总纲!AD$4:AD$363,S$11:S$370,$Z44)</f>
        <v>1645.9351778403952</v>
      </c>
      <c r="AB44" s="60">
        <f>求节点(节奏总纲!AE$4:AE$363,T$11:T$370,$Z44)</f>
        <v>1435.65808307066</v>
      </c>
      <c r="AC44" s="60">
        <f>求节点(节奏总纲!AF$4:AF$363,U$11:U$370,$Z44)</f>
        <v>1186.9311476536132</v>
      </c>
      <c r="AD44" s="60">
        <f>求节点(节奏总纲!AG$4:AG$363,V$11:V$370,$Z44)</f>
        <v>883.20408797983634</v>
      </c>
      <c r="AE44" s="60">
        <f>求节点(节奏总纲!AH$4:AH$363,W$11:W$370,$Z44)</f>
        <v>498.44770513853712</v>
      </c>
    </row>
    <row r="45" spans="3:31" x14ac:dyDescent="0.15">
      <c r="C45" s="60"/>
      <c r="D45" s="60"/>
      <c r="E45" s="60"/>
      <c r="F45" s="25"/>
      <c r="G45" s="60"/>
      <c r="H45" s="60"/>
      <c r="I45" s="25"/>
      <c r="J45" s="60"/>
      <c r="K45" s="60"/>
      <c r="L45" s="25"/>
      <c r="M45" s="60"/>
      <c r="N45" s="60"/>
      <c r="O45" s="25"/>
      <c r="P45" s="60"/>
      <c r="R45" s="60">
        <v>35</v>
      </c>
      <c r="S45" s="60">
        <f t="shared" si="2"/>
        <v>6017.666666666667</v>
      </c>
      <c r="T45" s="60">
        <f t="shared" si="2"/>
        <v>6017.666666666667</v>
      </c>
      <c r="U45" s="60">
        <f t="shared" si="2"/>
        <v>6017.666666666667</v>
      </c>
      <c r="V45" s="60">
        <f t="shared" si="2"/>
        <v>6017.666666666667</v>
      </c>
      <c r="W45" s="60">
        <f t="shared" si="2"/>
        <v>6017.666666666667</v>
      </c>
      <c r="Z45" s="60">
        <v>35</v>
      </c>
      <c r="AA45" s="60">
        <f>求节点(节奏总纲!AD$4:AD$363,S$11:S$370,$Z45)</f>
        <v>1775.8685782927002</v>
      </c>
      <c r="AB45" s="60">
        <f>求节点(节奏总纲!AE$4:AE$363,T$11:T$370,$Z45)</f>
        <v>1548.3129669674267</v>
      </c>
      <c r="AC45" s="60">
        <f>求节点(节奏总纲!AF$4:AF$363,U$11:U$370,$Z45)</f>
        <v>1283.4227428446966</v>
      </c>
      <c r="AD45" s="60">
        <f>求节点(节奏总纲!AG$4:AG$363,V$11:V$370,$Z45)</f>
        <v>954.99629273305948</v>
      </c>
      <c r="AE45" s="60">
        <f>求节点(节奏总纲!AH$4:AH$363,W$11:W$370,$Z45)</f>
        <v>536.97898712946426</v>
      </c>
    </row>
    <row r="46" spans="3:31" x14ac:dyDescent="0.15">
      <c r="C46" s="60"/>
      <c r="D46" s="60"/>
      <c r="E46" s="60"/>
      <c r="F46" s="25"/>
      <c r="G46" s="60"/>
      <c r="H46" s="60"/>
      <c r="I46" s="25"/>
      <c r="J46" s="60"/>
      <c r="K46" s="60"/>
      <c r="L46" s="25"/>
      <c r="M46" s="60"/>
      <c r="N46" s="60"/>
      <c r="O46" s="25"/>
      <c r="P46" s="60"/>
      <c r="R46" s="60">
        <v>36</v>
      </c>
      <c r="S46" s="60">
        <f t="shared" si="2"/>
        <v>6189.6</v>
      </c>
      <c r="T46" s="60">
        <f t="shared" si="2"/>
        <v>6189.6</v>
      </c>
      <c r="U46" s="60">
        <f t="shared" si="2"/>
        <v>6189.6</v>
      </c>
      <c r="V46" s="60">
        <f t="shared" si="2"/>
        <v>6189.6</v>
      </c>
      <c r="W46" s="60">
        <f t="shared" si="2"/>
        <v>6189.6</v>
      </c>
      <c r="Z46" s="60">
        <v>36</v>
      </c>
      <c r="AA46" s="60">
        <f>求节点(节奏总纲!AD$4:AD$363,S$11:S$370,$Z46)</f>
        <v>1914.2346751386567</v>
      </c>
      <c r="AB46" s="60">
        <f>求节点(节奏总纲!AE$4:AE$363,T$11:T$370,$Z46)</f>
        <v>1673.9065818695892</v>
      </c>
      <c r="AC46" s="60">
        <f>求节点(节奏总纲!AF$4:AF$363,U$11:U$370,$Z46)</f>
        <v>1383.0030489883375</v>
      </c>
      <c r="AD46" s="60">
        <f>求节点(节奏总纲!AG$4:AG$363,V$11:V$370,$Z46)</f>
        <v>1026.7884974862825</v>
      </c>
      <c r="AE46" s="60">
        <f>求节点(节奏总纲!AH$4:AH$363,W$11:W$370,$Z46)</f>
        <v>580.91319850711261</v>
      </c>
    </row>
    <row r="47" spans="3:31" x14ac:dyDescent="0.15">
      <c r="C47" s="60"/>
      <c r="D47" s="60"/>
      <c r="E47" s="60"/>
      <c r="F47" s="25"/>
      <c r="G47" s="60"/>
      <c r="H47" s="60"/>
      <c r="I47" s="25"/>
      <c r="J47" s="60"/>
      <c r="K47" s="60"/>
      <c r="L47" s="25"/>
      <c r="M47" s="60"/>
      <c r="N47" s="60"/>
      <c r="O47" s="25"/>
      <c r="P47" s="60"/>
      <c r="R47" s="60">
        <v>37</v>
      </c>
      <c r="S47" s="60">
        <f t="shared" si="2"/>
        <v>6361.5333333333338</v>
      </c>
      <c r="T47" s="60">
        <f t="shared" si="2"/>
        <v>6361.5333333333338</v>
      </c>
      <c r="U47" s="60">
        <f t="shared" si="2"/>
        <v>6361.5333333333338</v>
      </c>
      <c r="V47" s="60">
        <f t="shared" si="2"/>
        <v>6361.5333333333338</v>
      </c>
      <c r="W47" s="60">
        <f t="shared" si="2"/>
        <v>6361.5333333333338</v>
      </c>
      <c r="Z47" s="60">
        <v>37</v>
      </c>
      <c r="AA47" s="60">
        <f>求节点(节奏总纲!AD$4:AD$363,S$11:S$370,$Z47)</f>
        <v>2062.5699910879548</v>
      </c>
      <c r="AB47" s="60">
        <f>求节点(节奏总纲!AE$4:AE$363,T$11:T$370,$Z47)</f>
        <v>1805.2603634752913</v>
      </c>
      <c r="AC47" s="60">
        <f>求节点(节奏总纲!AF$4:AF$363,U$11:U$370,$Z47)</f>
        <v>1491.8344192802952</v>
      </c>
      <c r="AD47" s="60">
        <f>求节点(节奏总纲!AG$4:AG$363,V$11:V$370,$Z47)</f>
        <v>1106.8672881267751</v>
      </c>
      <c r="AE47" s="60">
        <f>求节点(节奏总纲!AH$4:AH$363,W$11:W$370,$Z47)</f>
        <v>624.84740988476096</v>
      </c>
    </row>
    <row r="48" spans="3:31" x14ac:dyDescent="0.15">
      <c r="C48" s="60"/>
      <c r="D48" s="60"/>
      <c r="E48" s="60"/>
      <c r="F48" s="25"/>
      <c r="G48" s="60"/>
      <c r="H48" s="60"/>
      <c r="I48" s="25"/>
      <c r="J48" s="60"/>
      <c r="K48" s="60"/>
      <c r="L48" s="25"/>
      <c r="M48" s="60"/>
      <c r="N48" s="60"/>
      <c r="O48" s="25"/>
      <c r="P48" s="60"/>
      <c r="R48" s="60">
        <v>38</v>
      </c>
      <c r="S48" s="60">
        <f t="shared" si="2"/>
        <v>6533.4666666666662</v>
      </c>
      <c r="T48" s="60">
        <f t="shared" si="2"/>
        <v>6533.4666666666662</v>
      </c>
      <c r="U48" s="60">
        <f t="shared" si="2"/>
        <v>6533.4666666666662</v>
      </c>
      <c r="V48" s="60">
        <f t="shared" si="2"/>
        <v>6533.4666666666662</v>
      </c>
      <c r="W48" s="60">
        <f t="shared" si="2"/>
        <v>6533.4666666666662</v>
      </c>
      <c r="Z48" s="60">
        <v>38</v>
      </c>
      <c r="AA48" s="60">
        <f>求节点(节奏总纲!AD$4:AD$363,S$11:S$370,$Z48)</f>
        <v>2223.6582056528905</v>
      </c>
      <c r="AB48" s="60">
        <f>求节点(节奏总纲!AE$4:AE$363,T$11:T$370,$Z48)</f>
        <v>1943.479333683139</v>
      </c>
      <c r="AC48" s="60">
        <f>求节点(节奏总纲!AF$4:AF$363,U$11:U$370,$Z48)</f>
        <v>1604.7827387293175</v>
      </c>
      <c r="AD48" s="60">
        <f>求节点(节奏总纲!AG$4:AG$363,V$11:V$370,$Z48)</f>
        <v>1187.5413387077228</v>
      </c>
      <c r="AE48" s="60">
        <f>求节点(节奏总纲!AH$4:AH$363,W$11:W$370,$Z48)</f>
        <v>668.78162126240932</v>
      </c>
    </row>
    <row r="49" spans="3:31" x14ac:dyDescent="0.15">
      <c r="C49" s="60"/>
      <c r="D49" s="60"/>
      <c r="E49" s="60"/>
      <c r="F49" s="25"/>
      <c r="G49" s="60"/>
      <c r="H49" s="60"/>
      <c r="I49" s="25"/>
      <c r="J49" s="60"/>
      <c r="K49" s="60"/>
      <c r="L49" s="25"/>
      <c r="M49" s="60"/>
      <c r="N49" s="60"/>
      <c r="O49" s="25"/>
      <c r="P49" s="60"/>
      <c r="R49" s="60">
        <v>39</v>
      </c>
      <c r="S49" s="60">
        <f t="shared" si="2"/>
        <v>6705.4</v>
      </c>
      <c r="T49" s="60">
        <f t="shared" si="2"/>
        <v>6705.4</v>
      </c>
      <c r="U49" s="60">
        <f t="shared" si="2"/>
        <v>6705.4</v>
      </c>
      <c r="V49" s="60">
        <f t="shared" si="2"/>
        <v>6705.4</v>
      </c>
      <c r="W49" s="60">
        <f t="shared" si="2"/>
        <v>6705.4</v>
      </c>
      <c r="Z49" s="60">
        <v>39</v>
      </c>
      <c r="AA49" s="60">
        <f>求节点(节奏总纲!AD$4:AD$363,S$11:S$370,$Z49)</f>
        <v>2395.5460033527374</v>
      </c>
      <c r="AB49" s="60">
        <f>求节点(节奏总纲!AE$4:AE$363,T$11:T$370,$Z49)</f>
        <v>2089.9069878249002</v>
      </c>
      <c r="AC49" s="60">
        <f>求节点(节奏总纲!AF$4:AF$363,U$11:U$370,$Z49)</f>
        <v>1722.4119954423802</v>
      </c>
      <c r="AD49" s="60">
        <f>求节点(节奏总纲!AG$4:AG$363,V$11:V$370,$Z49)</f>
        <v>1280.1151187533103</v>
      </c>
      <c r="AE49" s="60">
        <f>求节点(节奏总纲!AH$4:AH$363,W$11:W$370,$Z49)</f>
        <v>721.12496633895387</v>
      </c>
    </row>
    <row r="50" spans="3:31" x14ac:dyDescent="0.15">
      <c r="C50" s="60"/>
      <c r="D50" s="60"/>
      <c r="E50" s="60"/>
      <c r="F50" s="25"/>
      <c r="G50" s="60"/>
      <c r="H50" s="60"/>
      <c r="I50" s="25"/>
      <c r="J50" s="60"/>
      <c r="K50" s="60"/>
      <c r="L50" s="25"/>
      <c r="M50" s="60"/>
      <c r="N50" s="60"/>
      <c r="O50" s="25"/>
      <c r="P50" s="60"/>
      <c r="R50" s="60">
        <v>40</v>
      </c>
      <c r="S50" s="60">
        <f t="shared" si="2"/>
        <v>6877.333333333333</v>
      </c>
      <c r="T50" s="60">
        <f t="shared" si="2"/>
        <v>6877.333333333333</v>
      </c>
      <c r="U50" s="60">
        <f t="shared" si="2"/>
        <v>6877.333333333333</v>
      </c>
      <c r="V50" s="60">
        <f t="shared" si="2"/>
        <v>6877.333333333333</v>
      </c>
      <c r="W50" s="60">
        <f t="shared" si="2"/>
        <v>6877.333333333333</v>
      </c>
      <c r="Z50" s="60">
        <v>40</v>
      </c>
      <c r="AA50" s="60">
        <f>求节点(节奏总纲!AD$4:AD$363,S$11:S$370,$Z50)</f>
        <v>2579</v>
      </c>
      <c r="AB50" s="60">
        <f>求节点(节奏总纲!AE$4:AE$363,T$11:T$370,$Z50)</f>
        <v>2246.2585350668655</v>
      </c>
      <c r="AC50" s="60">
        <f>求节点(节奏总纲!AF$4:AF$363,U$11:U$370,$Z50)</f>
        <v>1856.4738375294955</v>
      </c>
      <c r="AD50" s="60">
        <f>求节点(节奏总纲!AG$4:AG$363,V$11:V$370,$Z50)</f>
        <v>1375.6591785094031</v>
      </c>
      <c r="AE50" s="60">
        <f>求节点(节奏总纲!AH$4:AH$363,W$11:W$370,$Z50)</f>
        <v>779.84747623286648</v>
      </c>
    </row>
    <row r="51" spans="3:31" x14ac:dyDescent="0.15">
      <c r="R51" s="60">
        <v>41</v>
      </c>
      <c r="S51" s="60">
        <f t="shared" si="2"/>
        <v>7049.2666666666664</v>
      </c>
      <c r="T51" s="60">
        <f t="shared" si="2"/>
        <v>7049.2666666666664</v>
      </c>
      <c r="U51" s="60">
        <f t="shared" si="2"/>
        <v>7049.2666666666664</v>
      </c>
      <c r="V51" s="60">
        <f t="shared" si="2"/>
        <v>7049.2666666666664</v>
      </c>
      <c r="W51" s="60">
        <f t="shared" si="2"/>
        <v>7049.2666666666664</v>
      </c>
      <c r="Z51" s="60">
        <v>41</v>
      </c>
      <c r="AA51" s="60">
        <f>求节点(节奏总纲!AD$4:AD$363,S$11:S$370,$Z51)</f>
        <v>2777.9868955295906</v>
      </c>
      <c r="AB51" s="60">
        <f>求节点(节奏总纲!AE$4:AE$363,T$11:T$370,$Z51)</f>
        <v>2419.4307809835941</v>
      </c>
      <c r="AC51" s="60">
        <f>求节点(节奏总纲!AF$4:AF$363,U$11:U$370,$Z51)</f>
        <v>2002.0889236206926</v>
      </c>
      <c r="AD51" s="60">
        <f>求节点(节奏总纲!AG$4:AG$363,V$11:V$370,$Z51)</f>
        <v>1487.5611546326359</v>
      </c>
      <c r="AE51" s="60">
        <f>求节点(节奏总纲!AH$4:AH$363,W$11:W$370,$Z51)</f>
        <v>838.56998612677921</v>
      </c>
    </row>
    <row r="52" spans="3:31" x14ac:dyDescent="0.15">
      <c r="R52" s="60">
        <v>42</v>
      </c>
      <c r="S52" s="60">
        <f t="shared" si="2"/>
        <v>7221.2</v>
      </c>
      <c r="T52" s="60">
        <f t="shared" si="2"/>
        <v>7221.2</v>
      </c>
      <c r="U52" s="60">
        <f t="shared" si="2"/>
        <v>7221.2</v>
      </c>
      <c r="V52" s="60">
        <f t="shared" si="2"/>
        <v>7221.2</v>
      </c>
      <c r="W52" s="60">
        <f t="shared" si="2"/>
        <v>7221.2</v>
      </c>
      <c r="Z52" s="60">
        <v>42</v>
      </c>
      <c r="AA52" s="60">
        <f>求节点(节奏总纲!AD$4:AD$363,S$11:S$370,$Z52)</f>
        <v>2990.8872072840668</v>
      </c>
      <c r="AB52" s="60">
        <f>求节点(节奏总纲!AE$4:AE$363,T$11:T$370,$Z52)</f>
        <v>2611.2564819931367</v>
      </c>
      <c r="AC52" s="60">
        <f>求节点(节奏总纲!AF$4:AF$363,U$11:U$370,$Z52)</f>
        <v>2158.999939914966</v>
      </c>
      <c r="AD52" s="60">
        <f>求节点(节奏总纲!AG$4:AG$363,V$11:V$370,$Z52)</f>
        <v>1603.1053262638773</v>
      </c>
      <c r="AE52" s="60">
        <f>求节点(节奏总纲!AH$4:AH$363,W$11:W$370,$Z52)</f>
        <v>903.5391578762941</v>
      </c>
    </row>
    <row r="53" spans="3:31" x14ac:dyDescent="0.15">
      <c r="R53" s="60">
        <v>43</v>
      </c>
      <c r="S53" s="60">
        <f t="shared" si="2"/>
        <v>7393.1333333333332</v>
      </c>
      <c r="T53" s="60">
        <f t="shared" si="2"/>
        <v>7393.1333333333332</v>
      </c>
      <c r="U53" s="60">
        <f t="shared" si="2"/>
        <v>7393.1333333333332</v>
      </c>
      <c r="V53" s="60">
        <f t="shared" si="2"/>
        <v>7393.1333333333332</v>
      </c>
      <c r="W53" s="60">
        <f t="shared" si="2"/>
        <v>7393.1333333333332</v>
      </c>
      <c r="Z53" s="60">
        <v>43</v>
      </c>
      <c r="AA53" s="60">
        <f>求节点(节奏总纲!AD$4:AD$363,S$11:S$370,$Z53)</f>
        <v>3217.3385466238087</v>
      </c>
      <c r="AB53" s="60">
        <f>求节点(节奏总纲!AE$4:AE$363,T$11:T$370,$Z53)</f>
        <v>2811.7267726923901</v>
      </c>
      <c r="AC53" s="60">
        <f>求节点(节奏总纲!AF$4:AF$363,U$11:U$370,$Z53)</f>
        <v>2324.9001521041391</v>
      </c>
      <c r="AD53" s="60">
        <f>求节点(节奏总纲!AG$4:AG$363,V$11:V$370,$Z53)</f>
        <v>1723.1507353584907</v>
      </c>
      <c r="AE53" s="60">
        <f>求节点(节奏总纲!AH$4:AH$363,W$11:W$370,$Z53)</f>
        <v>972.01081267723566</v>
      </c>
    </row>
    <row r="54" spans="3:31" x14ac:dyDescent="0.15">
      <c r="R54" s="60">
        <v>44</v>
      </c>
      <c r="S54" s="60">
        <f t="shared" si="2"/>
        <v>7565.0666666666666</v>
      </c>
      <c r="T54" s="60">
        <f t="shared" si="2"/>
        <v>7565.0666666666666</v>
      </c>
      <c r="U54" s="60">
        <f t="shared" si="2"/>
        <v>7565.0666666666666</v>
      </c>
      <c r="V54" s="60">
        <f t="shared" si="2"/>
        <v>7565.0666666666666</v>
      </c>
      <c r="W54" s="60">
        <f t="shared" si="2"/>
        <v>7565.0666666666666</v>
      </c>
      <c r="Z54" s="60">
        <v>44</v>
      </c>
      <c r="AA54" s="60">
        <f>求节点(节奏总纲!AD$4:AD$363,S$11:S$370,$Z54)</f>
        <v>3459.1636779665591</v>
      </c>
      <c r="AB54" s="60">
        <f>求节点(节奏总纲!AE$4:AE$363,T$11:T$370,$Z54)</f>
        <v>3024.5182733848055</v>
      </c>
      <c r="AC54" s="60">
        <f>求节点(节奏总纲!AF$4:AF$363,U$11:U$370,$Z54)</f>
        <v>2499.5736129616757</v>
      </c>
      <c r="AD54" s="60">
        <f>求节点(节奏总纲!AG$4:AG$363,V$11:V$370,$Z54)</f>
        <v>1853.6521690172206</v>
      </c>
      <c r="AE54" s="60">
        <f>求节点(节奏总纲!AH$4:AH$363,W$11:W$370,$Z54)</f>
        <v>1041.6336926013882</v>
      </c>
    </row>
    <row r="55" spans="3:31" x14ac:dyDescent="0.15">
      <c r="R55" s="60">
        <v>45</v>
      </c>
      <c r="S55" s="60">
        <f t="shared" si="2"/>
        <v>7737</v>
      </c>
      <c r="T55" s="60">
        <f t="shared" si="2"/>
        <v>7737</v>
      </c>
      <c r="U55" s="60">
        <f t="shared" si="2"/>
        <v>7737</v>
      </c>
      <c r="V55" s="60">
        <f t="shared" si="2"/>
        <v>7737</v>
      </c>
      <c r="W55" s="60">
        <f t="shared" si="2"/>
        <v>7737</v>
      </c>
      <c r="Z55" s="60">
        <v>45</v>
      </c>
      <c r="AA55" s="60">
        <f>求节点(节奏总纲!AD$4:AD$363,S$11:S$370,$Z55)</f>
        <v>3721.2343068911646</v>
      </c>
      <c r="AB55" s="60">
        <f>求节点(节奏总纲!AE$4:AE$363,T$11:T$370,$Z55)</f>
        <v>3250.4971129122805</v>
      </c>
      <c r="AC55" s="60">
        <f>求节点(节奏总纲!AF$4:AF$363,U$11:U$370,$Z55)</f>
        <v>2685.433452328045</v>
      </c>
      <c r="AD55" s="60">
        <f>求节点(节奏总纲!AG$4:AG$363,V$11:V$370,$Z55)</f>
        <v>1992.1794596640345</v>
      </c>
      <c r="AE55" s="60">
        <f>求节点(节奏总纲!AH$4:AH$363,W$11:W$370,$Z55)</f>
        <v>1118.9797158622598</v>
      </c>
    </row>
    <row r="56" spans="3:31" x14ac:dyDescent="0.15">
      <c r="R56" s="60">
        <v>46</v>
      </c>
      <c r="S56" s="60">
        <f t="shared" si="2"/>
        <v>7908.9333333333334</v>
      </c>
      <c r="T56" s="60">
        <f t="shared" si="2"/>
        <v>7908.9333333333334</v>
      </c>
      <c r="U56" s="60">
        <f t="shared" si="2"/>
        <v>7908.9333333333334</v>
      </c>
      <c r="V56" s="60">
        <f t="shared" si="2"/>
        <v>7908.9333333333334</v>
      </c>
      <c r="W56" s="60">
        <f t="shared" si="2"/>
        <v>7908.9333333333334</v>
      </c>
      <c r="Z56" s="60">
        <v>46</v>
      </c>
      <c r="AA56" s="60">
        <f>求节点(节奏总纲!AD$4:AD$363,S$11:S$370,$Z56)</f>
        <v>3999.9835234637112</v>
      </c>
      <c r="AB56" s="60">
        <f>求节点(节奏总纲!AE$4:AE$363,T$11:T$370,$Z56)</f>
        <v>3494.6196935440294</v>
      </c>
      <c r="AC56" s="60">
        <f>求节点(节奏总纲!AF$4:AF$363,U$11:U$370,$Z56)</f>
        <v>2883.3820109940261</v>
      </c>
      <c r="AD56" s="60">
        <f>求节点(节奏总纲!AG$4:AG$363,V$11:V$370,$Z56)</f>
        <v>2139.1240111579473</v>
      </c>
      <c r="AE56" s="60">
        <f>求节点(节奏总纲!AH$4:AH$363,W$11:W$370,$Z56)</f>
        <v>1196.3257391231314</v>
      </c>
    </row>
    <row r="57" spans="3:31" x14ac:dyDescent="0.15">
      <c r="R57" s="60">
        <v>47</v>
      </c>
      <c r="S57" s="60">
        <f t="shared" si="2"/>
        <v>8080.8666666666668</v>
      </c>
      <c r="T57" s="60">
        <f t="shared" si="2"/>
        <v>8080.8666666666668</v>
      </c>
      <c r="U57" s="60">
        <f t="shared" si="2"/>
        <v>8080.8666666666668</v>
      </c>
      <c r="V57" s="60">
        <f t="shared" si="2"/>
        <v>8080.8666666666668</v>
      </c>
      <c r="W57" s="60">
        <f t="shared" si="2"/>
        <v>8080.8666666666668</v>
      </c>
      <c r="Z57" s="60">
        <v>47</v>
      </c>
      <c r="AA57" s="60">
        <f>求节点(节奏总纲!AD$4:AD$363,S$11:S$370,$Z57)</f>
        <v>4297.0616042846023</v>
      </c>
      <c r="AB57" s="60">
        <f>求节点(节奏总纲!AE$4:AE$363,T$11:T$370,$Z57)</f>
        <v>3753.5230272833437</v>
      </c>
      <c r="AC57" s="60">
        <f>求节点(节奏总纲!AF$4:AF$363,U$11:U$370,$Z57)</f>
        <v>3094.2872718162034</v>
      </c>
      <c r="AD57" s="60">
        <f>求节点(节奏总纲!AG$4:AG$363,V$11:V$370,$Z57)</f>
        <v>2293.8449292002824</v>
      </c>
      <c r="AE57" s="60">
        <f>求节点(节奏总纲!AH$4:AH$363,W$11:W$370,$Z57)</f>
        <v>1282.5176997230019</v>
      </c>
    </row>
    <row r="58" spans="3:31" x14ac:dyDescent="0.15">
      <c r="R58" s="60">
        <v>48</v>
      </c>
      <c r="S58" s="60">
        <f t="shared" si="2"/>
        <v>8252.7999999999993</v>
      </c>
      <c r="T58" s="60">
        <f t="shared" si="2"/>
        <v>8252.7999999999993</v>
      </c>
      <c r="U58" s="60">
        <f t="shared" si="2"/>
        <v>8252.7999999999993</v>
      </c>
      <c r="V58" s="60">
        <f t="shared" si="2"/>
        <v>8252.7999999999993</v>
      </c>
      <c r="W58" s="60">
        <f t="shared" si="2"/>
        <v>8252.7999999999993</v>
      </c>
      <c r="Z58" s="60">
        <v>48</v>
      </c>
      <c r="AA58" s="60">
        <f>求节点(节奏总纲!AD$4:AD$363,S$11:S$370,$Z58)</f>
        <v>4619.1392772074478</v>
      </c>
      <c r="AB58" s="60">
        <f>求节点(节奏总纲!AE$4:AE$363,T$11:T$370,$Z58)</f>
        <v>4031.0886035452681</v>
      </c>
      <c r="AC58" s="60">
        <f>求节点(节奏总纲!AF$4:AF$363,U$11:U$370,$Z58)</f>
        <v>3324.9833542715219</v>
      </c>
      <c r="AD58" s="60">
        <f>求节点(节奏总纲!AG$4:AG$363,V$11:V$370,$Z58)</f>
        <v>2455.7120358752641</v>
      </c>
      <c r="AE58" s="60">
        <f>求节点(节奏总纲!AH$4:AH$363,W$11:W$370,$Z58)</f>
        <v>1369.6186901886872</v>
      </c>
    </row>
    <row r="59" spans="3:31" x14ac:dyDescent="0.15">
      <c r="R59" s="60">
        <v>49</v>
      </c>
      <c r="S59" s="60">
        <f t="shared" si="2"/>
        <v>8424.7333333333336</v>
      </c>
      <c r="T59" s="60">
        <f t="shared" si="2"/>
        <v>8424.7333333333336</v>
      </c>
      <c r="U59" s="60">
        <f t="shared" si="2"/>
        <v>8424.7333333333336</v>
      </c>
      <c r="V59" s="60">
        <f t="shared" si="2"/>
        <v>8424.7333333333336</v>
      </c>
      <c r="W59" s="60">
        <f t="shared" si="2"/>
        <v>8424.7333333333336</v>
      </c>
      <c r="Z59" s="60">
        <v>49</v>
      </c>
      <c r="AA59" s="60">
        <f>求节点(节奏总纲!AD$4:AD$363,S$11:S$370,$Z59)</f>
        <v>4962.9139920265343</v>
      </c>
      <c r="AB59" s="60">
        <f>求节点(节奏总纲!AE$4:AE$363,T$11:T$370,$Z59)</f>
        <v>4328.6439351402896</v>
      </c>
      <c r="AC59" s="60">
        <f>求节点(节奏总纲!AF$4:AF$363,U$11:U$370,$Z59)</f>
        <v>3564.6334118017435</v>
      </c>
      <c r="AD59" s="60">
        <f>求节点(节奏总纲!AG$4:AG$363,V$11:V$370,$Z59)</f>
        <v>2629.037156925297</v>
      </c>
      <c r="AE59" s="60">
        <f>求节点(节奏总纲!AH$4:AH$363,W$11:W$370,$Z59)</f>
        <v>1473.3299129898944</v>
      </c>
    </row>
    <row r="60" spans="3:31" x14ac:dyDescent="0.15">
      <c r="R60" s="60">
        <v>50</v>
      </c>
      <c r="S60" s="60">
        <f t="shared" si="2"/>
        <v>8596.6666666666661</v>
      </c>
      <c r="T60" s="60">
        <f t="shared" si="2"/>
        <v>8596.6666666666661</v>
      </c>
      <c r="U60" s="60">
        <f t="shared" si="2"/>
        <v>8596.6666666666661</v>
      </c>
      <c r="V60" s="60">
        <f t="shared" si="2"/>
        <v>8596.6666666666661</v>
      </c>
      <c r="W60" s="60">
        <f t="shared" si="2"/>
        <v>8596.6666666666661</v>
      </c>
      <c r="Z60" s="60">
        <v>50</v>
      </c>
      <c r="AA60" s="60">
        <f>求节点(节奏总纲!AD$4:AD$363,S$11:S$370,$Z60)</f>
        <v>5329.9333333333334</v>
      </c>
      <c r="AB60" s="60">
        <f>求节点(节奏总纲!AE$4:AE$363,T$11:T$370,$Z60)</f>
        <v>4648.3104010364659</v>
      </c>
      <c r="AC60" s="60">
        <f>求节点(节奏总纲!AF$4:AF$363,U$11:U$370,$Z60)</f>
        <v>3819.557900311393</v>
      </c>
      <c r="AD60" s="60">
        <f>求节点(节奏总纲!AG$4:AG$363,V$11:V$370,$Z60)</f>
        <v>2820.3241228183683</v>
      </c>
      <c r="AE60" s="60">
        <f>求节点(节奏总纲!AH$4:AH$363,W$11:W$370,$Z60)</f>
        <v>1580.9411526117224</v>
      </c>
    </row>
    <row r="61" spans="3:31" x14ac:dyDescent="0.15">
      <c r="R61" s="60">
        <v>51</v>
      </c>
      <c r="S61" s="60">
        <f t="shared" si="2"/>
        <v>8768.6</v>
      </c>
      <c r="T61" s="60">
        <f t="shared" si="2"/>
        <v>8768.6</v>
      </c>
      <c r="U61" s="60">
        <f t="shared" si="2"/>
        <v>8768.6</v>
      </c>
      <c r="V61" s="60">
        <f t="shared" si="2"/>
        <v>8768.6</v>
      </c>
      <c r="W61" s="60">
        <f t="shared" si="2"/>
        <v>8768.6</v>
      </c>
      <c r="Z61" s="60">
        <v>51</v>
      </c>
      <c r="AA61" s="60">
        <f>求节点(节奏总纲!AD$4:AD$363,S$11:S$370,$Z61)</f>
        <v>5727.3429317471609</v>
      </c>
      <c r="AB61" s="60">
        <f>求节点(节奏总纲!AE$4:AE$363,T$11:T$370,$Z61)</f>
        <v>4975.119401879535</v>
      </c>
      <c r="AC61" s="60">
        <f>求节点(节奏总纲!AF$4:AF$363,U$11:U$370,$Z61)</f>
        <v>4093.2574267231839</v>
      </c>
      <c r="AD61" s="60">
        <f>求节点(节奏总纲!AG$4:AG$363,V$11:V$370,$Z61)</f>
        <v>3028.4702372836259</v>
      </c>
      <c r="AE61" s="60">
        <f>求节点(节奏总纲!AH$4:AH$363,W$11:W$370,$Z61)</f>
        <v>1695.0487400579655</v>
      </c>
    </row>
    <row r="62" spans="3:31" x14ac:dyDescent="0.15">
      <c r="R62" s="60">
        <v>52</v>
      </c>
      <c r="S62" s="60">
        <f t="shared" si="2"/>
        <v>8940.5333333333328</v>
      </c>
      <c r="T62" s="60">
        <f t="shared" si="2"/>
        <v>8940.5333333333328</v>
      </c>
      <c r="U62" s="60">
        <f t="shared" si="2"/>
        <v>8940.5333333333328</v>
      </c>
      <c r="V62" s="60">
        <f t="shared" si="2"/>
        <v>8940.5333333333328</v>
      </c>
      <c r="W62" s="60">
        <f t="shared" si="2"/>
        <v>8940.5333333333328</v>
      </c>
      <c r="Z62" s="60">
        <v>52</v>
      </c>
      <c r="AA62" s="60">
        <f>求节点(节奏总纲!AD$4:AD$363,S$11:S$370,$Z62)</f>
        <v>6150.1965547077716</v>
      </c>
      <c r="AB62" s="60">
        <f>求节点(节奏总纲!AE$4:AE$363,T$11:T$370,$Z62)</f>
        <v>5345.0336005982308</v>
      </c>
      <c r="AC62" s="60">
        <f>求节点(节奏总纲!AF$4:AF$363,U$11:U$370,$Z62)</f>
        <v>4405.8576931125035</v>
      </c>
      <c r="AD62" s="60">
        <f>求节点(节奏总纲!AG$4:AG$363,V$11:V$370,$Z62)</f>
        <v>3255.1470520063281</v>
      </c>
      <c r="AE62" s="60">
        <f>求节点(节奏总纲!AH$4:AH$363,W$11:W$370,$Z62)</f>
        <v>1819.8400998368795</v>
      </c>
    </row>
    <row r="63" spans="3:31" x14ac:dyDescent="0.15">
      <c r="R63" s="60">
        <v>53</v>
      </c>
      <c r="S63" s="60">
        <f t="shared" si="2"/>
        <v>9112.4666666666672</v>
      </c>
      <c r="T63" s="60">
        <f t="shared" si="2"/>
        <v>9112.4666666666672</v>
      </c>
      <c r="U63" s="60">
        <f t="shared" si="2"/>
        <v>9112.4666666666672</v>
      </c>
      <c r="V63" s="60">
        <f t="shared" si="2"/>
        <v>9112.4666666666672</v>
      </c>
      <c r="W63" s="60">
        <f t="shared" si="2"/>
        <v>9112.4666666666672</v>
      </c>
      <c r="Z63" s="60">
        <v>53</v>
      </c>
      <c r="AA63" s="60">
        <f>求节点(节奏总纲!AD$4:AD$363,S$11:S$370,$Z63)</f>
        <v>6604.5305156845434</v>
      </c>
      <c r="AB63" s="60">
        <f>求节点(节奏总纲!AE$4:AE$363,T$11:T$370,$Z63)</f>
        <v>5750.4040726120629</v>
      </c>
      <c r="AC63" s="60">
        <f>求节点(节奏总纲!AF$4:AF$363,U$11:U$370,$Z63)</f>
        <v>4741.9639394714732</v>
      </c>
      <c r="AD63" s="60">
        <f>求节点(节奏总纲!AG$4:AG$363,V$11:V$370,$Z63)</f>
        <v>3495.0273148450779</v>
      </c>
      <c r="AE63" s="60">
        <f>求节点(节奏总纲!AH$4:AH$363,W$11:W$370,$Z63)</f>
        <v>1949.7103595179574</v>
      </c>
    </row>
    <row r="64" spans="3:31" x14ac:dyDescent="0.15">
      <c r="R64" s="60">
        <v>54</v>
      </c>
      <c r="S64" s="60">
        <f t="shared" si="2"/>
        <v>9284.4</v>
      </c>
      <c r="T64" s="60">
        <f t="shared" si="2"/>
        <v>9284.4</v>
      </c>
      <c r="U64" s="60">
        <f t="shared" si="2"/>
        <v>9284.4</v>
      </c>
      <c r="V64" s="60">
        <f t="shared" si="2"/>
        <v>9284.4</v>
      </c>
      <c r="W64" s="60">
        <f t="shared" si="2"/>
        <v>9284.4</v>
      </c>
      <c r="Z64" s="60">
        <v>54</v>
      </c>
      <c r="AA64" s="60">
        <f>求节点(节奏总纲!AD$4:AD$363,S$11:S$370,$Z64)</f>
        <v>7089.93600706282</v>
      </c>
      <c r="AB64" s="60">
        <f>求节点(节奏总纲!AE$4:AE$363,T$11:T$370,$Z64)</f>
        <v>6180.7992902084179</v>
      </c>
      <c r="AC64" s="60">
        <f>求节点(节奏总纲!AF$4:AF$363,U$11:U$370,$Z64)</f>
        <v>5083.6624688193897</v>
      </c>
      <c r="AD64" s="60">
        <f>求节点(节奏总纲!AG$4:AG$363,V$11:V$370,$Z64)</f>
        <v>3743.2674821608825</v>
      </c>
      <c r="AE64" s="60">
        <f>求节点(节奏总纲!AH$4:AH$363,W$11:W$370,$Z64)</f>
        <v>2083.784432513512</v>
      </c>
    </row>
    <row r="65" spans="18:31" x14ac:dyDescent="0.15">
      <c r="R65" s="60">
        <v>55</v>
      </c>
      <c r="S65" s="60">
        <f t="shared" si="2"/>
        <v>9456.3333333333339</v>
      </c>
      <c r="T65" s="60">
        <f t="shared" si="2"/>
        <v>9456.3333333333339</v>
      </c>
      <c r="U65" s="60">
        <f t="shared" si="2"/>
        <v>9456.3333333333339</v>
      </c>
      <c r="V65" s="60">
        <f t="shared" si="2"/>
        <v>9456.3333333333339</v>
      </c>
      <c r="W65" s="60">
        <f t="shared" si="2"/>
        <v>9456.3333333333339</v>
      </c>
      <c r="Z65" s="60">
        <v>55</v>
      </c>
      <c r="AA65" s="60">
        <f>求节点(节奏总纲!AD$4:AD$363,S$11:S$370,$Z65)</f>
        <v>7611.1823695390322</v>
      </c>
      <c r="AB65" s="60">
        <f>求节点(节奏总纲!AE$4:AE$363,T$11:T$370,$Z65)</f>
        <v>6627.5780496153666</v>
      </c>
      <c r="AC65" s="60">
        <f>求节点(节奏总纲!AF$4:AF$363,U$11:U$370,$Z65)</f>
        <v>5443.1975570199556</v>
      </c>
      <c r="AD65" s="60">
        <f>求节点(节奏总纲!AG$4:AG$363,V$11:V$370,$Z65)</f>
        <v>4005.4567888437518</v>
      </c>
      <c r="AE65" s="60">
        <f>求节点(节奏总纲!AH$4:AH$363,W$11:W$370,$Z65)</f>
        <v>2226.2838416882505</v>
      </c>
    </row>
    <row r="66" spans="18:31" x14ac:dyDescent="0.15">
      <c r="R66" s="60">
        <v>56</v>
      </c>
      <c r="S66" s="60">
        <f t="shared" si="2"/>
        <v>9628.2666666666664</v>
      </c>
      <c r="T66" s="60">
        <f t="shared" si="2"/>
        <v>9628.2666666666664</v>
      </c>
      <c r="U66" s="60">
        <f t="shared" si="2"/>
        <v>9628.2666666666664</v>
      </c>
      <c r="V66" s="60">
        <f t="shared" si="2"/>
        <v>9628.2666666666664</v>
      </c>
      <c r="W66" s="60">
        <f t="shared" si="2"/>
        <v>9628.2666666666664</v>
      </c>
      <c r="Z66" s="60">
        <v>56</v>
      </c>
      <c r="AA66" s="60">
        <f>求节点(节奏总纲!AD$4:AD$363,S$11:S$370,$Z66)</f>
        <v>8170.3145986272411</v>
      </c>
      <c r="AB66" s="60">
        <f>求节点(节奏总纲!AE$4:AE$363,T$11:T$370,$Z66)</f>
        <v>7100.1522530652874</v>
      </c>
      <c r="AC66" s="60">
        <f>求节点(节奏总纲!AF$4:AF$363,U$11:U$370,$Z66)</f>
        <v>5827.858368262494</v>
      </c>
      <c r="AD66" s="60">
        <f>求节点(节奏总纲!AG$4:AG$363,V$11:V$370,$Z66)</f>
        <v>4283.9649655972426</v>
      </c>
      <c r="AE66" s="60">
        <f>求节点(节奏总纲!AH$4:AH$363,W$11:W$370,$Z66)</f>
        <v>2381.2142190622367</v>
      </c>
    </row>
    <row r="67" spans="18:31" x14ac:dyDescent="0.15">
      <c r="R67" s="60">
        <v>57</v>
      </c>
      <c r="S67" s="60">
        <f t="shared" si="2"/>
        <v>9800.2000000000007</v>
      </c>
      <c r="T67" s="60">
        <f t="shared" si="2"/>
        <v>9800.2000000000007</v>
      </c>
      <c r="U67" s="60">
        <f t="shared" si="2"/>
        <v>9800.2000000000007</v>
      </c>
      <c r="V67" s="60">
        <f t="shared" si="2"/>
        <v>9800.2000000000007</v>
      </c>
      <c r="W67" s="60">
        <f t="shared" si="2"/>
        <v>9800.2000000000007</v>
      </c>
      <c r="Z67" s="60">
        <v>57</v>
      </c>
      <c r="AA67" s="60">
        <f>求节点(节奏总纲!AD$4:AD$363,S$11:S$370,$Z67)</f>
        <v>8766.055190907935</v>
      </c>
      <c r="AB67" s="60">
        <f>求节点(节奏总纲!AE$4:AE$363,T$11:T$370,$Z67)</f>
        <v>7619.7961349970828</v>
      </c>
      <c r="AC67" s="60">
        <f>求节点(节奏总纲!AF$4:AF$363,U$11:U$370,$Z67)</f>
        <v>6246.4799775181036</v>
      </c>
      <c r="AD67" s="60">
        <f>求节点(节奏总纲!AG$4:AG$363,V$11:V$370,$Z67)</f>
        <v>4587.7198523524503</v>
      </c>
      <c r="AE67" s="60">
        <f>求节点(节奏总纲!AH$4:AH$363,W$11:W$370,$Z67)</f>
        <v>2548.9209915480355</v>
      </c>
    </row>
    <row r="68" spans="18:31" x14ac:dyDescent="0.15">
      <c r="R68" s="60">
        <v>58</v>
      </c>
      <c r="S68" s="60">
        <f t="shared" si="2"/>
        <v>9972.1333333333332</v>
      </c>
      <c r="T68" s="60">
        <f t="shared" si="2"/>
        <v>9972.1333333333332</v>
      </c>
      <c r="U68" s="60">
        <f t="shared" si="2"/>
        <v>9972.1333333333332</v>
      </c>
      <c r="V68" s="60">
        <f t="shared" si="2"/>
        <v>9972.1333333333332</v>
      </c>
      <c r="W68" s="60">
        <f t="shared" si="2"/>
        <v>9972.1333333333332</v>
      </c>
      <c r="Z68" s="60">
        <v>58</v>
      </c>
      <c r="AA68" s="60">
        <f>求节点(节奏总纲!AD$4:AD$363,S$11:S$370,$Z68)</f>
        <v>9409.7635753898321</v>
      </c>
      <c r="AB68" s="60">
        <f>求节点(节奏总纲!AE$4:AE$363,T$11:T$370,$Z68)</f>
        <v>8164.2328195982263</v>
      </c>
      <c r="AC68" s="60">
        <f>求节点(节奏总纲!AF$4:AF$363,U$11:U$370,$Z68)</f>
        <v>6691.5792196566626</v>
      </c>
      <c r="AD68" s="60">
        <f>求节点(节奏总纲!AG$4:AG$363,V$11:V$370,$Z68)</f>
        <v>4915.245233745778</v>
      </c>
      <c r="AE68" s="60">
        <f>求节点(节奏总纲!AH$4:AH$363,W$11:W$370,$Z68)</f>
        <v>2728.2482003644609</v>
      </c>
    </row>
    <row r="69" spans="18:31" x14ac:dyDescent="0.15">
      <c r="R69" s="60">
        <v>59</v>
      </c>
      <c r="S69" s="60">
        <f t="shared" si="2"/>
        <v>10144.066666666668</v>
      </c>
      <c r="T69" s="60">
        <f t="shared" si="2"/>
        <v>10144.066666666668</v>
      </c>
      <c r="U69" s="60">
        <f t="shared" si="2"/>
        <v>10144.066666666668</v>
      </c>
      <c r="V69" s="60">
        <f t="shared" si="2"/>
        <v>10144.066666666668</v>
      </c>
      <c r="W69" s="60">
        <f t="shared" si="2"/>
        <v>10144.066666666668</v>
      </c>
      <c r="Z69" s="60">
        <v>59</v>
      </c>
      <c r="AA69" s="60">
        <f>求节点(节奏总纲!AD$4:AD$363,S$11:S$370,$Z69)</f>
        <v>10097.309405202035</v>
      </c>
      <c r="AB69" s="60">
        <f>求节点(节奏总纲!AE$4:AE$363,T$11:T$370,$Z69)</f>
        <v>8758.793600748164</v>
      </c>
      <c r="AC69" s="60">
        <f>求节点(节奏总纲!AF$4:AF$363,U$11:U$370,$Z69)</f>
        <v>7176.4751312368062</v>
      </c>
      <c r="AD69" s="60">
        <f>求节点(节奏总纲!AG$4:AG$363,V$11:V$370,$Z69)</f>
        <v>5265.6882258769701</v>
      </c>
      <c r="AE69" s="60">
        <f>求节点(节奏总纲!AH$4:AH$363,W$11:W$370,$Z69)</f>
        <v>2923.5543788609643</v>
      </c>
    </row>
    <row r="70" spans="18:31" x14ac:dyDescent="0.15">
      <c r="R70" s="60">
        <v>60</v>
      </c>
      <c r="S70" s="60">
        <f t="shared" si="2"/>
        <v>10316</v>
      </c>
      <c r="T70" s="60">
        <f t="shared" si="2"/>
        <v>10316</v>
      </c>
      <c r="U70" s="60">
        <f t="shared" si="2"/>
        <v>10316</v>
      </c>
      <c r="V70" s="60">
        <f t="shared" si="2"/>
        <v>10316</v>
      </c>
      <c r="W70" s="60">
        <f t="shared" si="2"/>
        <v>10316</v>
      </c>
      <c r="Z70" s="60">
        <v>60</v>
      </c>
      <c r="AA70" s="60">
        <f>求节点(节奏总纲!AD$4:AD$363,S$11:S$370,$Z70)</f>
        <v>10831.8</v>
      </c>
      <c r="AB70" s="60">
        <f>求节点(节奏总纲!AE$4:AE$363,T$11:T$370,$Z70)</f>
        <v>9389.6150550857619</v>
      </c>
      <c r="AC70" s="60">
        <f>求节点(节奏总纲!AF$4:AF$363,U$11:U$370,$Z70)</f>
        <v>7691.3806503363385</v>
      </c>
      <c r="AD70" s="60">
        <f>求节点(节奏总纲!AG$4:AG$363,V$11:V$370,$Z70)</f>
        <v>5643.6074342403381</v>
      </c>
      <c r="AE70" s="60">
        <f>求节点(节奏总纲!AH$4:AH$363,W$11:W$370,$Z70)</f>
        <v>3143.723817434784</v>
      </c>
    </row>
    <row r="71" spans="18:31" x14ac:dyDescent="0.15">
      <c r="R71" s="60">
        <v>61</v>
      </c>
      <c r="S71" s="60">
        <f t="shared" si="2"/>
        <v>10487.933333333332</v>
      </c>
      <c r="T71" s="60">
        <f t="shared" si="2"/>
        <v>10487.933333333332</v>
      </c>
      <c r="U71" s="60">
        <f t="shared" si="2"/>
        <v>10487.933333333332</v>
      </c>
      <c r="V71" s="60">
        <f t="shared" si="2"/>
        <v>10487.933333333332</v>
      </c>
      <c r="W71" s="60">
        <f t="shared" si="2"/>
        <v>10487.933333333332</v>
      </c>
      <c r="Z71" s="60">
        <v>61</v>
      </c>
      <c r="AA71" s="60">
        <f>求节点(节奏总纲!AD$4:AD$363,S$11:S$370,$Z71)</f>
        <v>11624.43158031243</v>
      </c>
      <c r="AB71" s="60">
        <f>求节点(节奏总纲!AE$4:AE$363,T$11:T$370,$Z71)</f>
        <v>10077.1255352645</v>
      </c>
      <c r="AC71" s="60">
        <f>求节点(节奏总纲!AF$4:AF$363,U$11:U$370,$Z71)</f>
        <v>8249.2800035348209</v>
      </c>
      <c r="AD71" s="60">
        <f>求节点(节奏总纲!AG$4:AG$363,V$11:V$370,$Z71)</f>
        <v>6059.6021458086334</v>
      </c>
      <c r="AE71" s="60">
        <f>求节点(节奏总纲!AH$4:AH$363,W$11:W$370,$Z71)</f>
        <v>3375.8534364514717</v>
      </c>
    </row>
    <row r="72" spans="18:31" x14ac:dyDescent="0.15">
      <c r="R72" s="60">
        <v>62</v>
      </c>
      <c r="S72" s="60">
        <f t="shared" si="2"/>
        <v>10659.866666666667</v>
      </c>
      <c r="T72" s="60">
        <f t="shared" si="2"/>
        <v>10659.866666666667</v>
      </c>
      <c r="U72" s="60">
        <f t="shared" si="2"/>
        <v>10659.866666666667</v>
      </c>
      <c r="V72" s="60">
        <f t="shared" si="2"/>
        <v>10659.866666666667</v>
      </c>
      <c r="W72" s="60">
        <f t="shared" si="2"/>
        <v>10659.866666666667</v>
      </c>
      <c r="Z72" s="60">
        <v>62</v>
      </c>
      <c r="AA72" s="60">
        <f>求节点(节奏总纲!AD$4:AD$363,S$11:S$370,$Z72)</f>
        <v>12471.008473446935</v>
      </c>
      <c r="AB72" s="60">
        <f>求节点(节奏总纲!AE$4:AE$363,T$11:T$370,$Z72)</f>
        <v>10806.699226216933</v>
      </c>
      <c r="AC72" s="60">
        <f>求节点(节奏总纲!AF$4:AF$363,U$11:U$370,$Z72)</f>
        <v>8858.8760206474853</v>
      </c>
      <c r="AD72" s="60">
        <f>求节点(节奏总纲!AG$4:AG$363,V$11:V$370,$Z72)</f>
        <v>6508.7843045362342</v>
      </c>
      <c r="AE72" s="60">
        <f>求节点(节奏总纲!AH$4:AH$363,W$11:W$370,$Z72)</f>
        <v>3632.5989046009458</v>
      </c>
    </row>
    <row r="73" spans="18:31" x14ac:dyDescent="0.15">
      <c r="R73" s="60">
        <v>63</v>
      </c>
      <c r="S73" s="60">
        <f t="shared" si="2"/>
        <v>10831.8</v>
      </c>
      <c r="T73" s="60">
        <f t="shared" si="2"/>
        <v>10831.8</v>
      </c>
      <c r="U73" s="60">
        <f t="shared" si="2"/>
        <v>10831.8</v>
      </c>
      <c r="V73" s="60">
        <f t="shared" si="2"/>
        <v>10831.8</v>
      </c>
      <c r="W73" s="60">
        <f t="shared" si="2"/>
        <v>10831.8</v>
      </c>
      <c r="Z73" s="60">
        <v>63</v>
      </c>
      <c r="AA73" s="60">
        <f>求节点(节奏总纲!AD$4:AD$363,S$11:S$370,$Z73)</f>
        <v>13377.166374610981</v>
      </c>
      <c r="AB73" s="60">
        <f>求节点(节奏总纲!AE$4:AE$363,T$11:T$370,$Z73)</f>
        <v>11603.074160156248</v>
      </c>
      <c r="AC73" s="60">
        <f>求节点(节奏总纲!AF$4:AF$363,U$11:U$370,$Z73)</f>
        <v>9507.274258815416</v>
      </c>
      <c r="AD73" s="60">
        <f>求节点(节奏总纲!AG$4:AG$363,V$11:V$370,$Z73)</f>
        <v>6996.5566162546038</v>
      </c>
      <c r="AE73" s="60">
        <f>求节点(节奏总纲!AH$4:AH$363,W$11:W$370,$Z73)</f>
        <v>3904.3651908269508</v>
      </c>
    </row>
    <row r="74" spans="18:31" x14ac:dyDescent="0.15">
      <c r="R74" s="60">
        <v>64</v>
      </c>
      <c r="S74" s="60">
        <f t="shared" si="2"/>
        <v>11003.733333333334</v>
      </c>
      <c r="T74" s="60">
        <f t="shared" si="2"/>
        <v>11003.733333333334</v>
      </c>
      <c r="U74" s="60">
        <f t="shared" si="2"/>
        <v>11003.733333333334</v>
      </c>
      <c r="V74" s="60">
        <f t="shared" si="2"/>
        <v>11003.733333333334</v>
      </c>
      <c r="W74" s="60">
        <f t="shared" si="2"/>
        <v>11003.733333333334</v>
      </c>
      <c r="Z74" s="60">
        <v>64</v>
      </c>
      <c r="AA74" s="60">
        <f>求节点(节奏总纲!AD$4:AD$363,S$11:S$370,$Z74)</f>
        <v>14350.536996154326</v>
      </c>
      <c r="AB74" s="60">
        <f>求节点(节奏总纲!AE$4:AE$363,T$11:T$370,$Z74)</f>
        <v>12450.569767158069</v>
      </c>
      <c r="AC74" s="60">
        <f>求节点(节奏总纲!AF$4:AF$363,U$11:U$370,$Z74)</f>
        <v>10210.196553592399</v>
      </c>
      <c r="AD74" s="60">
        <f>求节点(节奏总纲!AG$4:AG$363,V$11:V$370,$Z74)</f>
        <v>7518.5725300614349</v>
      </c>
      <c r="AE74" s="60">
        <f>求节点(节奏总纲!AH$4:AH$363,W$11:W$370,$Z74)</f>
        <v>4185.4198925589781</v>
      </c>
    </row>
    <row r="75" spans="18:31" x14ac:dyDescent="0.15">
      <c r="R75" s="60">
        <v>65</v>
      </c>
      <c r="S75" s="60">
        <f t="shared" ref="S75:W125" si="7">$R75*$G$3/30*$G$2</f>
        <v>11175.666666666666</v>
      </c>
      <c r="T75" s="60">
        <f t="shared" si="7"/>
        <v>11175.666666666666</v>
      </c>
      <c r="U75" s="60">
        <f t="shared" si="7"/>
        <v>11175.666666666666</v>
      </c>
      <c r="V75" s="60">
        <f t="shared" si="7"/>
        <v>11175.666666666666</v>
      </c>
      <c r="W75" s="60">
        <f t="shared" si="7"/>
        <v>11175.666666666666</v>
      </c>
      <c r="Z75" s="60">
        <v>65</v>
      </c>
      <c r="AA75" s="60">
        <f>求节点(节奏总纲!AD$4:AD$363,S$11:S$370,$Z75)</f>
        <v>15392.670662342895</v>
      </c>
      <c r="AB75" s="60">
        <f>求节点(节奏总纲!AE$4:AE$363,T$11:T$370,$Z75)</f>
        <v>13353.758104295704</v>
      </c>
      <c r="AC75" s="60">
        <f>求节点(节奏总纲!AF$4:AF$363,U$11:U$370,$Z75)</f>
        <v>10971.248836784924</v>
      </c>
      <c r="AD75" s="60">
        <f>求节点(节奏总纲!AG$4:AG$363,V$11:V$370,$Z75)</f>
        <v>8068.8933156212879</v>
      </c>
      <c r="AE75" s="60">
        <f>求节点(节奏总纲!AH$4:AH$363,W$11:W$370,$Z75)</f>
        <v>4469.2887886575782</v>
      </c>
    </row>
    <row r="76" spans="18:31" x14ac:dyDescent="0.15">
      <c r="R76" s="60">
        <v>66</v>
      </c>
      <c r="S76" s="60">
        <f t="shared" si="7"/>
        <v>11347.6</v>
      </c>
      <c r="T76" s="60">
        <f t="shared" si="7"/>
        <v>11347.6</v>
      </c>
      <c r="U76" s="60">
        <f t="shared" si="7"/>
        <v>11347.6</v>
      </c>
      <c r="V76" s="60">
        <f t="shared" si="7"/>
        <v>11347.6</v>
      </c>
      <c r="W76" s="60">
        <f t="shared" si="7"/>
        <v>11347.6</v>
      </c>
      <c r="Z76" s="60">
        <v>66</v>
      </c>
      <c r="AA76" s="60">
        <f>求节点(节奏总纲!AD$4:AD$363,S$11:S$370,$Z76)</f>
        <v>16506.679436476094</v>
      </c>
      <c r="AB76" s="60">
        <f>求节点(节奏总纲!AE$4:AE$363,T$11:T$370,$Z76)</f>
        <v>14333.815280901783</v>
      </c>
      <c r="AC76" s="60">
        <f>求节点(节奏总纲!AF$4:AF$363,U$11:U$370,$Z76)</f>
        <v>11776.847905176475</v>
      </c>
      <c r="AD76" s="60">
        <f>求节点(节奏总纲!AG$4:AG$363,V$11:V$370,$Z76)</f>
        <v>8626.3503141153924</v>
      </c>
      <c r="AE76" s="60">
        <f>求节点(节奏总纲!AH$4:AH$363,W$11:W$370,$Z76)</f>
        <v>4789.5799149486766</v>
      </c>
    </row>
    <row r="77" spans="18:31" x14ac:dyDescent="0.15">
      <c r="R77" s="60">
        <v>67</v>
      </c>
      <c r="S77" s="60">
        <f t="shared" si="7"/>
        <v>11519.533333333333</v>
      </c>
      <c r="T77" s="60">
        <f t="shared" si="7"/>
        <v>11519.533333333333</v>
      </c>
      <c r="U77" s="60">
        <f t="shared" si="7"/>
        <v>11519.533333333333</v>
      </c>
      <c r="V77" s="60">
        <f t="shared" si="7"/>
        <v>11519.533333333333</v>
      </c>
      <c r="W77" s="60">
        <f t="shared" si="7"/>
        <v>11519.533333333333</v>
      </c>
      <c r="Z77" s="60">
        <v>67</v>
      </c>
      <c r="AA77" s="60">
        <f>求节点(节奏总纲!AD$4:AD$363,S$11:S$370,$Z77)</f>
        <v>17704.038302550423</v>
      </c>
      <c r="AB77" s="60">
        <f>求节点(节奏总纲!AE$4:AE$363,T$11:T$370,$Z77)</f>
        <v>15384.418201264878</v>
      </c>
      <c r="AC77" s="60">
        <f>求节点(节奏总纲!AF$4:AF$363,U$11:U$370,$Z77)</f>
        <v>12602.627633435401</v>
      </c>
      <c r="AD77" s="60">
        <f>求节点(节奏总纲!AG$4:AG$363,V$11:V$370,$Z77)</f>
        <v>9223.6379076508274</v>
      </c>
      <c r="AE77" s="60">
        <f>求节点(节奏总纲!AH$4:AH$363,W$11:W$370,$Z77)</f>
        <v>5124.9697302683262</v>
      </c>
    </row>
    <row r="78" spans="18:31" x14ac:dyDescent="0.15">
      <c r="R78" s="60">
        <v>68</v>
      </c>
      <c r="S78" s="60">
        <f t="shared" si="7"/>
        <v>11691.466666666667</v>
      </c>
      <c r="T78" s="60">
        <f t="shared" si="7"/>
        <v>11691.466666666667</v>
      </c>
      <c r="U78" s="60">
        <f t="shared" si="7"/>
        <v>11691.466666666667</v>
      </c>
      <c r="V78" s="60">
        <f t="shared" si="7"/>
        <v>11691.466666666667</v>
      </c>
      <c r="W78" s="60">
        <f t="shared" si="7"/>
        <v>11691.466666666667</v>
      </c>
      <c r="Z78" s="60">
        <v>68</v>
      </c>
      <c r="AA78" s="60">
        <f>求节点(节奏总纲!AD$4:AD$363,S$11:S$370,$Z78)</f>
        <v>18989.613905388051</v>
      </c>
      <c r="AB78" s="60">
        <f>求节点(节奏总纲!AE$4:AE$363,T$11:T$370,$Z78)</f>
        <v>16477.794065366565</v>
      </c>
      <c r="AC78" s="60">
        <f>求节点(节奏总纲!AF$4:AF$363,U$11:U$370,$Z78)</f>
        <v>13458.279182102138</v>
      </c>
      <c r="AD78" s="60">
        <f>求节点(节奏总纲!AG$4:AG$363,V$11:V$370,$Z78)</f>
        <v>9874.7374693452584</v>
      </c>
      <c r="AE78" s="60">
        <f>求节点(节奏总纲!AH$4:AH$363,W$11:W$370,$Z78)</f>
        <v>5478.9979240957218</v>
      </c>
    </row>
    <row r="79" spans="18:31" x14ac:dyDescent="0.15">
      <c r="R79" s="60">
        <v>69</v>
      </c>
      <c r="S79" s="60">
        <f t="shared" si="7"/>
        <v>11863.4</v>
      </c>
      <c r="T79" s="60">
        <f t="shared" si="7"/>
        <v>11863.4</v>
      </c>
      <c r="U79" s="60">
        <f t="shared" si="7"/>
        <v>11863.4</v>
      </c>
      <c r="V79" s="60">
        <f t="shared" si="7"/>
        <v>11863.4</v>
      </c>
      <c r="W79" s="60">
        <f t="shared" si="7"/>
        <v>11863.4</v>
      </c>
      <c r="Z79" s="60">
        <v>69</v>
      </c>
      <c r="AA79" s="60">
        <f>求节点(节奏总纲!AD$4:AD$363,S$11:S$370,$Z79)</f>
        <v>20364.690516736566</v>
      </c>
      <c r="AB79" s="60">
        <f>求节点(节奏总纲!AE$4:AE$363,T$11:T$370,$Z79)</f>
        <v>17629.860537770506</v>
      </c>
      <c r="AC79" s="60">
        <f>求节点(节奏总纲!AF$4:AF$363,U$11:U$370,$Z79)</f>
        <v>14425.768667135852</v>
      </c>
      <c r="AD79" s="60">
        <f>求节点(节奏总纲!AG$4:AG$363,V$11:V$370,$Z79)</f>
        <v>10582.655879934171</v>
      </c>
      <c r="AE79" s="60">
        <f>求节点(节奏总纲!AH$4:AH$363,W$11:W$370,$Z79)</f>
        <v>5857.0878298566859</v>
      </c>
    </row>
    <row r="80" spans="18:31" x14ac:dyDescent="0.15">
      <c r="R80" s="60">
        <v>70</v>
      </c>
      <c r="S80" s="60">
        <f t="shared" si="7"/>
        <v>12035.333333333334</v>
      </c>
      <c r="T80" s="60">
        <f t="shared" si="7"/>
        <v>12035.333333333334</v>
      </c>
      <c r="U80" s="60">
        <f t="shared" si="7"/>
        <v>12035.333333333334</v>
      </c>
      <c r="V80" s="60">
        <f t="shared" si="7"/>
        <v>12035.333333333334</v>
      </c>
      <c r="W80" s="60">
        <f t="shared" si="7"/>
        <v>12035.333333333334</v>
      </c>
      <c r="Z80" s="60">
        <v>70</v>
      </c>
      <c r="AA80" s="60">
        <f>求节点(节奏总纲!AD$4:AD$363,S$11:S$370,$Z80)</f>
        <v>21835.533333333333</v>
      </c>
      <c r="AB80" s="60">
        <f>求节点(节奏总纲!AE$4:AE$363,T$11:T$370,$Z80)</f>
        <v>18907.773780728436</v>
      </c>
      <c r="AC80" s="60">
        <f>求节点(节奏总纲!AF$4:AF$363,U$11:U$370,$Z80)</f>
        <v>15493.006671089115</v>
      </c>
      <c r="AD80" s="60">
        <f>求节点(节奏总纲!AG$4:AG$363,V$11:V$370,$Z80)</f>
        <v>11335.577857086657</v>
      </c>
      <c r="AE80" s="60">
        <f>求节点(节奏总纲!AH$4:AH$363,W$11:W$370,$Z80)</f>
        <v>6278.7032497040873</v>
      </c>
    </row>
    <row r="81" spans="18:31" x14ac:dyDescent="0.15">
      <c r="R81" s="60">
        <v>71</v>
      </c>
      <c r="S81" s="60">
        <f t="shared" si="7"/>
        <v>12207.266666666666</v>
      </c>
      <c r="T81" s="60">
        <f t="shared" si="7"/>
        <v>12207.266666666666</v>
      </c>
      <c r="U81" s="60">
        <f t="shared" si="7"/>
        <v>12207.266666666666</v>
      </c>
      <c r="V81" s="60">
        <f t="shared" si="7"/>
        <v>12207.266666666666</v>
      </c>
      <c r="W81" s="60">
        <f t="shared" si="7"/>
        <v>12207.266666666666</v>
      </c>
      <c r="Z81" s="60">
        <v>71</v>
      </c>
      <c r="AA81" s="60">
        <f>求节点(节奏总纲!AD$4:AD$363,S$11:S$370,$Z81)</f>
        <v>23416.936695450378</v>
      </c>
      <c r="AB81" s="60">
        <f>求节点(节奏总纲!AE$4:AE$363,T$11:T$370,$Z81)</f>
        <v>20294.186164985298</v>
      </c>
      <c r="AC81" s="60">
        <f>求节点(节奏总纲!AF$4:AF$363,U$11:U$370,$Z81)</f>
        <v>16607.60150853324</v>
      </c>
      <c r="AD81" s="60">
        <f>求节点(节奏总纲!AG$4:AG$363,V$11:V$370,$Z81)</f>
        <v>12143.126223468538</v>
      </c>
      <c r="AE81" s="60">
        <f>求节点(节奏总纲!AH$4:AH$363,W$11:W$370,$Z81)</f>
        <v>6728.1866077074592</v>
      </c>
    </row>
    <row r="82" spans="18:31" x14ac:dyDescent="0.15">
      <c r="R82" s="60">
        <v>72</v>
      </c>
      <c r="S82" s="60">
        <f t="shared" si="7"/>
        <v>12379.2</v>
      </c>
      <c r="T82" s="60">
        <f t="shared" si="7"/>
        <v>12379.2</v>
      </c>
      <c r="U82" s="60">
        <f t="shared" si="7"/>
        <v>12379.2</v>
      </c>
      <c r="V82" s="60">
        <f t="shared" si="7"/>
        <v>12379.2</v>
      </c>
      <c r="W82" s="60">
        <f t="shared" si="7"/>
        <v>12379.2</v>
      </c>
      <c r="Z82" s="60">
        <v>72</v>
      </c>
      <c r="AA82" s="60">
        <f>求节点(节奏总纲!AD$4:AD$363,S$11:S$370,$Z82)</f>
        <v>25108.404748608835</v>
      </c>
      <c r="AB82" s="60">
        <f>求节点(节奏总纲!AE$4:AE$363,T$11:T$370,$Z82)</f>
        <v>21764.992724927233</v>
      </c>
      <c r="AC82" s="60">
        <f>求节点(节奏总纲!AF$4:AF$363,U$11:U$370,$Z82)</f>
        <v>17766.77008325289</v>
      </c>
      <c r="AD82" s="60">
        <f>求节点(节奏总纲!AG$4:AG$363,V$11:V$370,$Z82)</f>
        <v>12999.063123999515</v>
      </c>
      <c r="AE82" s="60">
        <f>求节点(节奏总纲!AH$4:AH$363,W$11:W$370,$Z82)</f>
        <v>7204.6162376884677</v>
      </c>
    </row>
    <row r="83" spans="18:31" x14ac:dyDescent="0.15">
      <c r="R83" s="60">
        <v>73</v>
      </c>
      <c r="S83" s="60">
        <f t="shared" si="7"/>
        <v>12551.133333333333</v>
      </c>
      <c r="T83" s="60">
        <f t="shared" si="7"/>
        <v>12551.133333333333</v>
      </c>
      <c r="U83" s="60">
        <f t="shared" si="7"/>
        <v>12551.133333333333</v>
      </c>
      <c r="V83" s="60">
        <f t="shared" si="7"/>
        <v>12551.133333333333</v>
      </c>
      <c r="W83" s="60">
        <f t="shared" si="7"/>
        <v>12551.133333333333</v>
      </c>
      <c r="Z83" s="60">
        <v>73</v>
      </c>
      <c r="AA83" s="60">
        <f>求节点(节奏总纲!AD$4:AD$363,S$11:S$370,$Z83)</f>
        <v>26925.30817846434</v>
      </c>
      <c r="AB83" s="60">
        <f>求节点(节奏总纲!AE$4:AE$363,T$11:T$370,$Z83)</f>
        <v>23286.664045742687</v>
      </c>
      <c r="AC83" s="60">
        <f>求节点(节奏总纲!AF$4:AF$363,U$11:U$370,$Z83)</f>
        <v>19017.255579861539</v>
      </c>
      <c r="AD83" s="60">
        <f>求节点(节奏总纲!AG$4:AG$363,V$11:V$370,$Z83)</f>
        <v>13919.581862310202</v>
      </c>
      <c r="AE83" s="60">
        <f>求节点(节奏总纲!AH$4:AH$363,W$11:W$370,$Z83)</f>
        <v>7717.7358449666226</v>
      </c>
    </row>
    <row r="84" spans="18:31" x14ac:dyDescent="0.15">
      <c r="R84" s="60">
        <v>74</v>
      </c>
      <c r="S84" s="60">
        <f t="shared" si="7"/>
        <v>12723.066666666668</v>
      </c>
      <c r="T84" s="60">
        <f t="shared" si="7"/>
        <v>12723.066666666668</v>
      </c>
      <c r="U84" s="60">
        <f t="shared" si="7"/>
        <v>12723.066666666668</v>
      </c>
      <c r="V84" s="60">
        <f t="shared" si="7"/>
        <v>12723.066666666668</v>
      </c>
      <c r="W84" s="60">
        <f t="shared" si="7"/>
        <v>12723.066666666668</v>
      </c>
      <c r="Z84" s="60">
        <v>74</v>
      </c>
      <c r="AA84" s="60">
        <f>求节点(节奏总纲!AD$4:AD$363,S$11:S$370,$Z84)</f>
        <v>28868.164078302889</v>
      </c>
      <c r="AB84" s="60">
        <f>求节点(节奏总纲!AE$4:AE$363,T$11:T$370,$Z84)</f>
        <v>24960.492165238844</v>
      </c>
      <c r="AC84" s="60">
        <f>求节点(节奏总纲!AF$4:AF$363,U$11:U$370,$Z84)</f>
        <v>20411.381291141101</v>
      </c>
      <c r="AD84" s="60">
        <f>求节点(节奏总纲!AG$4:AG$363,V$11:V$370,$Z84)</f>
        <v>14937.162536509726</v>
      </c>
      <c r="AE84" s="60">
        <f>求节点(节奏总纲!AH$4:AH$363,W$11:W$370,$Z84)</f>
        <v>8284.0993582310039</v>
      </c>
    </row>
    <row r="85" spans="18:31" x14ac:dyDescent="0.15">
      <c r="R85" s="60">
        <v>75</v>
      </c>
      <c r="S85" s="60">
        <f t="shared" si="7"/>
        <v>12895</v>
      </c>
      <c r="T85" s="60">
        <f t="shared" si="7"/>
        <v>12895</v>
      </c>
      <c r="U85" s="60">
        <f t="shared" si="7"/>
        <v>12895</v>
      </c>
      <c r="V85" s="60">
        <f t="shared" si="7"/>
        <v>12895</v>
      </c>
      <c r="W85" s="60">
        <f t="shared" si="7"/>
        <v>12895</v>
      </c>
      <c r="Z85" s="60">
        <v>75</v>
      </c>
      <c r="AA85" s="60">
        <f>求节点(节奏总纲!AD$4:AD$363,S$11:S$370,$Z85)</f>
        <v>30951.558172956935</v>
      </c>
      <c r="AB85" s="60">
        <f>求节点(节奏总纲!AE$4:AE$363,T$11:T$370,$Z85)</f>
        <v>26780.915883743335</v>
      </c>
      <c r="AC85" s="60">
        <f>求节点(节奏总纲!AF$4:AF$363,U$11:U$370,$Z85)</f>
        <v>21903.251887347578</v>
      </c>
      <c r="AD85" s="60">
        <f>求节点(节奏总纲!AG$4:AG$363,V$11:V$370,$Z85)</f>
        <v>16028.748555084532</v>
      </c>
      <c r="AE85" s="60">
        <f>求节点(节奏总纲!AH$4:AH$363,W$11:W$370,$Z85)</f>
        <v>8901.184692278739</v>
      </c>
    </row>
    <row r="86" spans="18:31" x14ac:dyDescent="0.15">
      <c r="R86" s="60">
        <v>76</v>
      </c>
      <c r="S86" s="60">
        <f t="shared" si="7"/>
        <v>13066.933333333332</v>
      </c>
      <c r="T86" s="60">
        <f t="shared" si="7"/>
        <v>13066.933333333332</v>
      </c>
      <c r="U86" s="60">
        <f t="shared" si="7"/>
        <v>13066.933333333332</v>
      </c>
      <c r="V86" s="60">
        <f t="shared" si="7"/>
        <v>13066.933333333332</v>
      </c>
      <c r="W86" s="60">
        <f t="shared" si="7"/>
        <v>13066.933333333332</v>
      </c>
      <c r="Z86" s="60">
        <v>76</v>
      </c>
      <c r="AA86" s="60">
        <f>求节点(节奏总纲!AD$4:AD$363,S$11:S$370,$Z86)</f>
        <v>33185.291299003227</v>
      </c>
      <c r="AB86" s="60">
        <f>求节点(节奏总纲!AE$4:AE$363,T$11:T$370,$Z86)</f>
        <v>28708.799740381379</v>
      </c>
      <c r="AC86" s="60">
        <f>求节点(节奏总纲!AF$4:AF$363,U$11:U$370,$Z86)</f>
        <v>23475.791084959023</v>
      </c>
      <c r="AD86" s="60">
        <f>求节点(节奏总纲!AG$4:AG$363,V$11:V$370,$Z86)</f>
        <v>17200.375269391392</v>
      </c>
      <c r="AE86" s="60">
        <f>求节点(节奏总纲!AH$4:AH$363,W$11:W$370,$Z86)</f>
        <v>9570.2224454926636</v>
      </c>
    </row>
    <row r="87" spans="18:31" x14ac:dyDescent="0.15">
      <c r="R87" s="60">
        <v>77</v>
      </c>
      <c r="S87" s="60">
        <f t="shared" si="7"/>
        <v>13238.866666666667</v>
      </c>
      <c r="T87" s="60">
        <f t="shared" si="7"/>
        <v>13238.866666666667</v>
      </c>
      <c r="U87" s="60">
        <f t="shared" si="7"/>
        <v>13238.866666666667</v>
      </c>
      <c r="V87" s="60">
        <f t="shared" si="7"/>
        <v>13238.866666666667</v>
      </c>
      <c r="W87" s="60">
        <f t="shared" si="7"/>
        <v>13238.866666666667</v>
      </c>
      <c r="Z87" s="60">
        <v>77</v>
      </c>
      <c r="AA87" s="60">
        <f>求节点(节奏总纲!AD$4:AD$363,S$11:S$370,$Z87)</f>
        <v>35579.988218818937</v>
      </c>
      <c r="AB87" s="60">
        <f>求节点(节奏总纲!AE$4:AE$363,T$11:T$370,$Z87)</f>
        <v>30798.618523340396</v>
      </c>
      <c r="AC87" s="60">
        <f>求节点(节奏总纲!AF$4:AF$363,U$11:U$370,$Z87)</f>
        <v>25196.534548490206</v>
      </c>
      <c r="AD87" s="60">
        <f>求节点(节奏总纲!AG$4:AG$363,V$11:V$370,$Z87)</f>
        <v>18471.241770759127</v>
      </c>
      <c r="AE87" s="60">
        <f>求节点(节奏总纲!AH$4:AH$363,W$11:W$370,$Z87)</f>
        <v>10238.784556779974</v>
      </c>
    </row>
    <row r="88" spans="18:31" x14ac:dyDescent="0.15">
      <c r="R88" s="60">
        <v>78</v>
      </c>
      <c r="S88" s="60">
        <f t="shared" si="7"/>
        <v>13410.8</v>
      </c>
      <c r="T88" s="60">
        <f t="shared" si="7"/>
        <v>13410.8</v>
      </c>
      <c r="U88" s="60">
        <f t="shared" si="7"/>
        <v>13410.8</v>
      </c>
      <c r="V88" s="60">
        <f t="shared" si="7"/>
        <v>13410.8</v>
      </c>
      <c r="W88" s="60">
        <f t="shared" si="7"/>
        <v>13410.8</v>
      </c>
      <c r="Z88" s="60">
        <v>78</v>
      </c>
      <c r="AA88" s="60">
        <f>求节点(节奏总纲!AD$4:AD$363,S$11:S$370,$Z88)</f>
        <v>38146.683061423442</v>
      </c>
      <c r="AB88" s="60">
        <f>求节点(节奏总纲!AE$4:AE$363,T$11:T$370,$Z88)</f>
        <v>33019.171984506851</v>
      </c>
      <c r="AC88" s="60">
        <f>求节点(节奏总纲!AF$4:AF$363,U$11:U$370,$Z88)</f>
        <v>27035.829072185417</v>
      </c>
      <c r="AD88" s="60">
        <f>求节点(节奏总纲!AG$4:AG$363,V$11:V$370,$Z88)</f>
        <v>19801.836407318238</v>
      </c>
      <c r="AE88" s="60">
        <f>求节点(节奏总纲!AH$4:AH$363,W$11:W$370,$Z88)</f>
        <v>10947.060942548202</v>
      </c>
    </row>
    <row r="89" spans="18:31" x14ac:dyDescent="0.15">
      <c r="R89" s="60">
        <v>79</v>
      </c>
      <c r="S89" s="60">
        <f t="shared" si="7"/>
        <v>13582.733333333334</v>
      </c>
      <c r="T89" s="60">
        <f t="shared" si="7"/>
        <v>13582.733333333334</v>
      </c>
      <c r="U89" s="60">
        <f t="shared" si="7"/>
        <v>13582.733333333334</v>
      </c>
      <c r="V89" s="60">
        <f t="shared" si="7"/>
        <v>13582.733333333334</v>
      </c>
      <c r="W89" s="60">
        <f t="shared" si="7"/>
        <v>13582.733333333334</v>
      </c>
      <c r="Z89" s="60">
        <v>79</v>
      </c>
      <c r="AA89" s="60">
        <f>求节点(节奏总纲!AD$4:AD$363,S$11:S$370,$Z89)</f>
        <v>40896.880915040776</v>
      </c>
      <c r="AB89" s="60">
        <f>求节点(节奏总纲!AE$4:AE$363,T$11:T$370,$Z89)</f>
        <v>35432.677508736648</v>
      </c>
      <c r="AC89" s="60">
        <f>求节点(节奏总纲!AF$4:AF$363,U$11:U$370,$Z89)</f>
        <v>29011.517008809275</v>
      </c>
      <c r="AD89" s="60">
        <f>求节点(节奏总纲!AG$4:AG$363,V$11:V$370,$Z89)</f>
        <v>21168.615845786029</v>
      </c>
      <c r="AE89" s="60">
        <f>求节点(节奏总纲!AH$4:AH$363,W$11:W$370,$Z89)</f>
        <v>11713.21505887718</v>
      </c>
    </row>
    <row r="90" spans="18:31" x14ac:dyDescent="0.15">
      <c r="R90" s="60">
        <v>80</v>
      </c>
      <c r="S90" s="60">
        <f t="shared" si="7"/>
        <v>13754.666666666666</v>
      </c>
      <c r="T90" s="60">
        <f t="shared" si="7"/>
        <v>13754.666666666666</v>
      </c>
      <c r="U90" s="60">
        <f t="shared" si="7"/>
        <v>13754.666666666666</v>
      </c>
      <c r="V90" s="60">
        <f t="shared" si="7"/>
        <v>13754.666666666666</v>
      </c>
      <c r="W90" s="60">
        <f t="shared" si="7"/>
        <v>13754.666666666666</v>
      </c>
      <c r="Z90" s="60">
        <v>80</v>
      </c>
      <c r="AA90" s="60">
        <f>求节点(节奏总纲!AD$4:AD$363,S$11:S$370,$Z90)</f>
        <v>43843</v>
      </c>
      <c r="AB90" s="60">
        <f>求节点(节奏总纲!AE$4:AE$363,T$11:T$370,$Z90)</f>
        <v>38012.119446478035</v>
      </c>
      <c r="AC90" s="60">
        <f>求节点(节奏总纲!AF$4:AF$363,U$11:U$370,$Z90)</f>
        <v>31008.156801298508</v>
      </c>
      <c r="AD90" s="60">
        <f>求节点(节奏总纲!AG$4:AG$363,V$11:V$370,$Z90)</f>
        <v>22626.35923163428</v>
      </c>
      <c r="AE90" s="60">
        <f>求节点(节奏总纲!AH$4:AH$363,W$11:W$370,$Z90)</f>
        <v>12515.3320063214</v>
      </c>
    </row>
    <row r="91" spans="18:31" x14ac:dyDescent="0.15">
      <c r="R91" s="60">
        <v>81</v>
      </c>
      <c r="S91" s="60">
        <f t="shared" si="7"/>
        <v>13926.6</v>
      </c>
      <c r="T91" s="60">
        <f t="shared" si="7"/>
        <v>13926.6</v>
      </c>
      <c r="U91" s="60">
        <f t="shared" si="7"/>
        <v>13926.6</v>
      </c>
      <c r="V91" s="60">
        <f t="shared" si="7"/>
        <v>13926.6</v>
      </c>
      <c r="W91" s="60">
        <f t="shared" si="7"/>
        <v>13926.6</v>
      </c>
      <c r="Z91" s="60">
        <v>81</v>
      </c>
      <c r="AA91" s="60">
        <f>求节点(节奏总纲!AD$4:AD$363,S$11:S$370,$Z91)</f>
        <v>47004.917808802398</v>
      </c>
      <c r="AB91" s="60">
        <f>求节点(节奏总纲!AE$4:AE$363,T$11:T$370,$Z91)</f>
        <v>40641.816036407203</v>
      </c>
      <c r="AC91" s="60">
        <f>求节点(节奏总纲!AF$4:AF$363,U$11:U$370,$Z91)</f>
        <v>33130.974163679508</v>
      </c>
      <c r="AD91" s="60">
        <f>求节点(节奏总纲!AG$4:AG$363,V$11:V$370,$Z91)</f>
        <v>24204.15829967747</v>
      </c>
      <c r="AE91" s="60">
        <f>求节点(节奏总纲!AH$4:AH$363,W$11:W$370,$Z91)</f>
        <v>13387.362162778951</v>
      </c>
    </row>
    <row r="92" spans="18:31" x14ac:dyDescent="0.15">
      <c r="R92" s="60">
        <v>82</v>
      </c>
      <c r="S92" s="60">
        <f t="shared" si="7"/>
        <v>14098.533333333333</v>
      </c>
      <c r="T92" s="60">
        <f t="shared" si="7"/>
        <v>14098.533333333333</v>
      </c>
      <c r="U92" s="60">
        <f t="shared" si="7"/>
        <v>14098.533333333333</v>
      </c>
      <c r="V92" s="60">
        <f t="shared" si="7"/>
        <v>14098.533333333333</v>
      </c>
      <c r="W92" s="60">
        <f t="shared" si="7"/>
        <v>14098.533333333333</v>
      </c>
      <c r="Z92" s="60">
        <v>82</v>
      </c>
      <c r="AA92" s="60">
        <f>求节点(节奏总纲!AD$4:AD$363,S$11:S$370,$Z92)</f>
        <v>50388.713551356348</v>
      </c>
      <c r="AB92" s="60">
        <f>求节点(节奏总纲!AE$4:AE$363,T$11:T$370,$Z92)</f>
        <v>43527.176778591616</v>
      </c>
      <c r="AC92" s="60">
        <f>求节点(节奏总纲!AF$4:AF$363,U$11:U$370,$Z92)</f>
        <v>35487.368621278001</v>
      </c>
      <c r="AD92" s="60">
        <f>求节点(节奏总纲!AG$4:AG$363,V$11:V$370,$Z92)</f>
        <v>25931.402179215776</v>
      </c>
      <c r="AE92" s="60">
        <f>求节点(节奏总纲!AH$4:AH$363,W$11:W$370,$Z92)</f>
        <v>14313.440068841563</v>
      </c>
    </row>
    <row r="93" spans="18:31" x14ac:dyDescent="0.15">
      <c r="R93" s="60">
        <v>83</v>
      </c>
      <c r="S93" s="60">
        <f t="shared" si="7"/>
        <v>14270.466666666667</v>
      </c>
      <c r="T93" s="60">
        <f t="shared" si="7"/>
        <v>14270.466666666667</v>
      </c>
      <c r="U93" s="60">
        <f t="shared" si="7"/>
        <v>14270.466666666667</v>
      </c>
      <c r="V93" s="60">
        <f t="shared" si="7"/>
        <v>14270.466666666667</v>
      </c>
      <c r="W93" s="60">
        <f t="shared" si="7"/>
        <v>14270.466666666667</v>
      </c>
      <c r="Z93" s="60">
        <v>83</v>
      </c>
      <c r="AA93" s="60">
        <f>求节点(节奏总纲!AD$4:AD$363,S$11:S$370,$Z93)</f>
        <v>54018.549585452827</v>
      </c>
      <c r="AB93" s="60">
        <f>求节点(节奏总纲!AE$4:AE$363,T$11:T$370,$Z93)</f>
        <v>46689.70108958202</v>
      </c>
      <c r="AC93" s="60">
        <f>求节点(节奏总纲!AF$4:AF$363,U$11:U$370,$Z93)</f>
        <v>38094.131832186475</v>
      </c>
      <c r="AD93" s="60">
        <f>求节点(节奏总纲!AG$4:AG$363,V$11:V$370,$Z93)</f>
        <v>27783.219520736748</v>
      </c>
      <c r="AE93" s="60">
        <f>求节点(节奏总纲!AH$4:AH$363,W$11:W$370,$Z93)</f>
        <v>15337.5566833049</v>
      </c>
    </row>
    <row r="94" spans="18:31" x14ac:dyDescent="0.15">
      <c r="R94" s="60">
        <v>84</v>
      </c>
      <c r="S94" s="60">
        <f t="shared" si="7"/>
        <v>14442.4</v>
      </c>
      <c r="T94" s="60">
        <f t="shared" si="7"/>
        <v>14442.4</v>
      </c>
      <c r="U94" s="60">
        <f t="shared" si="7"/>
        <v>14442.4</v>
      </c>
      <c r="V94" s="60">
        <f t="shared" si="7"/>
        <v>14442.4</v>
      </c>
      <c r="W94" s="60">
        <f t="shared" si="7"/>
        <v>14442.4</v>
      </c>
      <c r="Z94" s="60">
        <v>84</v>
      </c>
      <c r="AA94" s="60">
        <f>求节点(节奏总纲!AD$4:AD$363,S$11:S$370,$Z94)</f>
        <v>57908.028812597833</v>
      </c>
      <c r="AB94" s="60">
        <f>求节点(节奏总纲!AE$4:AE$363,T$11:T$370,$Z94)</f>
        <v>50078.442346054544</v>
      </c>
      <c r="AC94" s="60">
        <f>求节点(节奏总纲!AF$4:AF$363,U$11:U$370,$Z94)</f>
        <v>40796.842101507587</v>
      </c>
      <c r="AD94" s="60">
        <f>求节点(节奏总纲!AG$4:AG$363,V$11:V$370,$Z94)</f>
        <v>29740.944785825188</v>
      </c>
      <c r="AE94" s="60">
        <f>求节点(节奏总纲!AH$4:AH$363,W$11:W$370,$Z94)</f>
        <v>16447.835051611277</v>
      </c>
    </row>
    <row r="95" spans="18:31" x14ac:dyDescent="0.15">
      <c r="R95" s="60">
        <v>85</v>
      </c>
      <c r="S95" s="60">
        <f t="shared" si="7"/>
        <v>14614.333333333334</v>
      </c>
      <c r="T95" s="60">
        <f t="shared" si="7"/>
        <v>14614.333333333334</v>
      </c>
      <c r="U95" s="60">
        <f t="shared" si="7"/>
        <v>14614.333333333334</v>
      </c>
      <c r="V95" s="60">
        <f t="shared" si="7"/>
        <v>14614.333333333334</v>
      </c>
      <c r="W95" s="60">
        <f t="shared" si="7"/>
        <v>14614.333333333334</v>
      </c>
      <c r="Z95" s="60">
        <v>85</v>
      </c>
      <c r="AA95" s="60">
        <f>求节点(节奏总纲!AD$4:AD$363,S$11:S$370,$Z95)</f>
        <v>61896</v>
      </c>
      <c r="AB95" s="60">
        <f>求节点(节奏总纲!AE$4:AE$363,T$11:T$370,$Z95)</f>
        <v>53598.08542569117</v>
      </c>
      <c r="AC95" s="60">
        <f>求节点(节奏总纲!AF$4:AF$363,U$11:U$370,$Z95)</f>
        <v>43658.233843988906</v>
      </c>
      <c r="AD95" s="60">
        <f>求节点(节奏总纲!AG$4:AG$363,V$11:V$370,$Z95)</f>
        <v>31910.205440528527</v>
      </c>
      <c r="AE95" s="60">
        <f>求节点(节奏总纲!AH$4:AH$363,W$11:W$370,$Z95)</f>
        <v>17626.128543598054</v>
      </c>
    </row>
    <row r="96" spans="18:31" x14ac:dyDescent="0.15">
      <c r="R96" s="60">
        <v>86</v>
      </c>
      <c r="S96" s="60">
        <f t="shared" si="7"/>
        <v>14786.266666666666</v>
      </c>
      <c r="T96" s="60">
        <f t="shared" si="7"/>
        <v>14786.266666666666</v>
      </c>
      <c r="U96" s="60">
        <f t="shared" si="7"/>
        <v>14786.266666666666</v>
      </c>
      <c r="V96" s="60">
        <f t="shared" si="7"/>
        <v>14786.266666666666</v>
      </c>
      <c r="W96" s="60">
        <f t="shared" si="7"/>
        <v>14786.266666666666</v>
      </c>
      <c r="Z96" s="60">
        <v>86</v>
      </c>
      <c r="AA96" s="60">
        <f>求节点(节奏总纲!AD$4:AD$363,S$11:S$370,$Z96)</f>
        <v>61896</v>
      </c>
      <c r="AB96" s="60">
        <f>求节点(节奏总纲!AE$4:AE$363,T$11:T$370,$Z96)</f>
        <v>57425.96372236692</v>
      </c>
      <c r="AC96" s="60">
        <f>求节点(节奏总纲!AF$4:AF$363,U$11:U$370,$Z96)</f>
        <v>46808.841550983147</v>
      </c>
      <c r="AD96" s="60">
        <f>求节点(节奏总纲!AG$4:AG$363,V$11:V$370,$Z96)</f>
        <v>34280.638246259958</v>
      </c>
      <c r="AE96" s="60">
        <f>求节点(节奏总纲!AH$4:AH$363,W$11:W$370,$Z96)</f>
        <v>18732.133733907878</v>
      </c>
    </row>
    <row r="97" spans="18:31" x14ac:dyDescent="0.15">
      <c r="R97" s="60">
        <v>87</v>
      </c>
      <c r="S97" s="60">
        <f t="shared" si="7"/>
        <v>14958.2</v>
      </c>
      <c r="T97" s="60">
        <f t="shared" si="7"/>
        <v>14958.2</v>
      </c>
      <c r="U97" s="60">
        <f t="shared" si="7"/>
        <v>14958.2</v>
      </c>
      <c r="V97" s="60">
        <f t="shared" si="7"/>
        <v>14958.2</v>
      </c>
      <c r="W97" s="60">
        <f t="shared" si="7"/>
        <v>14958.2</v>
      </c>
      <c r="Z97" s="60">
        <v>87</v>
      </c>
      <c r="AA97" s="60">
        <f>求节点(节奏总纲!AD$4:AD$363,S$11:S$370,$Z97)</f>
        <v>61896</v>
      </c>
      <c r="AB97" s="60">
        <f>求节点(节奏总纲!AE$4:AE$363,T$11:T$370,$Z97)</f>
        <v>61604.150457015072</v>
      </c>
      <c r="AC97" s="60">
        <f>求节点(节奏总纲!AF$4:AF$363,U$11:U$370,$Z97)</f>
        <v>50274.441191943297</v>
      </c>
      <c r="AD97" s="60">
        <f>求节点(节奏总纲!AG$4:AG$363,V$11:V$370,$Z97)</f>
        <v>36550.521032142533</v>
      </c>
      <c r="AE97" s="60">
        <f>求节点(节奏总纲!AH$4:AH$363,W$11:W$370,$Z97)</f>
        <v>19904.038347988517</v>
      </c>
    </row>
    <row r="98" spans="18:31" x14ac:dyDescent="0.15">
      <c r="R98" s="60">
        <v>88</v>
      </c>
      <c r="S98" s="60">
        <f t="shared" si="7"/>
        <v>15130.133333333333</v>
      </c>
      <c r="T98" s="60">
        <f t="shared" si="7"/>
        <v>15130.133333333333</v>
      </c>
      <c r="U98" s="60">
        <f t="shared" si="7"/>
        <v>15130.133333333333</v>
      </c>
      <c r="V98" s="60">
        <f t="shared" si="7"/>
        <v>15130.133333333333</v>
      </c>
      <c r="W98" s="60">
        <f t="shared" si="7"/>
        <v>15130.133333333333</v>
      </c>
      <c r="Z98" s="60">
        <v>88</v>
      </c>
      <c r="AA98" s="60">
        <f>求节点(节奏总纲!AD$4:AD$363,S$11:S$370,$Z98)</f>
        <v>61896</v>
      </c>
      <c r="AB98" s="60">
        <f>求节点(节奏总纲!AE$4:AE$363,T$11:T$370,$Z98)</f>
        <v>61896</v>
      </c>
      <c r="AC98" s="60">
        <f>求节点(节奏总纲!AF$4:AF$363,U$11:U$370,$Z98)</f>
        <v>53798.430621950829</v>
      </c>
      <c r="AD98" s="60">
        <f>求节点(节奏总纲!AG$4:AG$363,V$11:V$370,$Z98)</f>
        <v>38858.336309543723</v>
      </c>
      <c r="AE98" s="60">
        <f>求节点(节奏总纲!AH$4:AH$363,W$11:W$370,$Z98)</f>
        <v>21180.092548464057</v>
      </c>
    </row>
    <row r="99" spans="18:31" x14ac:dyDescent="0.15">
      <c r="R99" s="60">
        <v>89</v>
      </c>
      <c r="S99" s="60">
        <f t="shared" si="7"/>
        <v>15302.066666666668</v>
      </c>
      <c r="T99" s="60">
        <f t="shared" si="7"/>
        <v>15302.066666666668</v>
      </c>
      <c r="U99" s="60">
        <f t="shared" si="7"/>
        <v>15302.066666666668</v>
      </c>
      <c r="V99" s="60">
        <f t="shared" si="7"/>
        <v>15302.066666666668</v>
      </c>
      <c r="W99" s="60">
        <f t="shared" si="7"/>
        <v>15302.066666666668</v>
      </c>
      <c r="Z99" s="60">
        <v>89</v>
      </c>
      <c r="AA99" s="60">
        <f>求节点(节奏总纲!AD$4:AD$363,S$11:S$370,$Z99)</f>
        <v>61896</v>
      </c>
      <c r="AB99" s="60">
        <f>求节点(节奏总纲!AE$4:AE$363,T$11:T$370,$Z99)</f>
        <v>61896</v>
      </c>
      <c r="AC99" s="60">
        <f>求节点(节奏总纲!AF$4:AF$363,U$11:U$370,$Z99)</f>
        <v>57189.082759213532</v>
      </c>
      <c r="AD99" s="60">
        <f>求节点(节奏总纲!AG$4:AG$363,V$11:V$370,$Z99)</f>
        <v>41318.163669121233</v>
      </c>
      <c r="AE99" s="60">
        <f>求节点(节奏总纲!AH$4:AH$363,W$11:W$370,$Z99)</f>
        <v>22460.083042886097</v>
      </c>
    </row>
    <row r="100" spans="18:31" x14ac:dyDescent="0.15">
      <c r="R100" s="60">
        <v>90</v>
      </c>
      <c r="S100" s="60">
        <f t="shared" si="7"/>
        <v>15474</v>
      </c>
      <c r="T100" s="60">
        <f t="shared" si="7"/>
        <v>15474</v>
      </c>
      <c r="U100" s="60">
        <f t="shared" si="7"/>
        <v>15474</v>
      </c>
      <c r="V100" s="60">
        <f t="shared" si="7"/>
        <v>15474</v>
      </c>
      <c r="W100" s="60">
        <f t="shared" si="7"/>
        <v>15474</v>
      </c>
      <c r="Z100" s="60">
        <v>90</v>
      </c>
      <c r="AA100" s="60">
        <f>求节点(节奏总纲!AD$4:AD$363,S$11:S$370,$Z100)</f>
        <v>61896</v>
      </c>
      <c r="AB100" s="60">
        <f>求节点(节奏总纲!AE$4:AE$363,T$11:T$370,$Z100)</f>
        <v>61896</v>
      </c>
      <c r="AC100" s="60">
        <f>求节点(节奏总纲!AF$4:AF$363,U$11:U$370,$Z100)</f>
        <v>60887.91927193851</v>
      </c>
      <c r="AD100" s="60">
        <f>求节点(节奏总纲!AG$4:AG$363,V$11:V$370,$Z100)</f>
        <v>43826.66856774022</v>
      </c>
      <c r="AE100" s="60">
        <f>求节点(节奏总纲!AH$4:AH$363,W$11:W$370,$Z100)</f>
        <v>23817.226048180204</v>
      </c>
    </row>
    <row r="101" spans="18:31" x14ac:dyDescent="0.15">
      <c r="R101" s="60">
        <v>91</v>
      </c>
      <c r="S101" s="60">
        <f t="shared" si="7"/>
        <v>15645.933333333332</v>
      </c>
      <c r="T101" s="60">
        <f t="shared" si="7"/>
        <v>15645.933333333332</v>
      </c>
      <c r="U101" s="60">
        <f t="shared" si="7"/>
        <v>15645.933333333332</v>
      </c>
      <c r="V101" s="60">
        <f t="shared" si="7"/>
        <v>15645.933333333332</v>
      </c>
      <c r="W101" s="60">
        <f t="shared" si="7"/>
        <v>15645.933333333332</v>
      </c>
      <c r="Z101" s="60">
        <v>91</v>
      </c>
      <c r="AA101" s="60">
        <f>求节点(节奏总纲!AD$4:AD$363,S$11:S$370,$Z101)</f>
        <v>61896</v>
      </c>
      <c r="AB101" s="60">
        <f>求节点(节奏总纲!AE$4:AE$363,T$11:T$370,$Z101)</f>
        <v>61896</v>
      </c>
      <c r="AC101" s="60">
        <f>求节点(节奏总纲!AF$4:AF$363,U$11:U$370,$Z101)</f>
        <v>61896</v>
      </c>
      <c r="AD101" s="60">
        <f>求节点(节奏总纲!AG$4:AG$363,V$11:V$370,$Z101)</f>
        <v>46874.174776368891</v>
      </c>
      <c r="AE101" s="60">
        <f>求节点(节奏总纲!AH$4:AH$363,W$11:W$370,$Z101)</f>
        <v>25428.142164401521</v>
      </c>
    </row>
    <row r="102" spans="18:31" x14ac:dyDescent="0.15">
      <c r="R102" s="60">
        <v>92</v>
      </c>
      <c r="S102" s="60">
        <f t="shared" si="7"/>
        <v>15817.866666666667</v>
      </c>
      <c r="T102" s="60">
        <f t="shared" si="7"/>
        <v>15817.866666666667</v>
      </c>
      <c r="U102" s="60">
        <f t="shared" si="7"/>
        <v>15817.866666666667</v>
      </c>
      <c r="V102" s="60">
        <f t="shared" si="7"/>
        <v>15817.866666666667</v>
      </c>
      <c r="W102" s="60">
        <f t="shared" si="7"/>
        <v>15817.866666666667</v>
      </c>
      <c r="Z102" s="60">
        <v>92</v>
      </c>
      <c r="AA102" s="60">
        <f>求节点(节奏总纲!AD$4:AD$363,S$11:S$370,$Z102)</f>
        <v>61896</v>
      </c>
      <c r="AB102" s="60">
        <f>求节点(节奏总纲!AE$4:AE$363,T$11:T$370,$Z102)</f>
        <v>61896</v>
      </c>
      <c r="AC102" s="60">
        <f>求节点(节奏总纲!AF$4:AF$363,U$11:U$370,$Z102)</f>
        <v>61896</v>
      </c>
      <c r="AD102" s="60">
        <f>求节点(节奏总纲!AG$4:AG$363,V$11:V$370,$Z102)</f>
        <v>50132.848369229127</v>
      </c>
      <c r="AE102" s="60">
        <f>求节点(节奏总纲!AH$4:AH$363,W$11:W$370,$Z102)</f>
        <v>27108.102983162538</v>
      </c>
    </row>
    <row r="103" spans="18:31" x14ac:dyDescent="0.15">
      <c r="R103" s="60">
        <v>93</v>
      </c>
      <c r="S103" s="60">
        <f t="shared" si="7"/>
        <v>15989.8</v>
      </c>
      <c r="T103" s="60">
        <f t="shared" si="7"/>
        <v>15989.8</v>
      </c>
      <c r="U103" s="60">
        <f t="shared" si="7"/>
        <v>15989.8</v>
      </c>
      <c r="V103" s="60">
        <f t="shared" si="7"/>
        <v>15989.8</v>
      </c>
      <c r="W103" s="60">
        <f t="shared" si="7"/>
        <v>15989.8</v>
      </c>
      <c r="Z103" s="60">
        <v>93</v>
      </c>
      <c r="AA103" s="60">
        <f>求节点(节奏总纲!AD$4:AD$363,S$11:S$370,$Z103)</f>
        <v>61896</v>
      </c>
      <c r="AB103" s="60">
        <f>求节点(节奏总纲!AE$4:AE$363,T$11:T$370,$Z103)</f>
        <v>61896</v>
      </c>
      <c r="AC103" s="60">
        <f>求节点(节奏总纲!AF$4:AF$363,U$11:U$370,$Z103)</f>
        <v>61896</v>
      </c>
      <c r="AD103" s="60">
        <f>求节点(节奏总纲!AG$4:AG$363,V$11:V$370,$Z103)</f>
        <v>53564.293587663509</v>
      </c>
      <c r="AE103" s="60">
        <f>求节点(节奏总纲!AH$4:AH$363,W$11:W$370,$Z103)</f>
        <v>28947.091754164405</v>
      </c>
    </row>
    <row r="104" spans="18:31" x14ac:dyDescent="0.15">
      <c r="R104" s="60">
        <v>94</v>
      </c>
      <c r="S104" s="60">
        <f t="shared" si="7"/>
        <v>16161.733333333334</v>
      </c>
      <c r="T104" s="60">
        <f t="shared" si="7"/>
        <v>16161.733333333334</v>
      </c>
      <c r="U104" s="60">
        <f t="shared" si="7"/>
        <v>16161.733333333334</v>
      </c>
      <c r="V104" s="60">
        <f t="shared" si="7"/>
        <v>16161.733333333334</v>
      </c>
      <c r="W104" s="60">
        <f t="shared" si="7"/>
        <v>16161.733333333334</v>
      </c>
      <c r="Z104" s="60">
        <v>94</v>
      </c>
      <c r="AA104" s="60">
        <f>求节点(节奏总纲!AD$4:AD$363,S$11:S$370,$Z104)</f>
        <v>61896</v>
      </c>
      <c r="AB104" s="60">
        <f>求节点(节奏总纲!AE$4:AE$363,T$11:T$370,$Z104)</f>
        <v>61896</v>
      </c>
      <c r="AC104" s="60">
        <f>求节点(节奏总纲!AF$4:AF$363,U$11:U$370,$Z104)</f>
        <v>61896</v>
      </c>
      <c r="AD104" s="60">
        <f>求节点(节奏总纲!AG$4:AG$363,V$11:V$370,$Z104)</f>
        <v>57205.80438333637</v>
      </c>
      <c r="AE104" s="60">
        <f>求节点(节奏总纲!AH$4:AH$363,W$11:W$370,$Z104)</f>
        <v>30892.604946485313</v>
      </c>
    </row>
    <row r="105" spans="18:31" x14ac:dyDescent="0.15">
      <c r="R105" s="60">
        <v>95</v>
      </c>
      <c r="S105" s="60">
        <f t="shared" si="7"/>
        <v>16333.666666666666</v>
      </c>
      <c r="T105" s="60">
        <f t="shared" si="7"/>
        <v>16333.666666666666</v>
      </c>
      <c r="U105" s="60">
        <f t="shared" si="7"/>
        <v>16333.666666666666</v>
      </c>
      <c r="V105" s="60">
        <f t="shared" si="7"/>
        <v>16333.666666666666</v>
      </c>
      <c r="W105" s="60">
        <f t="shared" si="7"/>
        <v>16333.666666666666</v>
      </c>
      <c r="Z105" s="60">
        <v>95</v>
      </c>
      <c r="AA105" s="60">
        <f>求节点(节奏总纲!AD$4:AD$363,S$11:S$370,$Z105)</f>
        <v>61896</v>
      </c>
      <c r="AB105" s="60">
        <f>求节点(节奏总纲!AE$4:AE$363,T$11:T$370,$Z105)</f>
        <v>61896</v>
      </c>
      <c r="AC105" s="60">
        <f>求节点(节奏总纲!AF$4:AF$363,U$11:U$370,$Z105)</f>
        <v>61896</v>
      </c>
      <c r="AD105" s="60">
        <f>求节点(节奏总纲!AG$4:AG$363,V$11:V$370,$Z105)</f>
        <v>61108.357111568919</v>
      </c>
      <c r="AE105" s="60">
        <f>求节点(节奏总纲!AH$4:AH$363,W$11:W$370,$Z105)</f>
        <v>33157.757464833994</v>
      </c>
    </row>
    <row r="106" spans="18:31" x14ac:dyDescent="0.15">
      <c r="R106" s="60">
        <v>96</v>
      </c>
      <c r="S106" s="60">
        <f t="shared" si="7"/>
        <v>16505.599999999999</v>
      </c>
      <c r="T106" s="60">
        <f t="shared" si="7"/>
        <v>16505.599999999999</v>
      </c>
      <c r="U106" s="60">
        <f t="shared" si="7"/>
        <v>16505.599999999999</v>
      </c>
      <c r="V106" s="60">
        <f t="shared" si="7"/>
        <v>16505.599999999999</v>
      </c>
      <c r="W106" s="60">
        <f t="shared" si="7"/>
        <v>16505.599999999999</v>
      </c>
      <c r="Z106" s="60">
        <v>96</v>
      </c>
      <c r="AA106" s="60">
        <f>求节点(节奏总纲!AD$4:AD$363,S$11:S$370,$Z106)</f>
        <v>61896</v>
      </c>
      <c r="AB106" s="60">
        <f>求节点(节奏总纲!AE$4:AE$363,T$11:T$370,$Z106)</f>
        <v>61896</v>
      </c>
      <c r="AC106" s="60">
        <f>求节点(节奏总纲!AF$4:AF$363,U$11:U$370,$Z106)</f>
        <v>61896</v>
      </c>
      <c r="AD106" s="60">
        <f>求节点(节奏总纲!AG$4:AG$363,V$11:V$370,$Z106)</f>
        <v>61896</v>
      </c>
      <c r="AE106" s="60">
        <f>求节点(节奏总纲!AH$4:AH$363,W$11:W$370,$Z106)</f>
        <v>35569.253979533059</v>
      </c>
    </row>
    <row r="107" spans="18:31" x14ac:dyDescent="0.15">
      <c r="R107" s="60">
        <v>97</v>
      </c>
      <c r="S107" s="60">
        <f t="shared" si="7"/>
        <v>16677.533333333333</v>
      </c>
      <c r="T107" s="60">
        <f t="shared" si="7"/>
        <v>16677.533333333333</v>
      </c>
      <c r="U107" s="60">
        <f t="shared" si="7"/>
        <v>16677.533333333333</v>
      </c>
      <c r="V107" s="60">
        <f t="shared" si="7"/>
        <v>16677.533333333333</v>
      </c>
      <c r="W107" s="60">
        <f t="shared" si="7"/>
        <v>16677.533333333333</v>
      </c>
      <c r="Z107" s="60">
        <v>97</v>
      </c>
      <c r="AA107" s="60">
        <f>求节点(节奏总纲!AD$4:AD$363,S$11:S$370,$Z107)</f>
        <v>61896</v>
      </c>
      <c r="AB107" s="60">
        <f>求节点(节奏总纲!AE$4:AE$363,T$11:T$370,$Z107)</f>
        <v>61896</v>
      </c>
      <c r="AC107" s="60">
        <f>求节点(节奏总纲!AF$4:AF$363,U$11:U$370,$Z107)</f>
        <v>61896</v>
      </c>
      <c r="AD107" s="60">
        <f>求节点(节奏总纲!AG$4:AG$363,V$11:V$370,$Z107)</f>
        <v>61896</v>
      </c>
      <c r="AE107" s="60">
        <f>求节点(节奏总纲!AH$4:AH$363,W$11:W$370,$Z107)</f>
        <v>38395.743817570423</v>
      </c>
    </row>
    <row r="108" spans="18:31" x14ac:dyDescent="0.15">
      <c r="R108" s="60">
        <v>98</v>
      </c>
      <c r="S108" s="60">
        <f t="shared" si="7"/>
        <v>16849.466666666667</v>
      </c>
      <c r="T108" s="60">
        <f t="shared" si="7"/>
        <v>16849.466666666667</v>
      </c>
      <c r="U108" s="60">
        <f t="shared" si="7"/>
        <v>16849.466666666667</v>
      </c>
      <c r="V108" s="60">
        <f t="shared" si="7"/>
        <v>16849.466666666667</v>
      </c>
      <c r="W108" s="60">
        <f t="shared" si="7"/>
        <v>16849.466666666667</v>
      </c>
      <c r="Z108" s="60">
        <v>98</v>
      </c>
      <c r="AA108" s="60">
        <f>求节点(节奏总纲!AD$4:AD$363,S$11:S$370,$Z108)</f>
        <v>61896</v>
      </c>
      <c r="AB108" s="60">
        <f>求节点(节奏总纲!AE$4:AE$363,T$11:T$370,$Z108)</f>
        <v>61896</v>
      </c>
      <c r="AC108" s="60">
        <f>求节点(节奏总纲!AF$4:AF$363,U$11:U$370,$Z108)</f>
        <v>61896</v>
      </c>
      <c r="AD108" s="60">
        <f>求节点(节奏总纲!AG$4:AG$363,V$11:V$370,$Z108)</f>
        <v>61896</v>
      </c>
      <c r="AE108" s="60">
        <f>求节点(节奏总纲!AH$4:AH$363,W$11:W$370,$Z108)</f>
        <v>41396.27879072108</v>
      </c>
    </row>
    <row r="109" spans="18:31" x14ac:dyDescent="0.15">
      <c r="R109" s="60">
        <v>99</v>
      </c>
      <c r="S109" s="60">
        <f t="shared" si="7"/>
        <v>17021.400000000001</v>
      </c>
      <c r="T109" s="60">
        <f t="shared" si="7"/>
        <v>17021.400000000001</v>
      </c>
      <c r="U109" s="60">
        <f t="shared" si="7"/>
        <v>17021.400000000001</v>
      </c>
      <c r="V109" s="60">
        <f t="shared" si="7"/>
        <v>17021.400000000001</v>
      </c>
      <c r="W109" s="60">
        <f t="shared" si="7"/>
        <v>17021.400000000001</v>
      </c>
      <c r="Z109" s="60">
        <v>99</v>
      </c>
      <c r="AA109" s="60">
        <f>求节点(节奏总纲!AD$4:AD$363,S$11:S$370,$Z109)</f>
        <v>61896</v>
      </c>
      <c r="AB109" s="60">
        <f>求节点(节奏总纲!AE$4:AE$363,T$11:T$370,$Z109)</f>
        <v>61896</v>
      </c>
      <c r="AC109" s="60">
        <f>求节点(节奏总纲!AF$4:AF$363,U$11:U$370,$Z109)</f>
        <v>61896</v>
      </c>
      <c r="AD109" s="60">
        <f>求节点(节奏总纲!AG$4:AG$363,V$11:V$370,$Z109)</f>
        <v>61896</v>
      </c>
      <c r="AE109" s="60">
        <f>求节点(节奏总纲!AH$4:AH$363,W$11:W$370,$Z109)</f>
        <v>44290.803572270917</v>
      </c>
    </row>
    <row r="110" spans="18:31" x14ac:dyDescent="0.15">
      <c r="R110" s="60">
        <v>100</v>
      </c>
      <c r="S110" s="60">
        <f t="shared" si="7"/>
        <v>17193.333333333332</v>
      </c>
      <c r="T110" s="60">
        <f t="shared" si="7"/>
        <v>17193.333333333332</v>
      </c>
      <c r="U110" s="60">
        <f t="shared" si="7"/>
        <v>17193.333333333332</v>
      </c>
      <c r="V110" s="60">
        <f t="shared" si="7"/>
        <v>17193.333333333332</v>
      </c>
      <c r="W110" s="60">
        <f t="shared" si="7"/>
        <v>17193.333333333332</v>
      </c>
      <c r="Z110" s="60">
        <v>100</v>
      </c>
      <c r="AA110" s="60">
        <f>求节点(节奏总纲!AD$4:AD$363,S$11:S$370,$Z110)</f>
        <v>61896</v>
      </c>
      <c r="AB110" s="60">
        <f>求节点(节奏总纲!AE$4:AE$363,T$11:T$370,$Z110)</f>
        <v>61896</v>
      </c>
      <c r="AC110" s="60">
        <f>求节点(节奏总纲!AF$4:AF$363,U$11:U$370,$Z110)</f>
        <v>61896</v>
      </c>
      <c r="AD110" s="60">
        <f>求节点(节奏总纲!AG$4:AG$363,V$11:V$370,$Z110)</f>
        <v>61896</v>
      </c>
      <c r="AE110" s="60">
        <f>求节点(节奏总纲!AH$4:AH$363,W$11:W$370,$Z110)</f>
        <v>47245.84148728897</v>
      </c>
    </row>
    <row r="111" spans="18:31" x14ac:dyDescent="0.15">
      <c r="R111" s="60">
        <v>101</v>
      </c>
      <c r="S111" s="60">
        <f t="shared" si="7"/>
        <v>17365.266666666666</v>
      </c>
      <c r="T111" s="60">
        <f t="shared" si="7"/>
        <v>17365.266666666666</v>
      </c>
      <c r="U111" s="60">
        <f t="shared" si="7"/>
        <v>17365.266666666666</v>
      </c>
      <c r="V111" s="60">
        <f t="shared" si="7"/>
        <v>17365.266666666666</v>
      </c>
      <c r="W111" s="60">
        <f t="shared" si="7"/>
        <v>17365.266666666666</v>
      </c>
      <c r="Z111" s="60">
        <v>101</v>
      </c>
      <c r="AA111" s="60">
        <f>求节点(节奏总纲!AD$4:AD$363,S$11:S$370,$Z111)</f>
        <v>61896</v>
      </c>
      <c r="AB111" s="60">
        <f>求节点(节奏总纲!AE$4:AE$363,T$11:T$370,$Z111)</f>
        <v>61896</v>
      </c>
      <c r="AC111" s="60">
        <f>求节点(节奏总纲!AF$4:AF$363,U$11:U$370,$Z111)</f>
        <v>61896</v>
      </c>
      <c r="AD111" s="60">
        <f>求节点(节奏总纲!AG$4:AG$363,V$11:V$370,$Z111)</f>
        <v>61896</v>
      </c>
      <c r="AE111" s="60">
        <f>求节点(节奏总纲!AH$4:AH$363,W$11:W$370,$Z111)</f>
        <v>50452.332370811462</v>
      </c>
    </row>
    <row r="112" spans="18:31" x14ac:dyDescent="0.15">
      <c r="R112" s="60">
        <v>102</v>
      </c>
      <c r="S112" s="60">
        <f t="shared" si="7"/>
        <v>17537.2</v>
      </c>
      <c r="T112" s="60">
        <f t="shared" si="7"/>
        <v>17537.2</v>
      </c>
      <c r="U112" s="60">
        <f t="shared" si="7"/>
        <v>17537.2</v>
      </c>
      <c r="V112" s="60">
        <f t="shared" si="7"/>
        <v>17537.2</v>
      </c>
      <c r="W112" s="60">
        <f t="shared" si="7"/>
        <v>17537.2</v>
      </c>
      <c r="Z112" s="60">
        <v>102</v>
      </c>
      <c r="AA112" s="60">
        <f>求节点(节奏总纲!AD$4:AD$363,S$11:S$370,$Z112)</f>
        <v>61896</v>
      </c>
      <c r="AB112" s="60">
        <f>求节点(节奏总纲!AE$4:AE$363,T$11:T$370,$Z112)</f>
        <v>61896</v>
      </c>
      <c r="AC112" s="60">
        <f>求节点(节奏总纲!AF$4:AF$363,U$11:U$370,$Z112)</f>
        <v>61896</v>
      </c>
      <c r="AD112" s="60">
        <f>求节点(节奏总纲!AG$4:AG$363,V$11:V$370,$Z112)</f>
        <v>61896</v>
      </c>
      <c r="AE112" s="60">
        <f>求节点(节奏总纲!AH$4:AH$363,W$11:W$370,$Z112)</f>
        <v>53915.867557599631</v>
      </c>
    </row>
    <row r="113" spans="18:31" x14ac:dyDescent="0.15">
      <c r="R113" s="60">
        <v>103</v>
      </c>
      <c r="S113" s="60">
        <f t="shared" si="7"/>
        <v>17709.133333333335</v>
      </c>
      <c r="T113" s="60">
        <f t="shared" si="7"/>
        <v>17709.133333333335</v>
      </c>
      <c r="U113" s="60">
        <f t="shared" si="7"/>
        <v>17709.133333333335</v>
      </c>
      <c r="V113" s="60">
        <f t="shared" si="7"/>
        <v>17709.133333333335</v>
      </c>
      <c r="W113" s="60">
        <f t="shared" si="7"/>
        <v>17709.133333333335</v>
      </c>
      <c r="Z113" s="60">
        <v>103</v>
      </c>
      <c r="AA113" s="60">
        <f>求节点(节奏总纲!AD$4:AD$363,S$11:S$370,$Z113)</f>
        <v>61896</v>
      </c>
      <c r="AB113" s="60">
        <f>求节点(节奏总纲!AE$4:AE$363,T$11:T$370,$Z113)</f>
        <v>61896</v>
      </c>
      <c r="AC113" s="60">
        <f>求节点(节奏总纲!AF$4:AF$363,U$11:U$370,$Z113)</f>
        <v>61896</v>
      </c>
      <c r="AD113" s="60">
        <f>求节点(节奏总纲!AG$4:AG$363,V$11:V$370,$Z113)</f>
        <v>61896</v>
      </c>
      <c r="AE113" s="60">
        <f>求节点(节奏总纲!AH$4:AH$363,W$11:W$370,$Z113)</f>
        <v>57743.380756565675</v>
      </c>
    </row>
    <row r="114" spans="18:31" x14ac:dyDescent="0.15">
      <c r="R114" s="60">
        <v>104</v>
      </c>
      <c r="S114" s="60">
        <f t="shared" si="7"/>
        <v>17881.066666666666</v>
      </c>
      <c r="T114" s="60">
        <f t="shared" si="7"/>
        <v>17881.066666666666</v>
      </c>
      <c r="U114" s="60">
        <f t="shared" si="7"/>
        <v>17881.066666666666</v>
      </c>
      <c r="V114" s="60">
        <f t="shared" si="7"/>
        <v>17881.066666666666</v>
      </c>
      <c r="W114" s="60">
        <f t="shared" si="7"/>
        <v>17881.066666666666</v>
      </c>
      <c r="Z114" s="60">
        <v>104</v>
      </c>
      <c r="AA114" s="60">
        <f>求节点(节奏总纲!AD$4:AD$363,S$11:S$370,$Z114)</f>
        <v>61896</v>
      </c>
      <c r="AB114" s="60">
        <f>求节点(节奏总纲!AE$4:AE$363,T$11:T$370,$Z114)</f>
        <v>61896</v>
      </c>
      <c r="AC114" s="60">
        <f>求节点(节奏总纲!AF$4:AF$363,U$11:U$370,$Z114)</f>
        <v>61896</v>
      </c>
      <c r="AD114" s="60">
        <f>求节点(节奏总纲!AG$4:AG$363,V$11:V$370,$Z114)</f>
        <v>61896</v>
      </c>
      <c r="AE114" s="60">
        <f>求节点(节奏总纲!AH$4:AH$363,W$11:W$370,$Z114)</f>
        <v>61896</v>
      </c>
    </row>
    <row r="115" spans="18:31" x14ac:dyDescent="0.15">
      <c r="R115" s="60">
        <v>105</v>
      </c>
      <c r="S115" s="60">
        <f t="shared" si="7"/>
        <v>18053</v>
      </c>
      <c r="T115" s="60">
        <f t="shared" si="7"/>
        <v>18053</v>
      </c>
      <c r="U115" s="60">
        <f t="shared" si="7"/>
        <v>18053</v>
      </c>
      <c r="V115" s="60">
        <f t="shared" si="7"/>
        <v>18053</v>
      </c>
      <c r="W115" s="60">
        <f t="shared" si="7"/>
        <v>18053</v>
      </c>
      <c r="Z115" s="60">
        <v>105</v>
      </c>
      <c r="AA115" s="60">
        <f>求节点(节奏总纲!AD$4:AD$363,S$11:S$370,$Z115)</f>
        <v>61896</v>
      </c>
      <c r="AB115" s="60">
        <f>求节点(节奏总纲!AE$4:AE$363,T$11:T$370,$Z115)</f>
        <v>61896</v>
      </c>
      <c r="AC115" s="60">
        <f>求节点(节奏总纲!AF$4:AF$363,U$11:U$370,$Z115)</f>
        <v>61896</v>
      </c>
      <c r="AD115" s="60">
        <f>求节点(节奏总纲!AG$4:AG$363,V$11:V$370,$Z115)</f>
        <v>61896</v>
      </c>
      <c r="AE115" s="60">
        <f>求节点(节奏总纲!AH$4:AH$363,W$11:W$370,$Z115)</f>
        <v>61896</v>
      </c>
    </row>
    <row r="116" spans="18:31" x14ac:dyDescent="0.15">
      <c r="R116" s="60">
        <v>106</v>
      </c>
      <c r="S116" s="60">
        <f t="shared" si="7"/>
        <v>18224.933333333334</v>
      </c>
      <c r="T116" s="60">
        <f t="shared" si="7"/>
        <v>18224.933333333334</v>
      </c>
      <c r="U116" s="60">
        <f t="shared" si="7"/>
        <v>18224.933333333334</v>
      </c>
      <c r="V116" s="60">
        <f t="shared" si="7"/>
        <v>18224.933333333334</v>
      </c>
      <c r="W116" s="60">
        <f t="shared" si="7"/>
        <v>18224.933333333334</v>
      </c>
      <c r="Z116" s="60">
        <v>106</v>
      </c>
      <c r="AA116" s="60">
        <f>求节点(节奏总纲!AD$4:AD$363,S$11:S$370,$Z116)</f>
        <v>61896</v>
      </c>
      <c r="AB116" s="60">
        <f>求节点(节奏总纲!AE$4:AE$363,T$11:T$370,$Z116)</f>
        <v>61896</v>
      </c>
      <c r="AC116" s="60">
        <f>求节点(节奏总纲!AF$4:AF$363,U$11:U$370,$Z116)</f>
        <v>61896</v>
      </c>
      <c r="AD116" s="60">
        <f>求节点(节奏总纲!AG$4:AG$363,V$11:V$370,$Z116)</f>
        <v>61896</v>
      </c>
      <c r="AE116" s="60">
        <f>求节点(节奏总纲!AH$4:AH$363,W$11:W$370,$Z116)</f>
        <v>61896</v>
      </c>
    </row>
    <row r="117" spans="18:31" x14ac:dyDescent="0.15">
      <c r="R117" s="60">
        <v>107</v>
      </c>
      <c r="S117" s="60">
        <f t="shared" si="7"/>
        <v>18396.866666666665</v>
      </c>
      <c r="T117" s="60">
        <f t="shared" si="7"/>
        <v>18396.866666666665</v>
      </c>
      <c r="U117" s="60">
        <f t="shared" si="7"/>
        <v>18396.866666666665</v>
      </c>
      <c r="V117" s="60">
        <f t="shared" si="7"/>
        <v>18396.866666666665</v>
      </c>
      <c r="W117" s="60">
        <f t="shared" si="7"/>
        <v>18396.866666666665</v>
      </c>
      <c r="Z117" s="60">
        <v>107</v>
      </c>
      <c r="AA117" s="60">
        <f>求节点(节奏总纲!AD$4:AD$363,S$11:S$370,$Z117)</f>
        <v>61896</v>
      </c>
      <c r="AB117" s="60">
        <f>求节点(节奏总纲!AE$4:AE$363,T$11:T$370,$Z117)</f>
        <v>61896</v>
      </c>
      <c r="AC117" s="60">
        <f>求节点(节奏总纲!AF$4:AF$363,U$11:U$370,$Z117)</f>
        <v>61896</v>
      </c>
      <c r="AD117" s="60">
        <f>求节点(节奏总纲!AG$4:AG$363,V$11:V$370,$Z117)</f>
        <v>61896</v>
      </c>
      <c r="AE117" s="60">
        <f>求节点(节奏总纲!AH$4:AH$363,W$11:W$370,$Z117)</f>
        <v>61896</v>
      </c>
    </row>
    <row r="118" spans="18:31" x14ac:dyDescent="0.15">
      <c r="R118" s="60">
        <v>108</v>
      </c>
      <c r="S118" s="60">
        <f t="shared" si="7"/>
        <v>18568.8</v>
      </c>
      <c r="T118" s="60">
        <f t="shared" si="7"/>
        <v>18568.8</v>
      </c>
      <c r="U118" s="60">
        <f t="shared" si="7"/>
        <v>18568.8</v>
      </c>
      <c r="V118" s="60">
        <f t="shared" si="7"/>
        <v>18568.8</v>
      </c>
      <c r="W118" s="60">
        <f t="shared" si="7"/>
        <v>18568.8</v>
      </c>
      <c r="Z118" s="60">
        <v>108</v>
      </c>
      <c r="AA118" s="60">
        <f>求节点(节奏总纲!AD$4:AD$363,S$11:S$370,$Z118)</f>
        <v>61896</v>
      </c>
      <c r="AB118" s="60">
        <f>求节点(节奏总纲!AE$4:AE$363,T$11:T$370,$Z118)</f>
        <v>61896</v>
      </c>
      <c r="AC118" s="60">
        <f>求节点(节奏总纲!AF$4:AF$363,U$11:U$370,$Z118)</f>
        <v>61896</v>
      </c>
      <c r="AD118" s="60">
        <f>求节点(节奏总纲!AG$4:AG$363,V$11:V$370,$Z118)</f>
        <v>61896</v>
      </c>
      <c r="AE118" s="60">
        <f>求节点(节奏总纲!AH$4:AH$363,W$11:W$370,$Z118)</f>
        <v>61896</v>
      </c>
    </row>
    <row r="119" spans="18:31" x14ac:dyDescent="0.15">
      <c r="R119" s="60">
        <v>109</v>
      </c>
      <c r="S119" s="60">
        <f t="shared" si="7"/>
        <v>18740.733333333334</v>
      </c>
      <c r="T119" s="60">
        <f t="shared" si="7"/>
        <v>18740.733333333334</v>
      </c>
      <c r="U119" s="60">
        <f t="shared" si="7"/>
        <v>18740.733333333334</v>
      </c>
      <c r="V119" s="60">
        <f t="shared" si="7"/>
        <v>18740.733333333334</v>
      </c>
      <c r="W119" s="60">
        <f t="shared" si="7"/>
        <v>18740.733333333334</v>
      </c>
      <c r="Z119" s="60">
        <v>109</v>
      </c>
      <c r="AA119" s="60">
        <f>求节点(节奏总纲!AD$4:AD$363,S$11:S$370,$Z119)</f>
        <v>61896</v>
      </c>
      <c r="AB119" s="60">
        <f>求节点(节奏总纲!AE$4:AE$363,T$11:T$370,$Z119)</f>
        <v>61896</v>
      </c>
      <c r="AC119" s="60">
        <f>求节点(节奏总纲!AF$4:AF$363,U$11:U$370,$Z119)</f>
        <v>61896</v>
      </c>
      <c r="AD119" s="60">
        <f>求节点(节奏总纲!AG$4:AG$363,V$11:V$370,$Z119)</f>
        <v>61896</v>
      </c>
      <c r="AE119" s="60">
        <f>求节点(节奏总纲!AH$4:AH$363,W$11:W$370,$Z119)</f>
        <v>61896</v>
      </c>
    </row>
    <row r="120" spans="18:31" x14ac:dyDescent="0.15">
      <c r="R120" s="60">
        <v>110</v>
      </c>
      <c r="S120" s="60">
        <f t="shared" si="7"/>
        <v>18912.666666666668</v>
      </c>
      <c r="T120" s="60">
        <f t="shared" si="7"/>
        <v>18912.666666666668</v>
      </c>
      <c r="U120" s="60">
        <f t="shared" si="7"/>
        <v>18912.666666666668</v>
      </c>
      <c r="V120" s="60">
        <f t="shared" si="7"/>
        <v>18912.666666666668</v>
      </c>
      <c r="W120" s="60">
        <f t="shared" si="7"/>
        <v>18912.666666666668</v>
      </c>
      <c r="Z120" s="60">
        <v>110</v>
      </c>
      <c r="AA120" s="60">
        <f>求节点(节奏总纲!AD$4:AD$363,S$11:S$370,$Z120)</f>
        <v>61896</v>
      </c>
      <c r="AB120" s="60">
        <f>求节点(节奏总纲!AE$4:AE$363,T$11:T$370,$Z120)</f>
        <v>61896</v>
      </c>
      <c r="AC120" s="60">
        <f>求节点(节奏总纲!AF$4:AF$363,U$11:U$370,$Z120)</f>
        <v>61896</v>
      </c>
      <c r="AD120" s="60">
        <f>求节点(节奏总纲!AG$4:AG$363,V$11:V$370,$Z120)</f>
        <v>61896</v>
      </c>
      <c r="AE120" s="60">
        <f>求节点(节奏总纲!AH$4:AH$363,W$11:W$370,$Z120)</f>
        <v>61896</v>
      </c>
    </row>
    <row r="121" spans="18:31" x14ac:dyDescent="0.15">
      <c r="R121" s="60">
        <v>111</v>
      </c>
      <c r="S121" s="60">
        <f t="shared" si="7"/>
        <v>19084.599999999999</v>
      </c>
      <c r="T121" s="60">
        <f t="shared" si="7"/>
        <v>19084.599999999999</v>
      </c>
      <c r="U121" s="60">
        <f t="shared" si="7"/>
        <v>19084.599999999999</v>
      </c>
      <c r="V121" s="60">
        <f t="shared" si="7"/>
        <v>19084.599999999999</v>
      </c>
      <c r="W121" s="60">
        <f t="shared" si="7"/>
        <v>19084.599999999999</v>
      </c>
      <c r="Z121" s="60">
        <v>111</v>
      </c>
      <c r="AA121" s="60">
        <f>求节点(节奏总纲!AD$4:AD$363,S$11:S$370,$Z121)</f>
        <v>61896</v>
      </c>
      <c r="AB121" s="60">
        <f>求节点(节奏总纲!AE$4:AE$363,T$11:T$370,$Z121)</f>
        <v>61896</v>
      </c>
      <c r="AC121" s="60">
        <f>求节点(节奏总纲!AF$4:AF$363,U$11:U$370,$Z121)</f>
        <v>61896</v>
      </c>
      <c r="AD121" s="60">
        <f>求节点(节奏总纲!AG$4:AG$363,V$11:V$370,$Z121)</f>
        <v>61896</v>
      </c>
      <c r="AE121" s="60">
        <f>求节点(节奏总纲!AH$4:AH$363,W$11:W$370,$Z121)</f>
        <v>61896</v>
      </c>
    </row>
    <row r="122" spans="18:31" x14ac:dyDescent="0.15">
      <c r="R122" s="60">
        <v>112</v>
      </c>
      <c r="S122" s="60">
        <f t="shared" si="7"/>
        <v>19256.533333333333</v>
      </c>
      <c r="T122" s="60">
        <f t="shared" si="7"/>
        <v>19256.533333333333</v>
      </c>
      <c r="U122" s="60">
        <f t="shared" si="7"/>
        <v>19256.533333333333</v>
      </c>
      <c r="V122" s="60">
        <f t="shared" si="7"/>
        <v>19256.533333333333</v>
      </c>
      <c r="W122" s="60">
        <f t="shared" si="7"/>
        <v>19256.533333333333</v>
      </c>
      <c r="Z122" s="60">
        <v>112</v>
      </c>
      <c r="AA122" s="60">
        <f>求节点(节奏总纲!AD$4:AD$363,S$11:S$370,$Z122)</f>
        <v>61896</v>
      </c>
      <c r="AB122" s="60">
        <f>求节点(节奏总纲!AE$4:AE$363,T$11:T$370,$Z122)</f>
        <v>61896</v>
      </c>
      <c r="AC122" s="60">
        <f>求节点(节奏总纲!AF$4:AF$363,U$11:U$370,$Z122)</f>
        <v>61896</v>
      </c>
      <c r="AD122" s="60">
        <f>求节点(节奏总纲!AG$4:AG$363,V$11:V$370,$Z122)</f>
        <v>61896</v>
      </c>
      <c r="AE122" s="60">
        <f>求节点(节奏总纲!AH$4:AH$363,W$11:W$370,$Z122)</f>
        <v>61896</v>
      </c>
    </row>
    <row r="123" spans="18:31" x14ac:dyDescent="0.15">
      <c r="R123" s="60">
        <v>113</v>
      </c>
      <c r="S123" s="60">
        <f t="shared" si="7"/>
        <v>19428.466666666667</v>
      </c>
      <c r="T123" s="60">
        <f t="shared" si="7"/>
        <v>19428.466666666667</v>
      </c>
      <c r="U123" s="60">
        <f t="shared" si="7"/>
        <v>19428.466666666667</v>
      </c>
      <c r="V123" s="60">
        <f t="shared" si="7"/>
        <v>19428.466666666667</v>
      </c>
      <c r="W123" s="60">
        <f t="shared" si="7"/>
        <v>19428.466666666667</v>
      </c>
      <c r="Z123" s="60">
        <v>113</v>
      </c>
      <c r="AA123" s="60">
        <f>求节点(节奏总纲!AD$4:AD$363,S$11:S$370,$Z123)</f>
        <v>61896</v>
      </c>
      <c r="AB123" s="60">
        <f>求节点(节奏总纲!AE$4:AE$363,T$11:T$370,$Z123)</f>
        <v>61896</v>
      </c>
      <c r="AC123" s="60">
        <f>求节点(节奏总纲!AF$4:AF$363,U$11:U$370,$Z123)</f>
        <v>61896</v>
      </c>
      <c r="AD123" s="60">
        <f>求节点(节奏总纲!AG$4:AG$363,V$11:V$370,$Z123)</f>
        <v>61896</v>
      </c>
      <c r="AE123" s="60">
        <f>求节点(节奏总纲!AH$4:AH$363,W$11:W$370,$Z123)</f>
        <v>61896</v>
      </c>
    </row>
    <row r="124" spans="18:31" x14ac:dyDescent="0.15">
      <c r="R124" s="60">
        <v>114</v>
      </c>
      <c r="S124" s="60">
        <f t="shared" si="7"/>
        <v>19600.400000000001</v>
      </c>
      <c r="T124" s="60">
        <f t="shared" si="7"/>
        <v>19600.400000000001</v>
      </c>
      <c r="U124" s="60">
        <f t="shared" si="7"/>
        <v>19600.400000000001</v>
      </c>
      <c r="V124" s="60">
        <f t="shared" si="7"/>
        <v>19600.400000000001</v>
      </c>
      <c r="W124" s="60">
        <f t="shared" si="7"/>
        <v>19600.400000000001</v>
      </c>
      <c r="Z124" s="60">
        <v>114</v>
      </c>
      <c r="AA124" s="60">
        <f>求节点(节奏总纲!AD$4:AD$363,S$11:S$370,$Z124)</f>
        <v>61896</v>
      </c>
      <c r="AB124" s="60">
        <f>求节点(节奏总纲!AE$4:AE$363,T$11:T$370,$Z124)</f>
        <v>61896</v>
      </c>
      <c r="AC124" s="60">
        <f>求节点(节奏总纲!AF$4:AF$363,U$11:U$370,$Z124)</f>
        <v>61896</v>
      </c>
      <c r="AD124" s="60">
        <f>求节点(节奏总纲!AG$4:AG$363,V$11:V$370,$Z124)</f>
        <v>61896</v>
      </c>
      <c r="AE124" s="60">
        <f>求节点(节奏总纲!AH$4:AH$363,W$11:W$370,$Z124)</f>
        <v>61896</v>
      </c>
    </row>
    <row r="125" spans="18:31" x14ac:dyDescent="0.15">
      <c r="R125" s="60">
        <v>115</v>
      </c>
      <c r="S125" s="60">
        <f t="shared" si="7"/>
        <v>19772.333333333332</v>
      </c>
      <c r="T125" s="60">
        <f t="shared" si="7"/>
        <v>19772.333333333332</v>
      </c>
      <c r="U125" s="60">
        <f t="shared" si="7"/>
        <v>19772.333333333332</v>
      </c>
      <c r="V125" s="60">
        <f t="shared" si="7"/>
        <v>19772.333333333332</v>
      </c>
      <c r="W125" s="60">
        <f t="shared" si="7"/>
        <v>19772.333333333332</v>
      </c>
      <c r="Z125" s="60">
        <v>115</v>
      </c>
      <c r="AA125" s="60">
        <f>求节点(节奏总纲!AD$4:AD$363,S$11:S$370,$Z125)</f>
        <v>61896</v>
      </c>
      <c r="AB125" s="60">
        <f>求节点(节奏总纲!AE$4:AE$363,T$11:T$370,$Z125)</f>
        <v>61896</v>
      </c>
      <c r="AC125" s="60">
        <f>求节点(节奏总纲!AF$4:AF$363,U$11:U$370,$Z125)</f>
        <v>61896</v>
      </c>
      <c r="AD125" s="60">
        <f>求节点(节奏总纲!AG$4:AG$363,V$11:V$370,$Z125)</f>
        <v>61896</v>
      </c>
      <c r="AE125" s="60">
        <f>求节点(节奏总纲!AH$4:AH$363,W$11:W$370,$Z125)</f>
        <v>61896</v>
      </c>
    </row>
    <row r="126" spans="18:31" x14ac:dyDescent="0.15">
      <c r="R126" s="60">
        <v>116</v>
      </c>
      <c r="S126" s="60">
        <f t="shared" ref="S126:W176" si="8">$R126*$G$3/30*$G$2</f>
        <v>19944.266666666666</v>
      </c>
      <c r="T126" s="60">
        <f t="shared" si="8"/>
        <v>19944.266666666666</v>
      </c>
      <c r="U126" s="60">
        <f t="shared" si="8"/>
        <v>19944.266666666666</v>
      </c>
      <c r="V126" s="60">
        <f t="shared" si="8"/>
        <v>19944.266666666666</v>
      </c>
      <c r="W126" s="60">
        <f t="shared" si="8"/>
        <v>19944.266666666666</v>
      </c>
      <c r="Z126" s="60">
        <v>116</v>
      </c>
      <c r="AA126" s="60">
        <f>求节点(节奏总纲!AD$4:AD$363,S$11:S$370,$Z126)</f>
        <v>61896</v>
      </c>
      <c r="AB126" s="60">
        <f>求节点(节奏总纲!AE$4:AE$363,T$11:T$370,$Z126)</f>
        <v>61896</v>
      </c>
      <c r="AC126" s="60">
        <f>求节点(节奏总纲!AF$4:AF$363,U$11:U$370,$Z126)</f>
        <v>61896</v>
      </c>
      <c r="AD126" s="60">
        <f>求节点(节奏总纲!AG$4:AG$363,V$11:V$370,$Z126)</f>
        <v>61896</v>
      </c>
      <c r="AE126" s="60">
        <f>求节点(节奏总纲!AH$4:AH$363,W$11:W$370,$Z126)</f>
        <v>61896</v>
      </c>
    </row>
    <row r="127" spans="18:31" x14ac:dyDescent="0.15">
      <c r="R127" s="60">
        <v>117</v>
      </c>
      <c r="S127" s="60">
        <f t="shared" si="8"/>
        <v>20116.2</v>
      </c>
      <c r="T127" s="60">
        <f t="shared" si="8"/>
        <v>20116.2</v>
      </c>
      <c r="U127" s="60">
        <f t="shared" si="8"/>
        <v>20116.2</v>
      </c>
      <c r="V127" s="60">
        <f t="shared" si="8"/>
        <v>20116.2</v>
      </c>
      <c r="W127" s="60">
        <f t="shared" si="8"/>
        <v>20116.2</v>
      </c>
      <c r="Z127" s="60">
        <v>117</v>
      </c>
      <c r="AA127" s="60">
        <f>求节点(节奏总纲!AD$4:AD$363,S$11:S$370,$Z127)</f>
        <v>61896</v>
      </c>
      <c r="AB127" s="60">
        <f>求节点(节奏总纲!AE$4:AE$363,T$11:T$370,$Z127)</f>
        <v>61896</v>
      </c>
      <c r="AC127" s="60">
        <f>求节点(节奏总纲!AF$4:AF$363,U$11:U$370,$Z127)</f>
        <v>61896</v>
      </c>
      <c r="AD127" s="60">
        <f>求节点(节奏总纲!AG$4:AG$363,V$11:V$370,$Z127)</f>
        <v>61896</v>
      </c>
      <c r="AE127" s="60">
        <f>求节点(节奏总纲!AH$4:AH$363,W$11:W$370,$Z127)</f>
        <v>61896</v>
      </c>
    </row>
    <row r="128" spans="18:31" x14ac:dyDescent="0.15">
      <c r="R128" s="60">
        <v>118</v>
      </c>
      <c r="S128" s="60">
        <f t="shared" si="8"/>
        <v>20288.133333333335</v>
      </c>
      <c r="T128" s="60">
        <f t="shared" si="8"/>
        <v>20288.133333333335</v>
      </c>
      <c r="U128" s="60">
        <f t="shared" si="8"/>
        <v>20288.133333333335</v>
      </c>
      <c r="V128" s="60">
        <f t="shared" si="8"/>
        <v>20288.133333333335</v>
      </c>
      <c r="W128" s="60">
        <f t="shared" si="8"/>
        <v>20288.133333333335</v>
      </c>
      <c r="Z128" s="60">
        <v>118</v>
      </c>
      <c r="AA128" s="60">
        <f>求节点(节奏总纲!AD$4:AD$363,S$11:S$370,$Z128)</f>
        <v>61896</v>
      </c>
      <c r="AB128" s="60">
        <f>求节点(节奏总纲!AE$4:AE$363,T$11:T$370,$Z128)</f>
        <v>61896</v>
      </c>
      <c r="AC128" s="60">
        <f>求节点(节奏总纲!AF$4:AF$363,U$11:U$370,$Z128)</f>
        <v>61896</v>
      </c>
      <c r="AD128" s="60">
        <f>求节点(节奏总纲!AG$4:AG$363,V$11:V$370,$Z128)</f>
        <v>61896</v>
      </c>
      <c r="AE128" s="60">
        <f>求节点(节奏总纲!AH$4:AH$363,W$11:W$370,$Z128)</f>
        <v>61896</v>
      </c>
    </row>
    <row r="129" spans="18:31" x14ac:dyDescent="0.15">
      <c r="R129" s="60">
        <v>119</v>
      </c>
      <c r="S129" s="60">
        <f t="shared" si="8"/>
        <v>20460.066666666666</v>
      </c>
      <c r="T129" s="60">
        <f t="shared" si="8"/>
        <v>20460.066666666666</v>
      </c>
      <c r="U129" s="60">
        <f t="shared" si="8"/>
        <v>20460.066666666666</v>
      </c>
      <c r="V129" s="60">
        <f t="shared" si="8"/>
        <v>20460.066666666666</v>
      </c>
      <c r="W129" s="60">
        <f t="shared" si="8"/>
        <v>20460.066666666666</v>
      </c>
      <c r="Z129" s="60">
        <v>119</v>
      </c>
      <c r="AA129" s="60">
        <f>求节点(节奏总纲!AD$4:AD$363,S$11:S$370,$Z129)</f>
        <v>61896</v>
      </c>
      <c r="AB129" s="60">
        <f>求节点(节奏总纲!AE$4:AE$363,T$11:T$370,$Z129)</f>
        <v>61896</v>
      </c>
      <c r="AC129" s="60">
        <f>求节点(节奏总纲!AF$4:AF$363,U$11:U$370,$Z129)</f>
        <v>61896</v>
      </c>
      <c r="AD129" s="60">
        <f>求节点(节奏总纲!AG$4:AG$363,V$11:V$370,$Z129)</f>
        <v>61896</v>
      </c>
      <c r="AE129" s="60">
        <f>求节点(节奏总纲!AH$4:AH$363,W$11:W$370,$Z129)</f>
        <v>61896</v>
      </c>
    </row>
    <row r="130" spans="18:31" x14ac:dyDescent="0.15">
      <c r="R130" s="60">
        <v>120</v>
      </c>
      <c r="S130" s="60">
        <f t="shared" si="8"/>
        <v>20632</v>
      </c>
      <c r="T130" s="60">
        <f t="shared" si="8"/>
        <v>20632</v>
      </c>
      <c r="U130" s="60">
        <f t="shared" si="8"/>
        <v>20632</v>
      </c>
      <c r="V130" s="60">
        <f t="shared" si="8"/>
        <v>20632</v>
      </c>
      <c r="W130" s="60">
        <f t="shared" si="8"/>
        <v>20632</v>
      </c>
      <c r="Z130" s="60">
        <v>120</v>
      </c>
      <c r="AA130" s="60">
        <f>求节点(节奏总纲!AD$4:AD$363,S$11:S$370,$Z130)</f>
        <v>61896</v>
      </c>
      <c r="AB130" s="60">
        <f>求节点(节奏总纲!AE$4:AE$363,T$11:T$370,$Z130)</f>
        <v>61896</v>
      </c>
      <c r="AC130" s="60">
        <f>求节点(节奏总纲!AF$4:AF$363,U$11:U$370,$Z130)</f>
        <v>61896</v>
      </c>
      <c r="AD130" s="60">
        <f>求节点(节奏总纲!AG$4:AG$363,V$11:V$370,$Z130)</f>
        <v>61896</v>
      </c>
      <c r="AE130" s="60">
        <f>求节点(节奏总纲!AH$4:AH$363,W$11:W$370,$Z130)</f>
        <v>61896</v>
      </c>
    </row>
    <row r="131" spans="18:31" x14ac:dyDescent="0.15">
      <c r="R131" s="60">
        <v>121</v>
      </c>
      <c r="S131" s="60">
        <f t="shared" si="8"/>
        <v>20803.933333333334</v>
      </c>
      <c r="T131" s="60">
        <f t="shared" si="8"/>
        <v>20803.933333333334</v>
      </c>
      <c r="U131" s="60">
        <f t="shared" si="8"/>
        <v>20803.933333333334</v>
      </c>
      <c r="V131" s="60">
        <f t="shared" si="8"/>
        <v>20803.933333333334</v>
      </c>
      <c r="W131" s="60">
        <f t="shared" si="8"/>
        <v>20803.933333333334</v>
      </c>
      <c r="Z131" s="60">
        <v>121</v>
      </c>
      <c r="AA131" s="60">
        <f>求节点(节奏总纲!AD$4:AD$363,S$11:S$370,$Z131)</f>
        <v>61896</v>
      </c>
      <c r="AB131" s="60">
        <f>求节点(节奏总纲!AE$4:AE$363,T$11:T$370,$Z131)</f>
        <v>61896</v>
      </c>
      <c r="AC131" s="60">
        <f>求节点(节奏总纲!AF$4:AF$363,U$11:U$370,$Z131)</f>
        <v>61896</v>
      </c>
      <c r="AD131" s="60">
        <f>求节点(节奏总纲!AG$4:AG$363,V$11:V$370,$Z131)</f>
        <v>61896</v>
      </c>
      <c r="AE131" s="60">
        <f>求节点(节奏总纲!AH$4:AH$363,W$11:W$370,$Z131)</f>
        <v>61896</v>
      </c>
    </row>
    <row r="132" spans="18:31" x14ac:dyDescent="0.15">
      <c r="R132" s="60">
        <v>122</v>
      </c>
      <c r="S132" s="60">
        <f t="shared" si="8"/>
        <v>20975.866666666665</v>
      </c>
      <c r="T132" s="60">
        <f t="shared" si="8"/>
        <v>20975.866666666665</v>
      </c>
      <c r="U132" s="60">
        <f t="shared" si="8"/>
        <v>20975.866666666665</v>
      </c>
      <c r="V132" s="60">
        <f t="shared" si="8"/>
        <v>20975.866666666665</v>
      </c>
      <c r="W132" s="60">
        <f t="shared" si="8"/>
        <v>20975.866666666665</v>
      </c>
      <c r="Z132" s="60">
        <v>122</v>
      </c>
      <c r="AA132" s="60">
        <f>求节点(节奏总纲!AD$4:AD$363,S$11:S$370,$Z132)</f>
        <v>61896</v>
      </c>
      <c r="AB132" s="60">
        <f>求节点(节奏总纲!AE$4:AE$363,T$11:T$370,$Z132)</f>
        <v>61896</v>
      </c>
      <c r="AC132" s="60">
        <f>求节点(节奏总纲!AF$4:AF$363,U$11:U$370,$Z132)</f>
        <v>61896</v>
      </c>
      <c r="AD132" s="60">
        <f>求节点(节奏总纲!AG$4:AG$363,V$11:V$370,$Z132)</f>
        <v>61896</v>
      </c>
      <c r="AE132" s="60">
        <f>求节点(节奏总纲!AH$4:AH$363,W$11:W$370,$Z132)</f>
        <v>61896</v>
      </c>
    </row>
    <row r="133" spans="18:31" x14ac:dyDescent="0.15">
      <c r="R133" s="60">
        <v>123</v>
      </c>
      <c r="S133" s="60">
        <f t="shared" si="8"/>
        <v>21147.8</v>
      </c>
      <c r="T133" s="60">
        <f t="shared" si="8"/>
        <v>21147.8</v>
      </c>
      <c r="U133" s="60">
        <f t="shared" si="8"/>
        <v>21147.8</v>
      </c>
      <c r="V133" s="60">
        <f t="shared" si="8"/>
        <v>21147.8</v>
      </c>
      <c r="W133" s="60">
        <f t="shared" si="8"/>
        <v>21147.8</v>
      </c>
      <c r="Z133" s="60">
        <v>123</v>
      </c>
      <c r="AA133" s="60">
        <f>求节点(节奏总纲!AD$4:AD$363,S$11:S$370,$Z133)</f>
        <v>61896</v>
      </c>
      <c r="AB133" s="60">
        <f>求节点(节奏总纲!AE$4:AE$363,T$11:T$370,$Z133)</f>
        <v>61896</v>
      </c>
      <c r="AC133" s="60">
        <f>求节点(节奏总纲!AF$4:AF$363,U$11:U$370,$Z133)</f>
        <v>61896</v>
      </c>
      <c r="AD133" s="60">
        <f>求节点(节奏总纲!AG$4:AG$363,V$11:V$370,$Z133)</f>
        <v>61896</v>
      </c>
      <c r="AE133" s="60">
        <f>求节点(节奏总纲!AH$4:AH$363,W$11:W$370,$Z133)</f>
        <v>61896</v>
      </c>
    </row>
    <row r="134" spans="18:31" x14ac:dyDescent="0.15">
      <c r="R134" s="60">
        <v>124</v>
      </c>
      <c r="S134" s="60">
        <f t="shared" si="8"/>
        <v>21319.733333333334</v>
      </c>
      <c r="T134" s="60">
        <f t="shared" si="8"/>
        <v>21319.733333333334</v>
      </c>
      <c r="U134" s="60">
        <f t="shared" si="8"/>
        <v>21319.733333333334</v>
      </c>
      <c r="V134" s="60">
        <f t="shared" si="8"/>
        <v>21319.733333333334</v>
      </c>
      <c r="W134" s="60">
        <f t="shared" si="8"/>
        <v>21319.733333333334</v>
      </c>
      <c r="Z134" s="60">
        <v>124</v>
      </c>
      <c r="AA134" s="60">
        <f>求节点(节奏总纲!AD$4:AD$363,S$11:S$370,$Z134)</f>
        <v>61896</v>
      </c>
      <c r="AB134" s="60">
        <f>求节点(节奏总纲!AE$4:AE$363,T$11:T$370,$Z134)</f>
        <v>61896</v>
      </c>
      <c r="AC134" s="60">
        <f>求节点(节奏总纲!AF$4:AF$363,U$11:U$370,$Z134)</f>
        <v>61896</v>
      </c>
      <c r="AD134" s="60">
        <f>求节点(节奏总纲!AG$4:AG$363,V$11:V$370,$Z134)</f>
        <v>61896</v>
      </c>
      <c r="AE134" s="60">
        <f>求节点(节奏总纲!AH$4:AH$363,W$11:W$370,$Z134)</f>
        <v>61896</v>
      </c>
    </row>
    <row r="135" spans="18:31" x14ac:dyDescent="0.15">
      <c r="R135" s="60">
        <v>125</v>
      </c>
      <c r="S135" s="60">
        <f t="shared" si="8"/>
        <v>21491.666666666668</v>
      </c>
      <c r="T135" s="60">
        <f t="shared" si="8"/>
        <v>21491.666666666668</v>
      </c>
      <c r="U135" s="60">
        <f t="shared" si="8"/>
        <v>21491.666666666668</v>
      </c>
      <c r="V135" s="60">
        <f t="shared" si="8"/>
        <v>21491.666666666668</v>
      </c>
      <c r="W135" s="60">
        <f t="shared" si="8"/>
        <v>21491.666666666668</v>
      </c>
      <c r="Z135" s="60">
        <v>125</v>
      </c>
      <c r="AA135" s="60">
        <f>求节点(节奏总纲!AD$4:AD$363,S$11:S$370,$Z135)</f>
        <v>61896</v>
      </c>
      <c r="AB135" s="60">
        <f>求节点(节奏总纲!AE$4:AE$363,T$11:T$370,$Z135)</f>
        <v>61896</v>
      </c>
      <c r="AC135" s="60">
        <f>求节点(节奏总纲!AF$4:AF$363,U$11:U$370,$Z135)</f>
        <v>61896</v>
      </c>
      <c r="AD135" s="60">
        <f>求节点(节奏总纲!AG$4:AG$363,V$11:V$370,$Z135)</f>
        <v>61896</v>
      </c>
      <c r="AE135" s="60">
        <f>求节点(节奏总纲!AH$4:AH$363,W$11:W$370,$Z135)</f>
        <v>61896</v>
      </c>
    </row>
    <row r="136" spans="18:31" x14ac:dyDescent="0.15">
      <c r="R136" s="60">
        <v>126</v>
      </c>
      <c r="S136" s="60">
        <f t="shared" si="8"/>
        <v>21663.599999999999</v>
      </c>
      <c r="T136" s="60">
        <f t="shared" si="8"/>
        <v>21663.599999999999</v>
      </c>
      <c r="U136" s="60">
        <f t="shared" si="8"/>
        <v>21663.599999999999</v>
      </c>
      <c r="V136" s="60">
        <f t="shared" si="8"/>
        <v>21663.599999999999</v>
      </c>
      <c r="W136" s="60">
        <f t="shared" si="8"/>
        <v>21663.599999999999</v>
      </c>
      <c r="Z136" s="60">
        <v>126</v>
      </c>
      <c r="AA136" s="60">
        <f>求节点(节奏总纲!AD$4:AD$363,S$11:S$370,$Z136)</f>
        <v>61896</v>
      </c>
      <c r="AB136" s="60">
        <f>求节点(节奏总纲!AE$4:AE$363,T$11:T$370,$Z136)</f>
        <v>61896</v>
      </c>
      <c r="AC136" s="60">
        <f>求节点(节奏总纲!AF$4:AF$363,U$11:U$370,$Z136)</f>
        <v>61896</v>
      </c>
      <c r="AD136" s="60">
        <f>求节点(节奏总纲!AG$4:AG$363,V$11:V$370,$Z136)</f>
        <v>61896</v>
      </c>
      <c r="AE136" s="60">
        <f>求节点(节奏总纲!AH$4:AH$363,W$11:W$370,$Z136)</f>
        <v>61896</v>
      </c>
    </row>
    <row r="137" spans="18:31" x14ac:dyDescent="0.15">
      <c r="R137" s="60">
        <v>127</v>
      </c>
      <c r="S137" s="60">
        <f t="shared" si="8"/>
        <v>21835.533333333333</v>
      </c>
      <c r="T137" s="60">
        <f t="shared" si="8"/>
        <v>21835.533333333333</v>
      </c>
      <c r="U137" s="60">
        <f t="shared" si="8"/>
        <v>21835.533333333333</v>
      </c>
      <c r="V137" s="60">
        <f t="shared" si="8"/>
        <v>21835.533333333333</v>
      </c>
      <c r="W137" s="60">
        <f t="shared" si="8"/>
        <v>21835.533333333333</v>
      </c>
      <c r="Z137" s="60">
        <v>127</v>
      </c>
      <c r="AA137" s="60">
        <f>求节点(节奏总纲!AD$4:AD$363,S$11:S$370,$Z137)</f>
        <v>61896</v>
      </c>
      <c r="AB137" s="60">
        <f>求节点(节奏总纲!AE$4:AE$363,T$11:T$370,$Z137)</f>
        <v>61896</v>
      </c>
      <c r="AC137" s="60">
        <f>求节点(节奏总纲!AF$4:AF$363,U$11:U$370,$Z137)</f>
        <v>61896</v>
      </c>
      <c r="AD137" s="60">
        <f>求节点(节奏总纲!AG$4:AG$363,V$11:V$370,$Z137)</f>
        <v>61896</v>
      </c>
      <c r="AE137" s="60">
        <f>求节点(节奏总纲!AH$4:AH$363,W$11:W$370,$Z137)</f>
        <v>61896</v>
      </c>
    </row>
    <row r="138" spans="18:31" x14ac:dyDescent="0.15">
      <c r="R138" s="60">
        <v>128</v>
      </c>
      <c r="S138" s="60">
        <f t="shared" si="8"/>
        <v>22007.466666666667</v>
      </c>
      <c r="T138" s="60">
        <f t="shared" si="8"/>
        <v>22007.466666666667</v>
      </c>
      <c r="U138" s="60">
        <f t="shared" si="8"/>
        <v>22007.466666666667</v>
      </c>
      <c r="V138" s="60">
        <f t="shared" si="8"/>
        <v>22007.466666666667</v>
      </c>
      <c r="W138" s="60">
        <f t="shared" si="8"/>
        <v>22007.466666666667</v>
      </c>
      <c r="Z138" s="60">
        <v>128</v>
      </c>
      <c r="AA138" s="60">
        <f>求节点(节奏总纲!AD$4:AD$363,S$11:S$370,$Z138)</f>
        <v>61896</v>
      </c>
      <c r="AB138" s="60">
        <f>求节点(节奏总纲!AE$4:AE$363,T$11:T$370,$Z138)</f>
        <v>61896</v>
      </c>
      <c r="AC138" s="60">
        <f>求节点(节奏总纲!AF$4:AF$363,U$11:U$370,$Z138)</f>
        <v>61896</v>
      </c>
      <c r="AD138" s="60">
        <f>求节点(节奏总纲!AG$4:AG$363,V$11:V$370,$Z138)</f>
        <v>61896</v>
      </c>
      <c r="AE138" s="60">
        <f>求节点(节奏总纲!AH$4:AH$363,W$11:W$370,$Z138)</f>
        <v>61896</v>
      </c>
    </row>
    <row r="139" spans="18:31" x14ac:dyDescent="0.15">
      <c r="R139" s="60">
        <v>129</v>
      </c>
      <c r="S139" s="60">
        <f t="shared" si="8"/>
        <v>22179.4</v>
      </c>
      <c r="T139" s="60">
        <f t="shared" si="8"/>
        <v>22179.4</v>
      </c>
      <c r="U139" s="60">
        <f t="shared" si="8"/>
        <v>22179.4</v>
      </c>
      <c r="V139" s="60">
        <f t="shared" si="8"/>
        <v>22179.4</v>
      </c>
      <c r="W139" s="60">
        <f t="shared" si="8"/>
        <v>22179.4</v>
      </c>
      <c r="Z139" s="60">
        <v>129</v>
      </c>
      <c r="AA139" s="60">
        <f>求节点(节奏总纲!AD$4:AD$363,S$11:S$370,$Z139)</f>
        <v>61896</v>
      </c>
      <c r="AB139" s="60">
        <f>求节点(节奏总纲!AE$4:AE$363,T$11:T$370,$Z139)</f>
        <v>61896</v>
      </c>
      <c r="AC139" s="60">
        <f>求节点(节奏总纲!AF$4:AF$363,U$11:U$370,$Z139)</f>
        <v>61896</v>
      </c>
      <c r="AD139" s="60">
        <f>求节点(节奏总纲!AG$4:AG$363,V$11:V$370,$Z139)</f>
        <v>61896</v>
      </c>
      <c r="AE139" s="60">
        <f>求节点(节奏总纲!AH$4:AH$363,W$11:W$370,$Z139)</f>
        <v>61896</v>
      </c>
    </row>
    <row r="140" spans="18:31" x14ac:dyDescent="0.15">
      <c r="R140" s="60">
        <v>130</v>
      </c>
      <c r="S140" s="60">
        <f t="shared" si="8"/>
        <v>22351.333333333332</v>
      </c>
      <c r="T140" s="60">
        <f t="shared" si="8"/>
        <v>22351.333333333332</v>
      </c>
      <c r="U140" s="60">
        <f t="shared" si="8"/>
        <v>22351.333333333332</v>
      </c>
      <c r="V140" s="60">
        <f t="shared" si="8"/>
        <v>22351.333333333332</v>
      </c>
      <c r="W140" s="60">
        <f t="shared" si="8"/>
        <v>22351.333333333332</v>
      </c>
      <c r="Z140" s="60">
        <v>130</v>
      </c>
      <c r="AA140" s="60">
        <f>求节点(节奏总纲!AD$4:AD$363,S$11:S$370,$Z140)</f>
        <v>61896</v>
      </c>
      <c r="AB140" s="60">
        <f>求节点(节奏总纲!AE$4:AE$363,T$11:T$370,$Z140)</f>
        <v>61896</v>
      </c>
      <c r="AC140" s="60">
        <f>求节点(节奏总纲!AF$4:AF$363,U$11:U$370,$Z140)</f>
        <v>61896</v>
      </c>
      <c r="AD140" s="60">
        <f>求节点(节奏总纲!AG$4:AG$363,V$11:V$370,$Z140)</f>
        <v>61896</v>
      </c>
      <c r="AE140" s="60">
        <f>求节点(节奏总纲!AH$4:AH$363,W$11:W$370,$Z140)</f>
        <v>61896</v>
      </c>
    </row>
    <row r="141" spans="18:31" x14ac:dyDescent="0.15">
      <c r="R141" s="60">
        <v>131</v>
      </c>
      <c r="S141" s="60">
        <f t="shared" si="8"/>
        <v>22523.266666666666</v>
      </c>
      <c r="T141" s="60">
        <f t="shared" si="8"/>
        <v>22523.266666666666</v>
      </c>
      <c r="U141" s="60">
        <f t="shared" si="8"/>
        <v>22523.266666666666</v>
      </c>
      <c r="V141" s="60">
        <f t="shared" si="8"/>
        <v>22523.266666666666</v>
      </c>
      <c r="W141" s="60">
        <f t="shared" si="8"/>
        <v>22523.266666666666</v>
      </c>
      <c r="Z141" s="60">
        <v>131</v>
      </c>
      <c r="AA141" s="60">
        <f>求节点(节奏总纲!AD$4:AD$363,S$11:S$370,$Z141)</f>
        <v>61896</v>
      </c>
      <c r="AB141" s="60">
        <f>求节点(节奏总纲!AE$4:AE$363,T$11:T$370,$Z141)</f>
        <v>61896</v>
      </c>
      <c r="AC141" s="60">
        <f>求节点(节奏总纲!AF$4:AF$363,U$11:U$370,$Z141)</f>
        <v>61896</v>
      </c>
      <c r="AD141" s="60">
        <f>求节点(节奏总纲!AG$4:AG$363,V$11:V$370,$Z141)</f>
        <v>61896</v>
      </c>
      <c r="AE141" s="60">
        <f>求节点(节奏总纲!AH$4:AH$363,W$11:W$370,$Z141)</f>
        <v>61896</v>
      </c>
    </row>
    <row r="142" spans="18:31" x14ac:dyDescent="0.15">
      <c r="R142" s="60">
        <v>132</v>
      </c>
      <c r="S142" s="60">
        <f t="shared" si="8"/>
        <v>22695.200000000001</v>
      </c>
      <c r="T142" s="60">
        <f t="shared" si="8"/>
        <v>22695.200000000001</v>
      </c>
      <c r="U142" s="60">
        <f t="shared" si="8"/>
        <v>22695.200000000001</v>
      </c>
      <c r="V142" s="60">
        <f t="shared" si="8"/>
        <v>22695.200000000001</v>
      </c>
      <c r="W142" s="60">
        <f t="shared" si="8"/>
        <v>22695.200000000001</v>
      </c>
      <c r="Z142" s="60">
        <v>132</v>
      </c>
      <c r="AA142" s="60">
        <f>求节点(节奏总纲!AD$4:AD$363,S$11:S$370,$Z142)</f>
        <v>61896</v>
      </c>
      <c r="AB142" s="60">
        <f>求节点(节奏总纲!AE$4:AE$363,T$11:T$370,$Z142)</f>
        <v>61896</v>
      </c>
      <c r="AC142" s="60">
        <f>求节点(节奏总纲!AF$4:AF$363,U$11:U$370,$Z142)</f>
        <v>61896</v>
      </c>
      <c r="AD142" s="60">
        <f>求节点(节奏总纲!AG$4:AG$363,V$11:V$370,$Z142)</f>
        <v>61896</v>
      </c>
      <c r="AE142" s="60">
        <f>求节点(节奏总纲!AH$4:AH$363,W$11:W$370,$Z142)</f>
        <v>61896</v>
      </c>
    </row>
    <row r="143" spans="18:31" x14ac:dyDescent="0.15">
      <c r="R143" s="60">
        <v>133</v>
      </c>
      <c r="S143" s="60">
        <f t="shared" si="8"/>
        <v>22867.133333333335</v>
      </c>
      <c r="T143" s="60">
        <f t="shared" si="8"/>
        <v>22867.133333333335</v>
      </c>
      <c r="U143" s="60">
        <f t="shared" si="8"/>
        <v>22867.133333333335</v>
      </c>
      <c r="V143" s="60">
        <f t="shared" si="8"/>
        <v>22867.133333333335</v>
      </c>
      <c r="W143" s="60">
        <f t="shared" si="8"/>
        <v>22867.133333333335</v>
      </c>
      <c r="Z143" s="60">
        <v>133</v>
      </c>
      <c r="AA143" s="60">
        <f>求节点(节奏总纲!AD$4:AD$363,S$11:S$370,$Z143)</f>
        <v>61896</v>
      </c>
      <c r="AB143" s="60">
        <f>求节点(节奏总纲!AE$4:AE$363,T$11:T$370,$Z143)</f>
        <v>61896</v>
      </c>
      <c r="AC143" s="60">
        <f>求节点(节奏总纲!AF$4:AF$363,U$11:U$370,$Z143)</f>
        <v>61896</v>
      </c>
      <c r="AD143" s="60">
        <f>求节点(节奏总纲!AG$4:AG$363,V$11:V$370,$Z143)</f>
        <v>61896</v>
      </c>
      <c r="AE143" s="60">
        <f>求节点(节奏总纲!AH$4:AH$363,W$11:W$370,$Z143)</f>
        <v>61896</v>
      </c>
    </row>
    <row r="144" spans="18:31" x14ac:dyDescent="0.15">
      <c r="R144" s="60">
        <v>134</v>
      </c>
      <c r="S144" s="60">
        <f t="shared" si="8"/>
        <v>23039.066666666666</v>
      </c>
      <c r="T144" s="60">
        <f t="shared" si="8"/>
        <v>23039.066666666666</v>
      </c>
      <c r="U144" s="60">
        <f t="shared" si="8"/>
        <v>23039.066666666666</v>
      </c>
      <c r="V144" s="60">
        <f t="shared" si="8"/>
        <v>23039.066666666666</v>
      </c>
      <c r="W144" s="60">
        <f t="shared" si="8"/>
        <v>23039.066666666666</v>
      </c>
      <c r="Z144" s="60">
        <v>134</v>
      </c>
      <c r="AA144" s="60">
        <f>求节点(节奏总纲!AD$4:AD$363,S$11:S$370,$Z144)</f>
        <v>61896</v>
      </c>
      <c r="AB144" s="60">
        <f>求节点(节奏总纲!AE$4:AE$363,T$11:T$370,$Z144)</f>
        <v>61896</v>
      </c>
      <c r="AC144" s="60">
        <f>求节点(节奏总纲!AF$4:AF$363,U$11:U$370,$Z144)</f>
        <v>61896</v>
      </c>
      <c r="AD144" s="60">
        <f>求节点(节奏总纲!AG$4:AG$363,V$11:V$370,$Z144)</f>
        <v>61896</v>
      </c>
      <c r="AE144" s="60">
        <f>求节点(节奏总纲!AH$4:AH$363,W$11:W$370,$Z144)</f>
        <v>61896</v>
      </c>
    </row>
    <row r="145" spans="18:31" x14ac:dyDescent="0.15">
      <c r="R145" s="60">
        <v>135</v>
      </c>
      <c r="S145" s="60">
        <f t="shared" si="8"/>
        <v>23211</v>
      </c>
      <c r="T145" s="60">
        <f t="shared" si="8"/>
        <v>23211</v>
      </c>
      <c r="U145" s="60">
        <f t="shared" si="8"/>
        <v>23211</v>
      </c>
      <c r="V145" s="60">
        <f t="shared" si="8"/>
        <v>23211</v>
      </c>
      <c r="W145" s="60">
        <f t="shared" si="8"/>
        <v>23211</v>
      </c>
      <c r="Z145" s="60">
        <v>135</v>
      </c>
      <c r="AA145" s="60">
        <f>求节点(节奏总纲!AD$4:AD$363,S$11:S$370,$Z145)</f>
        <v>61896</v>
      </c>
      <c r="AB145" s="60">
        <f>求节点(节奏总纲!AE$4:AE$363,T$11:T$370,$Z145)</f>
        <v>61896</v>
      </c>
      <c r="AC145" s="60">
        <f>求节点(节奏总纲!AF$4:AF$363,U$11:U$370,$Z145)</f>
        <v>61896</v>
      </c>
      <c r="AD145" s="60">
        <f>求节点(节奏总纲!AG$4:AG$363,V$11:V$370,$Z145)</f>
        <v>61896</v>
      </c>
      <c r="AE145" s="60">
        <f>求节点(节奏总纲!AH$4:AH$363,W$11:W$370,$Z145)</f>
        <v>61896</v>
      </c>
    </row>
    <row r="146" spans="18:31" x14ac:dyDescent="0.15">
      <c r="R146" s="60">
        <v>136</v>
      </c>
      <c r="S146" s="60">
        <f t="shared" si="8"/>
        <v>23382.933333333334</v>
      </c>
      <c r="T146" s="60">
        <f t="shared" si="8"/>
        <v>23382.933333333334</v>
      </c>
      <c r="U146" s="60">
        <f t="shared" si="8"/>
        <v>23382.933333333334</v>
      </c>
      <c r="V146" s="60">
        <f t="shared" si="8"/>
        <v>23382.933333333334</v>
      </c>
      <c r="W146" s="60">
        <f t="shared" si="8"/>
        <v>23382.933333333334</v>
      </c>
      <c r="Z146" s="60">
        <v>136</v>
      </c>
      <c r="AA146" s="60">
        <f>求节点(节奏总纲!AD$4:AD$363,S$11:S$370,$Z146)</f>
        <v>61896</v>
      </c>
      <c r="AB146" s="60">
        <f>求节点(节奏总纲!AE$4:AE$363,T$11:T$370,$Z146)</f>
        <v>61896</v>
      </c>
      <c r="AC146" s="60">
        <f>求节点(节奏总纲!AF$4:AF$363,U$11:U$370,$Z146)</f>
        <v>61896</v>
      </c>
      <c r="AD146" s="60">
        <f>求节点(节奏总纲!AG$4:AG$363,V$11:V$370,$Z146)</f>
        <v>61896</v>
      </c>
      <c r="AE146" s="60">
        <f>求节点(节奏总纲!AH$4:AH$363,W$11:W$370,$Z146)</f>
        <v>61896</v>
      </c>
    </row>
    <row r="147" spans="18:31" x14ac:dyDescent="0.15">
      <c r="R147" s="60">
        <v>137</v>
      </c>
      <c r="S147" s="60">
        <f t="shared" si="8"/>
        <v>23554.866666666665</v>
      </c>
      <c r="T147" s="60">
        <f t="shared" si="8"/>
        <v>23554.866666666665</v>
      </c>
      <c r="U147" s="60">
        <f t="shared" si="8"/>
        <v>23554.866666666665</v>
      </c>
      <c r="V147" s="60">
        <f t="shared" si="8"/>
        <v>23554.866666666665</v>
      </c>
      <c r="W147" s="60">
        <f t="shared" si="8"/>
        <v>23554.866666666665</v>
      </c>
      <c r="Z147" s="60">
        <v>137</v>
      </c>
      <c r="AA147" s="60">
        <f>求节点(节奏总纲!AD$4:AD$363,S$11:S$370,$Z147)</f>
        <v>61896</v>
      </c>
      <c r="AB147" s="60">
        <f>求节点(节奏总纲!AE$4:AE$363,T$11:T$370,$Z147)</f>
        <v>61896</v>
      </c>
      <c r="AC147" s="60">
        <f>求节点(节奏总纲!AF$4:AF$363,U$11:U$370,$Z147)</f>
        <v>61896</v>
      </c>
      <c r="AD147" s="60">
        <f>求节点(节奏总纲!AG$4:AG$363,V$11:V$370,$Z147)</f>
        <v>61896</v>
      </c>
      <c r="AE147" s="60">
        <f>求节点(节奏总纲!AH$4:AH$363,W$11:W$370,$Z147)</f>
        <v>61896</v>
      </c>
    </row>
    <row r="148" spans="18:31" x14ac:dyDescent="0.15">
      <c r="R148" s="60">
        <v>138</v>
      </c>
      <c r="S148" s="60">
        <f t="shared" si="8"/>
        <v>23726.799999999999</v>
      </c>
      <c r="T148" s="60">
        <f t="shared" si="8"/>
        <v>23726.799999999999</v>
      </c>
      <c r="U148" s="60">
        <f t="shared" si="8"/>
        <v>23726.799999999999</v>
      </c>
      <c r="V148" s="60">
        <f t="shared" si="8"/>
        <v>23726.799999999999</v>
      </c>
      <c r="W148" s="60">
        <f t="shared" si="8"/>
        <v>23726.799999999999</v>
      </c>
      <c r="Z148" s="60">
        <v>138</v>
      </c>
      <c r="AA148" s="60">
        <f>求节点(节奏总纲!AD$4:AD$363,S$11:S$370,$Z148)</f>
        <v>61896</v>
      </c>
      <c r="AB148" s="60">
        <f>求节点(节奏总纲!AE$4:AE$363,T$11:T$370,$Z148)</f>
        <v>61896</v>
      </c>
      <c r="AC148" s="60">
        <f>求节点(节奏总纲!AF$4:AF$363,U$11:U$370,$Z148)</f>
        <v>61896</v>
      </c>
      <c r="AD148" s="60">
        <f>求节点(节奏总纲!AG$4:AG$363,V$11:V$370,$Z148)</f>
        <v>61896</v>
      </c>
      <c r="AE148" s="60">
        <f>求节点(节奏总纲!AH$4:AH$363,W$11:W$370,$Z148)</f>
        <v>61896</v>
      </c>
    </row>
    <row r="149" spans="18:31" x14ac:dyDescent="0.15">
      <c r="R149" s="60">
        <v>139</v>
      </c>
      <c r="S149" s="60">
        <f t="shared" si="8"/>
        <v>23898.733333333334</v>
      </c>
      <c r="T149" s="60">
        <f t="shared" si="8"/>
        <v>23898.733333333334</v>
      </c>
      <c r="U149" s="60">
        <f t="shared" si="8"/>
        <v>23898.733333333334</v>
      </c>
      <c r="V149" s="60">
        <f t="shared" si="8"/>
        <v>23898.733333333334</v>
      </c>
      <c r="W149" s="60">
        <f t="shared" si="8"/>
        <v>23898.733333333334</v>
      </c>
      <c r="Z149" s="60">
        <v>139</v>
      </c>
      <c r="AA149" s="60">
        <f>求节点(节奏总纲!AD$4:AD$363,S$11:S$370,$Z149)</f>
        <v>61896</v>
      </c>
      <c r="AB149" s="60">
        <f>求节点(节奏总纲!AE$4:AE$363,T$11:T$370,$Z149)</f>
        <v>61896</v>
      </c>
      <c r="AC149" s="60">
        <f>求节点(节奏总纲!AF$4:AF$363,U$11:U$370,$Z149)</f>
        <v>61896</v>
      </c>
      <c r="AD149" s="60">
        <f>求节点(节奏总纲!AG$4:AG$363,V$11:V$370,$Z149)</f>
        <v>61896</v>
      </c>
      <c r="AE149" s="60">
        <f>求节点(节奏总纲!AH$4:AH$363,W$11:W$370,$Z149)</f>
        <v>61896</v>
      </c>
    </row>
    <row r="150" spans="18:31" x14ac:dyDescent="0.15">
      <c r="R150" s="60">
        <v>140</v>
      </c>
      <c r="S150" s="60">
        <f t="shared" si="8"/>
        <v>24070.666666666668</v>
      </c>
      <c r="T150" s="60">
        <f t="shared" si="8"/>
        <v>24070.666666666668</v>
      </c>
      <c r="U150" s="60">
        <f t="shared" si="8"/>
        <v>24070.666666666668</v>
      </c>
      <c r="V150" s="60">
        <f t="shared" si="8"/>
        <v>24070.666666666668</v>
      </c>
      <c r="W150" s="60">
        <f t="shared" si="8"/>
        <v>24070.666666666668</v>
      </c>
      <c r="Z150" s="60">
        <v>140</v>
      </c>
      <c r="AA150" s="60">
        <f>求节点(节奏总纲!AD$4:AD$363,S$11:S$370,$Z150)</f>
        <v>61896</v>
      </c>
      <c r="AB150" s="60">
        <f>求节点(节奏总纲!AE$4:AE$363,T$11:T$370,$Z150)</f>
        <v>61896</v>
      </c>
      <c r="AC150" s="60">
        <f>求节点(节奏总纲!AF$4:AF$363,U$11:U$370,$Z150)</f>
        <v>61896</v>
      </c>
      <c r="AD150" s="60">
        <f>求节点(节奏总纲!AG$4:AG$363,V$11:V$370,$Z150)</f>
        <v>61896</v>
      </c>
      <c r="AE150" s="60">
        <f>求节点(节奏总纲!AH$4:AH$363,W$11:W$370,$Z150)</f>
        <v>61896</v>
      </c>
    </row>
    <row r="151" spans="18:31" x14ac:dyDescent="0.15">
      <c r="R151" s="60">
        <v>141</v>
      </c>
      <c r="S151" s="60">
        <f t="shared" si="8"/>
        <v>24242.6</v>
      </c>
      <c r="T151" s="60">
        <f t="shared" si="8"/>
        <v>24242.6</v>
      </c>
      <c r="U151" s="60">
        <f t="shared" si="8"/>
        <v>24242.6</v>
      </c>
      <c r="V151" s="60">
        <f t="shared" si="8"/>
        <v>24242.6</v>
      </c>
      <c r="W151" s="60">
        <f t="shared" si="8"/>
        <v>24242.6</v>
      </c>
      <c r="Z151" s="60">
        <v>141</v>
      </c>
      <c r="AA151" s="60">
        <f>求节点(节奏总纲!AD$4:AD$363,S$11:S$370,$Z151)</f>
        <v>61896</v>
      </c>
      <c r="AB151" s="60">
        <f>求节点(节奏总纲!AE$4:AE$363,T$11:T$370,$Z151)</f>
        <v>61896</v>
      </c>
      <c r="AC151" s="60">
        <f>求节点(节奏总纲!AF$4:AF$363,U$11:U$370,$Z151)</f>
        <v>61896</v>
      </c>
      <c r="AD151" s="60">
        <f>求节点(节奏总纲!AG$4:AG$363,V$11:V$370,$Z151)</f>
        <v>61896</v>
      </c>
      <c r="AE151" s="60">
        <f>求节点(节奏总纲!AH$4:AH$363,W$11:W$370,$Z151)</f>
        <v>61896</v>
      </c>
    </row>
    <row r="152" spans="18:31" x14ac:dyDescent="0.15">
      <c r="R152" s="60">
        <v>142</v>
      </c>
      <c r="S152" s="60">
        <f t="shared" si="8"/>
        <v>24414.533333333333</v>
      </c>
      <c r="T152" s="60">
        <f t="shared" si="8"/>
        <v>24414.533333333333</v>
      </c>
      <c r="U152" s="60">
        <f t="shared" si="8"/>
        <v>24414.533333333333</v>
      </c>
      <c r="V152" s="60">
        <f t="shared" si="8"/>
        <v>24414.533333333333</v>
      </c>
      <c r="W152" s="60">
        <f t="shared" si="8"/>
        <v>24414.533333333333</v>
      </c>
      <c r="Z152" s="60">
        <v>142</v>
      </c>
      <c r="AA152" s="60">
        <f>求节点(节奏总纲!AD$4:AD$363,S$11:S$370,$Z152)</f>
        <v>61896</v>
      </c>
      <c r="AB152" s="60">
        <f>求节点(节奏总纲!AE$4:AE$363,T$11:T$370,$Z152)</f>
        <v>61896</v>
      </c>
      <c r="AC152" s="60">
        <f>求节点(节奏总纲!AF$4:AF$363,U$11:U$370,$Z152)</f>
        <v>61896</v>
      </c>
      <c r="AD152" s="60">
        <f>求节点(节奏总纲!AG$4:AG$363,V$11:V$370,$Z152)</f>
        <v>61896</v>
      </c>
      <c r="AE152" s="60">
        <f>求节点(节奏总纲!AH$4:AH$363,W$11:W$370,$Z152)</f>
        <v>61896</v>
      </c>
    </row>
    <row r="153" spans="18:31" x14ac:dyDescent="0.15">
      <c r="R153" s="60">
        <v>143</v>
      </c>
      <c r="S153" s="60">
        <f t="shared" si="8"/>
        <v>24586.466666666667</v>
      </c>
      <c r="T153" s="60">
        <f t="shared" si="8"/>
        <v>24586.466666666667</v>
      </c>
      <c r="U153" s="60">
        <f t="shared" si="8"/>
        <v>24586.466666666667</v>
      </c>
      <c r="V153" s="60">
        <f t="shared" si="8"/>
        <v>24586.466666666667</v>
      </c>
      <c r="W153" s="60">
        <f t="shared" si="8"/>
        <v>24586.466666666667</v>
      </c>
      <c r="Z153" s="60">
        <v>143</v>
      </c>
      <c r="AA153" s="60">
        <f>求节点(节奏总纲!AD$4:AD$363,S$11:S$370,$Z153)</f>
        <v>61896</v>
      </c>
      <c r="AB153" s="60">
        <f>求节点(节奏总纲!AE$4:AE$363,T$11:T$370,$Z153)</f>
        <v>61896</v>
      </c>
      <c r="AC153" s="60">
        <f>求节点(节奏总纲!AF$4:AF$363,U$11:U$370,$Z153)</f>
        <v>61896</v>
      </c>
      <c r="AD153" s="60">
        <f>求节点(节奏总纲!AG$4:AG$363,V$11:V$370,$Z153)</f>
        <v>61896</v>
      </c>
      <c r="AE153" s="60">
        <f>求节点(节奏总纲!AH$4:AH$363,W$11:W$370,$Z153)</f>
        <v>61896</v>
      </c>
    </row>
    <row r="154" spans="18:31" x14ac:dyDescent="0.15">
      <c r="R154" s="60">
        <v>144</v>
      </c>
      <c r="S154" s="60">
        <f t="shared" si="8"/>
        <v>24758.400000000001</v>
      </c>
      <c r="T154" s="60">
        <f t="shared" si="8"/>
        <v>24758.400000000001</v>
      </c>
      <c r="U154" s="60">
        <f t="shared" si="8"/>
        <v>24758.400000000001</v>
      </c>
      <c r="V154" s="60">
        <f t="shared" si="8"/>
        <v>24758.400000000001</v>
      </c>
      <c r="W154" s="60">
        <f t="shared" si="8"/>
        <v>24758.400000000001</v>
      </c>
      <c r="Z154" s="60">
        <v>144</v>
      </c>
      <c r="AA154" s="60">
        <f>求节点(节奏总纲!AD$4:AD$363,S$11:S$370,$Z154)</f>
        <v>61896</v>
      </c>
      <c r="AB154" s="60">
        <f>求节点(节奏总纲!AE$4:AE$363,T$11:T$370,$Z154)</f>
        <v>61896</v>
      </c>
      <c r="AC154" s="60">
        <f>求节点(节奏总纲!AF$4:AF$363,U$11:U$370,$Z154)</f>
        <v>61896</v>
      </c>
      <c r="AD154" s="60">
        <f>求节点(节奏总纲!AG$4:AG$363,V$11:V$370,$Z154)</f>
        <v>61896</v>
      </c>
      <c r="AE154" s="60">
        <f>求节点(节奏总纲!AH$4:AH$363,W$11:W$370,$Z154)</f>
        <v>61896</v>
      </c>
    </row>
    <row r="155" spans="18:31" x14ac:dyDescent="0.15">
      <c r="R155" s="60">
        <v>145</v>
      </c>
      <c r="S155" s="60">
        <f t="shared" si="8"/>
        <v>24930.333333333332</v>
      </c>
      <c r="T155" s="60">
        <f t="shared" si="8"/>
        <v>24930.333333333332</v>
      </c>
      <c r="U155" s="60">
        <f t="shared" si="8"/>
        <v>24930.333333333332</v>
      </c>
      <c r="V155" s="60">
        <f t="shared" si="8"/>
        <v>24930.333333333332</v>
      </c>
      <c r="W155" s="60">
        <f t="shared" si="8"/>
        <v>24930.333333333332</v>
      </c>
      <c r="Z155" s="60">
        <v>145</v>
      </c>
      <c r="AA155" s="60">
        <f>求节点(节奏总纲!AD$4:AD$363,S$11:S$370,$Z155)</f>
        <v>61896</v>
      </c>
      <c r="AB155" s="60">
        <f>求节点(节奏总纲!AE$4:AE$363,T$11:T$370,$Z155)</f>
        <v>61896</v>
      </c>
      <c r="AC155" s="60">
        <f>求节点(节奏总纲!AF$4:AF$363,U$11:U$370,$Z155)</f>
        <v>61896</v>
      </c>
      <c r="AD155" s="60">
        <f>求节点(节奏总纲!AG$4:AG$363,V$11:V$370,$Z155)</f>
        <v>61896</v>
      </c>
      <c r="AE155" s="60">
        <f>求节点(节奏总纲!AH$4:AH$363,W$11:W$370,$Z155)</f>
        <v>61896</v>
      </c>
    </row>
    <row r="156" spans="18:31" x14ac:dyDescent="0.15">
      <c r="R156" s="60">
        <v>146</v>
      </c>
      <c r="S156" s="60">
        <f t="shared" si="8"/>
        <v>25102.266666666666</v>
      </c>
      <c r="T156" s="60">
        <f t="shared" si="8"/>
        <v>25102.266666666666</v>
      </c>
      <c r="U156" s="60">
        <f t="shared" si="8"/>
        <v>25102.266666666666</v>
      </c>
      <c r="V156" s="60">
        <f t="shared" si="8"/>
        <v>25102.266666666666</v>
      </c>
      <c r="W156" s="60">
        <f t="shared" si="8"/>
        <v>25102.266666666666</v>
      </c>
      <c r="Z156" s="60">
        <v>146</v>
      </c>
      <c r="AA156" s="60">
        <f>求节点(节奏总纲!AD$4:AD$363,S$11:S$370,$Z156)</f>
        <v>61896</v>
      </c>
      <c r="AB156" s="60">
        <f>求节点(节奏总纲!AE$4:AE$363,T$11:T$370,$Z156)</f>
        <v>61896</v>
      </c>
      <c r="AC156" s="60">
        <f>求节点(节奏总纲!AF$4:AF$363,U$11:U$370,$Z156)</f>
        <v>61896</v>
      </c>
      <c r="AD156" s="60">
        <f>求节点(节奏总纲!AG$4:AG$363,V$11:V$370,$Z156)</f>
        <v>61896</v>
      </c>
      <c r="AE156" s="60">
        <f>求节点(节奏总纲!AH$4:AH$363,W$11:W$370,$Z156)</f>
        <v>61896</v>
      </c>
    </row>
    <row r="157" spans="18:31" x14ac:dyDescent="0.15">
      <c r="R157" s="60">
        <v>147</v>
      </c>
      <c r="S157" s="60">
        <f t="shared" si="8"/>
        <v>25274.2</v>
      </c>
      <c r="T157" s="60">
        <f t="shared" si="8"/>
        <v>25274.2</v>
      </c>
      <c r="U157" s="60">
        <f t="shared" si="8"/>
        <v>25274.2</v>
      </c>
      <c r="V157" s="60">
        <f t="shared" si="8"/>
        <v>25274.2</v>
      </c>
      <c r="W157" s="60">
        <f t="shared" si="8"/>
        <v>25274.2</v>
      </c>
      <c r="Z157" s="60">
        <v>147</v>
      </c>
      <c r="AA157" s="60">
        <f>求节点(节奏总纲!AD$4:AD$363,S$11:S$370,$Z157)</f>
        <v>61896</v>
      </c>
      <c r="AB157" s="60">
        <f>求节点(节奏总纲!AE$4:AE$363,T$11:T$370,$Z157)</f>
        <v>61896</v>
      </c>
      <c r="AC157" s="60">
        <f>求节点(节奏总纲!AF$4:AF$363,U$11:U$370,$Z157)</f>
        <v>61896</v>
      </c>
      <c r="AD157" s="60">
        <f>求节点(节奏总纲!AG$4:AG$363,V$11:V$370,$Z157)</f>
        <v>61896</v>
      </c>
      <c r="AE157" s="60">
        <f>求节点(节奏总纲!AH$4:AH$363,W$11:W$370,$Z157)</f>
        <v>61896</v>
      </c>
    </row>
    <row r="158" spans="18:31" x14ac:dyDescent="0.15">
      <c r="R158" s="60">
        <v>148</v>
      </c>
      <c r="S158" s="60">
        <f t="shared" si="8"/>
        <v>25446.133333333335</v>
      </c>
      <c r="T158" s="60">
        <f t="shared" si="8"/>
        <v>25446.133333333335</v>
      </c>
      <c r="U158" s="60">
        <f t="shared" si="8"/>
        <v>25446.133333333335</v>
      </c>
      <c r="V158" s="60">
        <f t="shared" si="8"/>
        <v>25446.133333333335</v>
      </c>
      <c r="W158" s="60">
        <f t="shared" si="8"/>
        <v>25446.133333333335</v>
      </c>
      <c r="Z158" s="60">
        <v>148</v>
      </c>
      <c r="AA158" s="60">
        <f>求节点(节奏总纲!AD$4:AD$363,S$11:S$370,$Z158)</f>
        <v>61896</v>
      </c>
      <c r="AB158" s="60">
        <f>求节点(节奏总纲!AE$4:AE$363,T$11:T$370,$Z158)</f>
        <v>61896</v>
      </c>
      <c r="AC158" s="60">
        <f>求节点(节奏总纲!AF$4:AF$363,U$11:U$370,$Z158)</f>
        <v>61896</v>
      </c>
      <c r="AD158" s="60">
        <f>求节点(节奏总纲!AG$4:AG$363,V$11:V$370,$Z158)</f>
        <v>61896</v>
      </c>
      <c r="AE158" s="60">
        <f>求节点(节奏总纲!AH$4:AH$363,W$11:W$370,$Z158)</f>
        <v>61896</v>
      </c>
    </row>
    <row r="159" spans="18:31" x14ac:dyDescent="0.15">
      <c r="R159" s="60">
        <v>149</v>
      </c>
      <c r="S159" s="60">
        <f t="shared" si="8"/>
        <v>25618.066666666666</v>
      </c>
      <c r="T159" s="60">
        <f t="shared" si="8"/>
        <v>25618.066666666666</v>
      </c>
      <c r="U159" s="60">
        <f t="shared" si="8"/>
        <v>25618.066666666666</v>
      </c>
      <c r="V159" s="60">
        <f t="shared" si="8"/>
        <v>25618.066666666666</v>
      </c>
      <c r="W159" s="60">
        <f t="shared" si="8"/>
        <v>25618.066666666666</v>
      </c>
      <c r="Z159" s="60">
        <v>149</v>
      </c>
      <c r="AA159" s="60">
        <f>求节点(节奏总纲!AD$4:AD$363,S$11:S$370,$Z159)</f>
        <v>61896</v>
      </c>
      <c r="AB159" s="60">
        <f>求节点(节奏总纲!AE$4:AE$363,T$11:T$370,$Z159)</f>
        <v>61896</v>
      </c>
      <c r="AC159" s="60">
        <f>求节点(节奏总纲!AF$4:AF$363,U$11:U$370,$Z159)</f>
        <v>61896</v>
      </c>
      <c r="AD159" s="60">
        <f>求节点(节奏总纲!AG$4:AG$363,V$11:V$370,$Z159)</f>
        <v>61896</v>
      </c>
      <c r="AE159" s="60">
        <f>求节点(节奏总纲!AH$4:AH$363,W$11:W$370,$Z159)</f>
        <v>61896</v>
      </c>
    </row>
    <row r="160" spans="18:31" x14ac:dyDescent="0.15">
      <c r="R160" s="60">
        <v>150</v>
      </c>
      <c r="S160" s="60">
        <f t="shared" si="8"/>
        <v>25790</v>
      </c>
      <c r="T160" s="60">
        <f t="shared" si="8"/>
        <v>25790</v>
      </c>
      <c r="U160" s="60">
        <f t="shared" si="8"/>
        <v>25790</v>
      </c>
      <c r="V160" s="60">
        <f t="shared" si="8"/>
        <v>25790</v>
      </c>
      <c r="W160" s="60">
        <f t="shared" si="8"/>
        <v>25790</v>
      </c>
      <c r="Z160" s="60">
        <v>150</v>
      </c>
      <c r="AA160" s="60">
        <f>求节点(节奏总纲!AD$4:AD$363,S$11:S$370,$Z160)</f>
        <v>61896</v>
      </c>
      <c r="AB160" s="60">
        <f>求节点(节奏总纲!AE$4:AE$363,T$11:T$370,$Z160)</f>
        <v>61896</v>
      </c>
      <c r="AC160" s="60">
        <f>求节点(节奏总纲!AF$4:AF$363,U$11:U$370,$Z160)</f>
        <v>61896</v>
      </c>
      <c r="AD160" s="60">
        <f>求节点(节奏总纲!AG$4:AG$363,V$11:V$370,$Z160)</f>
        <v>61896</v>
      </c>
      <c r="AE160" s="60">
        <f>求节点(节奏总纲!AH$4:AH$363,W$11:W$370,$Z160)</f>
        <v>61896</v>
      </c>
    </row>
    <row r="161" spans="18:31" x14ac:dyDescent="0.15">
      <c r="R161" s="60">
        <v>151</v>
      </c>
      <c r="S161" s="60">
        <f t="shared" si="8"/>
        <v>25961.933333333334</v>
      </c>
      <c r="T161" s="60">
        <f t="shared" si="8"/>
        <v>25961.933333333334</v>
      </c>
      <c r="U161" s="60">
        <f t="shared" si="8"/>
        <v>25961.933333333334</v>
      </c>
      <c r="V161" s="60">
        <f t="shared" si="8"/>
        <v>25961.933333333334</v>
      </c>
      <c r="W161" s="60">
        <f t="shared" si="8"/>
        <v>25961.933333333334</v>
      </c>
      <c r="Z161" s="60">
        <v>151</v>
      </c>
      <c r="AA161" s="60">
        <f>求节点(节奏总纲!AD$4:AD$363,S$11:S$370,$Z161)</f>
        <v>61896</v>
      </c>
      <c r="AB161" s="60">
        <f>求节点(节奏总纲!AE$4:AE$363,T$11:T$370,$Z161)</f>
        <v>61896</v>
      </c>
      <c r="AC161" s="60">
        <f>求节点(节奏总纲!AF$4:AF$363,U$11:U$370,$Z161)</f>
        <v>61896</v>
      </c>
      <c r="AD161" s="60">
        <f>求节点(节奏总纲!AG$4:AG$363,V$11:V$370,$Z161)</f>
        <v>61896</v>
      </c>
      <c r="AE161" s="60">
        <f>求节点(节奏总纲!AH$4:AH$363,W$11:W$370,$Z161)</f>
        <v>61896</v>
      </c>
    </row>
    <row r="162" spans="18:31" x14ac:dyDescent="0.15">
      <c r="R162" s="60">
        <v>152</v>
      </c>
      <c r="S162" s="60">
        <f t="shared" si="8"/>
        <v>26133.866666666665</v>
      </c>
      <c r="T162" s="60">
        <f t="shared" si="8"/>
        <v>26133.866666666665</v>
      </c>
      <c r="U162" s="60">
        <f t="shared" si="8"/>
        <v>26133.866666666665</v>
      </c>
      <c r="V162" s="60">
        <f t="shared" si="8"/>
        <v>26133.866666666665</v>
      </c>
      <c r="W162" s="60">
        <f t="shared" si="8"/>
        <v>26133.866666666665</v>
      </c>
      <c r="Z162" s="60">
        <v>152</v>
      </c>
      <c r="AA162" s="60">
        <f>求节点(节奏总纲!AD$4:AD$363,S$11:S$370,$Z162)</f>
        <v>61896</v>
      </c>
      <c r="AB162" s="60">
        <f>求节点(节奏总纲!AE$4:AE$363,T$11:T$370,$Z162)</f>
        <v>61896</v>
      </c>
      <c r="AC162" s="60">
        <f>求节点(节奏总纲!AF$4:AF$363,U$11:U$370,$Z162)</f>
        <v>61896</v>
      </c>
      <c r="AD162" s="60">
        <f>求节点(节奏总纲!AG$4:AG$363,V$11:V$370,$Z162)</f>
        <v>61896</v>
      </c>
      <c r="AE162" s="60">
        <f>求节点(节奏总纲!AH$4:AH$363,W$11:W$370,$Z162)</f>
        <v>61896</v>
      </c>
    </row>
    <row r="163" spans="18:31" x14ac:dyDescent="0.15">
      <c r="R163" s="60">
        <v>153</v>
      </c>
      <c r="S163" s="60">
        <f t="shared" si="8"/>
        <v>26305.8</v>
      </c>
      <c r="T163" s="60">
        <f t="shared" si="8"/>
        <v>26305.8</v>
      </c>
      <c r="U163" s="60">
        <f t="shared" si="8"/>
        <v>26305.8</v>
      </c>
      <c r="V163" s="60">
        <f t="shared" si="8"/>
        <v>26305.8</v>
      </c>
      <c r="W163" s="60">
        <f t="shared" si="8"/>
        <v>26305.8</v>
      </c>
      <c r="Z163" s="60">
        <v>153</v>
      </c>
      <c r="AA163" s="60">
        <f>求节点(节奏总纲!AD$4:AD$363,S$11:S$370,$Z163)</f>
        <v>61896</v>
      </c>
      <c r="AB163" s="60">
        <f>求节点(节奏总纲!AE$4:AE$363,T$11:T$370,$Z163)</f>
        <v>61896</v>
      </c>
      <c r="AC163" s="60">
        <f>求节点(节奏总纲!AF$4:AF$363,U$11:U$370,$Z163)</f>
        <v>61896</v>
      </c>
      <c r="AD163" s="60">
        <f>求节点(节奏总纲!AG$4:AG$363,V$11:V$370,$Z163)</f>
        <v>61896</v>
      </c>
      <c r="AE163" s="60">
        <f>求节点(节奏总纲!AH$4:AH$363,W$11:W$370,$Z163)</f>
        <v>61896</v>
      </c>
    </row>
    <row r="164" spans="18:31" x14ac:dyDescent="0.15">
      <c r="R164" s="60">
        <v>154</v>
      </c>
      <c r="S164" s="60">
        <f t="shared" si="8"/>
        <v>26477.733333333334</v>
      </c>
      <c r="T164" s="60">
        <f t="shared" si="8"/>
        <v>26477.733333333334</v>
      </c>
      <c r="U164" s="60">
        <f t="shared" si="8"/>
        <v>26477.733333333334</v>
      </c>
      <c r="V164" s="60">
        <f t="shared" si="8"/>
        <v>26477.733333333334</v>
      </c>
      <c r="W164" s="60">
        <f t="shared" si="8"/>
        <v>26477.733333333334</v>
      </c>
      <c r="Z164" s="60">
        <v>154</v>
      </c>
      <c r="AA164" s="60">
        <f>求节点(节奏总纲!AD$4:AD$363,S$11:S$370,$Z164)</f>
        <v>61896</v>
      </c>
      <c r="AB164" s="60">
        <f>求节点(节奏总纲!AE$4:AE$363,T$11:T$370,$Z164)</f>
        <v>61896</v>
      </c>
      <c r="AC164" s="60">
        <f>求节点(节奏总纲!AF$4:AF$363,U$11:U$370,$Z164)</f>
        <v>61896</v>
      </c>
      <c r="AD164" s="60">
        <f>求节点(节奏总纲!AG$4:AG$363,V$11:V$370,$Z164)</f>
        <v>61896</v>
      </c>
      <c r="AE164" s="60">
        <f>求节点(节奏总纲!AH$4:AH$363,W$11:W$370,$Z164)</f>
        <v>61896</v>
      </c>
    </row>
    <row r="165" spans="18:31" x14ac:dyDescent="0.15">
      <c r="R165" s="60">
        <v>155</v>
      </c>
      <c r="S165" s="60">
        <f t="shared" si="8"/>
        <v>26649.666666666668</v>
      </c>
      <c r="T165" s="60">
        <f t="shared" si="8"/>
        <v>26649.666666666668</v>
      </c>
      <c r="U165" s="60">
        <f t="shared" si="8"/>
        <v>26649.666666666668</v>
      </c>
      <c r="V165" s="60">
        <f t="shared" si="8"/>
        <v>26649.666666666668</v>
      </c>
      <c r="W165" s="60">
        <f t="shared" si="8"/>
        <v>26649.666666666668</v>
      </c>
      <c r="Z165" s="60">
        <v>155</v>
      </c>
      <c r="AA165" s="60">
        <f>求节点(节奏总纲!AD$4:AD$363,S$11:S$370,$Z165)</f>
        <v>61896</v>
      </c>
      <c r="AB165" s="60">
        <f>求节点(节奏总纲!AE$4:AE$363,T$11:T$370,$Z165)</f>
        <v>61896</v>
      </c>
      <c r="AC165" s="60">
        <f>求节点(节奏总纲!AF$4:AF$363,U$11:U$370,$Z165)</f>
        <v>61896</v>
      </c>
      <c r="AD165" s="60">
        <f>求节点(节奏总纲!AG$4:AG$363,V$11:V$370,$Z165)</f>
        <v>61896</v>
      </c>
      <c r="AE165" s="60">
        <f>求节点(节奏总纲!AH$4:AH$363,W$11:W$370,$Z165)</f>
        <v>61896</v>
      </c>
    </row>
    <row r="166" spans="18:31" x14ac:dyDescent="0.15">
      <c r="R166" s="60">
        <v>156</v>
      </c>
      <c r="S166" s="60">
        <f t="shared" si="8"/>
        <v>26821.599999999999</v>
      </c>
      <c r="T166" s="60">
        <f t="shared" si="8"/>
        <v>26821.599999999999</v>
      </c>
      <c r="U166" s="60">
        <f t="shared" si="8"/>
        <v>26821.599999999999</v>
      </c>
      <c r="V166" s="60">
        <f t="shared" si="8"/>
        <v>26821.599999999999</v>
      </c>
      <c r="W166" s="60">
        <f t="shared" si="8"/>
        <v>26821.599999999999</v>
      </c>
      <c r="Z166" s="60">
        <v>156</v>
      </c>
      <c r="AA166" s="60">
        <f>求节点(节奏总纲!AD$4:AD$363,S$11:S$370,$Z166)</f>
        <v>61896</v>
      </c>
      <c r="AB166" s="60">
        <f>求节点(节奏总纲!AE$4:AE$363,T$11:T$370,$Z166)</f>
        <v>61896</v>
      </c>
      <c r="AC166" s="60">
        <f>求节点(节奏总纲!AF$4:AF$363,U$11:U$370,$Z166)</f>
        <v>61896</v>
      </c>
      <c r="AD166" s="60">
        <f>求节点(节奏总纲!AG$4:AG$363,V$11:V$370,$Z166)</f>
        <v>61896</v>
      </c>
      <c r="AE166" s="60">
        <f>求节点(节奏总纲!AH$4:AH$363,W$11:W$370,$Z166)</f>
        <v>61896</v>
      </c>
    </row>
    <row r="167" spans="18:31" x14ac:dyDescent="0.15">
      <c r="R167" s="60">
        <v>157</v>
      </c>
      <c r="S167" s="60">
        <f t="shared" si="8"/>
        <v>26993.533333333333</v>
      </c>
      <c r="T167" s="60">
        <f t="shared" si="8"/>
        <v>26993.533333333333</v>
      </c>
      <c r="U167" s="60">
        <f t="shared" si="8"/>
        <v>26993.533333333333</v>
      </c>
      <c r="V167" s="60">
        <f t="shared" si="8"/>
        <v>26993.533333333333</v>
      </c>
      <c r="W167" s="60">
        <f t="shared" si="8"/>
        <v>26993.533333333333</v>
      </c>
      <c r="Z167" s="60">
        <v>157</v>
      </c>
      <c r="AA167" s="60">
        <f>求节点(节奏总纲!AD$4:AD$363,S$11:S$370,$Z167)</f>
        <v>61896</v>
      </c>
      <c r="AB167" s="60">
        <f>求节点(节奏总纲!AE$4:AE$363,T$11:T$370,$Z167)</f>
        <v>61896</v>
      </c>
      <c r="AC167" s="60">
        <f>求节点(节奏总纲!AF$4:AF$363,U$11:U$370,$Z167)</f>
        <v>61896</v>
      </c>
      <c r="AD167" s="60">
        <f>求节点(节奏总纲!AG$4:AG$363,V$11:V$370,$Z167)</f>
        <v>61896</v>
      </c>
      <c r="AE167" s="60">
        <f>求节点(节奏总纲!AH$4:AH$363,W$11:W$370,$Z167)</f>
        <v>61896</v>
      </c>
    </row>
    <row r="168" spans="18:31" x14ac:dyDescent="0.15">
      <c r="R168" s="60">
        <v>158</v>
      </c>
      <c r="S168" s="60">
        <f t="shared" si="8"/>
        <v>27165.466666666667</v>
      </c>
      <c r="T168" s="60">
        <f t="shared" si="8"/>
        <v>27165.466666666667</v>
      </c>
      <c r="U168" s="60">
        <f t="shared" si="8"/>
        <v>27165.466666666667</v>
      </c>
      <c r="V168" s="60">
        <f t="shared" si="8"/>
        <v>27165.466666666667</v>
      </c>
      <c r="W168" s="60">
        <f t="shared" si="8"/>
        <v>27165.466666666667</v>
      </c>
      <c r="Z168" s="60">
        <v>158</v>
      </c>
      <c r="AA168" s="60">
        <f>求节点(节奏总纲!AD$4:AD$363,S$11:S$370,$Z168)</f>
        <v>61896</v>
      </c>
      <c r="AB168" s="60">
        <f>求节点(节奏总纲!AE$4:AE$363,T$11:T$370,$Z168)</f>
        <v>61896</v>
      </c>
      <c r="AC168" s="60">
        <f>求节点(节奏总纲!AF$4:AF$363,U$11:U$370,$Z168)</f>
        <v>61896</v>
      </c>
      <c r="AD168" s="60">
        <f>求节点(节奏总纲!AG$4:AG$363,V$11:V$370,$Z168)</f>
        <v>61896</v>
      </c>
      <c r="AE168" s="60">
        <f>求节点(节奏总纲!AH$4:AH$363,W$11:W$370,$Z168)</f>
        <v>61896</v>
      </c>
    </row>
    <row r="169" spans="18:31" x14ac:dyDescent="0.15">
      <c r="R169" s="60">
        <v>159</v>
      </c>
      <c r="S169" s="60">
        <f t="shared" si="8"/>
        <v>27337.4</v>
      </c>
      <c r="T169" s="60">
        <f t="shared" si="8"/>
        <v>27337.4</v>
      </c>
      <c r="U169" s="60">
        <f t="shared" si="8"/>
        <v>27337.4</v>
      </c>
      <c r="V169" s="60">
        <f t="shared" si="8"/>
        <v>27337.4</v>
      </c>
      <c r="W169" s="60">
        <f t="shared" si="8"/>
        <v>27337.4</v>
      </c>
      <c r="Z169" s="60">
        <v>159</v>
      </c>
      <c r="AA169" s="60">
        <f>求节点(节奏总纲!AD$4:AD$363,S$11:S$370,$Z169)</f>
        <v>61896</v>
      </c>
      <c r="AB169" s="60">
        <f>求节点(节奏总纲!AE$4:AE$363,T$11:T$370,$Z169)</f>
        <v>61896</v>
      </c>
      <c r="AC169" s="60">
        <f>求节点(节奏总纲!AF$4:AF$363,U$11:U$370,$Z169)</f>
        <v>61896</v>
      </c>
      <c r="AD169" s="60">
        <f>求节点(节奏总纲!AG$4:AG$363,V$11:V$370,$Z169)</f>
        <v>61896</v>
      </c>
      <c r="AE169" s="60">
        <f>求节点(节奏总纲!AH$4:AH$363,W$11:W$370,$Z169)</f>
        <v>61896</v>
      </c>
    </row>
    <row r="170" spans="18:31" x14ac:dyDescent="0.15">
      <c r="R170" s="60">
        <v>160</v>
      </c>
      <c r="S170" s="60">
        <f t="shared" si="8"/>
        <v>27509.333333333332</v>
      </c>
      <c r="T170" s="60">
        <f t="shared" si="8"/>
        <v>27509.333333333332</v>
      </c>
      <c r="U170" s="60">
        <f t="shared" si="8"/>
        <v>27509.333333333332</v>
      </c>
      <c r="V170" s="60">
        <f t="shared" si="8"/>
        <v>27509.333333333332</v>
      </c>
      <c r="W170" s="60">
        <f t="shared" si="8"/>
        <v>27509.333333333332</v>
      </c>
      <c r="Z170" s="60">
        <v>160</v>
      </c>
      <c r="AA170" s="60">
        <f>求节点(节奏总纲!AD$4:AD$363,S$11:S$370,$Z170)</f>
        <v>61896</v>
      </c>
      <c r="AB170" s="60">
        <f>求节点(节奏总纲!AE$4:AE$363,T$11:T$370,$Z170)</f>
        <v>61896</v>
      </c>
      <c r="AC170" s="60">
        <f>求节点(节奏总纲!AF$4:AF$363,U$11:U$370,$Z170)</f>
        <v>61896</v>
      </c>
      <c r="AD170" s="60">
        <f>求节点(节奏总纲!AG$4:AG$363,V$11:V$370,$Z170)</f>
        <v>61896</v>
      </c>
      <c r="AE170" s="60">
        <f>求节点(节奏总纲!AH$4:AH$363,W$11:W$370,$Z170)</f>
        <v>61896</v>
      </c>
    </row>
    <row r="171" spans="18:31" x14ac:dyDescent="0.15">
      <c r="R171" s="60">
        <v>161</v>
      </c>
      <c r="S171" s="60">
        <f t="shared" si="8"/>
        <v>27681.266666666666</v>
      </c>
      <c r="T171" s="60">
        <f t="shared" si="8"/>
        <v>27681.266666666666</v>
      </c>
      <c r="U171" s="60">
        <f t="shared" si="8"/>
        <v>27681.266666666666</v>
      </c>
      <c r="V171" s="60">
        <f t="shared" si="8"/>
        <v>27681.266666666666</v>
      </c>
      <c r="W171" s="60">
        <f t="shared" si="8"/>
        <v>27681.266666666666</v>
      </c>
    </row>
    <row r="172" spans="18:31" x14ac:dyDescent="0.15">
      <c r="R172" s="60">
        <v>162</v>
      </c>
      <c r="S172" s="60">
        <f t="shared" si="8"/>
        <v>27853.200000000001</v>
      </c>
      <c r="T172" s="60">
        <f t="shared" si="8"/>
        <v>27853.200000000001</v>
      </c>
      <c r="U172" s="60">
        <f t="shared" si="8"/>
        <v>27853.200000000001</v>
      </c>
      <c r="V172" s="60">
        <f t="shared" si="8"/>
        <v>27853.200000000001</v>
      </c>
      <c r="W172" s="60">
        <f t="shared" si="8"/>
        <v>27853.200000000001</v>
      </c>
    </row>
    <row r="173" spans="18:31" x14ac:dyDescent="0.15">
      <c r="R173" s="60">
        <v>163</v>
      </c>
      <c r="S173" s="60">
        <f t="shared" si="8"/>
        <v>28025.133333333335</v>
      </c>
      <c r="T173" s="60">
        <f t="shared" si="8"/>
        <v>28025.133333333335</v>
      </c>
      <c r="U173" s="60">
        <f t="shared" si="8"/>
        <v>28025.133333333335</v>
      </c>
      <c r="V173" s="60">
        <f t="shared" si="8"/>
        <v>28025.133333333335</v>
      </c>
      <c r="W173" s="60">
        <f t="shared" si="8"/>
        <v>28025.133333333335</v>
      </c>
    </row>
    <row r="174" spans="18:31" x14ac:dyDescent="0.15">
      <c r="R174" s="60">
        <v>164</v>
      </c>
      <c r="S174" s="60">
        <f t="shared" si="8"/>
        <v>28197.066666666666</v>
      </c>
      <c r="T174" s="60">
        <f t="shared" si="8"/>
        <v>28197.066666666666</v>
      </c>
      <c r="U174" s="60">
        <f t="shared" si="8"/>
        <v>28197.066666666666</v>
      </c>
      <c r="V174" s="60">
        <f t="shared" si="8"/>
        <v>28197.066666666666</v>
      </c>
      <c r="W174" s="60">
        <f t="shared" si="8"/>
        <v>28197.066666666666</v>
      </c>
    </row>
    <row r="175" spans="18:31" x14ac:dyDescent="0.15">
      <c r="R175" s="60">
        <v>165</v>
      </c>
      <c r="S175" s="60">
        <f t="shared" si="8"/>
        <v>28369</v>
      </c>
      <c r="T175" s="60">
        <f t="shared" si="8"/>
        <v>28369</v>
      </c>
      <c r="U175" s="60">
        <f t="shared" si="8"/>
        <v>28369</v>
      </c>
      <c r="V175" s="60">
        <f t="shared" si="8"/>
        <v>28369</v>
      </c>
      <c r="W175" s="60">
        <f t="shared" si="8"/>
        <v>28369</v>
      </c>
    </row>
    <row r="176" spans="18:31" x14ac:dyDescent="0.15">
      <c r="R176" s="60">
        <v>166</v>
      </c>
      <c r="S176" s="60">
        <f t="shared" si="8"/>
        <v>28540.933333333334</v>
      </c>
      <c r="T176" s="60">
        <f t="shared" si="8"/>
        <v>28540.933333333334</v>
      </c>
      <c r="U176" s="60">
        <f t="shared" si="8"/>
        <v>28540.933333333334</v>
      </c>
      <c r="V176" s="60">
        <f t="shared" si="8"/>
        <v>28540.933333333334</v>
      </c>
      <c r="W176" s="60">
        <f t="shared" si="8"/>
        <v>28540.933333333334</v>
      </c>
    </row>
    <row r="177" spans="18:23" x14ac:dyDescent="0.15">
      <c r="R177" s="60">
        <v>167</v>
      </c>
      <c r="S177" s="60">
        <f t="shared" ref="S177:W208" si="9">$R177*$G$3/30*$G$2</f>
        <v>28712.866666666665</v>
      </c>
      <c r="T177" s="60">
        <f t="shared" si="9"/>
        <v>28712.866666666665</v>
      </c>
      <c r="U177" s="60">
        <f t="shared" si="9"/>
        <v>28712.866666666665</v>
      </c>
      <c r="V177" s="60">
        <f t="shared" si="9"/>
        <v>28712.866666666665</v>
      </c>
      <c r="W177" s="60">
        <f t="shared" si="9"/>
        <v>28712.866666666665</v>
      </c>
    </row>
    <row r="178" spans="18:23" x14ac:dyDescent="0.15">
      <c r="R178" s="60">
        <v>168</v>
      </c>
      <c r="S178" s="60">
        <f t="shared" si="9"/>
        <v>28884.799999999999</v>
      </c>
      <c r="T178" s="60">
        <f t="shared" si="9"/>
        <v>28884.799999999999</v>
      </c>
      <c r="U178" s="60">
        <f t="shared" si="9"/>
        <v>28884.799999999999</v>
      </c>
      <c r="V178" s="60">
        <f t="shared" si="9"/>
        <v>28884.799999999999</v>
      </c>
      <c r="W178" s="60">
        <f t="shared" si="9"/>
        <v>28884.799999999999</v>
      </c>
    </row>
    <row r="179" spans="18:23" x14ac:dyDescent="0.15">
      <c r="R179" s="60">
        <v>169</v>
      </c>
      <c r="S179" s="60">
        <f t="shared" si="9"/>
        <v>29056.733333333334</v>
      </c>
      <c r="T179" s="60">
        <f t="shared" si="9"/>
        <v>29056.733333333334</v>
      </c>
      <c r="U179" s="60">
        <f t="shared" si="9"/>
        <v>29056.733333333334</v>
      </c>
      <c r="V179" s="60">
        <f t="shared" si="9"/>
        <v>29056.733333333334</v>
      </c>
      <c r="W179" s="60">
        <f t="shared" si="9"/>
        <v>29056.733333333334</v>
      </c>
    </row>
    <row r="180" spans="18:23" x14ac:dyDescent="0.15">
      <c r="R180" s="60">
        <v>170</v>
      </c>
      <c r="S180" s="60">
        <f t="shared" si="9"/>
        <v>29228.666666666668</v>
      </c>
      <c r="T180" s="60">
        <f t="shared" si="9"/>
        <v>29228.666666666668</v>
      </c>
      <c r="U180" s="60">
        <f t="shared" si="9"/>
        <v>29228.666666666668</v>
      </c>
      <c r="V180" s="60">
        <f t="shared" si="9"/>
        <v>29228.666666666668</v>
      </c>
      <c r="W180" s="60">
        <f t="shared" si="9"/>
        <v>29228.666666666668</v>
      </c>
    </row>
    <row r="181" spans="18:23" x14ac:dyDescent="0.15">
      <c r="R181" s="60">
        <v>171</v>
      </c>
      <c r="S181" s="60">
        <f t="shared" si="9"/>
        <v>29400.6</v>
      </c>
      <c r="T181" s="60">
        <f t="shared" si="9"/>
        <v>29400.6</v>
      </c>
      <c r="U181" s="60">
        <f t="shared" si="9"/>
        <v>29400.6</v>
      </c>
      <c r="V181" s="60">
        <f t="shared" si="9"/>
        <v>29400.6</v>
      </c>
      <c r="W181" s="60">
        <f t="shared" si="9"/>
        <v>29400.6</v>
      </c>
    </row>
    <row r="182" spans="18:23" x14ac:dyDescent="0.15">
      <c r="R182" s="60">
        <v>172</v>
      </c>
      <c r="S182" s="60">
        <f t="shared" si="9"/>
        <v>29572.533333333333</v>
      </c>
      <c r="T182" s="60">
        <f t="shared" si="9"/>
        <v>29572.533333333333</v>
      </c>
      <c r="U182" s="60">
        <f t="shared" si="9"/>
        <v>29572.533333333333</v>
      </c>
      <c r="V182" s="60">
        <f t="shared" si="9"/>
        <v>29572.533333333333</v>
      </c>
      <c r="W182" s="60">
        <f t="shared" si="9"/>
        <v>29572.533333333333</v>
      </c>
    </row>
    <row r="183" spans="18:23" x14ac:dyDescent="0.15">
      <c r="R183" s="60">
        <v>173</v>
      </c>
      <c r="S183" s="60">
        <f t="shared" si="9"/>
        <v>29744.466666666667</v>
      </c>
      <c r="T183" s="60">
        <f t="shared" si="9"/>
        <v>29744.466666666667</v>
      </c>
      <c r="U183" s="60">
        <f t="shared" si="9"/>
        <v>29744.466666666667</v>
      </c>
      <c r="V183" s="60">
        <f t="shared" si="9"/>
        <v>29744.466666666667</v>
      </c>
      <c r="W183" s="60">
        <f t="shared" si="9"/>
        <v>29744.466666666667</v>
      </c>
    </row>
    <row r="184" spans="18:23" x14ac:dyDescent="0.15">
      <c r="R184" s="60">
        <v>174</v>
      </c>
      <c r="S184" s="60">
        <f t="shared" si="9"/>
        <v>29916.400000000001</v>
      </c>
      <c r="T184" s="60">
        <f t="shared" si="9"/>
        <v>29916.400000000001</v>
      </c>
      <c r="U184" s="60">
        <f t="shared" si="9"/>
        <v>29916.400000000001</v>
      </c>
      <c r="V184" s="60">
        <f t="shared" si="9"/>
        <v>29916.400000000001</v>
      </c>
      <c r="W184" s="60">
        <f t="shared" si="9"/>
        <v>29916.400000000001</v>
      </c>
    </row>
    <row r="185" spans="18:23" x14ac:dyDescent="0.15">
      <c r="R185" s="60">
        <v>175</v>
      </c>
      <c r="S185" s="60">
        <f t="shared" si="9"/>
        <v>30088.333333333332</v>
      </c>
      <c r="T185" s="60">
        <f t="shared" si="9"/>
        <v>30088.333333333332</v>
      </c>
      <c r="U185" s="60">
        <f t="shared" si="9"/>
        <v>30088.333333333332</v>
      </c>
      <c r="V185" s="60">
        <f t="shared" si="9"/>
        <v>30088.333333333332</v>
      </c>
      <c r="W185" s="60">
        <f t="shared" si="9"/>
        <v>30088.333333333332</v>
      </c>
    </row>
    <row r="186" spans="18:23" x14ac:dyDescent="0.15">
      <c r="R186" s="60">
        <v>176</v>
      </c>
      <c r="S186" s="60">
        <f t="shared" si="9"/>
        <v>30260.266666666666</v>
      </c>
      <c r="T186" s="60">
        <f t="shared" si="9"/>
        <v>30260.266666666666</v>
      </c>
      <c r="U186" s="60">
        <f t="shared" si="9"/>
        <v>30260.266666666666</v>
      </c>
      <c r="V186" s="60">
        <f t="shared" si="9"/>
        <v>30260.266666666666</v>
      </c>
      <c r="W186" s="60">
        <f t="shared" si="9"/>
        <v>30260.266666666666</v>
      </c>
    </row>
    <row r="187" spans="18:23" x14ac:dyDescent="0.15">
      <c r="R187" s="60">
        <v>177</v>
      </c>
      <c r="S187" s="60">
        <f t="shared" si="9"/>
        <v>30432.2</v>
      </c>
      <c r="T187" s="60">
        <f t="shared" si="9"/>
        <v>30432.2</v>
      </c>
      <c r="U187" s="60">
        <f t="shared" si="9"/>
        <v>30432.2</v>
      </c>
      <c r="V187" s="60">
        <f t="shared" si="9"/>
        <v>30432.2</v>
      </c>
      <c r="W187" s="60">
        <f t="shared" si="9"/>
        <v>30432.2</v>
      </c>
    </row>
    <row r="188" spans="18:23" x14ac:dyDescent="0.15">
      <c r="R188" s="60">
        <v>178</v>
      </c>
      <c r="S188" s="60">
        <f t="shared" si="9"/>
        <v>30604.133333333335</v>
      </c>
      <c r="T188" s="60">
        <f t="shared" si="9"/>
        <v>30604.133333333335</v>
      </c>
      <c r="U188" s="60">
        <f t="shared" si="9"/>
        <v>30604.133333333335</v>
      </c>
      <c r="V188" s="60">
        <f t="shared" si="9"/>
        <v>30604.133333333335</v>
      </c>
      <c r="W188" s="60">
        <f t="shared" si="9"/>
        <v>30604.133333333335</v>
      </c>
    </row>
    <row r="189" spans="18:23" x14ac:dyDescent="0.15">
      <c r="R189" s="60">
        <v>179</v>
      </c>
      <c r="S189" s="60">
        <f t="shared" si="9"/>
        <v>30776.066666666666</v>
      </c>
      <c r="T189" s="60">
        <f t="shared" si="9"/>
        <v>30776.066666666666</v>
      </c>
      <c r="U189" s="60">
        <f t="shared" si="9"/>
        <v>30776.066666666666</v>
      </c>
      <c r="V189" s="60">
        <f t="shared" si="9"/>
        <v>30776.066666666666</v>
      </c>
      <c r="W189" s="60">
        <f t="shared" si="9"/>
        <v>30776.066666666666</v>
      </c>
    </row>
    <row r="190" spans="18:23" x14ac:dyDescent="0.15">
      <c r="R190" s="60">
        <v>180</v>
      </c>
      <c r="S190" s="60">
        <f t="shared" si="9"/>
        <v>30948</v>
      </c>
      <c r="T190" s="60">
        <f t="shared" si="9"/>
        <v>30948</v>
      </c>
      <c r="U190" s="60">
        <f t="shared" si="9"/>
        <v>30948</v>
      </c>
      <c r="V190" s="60">
        <f t="shared" si="9"/>
        <v>30948</v>
      </c>
      <c r="W190" s="60">
        <f t="shared" si="9"/>
        <v>30948</v>
      </c>
    </row>
    <row r="191" spans="18:23" x14ac:dyDescent="0.15">
      <c r="R191" s="60">
        <v>181</v>
      </c>
      <c r="S191" s="60">
        <f t="shared" si="9"/>
        <v>31119.933333333334</v>
      </c>
      <c r="T191" s="60">
        <f t="shared" si="9"/>
        <v>31119.933333333334</v>
      </c>
      <c r="U191" s="60">
        <f t="shared" si="9"/>
        <v>31119.933333333334</v>
      </c>
      <c r="V191" s="60">
        <f t="shared" si="9"/>
        <v>31119.933333333334</v>
      </c>
      <c r="W191" s="60">
        <f t="shared" si="9"/>
        <v>31119.933333333334</v>
      </c>
    </row>
    <row r="192" spans="18:23" x14ac:dyDescent="0.15">
      <c r="R192" s="60">
        <v>182</v>
      </c>
      <c r="S192" s="60">
        <f t="shared" si="9"/>
        <v>31291.866666666665</v>
      </c>
      <c r="T192" s="60">
        <f t="shared" si="9"/>
        <v>31291.866666666665</v>
      </c>
      <c r="U192" s="60">
        <f t="shared" si="9"/>
        <v>31291.866666666665</v>
      </c>
      <c r="V192" s="60">
        <f t="shared" si="9"/>
        <v>31291.866666666665</v>
      </c>
      <c r="W192" s="60">
        <f t="shared" si="9"/>
        <v>31291.866666666665</v>
      </c>
    </row>
    <row r="193" spans="18:23" x14ac:dyDescent="0.15">
      <c r="R193" s="60">
        <v>183</v>
      </c>
      <c r="S193" s="60">
        <f t="shared" si="9"/>
        <v>31463.8</v>
      </c>
      <c r="T193" s="60">
        <f t="shared" si="9"/>
        <v>31463.8</v>
      </c>
      <c r="U193" s="60">
        <f t="shared" si="9"/>
        <v>31463.8</v>
      </c>
      <c r="V193" s="60">
        <f t="shared" si="9"/>
        <v>31463.8</v>
      </c>
      <c r="W193" s="60">
        <f t="shared" si="9"/>
        <v>31463.8</v>
      </c>
    </row>
    <row r="194" spans="18:23" x14ac:dyDescent="0.15">
      <c r="R194" s="60">
        <v>184</v>
      </c>
      <c r="S194" s="60">
        <f t="shared" si="9"/>
        <v>31635.733333333334</v>
      </c>
      <c r="T194" s="60">
        <f t="shared" si="9"/>
        <v>31635.733333333334</v>
      </c>
      <c r="U194" s="60">
        <f t="shared" si="9"/>
        <v>31635.733333333334</v>
      </c>
      <c r="V194" s="60">
        <f t="shared" si="9"/>
        <v>31635.733333333334</v>
      </c>
      <c r="W194" s="60">
        <f t="shared" si="9"/>
        <v>31635.733333333334</v>
      </c>
    </row>
    <row r="195" spans="18:23" x14ac:dyDescent="0.15">
      <c r="R195" s="60">
        <v>185</v>
      </c>
      <c r="S195" s="60">
        <f t="shared" si="9"/>
        <v>31807.666666666668</v>
      </c>
      <c r="T195" s="60">
        <f t="shared" si="9"/>
        <v>31807.666666666668</v>
      </c>
      <c r="U195" s="60">
        <f t="shared" si="9"/>
        <v>31807.666666666668</v>
      </c>
      <c r="V195" s="60">
        <f t="shared" si="9"/>
        <v>31807.666666666668</v>
      </c>
      <c r="W195" s="60">
        <f t="shared" si="9"/>
        <v>31807.666666666668</v>
      </c>
    </row>
    <row r="196" spans="18:23" x14ac:dyDescent="0.15">
      <c r="R196" s="60">
        <v>186</v>
      </c>
      <c r="S196" s="60">
        <f t="shared" si="9"/>
        <v>31979.599999999999</v>
      </c>
      <c r="T196" s="60">
        <f t="shared" si="9"/>
        <v>31979.599999999999</v>
      </c>
      <c r="U196" s="60">
        <f t="shared" si="9"/>
        <v>31979.599999999999</v>
      </c>
      <c r="V196" s="60">
        <f t="shared" si="9"/>
        <v>31979.599999999999</v>
      </c>
      <c r="W196" s="60">
        <f t="shared" si="9"/>
        <v>31979.599999999999</v>
      </c>
    </row>
    <row r="197" spans="18:23" x14ac:dyDescent="0.15">
      <c r="R197" s="60">
        <v>187</v>
      </c>
      <c r="S197" s="60">
        <f t="shared" si="9"/>
        <v>32151.533333333333</v>
      </c>
      <c r="T197" s="60">
        <f t="shared" si="9"/>
        <v>32151.533333333333</v>
      </c>
      <c r="U197" s="60">
        <f t="shared" si="9"/>
        <v>32151.533333333333</v>
      </c>
      <c r="V197" s="60">
        <f t="shared" si="9"/>
        <v>32151.533333333333</v>
      </c>
      <c r="W197" s="60">
        <f t="shared" si="9"/>
        <v>32151.533333333333</v>
      </c>
    </row>
    <row r="198" spans="18:23" x14ac:dyDescent="0.15">
      <c r="R198" s="60">
        <v>188</v>
      </c>
      <c r="S198" s="60">
        <f t="shared" si="9"/>
        <v>32323.466666666667</v>
      </c>
      <c r="T198" s="60">
        <f t="shared" si="9"/>
        <v>32323.466666666667</v>
      </c>
      <c r="U198" s="60">
        <f t="shared" si="9"/>
        <v>32323.466666666667</v>
      </c>
      <c r="V198" s="60">
        <f t="shared" si="9"/>
        <v>32323.466666666667</v>
      </c>
      <c r="W198" s="60">
        <f t="shared" si="9"/>
        <v>32323.466666666667</v>
      </c>
    </row>
    <row r="199" spans="18:23" x14ac:dyDescent="0.15">
      <c r="R199" s="60">
        <v>189</v>
      </c>
      <c r="S199" s="60">
        <f t="shared" si="9"/>
        <v>32495.4</v>
      </c>
      <c r="T199" s="60">
        <f t="shared" si="9"/>
        <v>32495.4</v>
      </c>
      <c r="U199" s="60">
        <f t="shared" si="9"/>
        <v>32495.4</v>
      </c>
      <c r="V199" s="60">
        <f t="shared" si="9"/>
        <v>32495.4</v>
      </c>
      <c r="W199" s="60">
        <f t="shared" si="9"/>
        <v>32495.4</v>
      </c>
    </row>
    <row r="200" spans="18:23" x14ac:dyDescent="0.15">
      <c r="R200" s="60">
        <v>190</v>
      </c>
      <c r="S200" s="60">
        <f t="shared" si="9"/>
        <v>32667.333333333332</v>
      </c>
      <c r="T200" s="60">
        <f t="shared" si="9"/>
        <v>32667.333333333332</v>
      </c>
      <c r="U200" s="60">
        <f t="shared" si="9"/>
        <v>32667.333333333332</v>
      </c>
      <c r="V200" s="60">
        <f t="shared" si="9"/>
        <v>32667.333333333332</v>
      </c>
      <c r="W200" s="60">
        <f t="shared" si="9"/>
        <v>32667.333333333332</v>
      </c>
    </row>
    <row r="201" spans="18:23" x14ac:dyDescent="0.15">
      <c r="R201" s="60">
        <v>191</v>
      </c>
      <c r="S201" s="60">
        <f t="shared" si="9"/>
        <v>32839.26666666667</v>
      </c>
      <c r="T201" s="60">
        <f t="shared" si="9"/>
        <v>32839.26666666667</v>
      </c>
      <c r="U201" s="60">
        <f t="shared" si="9"/>
        <v>32839.26666666667</v>
      </c>
      <c r="V201" s="60">
        <f t="shared" si="9"/>
        <v>32839.26666666667</v>
      </c>
      <c r="W201" s="60">
        <f t="shared" si="9"/>
        <v>32839.26666666667</v>
      </c>
    </row>
    <row r="202" spans="18:23" x14ac:dyDescent="0.15">
      <c r="R202" s="60">
        <v>192</v>
      </c>
      <c r="S202" s="60">
        <f t="shared" si="9"/>
        <v>33011.199999999997</v>
      </c>
      <c r="T202" s="60">
        <f t="shared" si="9"/>
        <v>33011.199999999997</v>
      </c>
      <c r="U202" s="60">
        <f t="shared" si="9"/>
        <v>33011.199999999997</v>
      </c>
      <c r="V202" s="60">
        <f t="shared" si="9"/>
        <v>33011.199999999997</v>
      </c>
      <c r="W202" s="60">
        <f t="shared" si="9"/>
        <v>33011.199999999997</v>
      </c>
    </row>
    <row r="203" spans="18:23" x14ac:dyDescent="0.15">
      <c r="R203" s="60">
        <v>193</v>
      </c>
      <c r="S203" s="60">
        <f t="shared" si="9"/>
        <v>33183.133333333331</v>
      </c>
      <c r="T203" s="60">
        <f t="shared" si="9"/>
        <v>33183.133333333331</v>
      </c>
      <c r="U203" s="60">
        <f t="shared" si="9"/>
        <v>33183.133333333331</v>
      </c>
      <c r="V203" s="60">
        <f t="shared" si="9"/>
        <v>33183.133333333331</v>
      </c>
      <c r="W203" s="60">
        <f t="shared" si="9"/>
        <v>33183.133333333331</v>
      </c>
    </row>
    <row r="204" spans="18:23" x14ac:dyDescent="0.15">
      <c r="R204" s="60">
        <v>194</v>
      </c>
      <c r="S204" s="60">
        <f t="shared" si="9"/>
        <v>33355.066666666666</v>
      </c>
      <c r="T204" s="60">
        <f t="shared" si="9"/>
        <v>33355.066666666666</v>
      </c>
      <c r="U204" s="60">
        <f t="shared" si="9"/>
        <v>33355.066666666666</v>
      </c>
      <c r="V204" s="60">
        <f t="shared" si="9"/>
        <v>33355.066666666666</v>
      </c>
      <c r="W204" s="60">
        <f t="shared" si="9"/>
        <v>33355.066666666666</v>
      </c>
    </row>
    <row r="205" spans="18:23" x14ac:dyDescent="0.15">
      <c r="R205" s="60">
        <v>195</v>
      </c>
      <c r="S205" s="60">
        <f t="shared" si="9"/>
        <v>33527</v>
      </c>
      <c r="T205" s="60">
        <f t="shared" si="9"/>
        <v>33527</v>
      </c>
      <c r="U205" s="60">
        <f t="shared" si="9"/>
        <v>33527</v>
      </c>
      <c r="V205" s="60">
        <f t="shared" si="9"/>
        <v>33527</v>
      </c>
      <c r="W205" s="60">
        <f t="shared" si="9"/>
        <v>33527</v>
      </c>
    </row>
    <row r="206" spans="18:23" x14ac:dyDescent="0.15">
      <c r="R206" s="60">
        <v>196</v>
      </c>
      <c r="S206" s="60">
        <f t="shared" si="9"/>
        <v>33698.933333333334</v>
      </c>
      <c r="T206" s="60">
        <f t="shared" si="9"/>
        <v>33698.933333333334</v>
      </c>
      <c r="U206" s="60">
        <f t="shared" si="9"/>
        <v>33698.933333333334</v>
      </c>
      <c r="V206" s="60">
        <f t="shared" si="9"/>
        <v>33698.933333333334</v>
      </c>
      <c r="W206" s="60">
        <f t="shared" si="9"/>
        <v>33698.933333333334</v>
      </c>
    </row>
    <row r="207" spans="18:23" x14ac:dyDescent="0.15">
      <c r="R207" s="60">
        <v>197</v>
      </c>
      <c r="S207" s="60">
        <f t="shared" si="9"/>
        <v>33870.866666666669</v>
      </c>
      <c r="T207" s="60">
        <f t="shared" si="9"/>
        <v>33870.866666666669</v>
      </c>
      <c r="U207" s="60">
        <f t="shared" si="9"/>
        <v>33870.866666666669</v>
      </c>
      <c r="V207" s="60">
        <f t="shared" si="9"/>
        <v>33870.866666666669</v>
      </c>
      <c r="W207" s="60">
        <f t="shared" si="9"/>
        <v>33870.866666666669</v>
      </c>
    </row>
    <row r="208" spans="18:23" x14ac:dyDescent="0.15">
      <c r="R208" s="60">
        <v>198</v>
      </c>
      <c r="S208" s="60">
        <f t="shared" si="9"/>
        <v>34042.800000000003</v>
      </c>
      <c r="T208" s="60">
        <f t="shared" si="9"/>
        <v>34042.800000000003</v>
      </c>
      <c r="U208" s="60">
        <f t="shared" si="9"/>
        <v>34042.800000000003</v>
      </c>
      <c r="V208" s="60">
        <f t="shared" si="9"/>
        <v>34042.800000000003</v>
      </c>
      <c r="W208" s="60">
        <f t="shared" si="9"/>
        <v>34042.800000000003</v>
      </c>
    </row>
    <row r="209" spans="18:23" x14ac:dyDescent="0.15">
      <c r="R209" s="60">
        <v>199</v>
      </c>
      <c r="S209" s="60">
        <f t="shared" ref="S209:W240" si="10">$R209*$G$3/30*$G$2</f>
        <v>34214.73333333333</v>
      </c>
      <c r="T209" s="60">
        <f t="shared" si="10"/>
        <v>34214.73333333333</v>
      </c>
      <c r="U209" s="60">
        <f t="shared" si="10"/>
        <v>34214.73333333333</v>
      </c>
      <c r="V209" s="60">
        <f t="shared" si="10"/>
        <v>34214.73333333333</v>
      </c>
      <c r="W209" s="60">
        <f t="shared" si="10"/>
        <v>34214.73333333333</v>
      </c>
    </row>
    <row r="210" spans="18:23" x14ac:dyDescent="0.15">
      <c r="R210" s="60">
        <v>200</v>
      </c>
      <c r="S210" s="60">
        <f t="shared" si="10"/>
        <v>34386.666666666664</v>
      </c>
      <c r="T210" s="60">
        <f t="shared" si="10"/>
        <v>34386.666666666664</v>
      </c>
      <c r="U210" s="60">
        <f t="shared" si="10"/>
        <v>34386.666666666664</v>
      </c>
      <c r="V210" s="60">
        <f t="shared" si="10"/>
        <v>34386.666666666664</v>
      </c>
      <c r="W210" s="60">
        <f t="shared" si="10"/>
        <v>34386.666666666664</v>
      </c>
    </row>
    <row r="211" spans="18:23" x14ac:dyDescent="0.15">
      <c r="R211" s="60">
        <v>201</v>
      </c>
      <c r="S211" s="60">
        <f t="shared" si="10"/>
        <v>34558.6</v>
      </c>
      <c r="T211" s="60">
        <f t="shared" si="10"/>
        <v>34558.6</v>
      </c>
      <c r="U211" s="60">
        <f t="shared" si="10"/>
        <v>34558.6</v>
      </c>
      <c r="V211" s="60">
        <f t="shared" si="10"/>
        <v>34558.6</v>
      </c>
      <c r="W211" s="60">
        <f t="shared" si="10"/>
        <v>34558.6</v>
      </c>
    </row>
    <row r="212" spans="18:23" x14ac:dyDescent="0.15">
      <c r="R212" s="60">
        <v>202</v>
      </c>
      <c r="S212" s="60">
        <f t="shared" si="10"/>
        <v>34730.533333333333</v>
      </c>
      <c r="T212" s="60">
        <f t="shared" si="10"/>
        <v>34730.533333333333</v>
      </c>
      <c r="U212" s="60">
        <f t="shared" si="10"/>
        <v>34730.533333333333</v>
      </c>
      <c r="V212" s="60">
        <f t="shared" si="10"/>
        <v>34730.533333333333</v>
      </c>
      <c r="W212" s="60">
        <f t="shared" si="10"/>
        <v>34730.533333333333</v>
      </c>
    </row>
    <row r="213" spans="18:23" x14ac:dyDescent="0.15">
      <c r="R213" s="60">
        <v>203</v>
      </c>
      <c r="S213" s="60">
        <f t="shared" si="10"/>
        <v>34902.466666666667</v>
      </c>
      <c r="T213" s="60">
        <f t="shared" si="10"/>
        <v>34902.466666666667</v>
      </c>
      <c r="U213" s="60">
        <f t="shared" si="10"/>
        <v>34902.466666666667</v>
      </c>
      <c r="V213" s="60">
        <f t="shared" si="10"/>
        <v>34902.466666666667</v>
      </c>
      <c r="W213" s="60">
        <f t="shared" si="10"/>
        <v>34902.466666666667</v>
      </c>
    </row>
    <row r="214" spans="18:23" x14ac:dyDescent="0.15">
      <c r="R214" s="60">
        <v>204</v>
      </c>
      <c r="S214" s="60">
        <f t="shared" si="10"/>
        <v>35074.400000000001</v>
      </c>
      <c r="T214" s="60">
        <f t="shared" si="10"/>
        <v>35074.400000000001</v>
      </c>
      <c r="U214" s="60">
        <f t="shared" si="10"/>
        <v>35074.400000000001</v>
      </c>
      <c r="V214" s="60">
        <f t="shared" si="10"/>
        <v>35074.400000000001</v>
      </c>
      <c r="W214" s="60">
        <f t="shared" si="10"/>
        <v>35074.400000000001</v>
      </c>
    </row>
    <row r="215" spans="18:23" x14ac:dyDescent="0.15">
      <c r="R215" s="60">
        <v>205</v>
      </c>
      <c r="S215" s="60">
        <f t="shared" si="10"/>
        <v>35246.333333333336</v>
      </c>
      <c r="T215" s="60">
        <f t="shared" si="10"/>
        <v>35246.333333333336</v>
      </c>
      <c r="U215" s="60">
        <f t="shared" si="10"/>
        <v>35246.333333333336</v>
      </c>
      <c r="V215" s="60">
        <f t="shared" si="10"/>
        <v>35246.333333333336</v>
      </c>
      <c r="W215" s="60">
        <f t="shared" si="10"/>
        <v>35246.333333333336</v>
      </c>
    </row>
    <row r="216" spans="18:23" x14ac:dyDescent="0.15">
      <c r="R216" s="60">
        <v>206</v>
      </c>
      <c r="S216" s="60">
        <f t="shared" si="10"/>
        <v>35418.26666666667</v>
      </c>
      <c r="T216" s="60">
        <f t="shared" si="10"/>
        <v>35418.26666666667</v>
      </c>
      <c r="U216" s="60">
        <f t="shared" si="10"/>
        <v>35418.26666666667</v>
      </c>
      <c r="V216" s="60">
        <f t="shared" si="10"/>
        <v>35418.26666666667</v>
      </c>
      <c r="W216" s="60">
        <f t="shared" si="10"/>
        <v>35418.26666666667</v>
      </c>
    </row>
    <row r="217" spans="18:23" x14ac:dyDescent="0.15">
      <c r="R217" s="60">
        <v>207</v>
      </c>
      <c r="S217" s="60">
        <f t="shared" si="10"/>
        <v>35590.199999999997</v>
      </c>
      <c r="T217" s="60">
        <f t="shared" si="10"/>
        <v>35590.199999999997</v>
      </c>
      <c r="U217" s="60">
        <f t="shared" si="10"/>
        <v>35590.199999999997</v>
      </c>
      <c r="V217" s="60">
        <f t="shared" si="10"/>
        <v>35590.199999999997</v>
      </c>
      <c r="W217" s="60">
        <f t="shared" si="10"/>
        <v>35590.199999999997</v>
      </c>
    </row>
    <row r="218" spans="18:23" x14ac:dyDescent="0.15">
      <c r="R218" s="60">
        <v>208</v>
      </c>
      <c r="S218" s="60">
        <f t="shared" si="10"/>
        <v>35762.133333333331</v>
      </c>
      <c r="T218" s="60">
        <f t="shared" si="10"/>
        <v>35762.133333333331</v>
      </c>
      <c r="U218" s="60">
        <f t="shared" si="10"/>
        <v>35762.133333333331</v>
      </c>
      <c r="V218" s="60">
        <f t="shared" si="10"/>
        <v>35762.133333333331</v>
      </c>
      <c r="W218" s="60">
        <f t="shared" si="10"/>
        <v>35762.133333333331</v>
      </c>
    </row>
    <row r="219" spans="18:23" x14ac:dyDescent="0.15">
      <c r="R219" s="60">
        <v>209</v>
      </c>
      <c r="S219" s="60">
        <f t="shared" si="10"/>
        <v>35934.066666666666</v>
      </c>
      <c r="T219" s="60">
        <f t="shared" si="10"/>
        <v>35934.066666666666</v>
      </c>
      <c r="U219" s="60">
        <f t="shared" si="10"/>
        <v>35934.066666666666</v>
      </c>
      <c r="V219" s="60">
        <f t="shared" si="10"/>
        <v>35934.066666666666</v>
      </c>
      <c r="W219" s="60">
        <f t="shared" si="10"/>
        <v>35934.066666666666</v>
      </c>
    </row>
    <row r="220" spans="18:23" x14ac:dyDescent="0.15">
      <c r="R220" s="60">
        <v>210</v>
      </c>
      <c r="S220" s="60">
        <f t="shared" si="10"/>
        <v>36106</v>
      </c>
      <c r="T220" s="60">
        <f t="shared" si="10"/>
        <v>36106</v>
      </c>
      <c r="U220" s="60">
        <f t="shared" si="10"/>
        <v>36106</v>
      </c>
      <c r="V220" s="60">
        <f t="shared" si="10"/>
        <v>36106</v>
      </c>
      <c r="W220" s="60">
        <f t="shared" si="10"/>
        <v>36106</v>
      </c>
    </row>
    <row r="221" spans="18:23" x14ac:dyDescent="0.15">
      <c r="R221" s="60">
        <v>211</v>
      </c>
      <c r="S221" s="60">
        <f t="shared" si="10"/>
        <v>36277.933333333334</v>
      </c>
      <c r="T221" s="60">
        <f t="shared" si="10"/>
        <v>36277.933333333334</v>
      </c>
      <c r="U221" s="60">
        <f t="shared" si="10"/>
        <v>36277.933333333334</v>
      </c>
      <c r="V221" s="60">
        <f t="shared" si="10"/>
        <v>36277.933333333334</v>
      </c>
      <c r="W221" s="60">
        <f t="shared" si="10"/>
        <v>36277.933333333334</v>
      </c>
    </row>
    <row r="222" spans="18:23" x14ac:dyDescent="0.15">
      <c r="R222" s="60">
        <v>212</v>
      </c>
      <c r="S222" s="60">
        <f t="shared" si="10"/>
        <v>36449.866666666669</v>
      </c>
      <c r="T222" s="60">
        <f t="shared" si="10"/>
        <v>36449.866666666669</v>
      </c>
      <c r="U222" s="60">
        <f t="shared" si="10"/>
        <v>36449.866666666669</v>
      </c>
      <c r="V222" s="60">
        <f t="shared" si="10"/>
        <v>36449.866666666669</v>
      </c>
      <c r="W222" s="60">
        <f t="shared" si="10"/>
        <v>36449.866666666669</v>
      </c>
    </row>
    <row r="223" spans="18:23" x14ac:dyDescent="0.15">
      <c r="R223" s="60">
        <v>213</v>
      </c>
      <c r="S223" s="60">
        <f t="shared" si="10"/>
        <v>36621.800000000003</v>
      </c>
      <c r="T223" s="60">
        <f t="shared" si="10"/>
        <v>36621.800000000003</v>
      </c>
      <c r="U223" s="60">
        <f t="shared" si="10"/>
        <v>36621.800000000003</v>
      </c>
      <c r="V223" s="60">
        <f t="shared" si="10"/>
        <v>36621.800000000003</v>
      </c>
      <c r="W223" s="60">
        <f t="shared" si="10"/>
        <v>36621.800000000003</v>
      </c>
    </row>
    <row r="224" spans="18:23" x14ac:dyDescent="0.15">
      <c r="R224" s="60">
        <v>214</v>
      </c>
      <c r="S224" s="60">
        <f t="shared" si="10"/>
        <v>36793.73333333333</v>
      </c>
      <c r="T224" s="60">
        <f t="shared" si="10"/>
        <v>36793.73333333333</v>
      </c>
      <c r="U224" s="60">
        <f t="shared" si="10"/>
        <v>36793.73333333333</v>
      </c>
      <c r="V224" s="60">
        <f t="shared" si="10"/>
        <v>36793.73333333333</v>
      </c>
      <c r="W224" s="60">
        <f t="shared" si="10"/>
        <v>36793.73333333333</v>
      </c>
    </row>
    <row r="225" spans="18:23" x14ac:dyDescent="0.15">
      <c r="R225" s="60">
        <v>215</v>
      </c>
      <c r="S225" s="60">
        <f t="shared" si="10"/>
        <v>36965.666666666664</v>
      </c>
      <c r="T225" s="60">
        <f t="shared" si="10"/>
        <v>36965.666666666664</v>
      </c>
      <c r="U225" s="60">
        <f t="shared" si="10"/>
        <v>36965.666666666664</v>
      </c>
      <c r="V225" s="60">
        <f t="shared" si="10"/>
        <v>36965.666666666664</v>
      </c>
      <c r="W225" s="60">
        <f t="shared" si="10"/>
        <v>36965.666666666664</v>
      </c>
    </row>
    <row r="226" spans="18:23" x14ac:dyDescent="0.15">
      <c r="R226" s="60">
        <v>216</v>
      </c>
      <c r="S226" s="60">
        <f t="shared" si="10"/>
        <v>37137.599999999999</v>
      </c>
      <c r="T226" s="60">
        <f t="shared" si="10"/>
        <v>37137.599999999999</v>
      </c>
      <c r="U226" s="60">
        <f t="shared" si="10"/>
        <v>37137.599999999999</v>
      </c>
      <c r="V226" s="60">
        <f t="shared" si="10"/>
        <v>37137.599999999999</v>
      </c>
      <c r="W226" s="60">
        <f t="shared" si="10"/>
        <v>37137.599999999999</v>
      </c>
    </row>
    <row r="227" spans="18:23" x14ac:dyDescent="0.15">
      <c r="R227" s="60">
        <v>217</v>
      </c>
      <c r="S227" s="60">
        <f t="shared" si="10"/>
        <v>37309.533333333333</v>
      </c>
      <c r="T227" s="60">
        <f t="shared" si="10"/>
        <v>37309.533333333333</v>
      </c>
      <c r="U227" s="60">
        <f t="shared" si="10"/>
        <v>37309.533333333333</v>
      </c>
      <c r="V227" s="60">
        <f t="shared" si="10"/>
        <v>37309.533333333333</v>
      </c>
      <c r="W227" s="60">
        <f t="shared" si="10"/>
        <v>37309.533333333333</v>
      </c>
    </row>
    <row r="228" spans="18:23" x14ac:dyDescent="0.15">
      <c r="R228" s="60">
        <v>218</v>
      </c>
      <c r="S228" s="60">
        <f t="shared" si="10"/>
        <v>37481.466666666667</v>
      </c>
      <c r="T228" s="60">
        <f t="shared" si="10"/>
        <v>37481.466666666667</v>
      </c>
      <c r="U228" s="60">
        <f t="shared" si="10"/>
        <v>37481.466666666667</v>
      </c>
      <c r="V228" s="60">
        <f t="shared" si="10"/>
        <v>37481.466666666667</v>
      </c>
      <c r="W228" s="60">
        <f t="shared" si="10"/>
        <v>37481.466666666667</v>
      </c>
    </row>
    <row r="229" spans="18:23" x14ac:dyDescent="0.15">
      <c r="R229" s="60">
        <v>219</v>
      </c>
      <c r="S229" s="60">
        <f t="shared" si="10"/>
        <v>37653.4</v>
      </c>
      <c r="T229" s="60">
        <f t="shared" si="10"/>
        <v>37653.4</v>
      </c>
      <c r="U229" s="60">
        <f t="shared" si="10"/>
        <v>37653.4</v>
      </c>
      <c r="V229" s="60">
        <f t="shared" si="10"/>
        <v>37653.4</v>
      </c>
      <c r="W229" s="60">
        <f t="shared" si="10"/>
        <v>37653.4</v>
      </c>
    </row>
    <row r="230" spans="18:23" x14ac:dyDescent="0.15">
      <c r="R230" s="60">
        <v>220</v>
      </c>
      <c r="S230" s="60">
        <f t="shared" si="10"/>
        <v>37825.333333333336</v>
      </c>
      <c r="T230" s="60">
        <f t="shared" si="10"/>
        <v>37825.333333333336</v>
      </c>
      <c r="U230" s="60">
        <f t="shared" si="10"/>
        <v>37825.333333333336</v>
      </c>
      <c r="V230" s="60">
        <f t="shared" si="10"/>
        <v>37825.333333333336</v>
      </c>
      <c r="W230" s="60">
        <f t="shared" si="10"/>
        <v>37825.333333333336</v>
      </c>
    </row>
    <row r="231" spans="18:23" x14ac:dyDescent="0.15">
      <c r="R231" s="60">
        <v>221</v>
      </c>
      <c r="S231" s="60">
        <f t="shared" si="10"/>
        <v>37997.26666666667</v>
      </c>
      <c r="T231" s="60">
        <f t="shared" si="10"/>
        <v>37997.26666666667</v>
      </c>
      <c r="U231" s="60">
        <f t="shared" si="10"/>
        <v>37997.26666666667</v>
      </c>
      <c r="V231" s="60">
        <f t="shared" si="10"/>
        <v>37997.26666666667</v>
      </c>
      <c r="W231" s="60">
        <f t="shared" si="10"/>
        <v>37997.26666666667</v>
      </c>
    </row>
    <row r="232" spans="18:23" x14ac:dyDescent="0.15">
      <c r="R232" s="60">
        <v>222</v>
      </c>
      <c r="S232" s="60">
        <f t="shared" si="10"/>
        <v>38169.199999999997</v>
      </c>
      <c r="T232" s="60">
        <f t="shared" si="10"/>
        <v>38169.199999999997</v>
      </c>
      <c r="U232" s="60">
        <f t="shared" si="10"/>
        <v>38169.199999999997</v>
      </c>
      <c r="V232" s="60">
        <f t="shared" si="10"/>
        <v>38169.199999999997</v>
      </c>
      <c r="W232" s="60">
        <f t="shared" si="10"/>
        <v>38169.199999999997</v>
      </c>
    </row>
    <row r="233" spans="18:23" x14ac:dyDescent="0.15">
      <c r="R233" s="60">
        <v>223</v>
      </c>
      <c r="S233" s="60">
        <f t="shared" si="10"/>
        <v>38341.133333333331</v>
      </c>
      <c r="T233" s="60">
        <f t="shared" si="10"/>
        <v>38341.133333333331</v>
      </c>
      <c r="U233" s="60">
        <f t="shared" si="10"/>
        <v>38341.133333333331</v>
      </c>
      <c r="V233" s="60">
        <f t="shared" si="10"/>
        <v>38341.133333333331</v>
      </c>
      <c r="W233" s="60">
        <f t="shared" si="10"/>
        <v>38341.133333333331</v>
      </c>
    </row>
    <row r="234" spans="18:23" x14ac:dyDescent="0.15">
      <c r="R234" s="60">
        <v>224</v>
      </c>
      <c r="S234" s="60">
        <f t="shared" si="10"/>
        <v>38513.066666666666</v>
      </c>
      <c r="T234" s="60">
        <f t="shared" si="10"/>
        <v>38513.066666666666</v>
      </c>
      <c r="U234" s="60">
        <f t="shared" si="10"/>
        <v>38513.066666666666</v>
      </c>
      <c r="V234" s="60">
        <f t="shared" si="10"/>
        <v>38513.066666666666</v>
      </c>
      <c r="W234" s="60">
        <f t="shared" si="10"/>
        <v>38513.066666666666</v>
      </c>
    </row>
    <row r="235" spans="18:23" x14ac:dyDescent="0.15">
      <c r="R235" s="60">
        <v>225</v>
      </c>
      <c r="S235" s="60">
        <f t="shared" si="10"/>
        <v>38685</v>
      </c>
      <c r="T235" s="60">
        <f t="shared" si="10"/>
        <v>38685</v>
      </c>
      <c r="U235" s="60">
        <f t="shared" si="10"/>
        <v>38685</v>
      </c>
      <c r="V235" s="60">
        <f t="shared" si="10"/>
        <v>38685</v>
      </c>
      <c r="W235" s="60">
        <f t="shared" si="10"/>
        <v>38685</v>
      </c>
    </row>
    <row r="236" spans="18:23" x14ac:dyDescent="0.15">
      <c r="R236" s="60">
        <v>226</v>
      </c>
      <c r="S236" s="60">
        <f t="shared" si="10"/>
        <v>38856.933333333334</v>
      </c>
      <c r="T236" s="60">
        <f t="shared" si="10"/>
        <v>38856.933333333334</v>
      </c>
      <c r="U236" s="60">
        <f t="shared" si="10"/>
        <v>38856.933333333334</v>
      </c>
      <c r="V236" s="60">
        <f t="shared" si="10"/>
        <v>38856.933333333334</v>
      </c>
      <c r="W236" s="60">
        <f t="shared" si="10"/>
        <v>38856.933333333334</v>
      </c>
    </row>
    <row r="237" spans="18:23" x14ac:dyDescent="0.15">
      <c r="R237" s="60">
        <v>227</v>
      </c>
      <c r="S237" s="60">
        <f t="shared" si="10"/>
        <v>39028.866666666669</v>
      </c>
      <c r="T237" s="60">
        <f t="shared" si="10"/>
        <v>39028.866666666669</v>
      </c>
      <c r="U237" s="60">
        <f t="shared" si="10"/>
        <v>39028.866666666669</v>
      </c>
      <c r="V237" s="60">
        <f t="shared" si="10"/>
        <v>39028.866666666669</v>
      </c>
      <c r="W237" s="60">
        <f t="shared" si="10"/>
        <v>39028.866666666669</v>
      </c>
    </row>
    <row r="238" spans="18:23" x14ac:dyDescent="0.15">
      <c r="R238" s="60">
        <v>228</v>
      </c>
      <c r="S238" s="60">
        <f t="shared" si="10"/>
        <v>39200.800000000003</v>
      </c>
      <c r="T238" s="60">
        <f t="shared" si="10"/>
        <v>39200.800000000003</v>
      </c>
      <c r="U238" s="60">
        <f t="shared" si="10"/>
        <v>39200.800000000003</v>
      </c>
      <c r="V238" s="60">
        <f t="shared" si="10"/>
        <v>39200.800000000003</v>
      </c>
      <c r="W238" s="60">
        <f t="shared" si="10"/>
        <v>39200.800000000003</v>
      </c>
    </row>
    <row r="239" spans="18:23" x14ac:dyDescent="0.15">
      <c r="R239" s="60">
        <v>229</v>
      </c>
      <c r="S239" s="60">
        <f t="shared" si="10"/>
        <v>39372.73333333333</v>
      </c>
      <c r="T239" s="60">
        <f t="shared" si="10"/>
        <v>39372.73333333333</v>
      </c>
      <c r="U239" s="60">
        <f t="shared" si="10"/>
        <v>39372.73333333333</v>
      </c>
      <c r="V239" s="60">
        <f t="shared" si="10"/>
        <v>39372.73333333333</v>
      </c>
      <c r="W239" s="60">
        <f t="shared" si="10"/>
        <v>39372.73333333333</v>
      </c>
    </row>
    <row r="240" spans="18:23" x14ac:dyDescent="0.15">
      <c r="R240" s="60">
        <v>230</v>
      </c>
      <c r="S240" s="60">
        <f t="shared" si="10"/>
        <v>39544.666666666664</v>
      </c>
      <c r="T240" s="60">
        <f t="shared" si="10"/>
        <v>39544.666666666664</v>
      </c>
      <c r="U240" s="60">
        <f t="shared" si="10"/>
        <v>39544.666666666664</v>
      </c>
      <c r="V240" s="60">
        <f t="shared" si="10"/>
        <v>39544.666666666664</v>
      </c>
      <c r="W240" s="60">
        <f t="shared" si="10"/>
        <v>39544.666666666664</v>
      </c>
    </row>
    <row r="241" spans="18:23" x14ac:dyDescent="0.15">
      <c r="R241" s="60">
        <v>231</v>
      </c>
      <c r="S241" s="60">
        <f t="shared" ref="S241:W272" si="11">$R241*$G$3/30*$G$2</f>
        <v>39716.6</v>
      </c>
      <c r="T241" s="60">
        <f t="shared" si="11"/>
        <v>39716.6</v>
      </c>
      <c r="U241" s="60">
        <f t="shared" si="11"/>
        <v>39716.6</v>
      </c>
      <c r="V241" s="60">
        <f t="shared" si="11"/>
        <v>39716.6</v>
      </c>
      <c r="W241" s="60">
        <f t="shared" si="11"/>
        <v>39716.6</v>
      </c>
    </row>
    <row r="242" spans="18:23" x14ac:dyDescent="0.15">
      <c r="R242" s="60">
        <v>232</v>
      </c>
      <c r="S242" s="60">
        <f t="shared" si="11"/>
        <v>39888.533333333333</v>
      </c>
      <c r="T242" s="60">
        <f t="shared" si="11"/>
        <v>39888.533333333333</v>
      </c>
      <c r="U242" s="60">
        <f t="shared" si="11"/>
        <v>39888.533333333333</v>
      </c>
      <c r="V242" s="60">
        <f t="shared" si="11"/>
        <v>39888.533333333333</v>
      </c>
      <c r="W242" s="60">
        <f t="shared" si="11"/>
        <v>39888.533333333333</v>
      </c>
    </row>
    <row r="243" spans="18:23" x14ac:dyDescent="0.15">
      <c r="R243" s="60">
        <v>233</v>
      </c>
      <c r="S243" s="60">
        <f t="shared" si="11"/>
        <v>40060.466666666667</v>
      </c>
      <c r="T243" s="60">
        <f t="shared" si="11"/>
        <v>40060.466666666667</v>
      </c>
      <c r="U243" s="60">
        <f t="shared" si="11"/>
        <v>40060.466666666667</v>
      </c>
      <c r="V243" s="60">
        <f t="shared" si="11"/>
        <v>40060.466666666667</v>
      </c>
      <c r="W243" s="60">
        <f t="shared" si="11"/>
        <v>40060.466666666667</v>
      </c>
    </row>
    <row r="244" spans="18:23" x14ac:dyDescent="0.15">
      <c r="R244" s="60">
        <v>234</v>
      </c>
      <c r="S244" s="60">
        <f t="shared" si="11"/>
        <v>40232.400000000001</v>
      </c>
      <c r="T244" s="60">
        <f t="shared" si="11"/>
        <v>40232.400000000001</v>
      </c>
      <c r="U244" s="60">
        <f t="shared" si="11"/>
        <v>40232.400000000001</v>
      </c>
      <c r="V244" s="60">
        <f t="shared" si="11"/>
        <v>40232.400000000001</v>
      </c>
      <c r="W244" s="60">
        <f t="shared" si="11"/>
        <v>40232.400000000001</v>
      </c>
    </row>
    <row r="245" spans="18:23" x14ac:dyDescent="0.15">
      <c r="R245" s="60">
        <v>235</v>
      </c>
      <c r="S245" s="60">
        <f t="shared" si="11"/>
        <v>40404.333333333336</v>
      </c>
      <c r="T245" s="60">
        <f t="shared" si="11"/>
        <v>40404.333333333336</v>
      </c>
      <c r="U245" s="60">
        <f t="shared" si="11"/>
        <v>40404.333333333336</v>
      </c>
      <c r="V245" s="60">
        <f t="shared" si="11"/>
        <v>40404.333333333336</v>
      </c>
      <c r="W245" s="60">
        <f t="shared" si="11"/>
        <v>40404.333333333336</v>
      </c>
    </row>
    <row r="246" spans="18:23" x14ac:dyDescent="0.15">
      <c r="R246" s="60">
        <v>236</v>
      </c>
      <c r="S246" s="60">
        <f t="shared" si="11"/>
        <v>40576.26666666667</v>
      </c>
      <c r="T246" s="60">
        <f t="shared" si="11"/>
        <v>40576.26666666667</v>
      </c>
      <c r="U246" s="60">
        <f t="shared" si="11"/>
        <v>40576.26666666667</v>
      </c>
      <c r="V246" s="60">
        <f t="shared" si="11"/>
        <v>40576.26666666667</v>
      </c>
      <c r="W246" s="60">
        <f t="shared" si="11"/>
        <v>40576.26666666667</v>
      </c>
    </row>
    <row r="247" spans="18:23" x14ac:dyDescent="0.15">
      <c r="R247" s="60">
        <v>237</v>
      </c>
      <c r="S247" s="60">
        <f t="shared" si="11"/>
        <v>40748.199999999997</v>
      </c>
      <c r="T247" s="60">
        <f t="shared" si="11"/>
        <v>40748.199999999997</v>
      </c>
      <c r="U247" s="60">
        <f t="shared" si="11"/>
        <v>40748.199999999997</v>
      </c>
      <c r="V247" s="60">
        <f t="shared" si="11"/>
        <v>40748.199999999997</v>
      </c>
      <c r="W247" s="60">
        <f t="shared" si="11"/>
        <v>40748.199999999997</v>
      </c>
    </row>
    <row r="248" spans="18:23" x14ac:dyDescent="0.15">
      <c r="R248" s="60">
        <v>238</v>
      </c>
      <c r="S248" s="60">
        <f t="shared" si="11"/>
        <v>40920.133333333331</v>
      </c>
      <c r="T248" s="60">
        <f t="shared" si="11"/>
        <v>40920.133333333331</v>
      </c>
      <c r="U248" s="60">
        <f t="shared" si="11"/>
        <v>40920.133333333331</v>
      </c>
      <c r="V248" s="60">
        <f t="shared" si="11"/>
        <v>40920.133333333331</v>
      </c>
      <c r="W248" s="60">
        <f t="shared" si="11"/>
        <v>40920.133333333331</v>
      </c>
    </row>
    <row r="249" spans="18:23" x14ac:dyDescent="0.15">
      <c r="R249" s="60">
        <v>239</v>
      </c>
      <c r="S249" s="60">
        <f t="shared" si="11"/>
        <v>41092.066666666666</v>
      </c>
      <c r="T249" s="60">
        <f t="shared" si="11"/>
        <v>41092.066666666666</v>
      </c>
      <c r="U249" s="60">
        <f t="shared" si="11"/>
        <v>41092.066666666666</v>
      </c>
      <c r="V249" s="60">
        <f t="shared" si="11"/>
        <v>41092.066666666666</v>
      </c>
      <c r="W249" s="60">
        <f t="shared" si="11"/>
        <v>41092.066666666666</v>
      </c>
    </row>
    <row r="250" spans="18:23" x14ac:dyDescent="0.15">
      <c r="R250" s="60">
        <v>240</v>
      </c>
      <c r="S250" s="60">
        <f t="shared" si="11"/>
        <v>41264</v>
      </c>
      <c r="T250" s="60">
        <f t="shared" si="11"/>
        <v>41264</v>
      </c>
      <c r="U250" s="60">
        <f t="shared" si="11"/>
        <v>41264</v>
      </c>
      <c r="V250" s="60">
        <f t="shared" si="11"/>
        <v>41264</v>
      </c>
      <c r="W250" s="60">
        <f t="shared" si="11"/>
        <v>41264</v>
      </c>
    </row>
    <row r="251" spans="18:23" x14ac:dyDescent="0.15">
      <c r="R251" s="60">
        <v>241</v>
      </c>
      <c r="S251" s="60">
        <f t="shared" si="11"/>
        <v>41435.933333333334</v>
      </c>
      <c r="T251" s="60">
        <f t="shared" si="11"/>
        <v>41435.933333333334</v>
      </c>
      <c r="U251" s="60">
        <f t="shared" si="11"/>
        <v>41435.933333333334</v>
      </c>
      <c r="V251" s="60">
        <f t="shared" si="11"/>
        <v>41435.933333333334</v>
      </c>
      <c r="W251" s="60">
        <f t="shared" si="11"/>
        <v>41435.933333333334</v>
      </c>
    </row>
    <row r="252" spans="18:23" x14ac:dyDescent="0.15">
      <c r="R252" s="60">
        <v>242</v>
      </c>
      <c r="S252" s="60">
        <f t="shared" si="11"/>
        <v>41607.866666666669</v>
      </c>
      <c r="T252" s="60">
        <f t="shared" si="11"/>
        <v>41607.866666666669</v>
      </c>
      <c r="U252" s="60">
        <f t="shared" si="11"/>
        <v>41607.866666666669</v>
      </c>
      <c r="V252" s="60">
        <f t="shared" si="11"/>
        <v>41607.866666666669</v>
      </c>
      <c r="W252" s="60">
        <f t="shared" si="11"/>
        <v>41607.866666666669</v>
      </c>
    </row>
    <row r="253" spans="18:23" x14ac:dyDescent="0.15">
      <c r="R253" s="60">
        <v>243</v>
      </c>
      <c r="S253" s="60">
        <f t="shared" si="11"/>
        <v>41779.800000000003</v>
      </c>
      <c r="T253" s="60">
        <f t="shared" si="11"/>
        <v>41779.800000000003</v>
      </c>
      <c r="U253" s="60">
        <f t="shared" si="11"/>
        <v>41779.800000000003</v>
      </c>
      <c r="V253" s="60">
        <f t="shared" si="11"/>
        <v>41779.800000000003</v>
      </c>
      <c r="W253" s="60">
        <f t="shared" si="11"/>
        <v>41779.800000000003</v>
      </c>
    </row>
    <row r="254" spans="18:23" x14ac:dyDescent="0.15">
      <c r="R254" s="60">
        <v>244</v>
      </c>
      <c r="S254" s="60">
        <f t="shared" si="11"/>
        <v>41951.73333333333</v>
      </c>
      <c r="T254" s="60">
        <f t="shared" si="11"/>
        <v>41951.73333333333</v>
      </c>
      <c r="U254" s="60">
        <f t="shared" si="11"/>
        <v>41951.73333333333</v>
      </c>
      <c r="V254" s="60">
        <f t="shared" si="11"/>
        <v>41951.73333333333</v>
      </c>
      <c r="W254" s="60">
        <f t="shared" si="11"/>
        <v>41951.73333333333</v>
      </c>
    </row>
    <row r="255" spans="18:23" x14ac:dyDescent="0.15">
      <c r="R255" s="60">
        <v>245</v>
      </c>
      <c r="S255" s="60">
        <f t="shared" si="11"/>
        <v>42123.666666666664</v>
      </c>
      <c r="T255" s="60">
        <f t="shared" si="11"/>
        <v>42123.666666666664</v>
      </c>
      <c r="U255" s="60">
        <f t="shared" si="11"/>
        <v>42123.666666666664</v>
      </c>
      <c r="V255" s="60">
        <f t="shared" si="11"/>
        <v>42123.666666666664</v>
      </c>
      <c r="W255" s="60">
        <f t="shared" si="11"/>
        <v>42123.666666666664</v>
      </c>
    </row>
    <row r="256" spans="18:23" x14ac:dyDescent="0.15">
      <c r="R256" s="60">
        <v>246</v>
      </c>
      <c r="S256" s="60">
        <f t="shared" si="11"/>
        <v>42295.6</v>
      </c>
      <c r="T256" s="60">
        <f t="shared" si="11"/>
        <v>42295.6</v>
      </c>
      <c r="U256" s="60">
        <f t="shared" si="11"/>
        <v>42295.6</v>
      </c>
      <c r="V256" s="60">
        <f t="shared" si="11"/>
        <v>42295.6</v>
      </c>
      <c r="W256" s="60">
        <f t="shared" si="11"/>
        <v>42295.6</v>
      </c>
    </row>
    <row r="257" spans="18:23" x14ac:dyDescent="0.15">
      <c r="R257" s="60">
        <v>247</v>
      </c>
      <c r="S257" s="60">
        <f t="shared" si="11"/>
        <v>42467.533333333333</v>
      </c>
      <c r="T257" s="60">
        <f t="shared" si="11"/>
        <v>42467.533333333333</v>
      </c>
      <c r="U257" s="60">
        <f t="shared" si="11"/>
        <v>42467.533333333333</v>
      </c>
      <c r="V257" s="60">
        <f t="shared" si="11"/>
        <v>42467.533333333333</v>
      </c>
      <c r="W257" s="60">
        <f t="shared" si="11"/>
        <v>42467.533333333333</v>
      </c>
    </row>
    <row r="258" spans="18:23" x14ac:dyDescent="0.15">
      <c r="R258" s="60">
        <v>248</v>
      </c>
      <c r="S258" s="60">
        <f t="shared" si="11"/>
        <v>42639.466666666667</v>
      </c>
      <c r="T258" s="60">
        <f t="shared" si="11"/>
        <v>42639.466666666667</v>
      </c>
      <c r="U258" s="60">
        <f t="shared" si="11"/>
        <v>42639.466666666667</v>
      </c>
      <c r="V258" s="60">
        <f t="shared" si="11"/>
        <v>42639.466666666667</v>
      </c>
      <c r="W258" s="60">
        <f t="shared" si="11"/>
        <v>42639.466666666667</v>
      </c>
    </row>
    <row r="259" spans="18:23" x14ac:dyDescent="0.15">
      <c r="R259" s="60">
        <v>249</v>
      </c>
      <c r="S259" s="60">
        <f t="shared" si="11"/>
        <v>42811.4</v>
      </c>
      <c r="T259" s="60">
        <f t="shared" si="11"/>
        <v>42811.4</v>
      </c>
      <c r="U259" s="60">
        <f t="shared" si="11"/>
        <v>42811.4</v>
      </c>
      <c r="V259" s="60">
        <f t="shared" si="11"/>
        <v>42811.4</v>
      </c>
      <c r="W259" s="60">
        <f t="shared" si="11"/>
        <v>42811.4</v>
      </c>
    </row>
    <row r="260" spans="18:23" x14ac:dyDescent="0.15">
      <c r="R260" s="60">
        <v>250</v>
      </c>
      <c r="S260" s="60">
        <f t="shared" si="11"/>
        <v>42983.333333333336</v>
      </c>
      <c r="T260" s="60">
        <f t="shared" si="11"/>
        <v>42983.333333333336</v>
      </c>
      <c r="U260" s="60">
        <f t="shared" si="11"/>
        <v>42983.333333333336</v>
      </c>
      <c r="V260" s="60">
        <f t="shared" si="11"/>
        <v>42983.333333333336</v>
      </c>
      <c r="W260" s="60">
        <f t="shared" si="11"/>
        <v>42983.333333333336</v>
      </c>
    </row>
    <row r="261" spans="18:23" x14ac:dyDescent="0.15">
      <c r="R261" s="60">
        <v>251</v>
      </c>
      <c r="S261" s="60">
        <f t="shared" si="11"/>
        <v>43155.26666666667</v>
      </c>
      <c r="T261" s="60">
        <f t="shared" si="11"/>
        <v>43155.26666666667</v>
      </c>
      <c r="U261" s="60">
        <f t="shared" si="11"/>
        <v>43155.26666666667</v>
      </c>
      <c r="V261" s="60">
        <f t="shared" si="11"/>
        <v>43155.26666666667</v>
      </c>
      <c r="W261" s="60">
        <f t="shared" si="11"/>
        <v>43155.26666666667</v>
      </c>
    </row>
    <row r="262" spans="18:23" x14ac:dyDescent="0.15">
      <c r="R262" s="60">
        <v>252</v>
      </c>
      <c r="S262" s="60">
        <f t="shared" si="11"/>
        <v>43327.199999999997</v>
      </c>
      <c r="T262" s="60">
        <f t="shared" si="11"/>
        <v>43327.199999999997</v>
      </c>
      <c r="U262" s="60">
        <f t="shared" si="11"/>
        <v>43327.199999999997</v>
      </c>
      <c r="V262" s="60">
        <f t="shared" si="11"/>
        <v>43327.199999999997</v>
      </c>
      <c r="W262" s="60">
        <f t="shared" si="11"/>
        <v>43327.199999999997</v>
      </c>
    </row>
    <row r="263" spans="18:23" x14ac:dyDescent="0.15">
      <c r="R263" s="60">
        <v>253</v>
      </c>
      <c r="S263" s="60">
        <f t="shared" si="11"/>
        <v>43499.133333333331</v>
      </c>
      <c r="T263" s="60">
        <f t="shared" si="11"/>
        <v>43499.133333333331</v>
      </c>
      <c r="U263" s="60">
        <f t="shared" si="11"/>
        <v>43499.133333333331</v>
      </c>
      <c r="V263" s="60">
        <f t="shared" si="11"/>
        <v>43499.133333333331</v>
      </c>
      <c r="W263" s="60">
        <f t="shared" si="11"/>
        <v>43499.133333333331</v>
      </c>
    </row>
    <row r="264" spans="18:23" x14ac:dyDescent="0.15">
      <c r="R264" s="60">
        <v>254</v>
      </c>
      <c r="S264" s="60">
        <f t="shared" si="11"/>
        <v>43671.066666666666</v>
      </c>
      <c r="T264" s="60">
        <f t="shared" si="11"/>
        <v>43671.066666666666</v>
      </c>
      <c r="U264" s="60">
        <f t="shared" si="11"/>
        <v>43671.066666666666</v>
      </c>
      <c r="V264" s="60">
        <f t="shared" si="11"/>
        <v>43671.066666666666</v>
      </c>
      <c r="W264" s="60">
        <f t="shared" si="11"/>
        <v>43671.066666666666</v>
      </c>
    </row>
    <row r="265" spans="18:23" x14ac:dyDescent="0.15">
      <c r="R265" s="60">
        <v>255</v>
      </c>
      <c r="S265" s="60">
        <f t="shared" si="11"/>
        <v>43843</v>
      </c>
      <c r="T265" s="60">
        <f t="shared" si="11"/>
        <v>43843</v>
      </c>
      <c r="U265" s="60">
        <f t="shared" si="11"/>
        <v>43843</v>
      </c>
      <c r="V265" s="60">
        <f t="shared" si="11"/>
        <v>43843</v>
      </c>
      <c r="W265" s="60">
        <f t="shared" si="11"/>
        <v>43843</v>
      </c>
    </row>
    <row r="266" spans="18:23" x14ac:dyDescent="0.15">
      <c r="R266" s="60">
        <v>256</v>
      </c>
      <c r="S266" s="60">
        <f t="shared" si="11"/>
        <v>44014.933333333334</v>
      </c>
      <c r="T266" s="60">
        <f t="shared" si="11"/>
        <v>44014.933333333334</v>
      </c>
      <c r="U266" s="60">
        <f t="shared" si="11"/>
        <v>44014.933333333334</v>
      </c>
      <c r="V266" s="60">
        <f t="shared" si="11"/>
        <v>44014.933333333334</v>
      </c>
      <c r="W266" s="60">
        <f t="shared" si="11"/>
        <v>44014.933333333334</v>
      </c>
    </row>
    <row r="267" spans="18:23" x14ac:dyDescent="0.15">
      <c r="R267" s="60">
        <v>257</v>
      </c>
      <c r="S267" s="60">
        <f t="shared" si="11"/>
        <v>44186.866666666669</v>
      </c>
      <c r="T267" s="60">
        <f t="shared" si="11"/>
        <v>44186.866666666669</v>
      </c>
      <c r="U267" s="60">
        <f t="shared" si="11"/>
        <v>44186.866666666669</v>
      </c>
      <c r="V267" s="60">
        <f t="shared" si="11"/>
        <v>44186.866666666669</v>
      </c>
      <c r="W267" s="60">
        <f t="shared" si="11"/>
        <v>44186.866666666669</v>
      </c>
    </row>
    <row r="268" spans="18:23" x14ac:dyDescent="0.15">
      <c r="R268" s="60">
        <v>258</v>
      </c>
      <c r="S268" s="60">
        <f t="shared" si="11"/>
        <v>44358.8</v>
      </c>
      <c r="T268" s="60">
        <f t="shared" si="11"/>
        <v>44358.8</v>
      </c>
      <c r="U268" s="60">
        <f t="shared" si="11"/>
        <v>44358.8</v>
      </c>
      <c r="V268" s="60">
        <f t="shared" si="11"/>
        <v>44358.8</v>
      </c>
      <c r="W268" s="60">
        <f t="shared" si="11"/>
        <v>44358.8</v>
      </c>
    </row>
    <row r="269" spans="18:23" x14ac:dyDescent="0.15">
      <c r="R269" s="60">
        <v>259</v>
      </c>
      <c r="S269" s="60">
        <f t="shared" si="11"/>
        <v>44530.73333333333</v>
      </c>
      <c r="T269" s="60">
        <f t="shared" si="11"/>
        <v>44530.73333333333</v>
      </c>
      <c r="U269" s="60">
        <f t="shared" si="11"/>
        <v>44530.73333333333</v>
      </c>
      <c r="V269" s="60">
        <f t="shared" si="11"/>
        <v>44530.73333333333</v>
      </c>
      <c r="W269" s="60">
        <f t="shared" si="11"/>
        <v>44530.73333333333</v>
      </c>
    </row>
    <row r="270" spans="18:23" x14ac:dyDescent="0.15">
      <c r="R270" s="60">
        <v>260</v>
      </c>
      <c r="S270" s="60">
        <f t="shared" si="11"/>
        <v>44702.666666666664</v>
      </c>
      <c r="T270" s="60">
        <f t="shared" si="11"/>
        <v>44702.666666666664</v>
      </c>
      <c r="U270" s="60">
        <f t="shared" si="11"/>
        <v>44702.666666666664</v>
      </c>
      <c r="V270" s="60">
        <f t="shared" si="11"/>
        <v>44702.666666666664</v>
      </c>
      <c r="W270" s="60">
        <f t="shared" si="11"/>
        <v>44702.666666666664</v>
      </c>
    </row>
    <row r="271" spans="18:23" x14ac:dyDescent="0.15">
      <c r="R271" s="60">
        <v>261</v>
      </c>
      <c r="S271" s="60">
        <f t="shared" si="11"/>
        <v>44874.6</v>
      </c>
      <c r="T271" s="60">
        <f t="shared" si="11"/>
        <v>44874.6</v>
      </c>
      <c r="U271" s="60">
        <f t="shared" si="11"/>
        <v>44874.6</v>
      </c>
      <c r="V271" s="60">
        <f t="shared" si="11"/>
        <v>44874.6</v>
      </c>
      <c r="W271" s="60">
        <f t="shared" si="11"/>
        <v>44874.6</v>
      </c>
    </row>
    <row r="272" spans="18:23" x14ac:dyDescent="0.15">
      <c r="R272" s="60">
        <v>262</v>
      </c>
      <c r="S272" s="60">
        <f t="shared" si="11"/>
        <v>45046.533333333333</v>
      </c>
      <c r="T272" s="60">
        <f t="shared" si="11"/>
        <v>45046.533333333333</v>
      </c>
      <c r="U272" s="60">
        <f t="shared" si="11"/>
        <v>45046.533333333333</v>
      </c>
      <c r="V272" s="60">
        <f t="shared" si="11"/>
        <v>45046.533333333333</v>
      </c>
      <c r="W272" s="60">
        <f t="shared" si="11"/>
        <v>45046.533333333333</v>
      </c>
    </row>
    <row r="273" spans="18:23" x14ac:dyDescent="0.15">
      <c r="R273" s="60">
        <v>263</v>
      </c>
      <c r="S273" s="60">
        <f t="shared" ref="S273:W304" si="12">$R273*$G$3/30*$G$2</f>
        <v>45218.466666666667</v>
      </c>
      <c r="T273" s="60">
        <f t="shared" si="12"/>
        <v>45218.466666666667</v>
      </c>
      <c r="U273" s="60">
        <f t="shared" si="12"/>
        <v>45218.466666666667</v>
      </c>
      <c r="V273" s="60">
        <f t="shared" si="12"/>
        <v>45218.466666666667</v>
      </c>
      <c r="W273" s="60">
        <f t="shared" si="12"/>
        <v>45218.466666666667</v>
      </c>
    </row>
    <row r="274" spans="18:23" x14ac:dyDescent="0.15">
      <c r="R274" s="60">
        <v>264</v>
      </c>
      <c r="S274" s="60">
        <f t="shared" si="12"/>
        <v>45390.400000000001</v>
      </c>
      <c r="T274" s="60">
        <f t="shared" si="12"/>
        <v>45390.400000000001</v>
      </c>
      <c r="U274" s="60">
        <f t="shared" si="12"/>
        <v>45390.400000000001</v>
      </c>
      <c r="V274" s="60">
        <f t="shared" si="12"/>
        <v>45390.400000000001</v>
      </c>
      <c r="W274" s="60">
        <f t="shared" si="12"/>
        <v>45390.400000000001</v>
      </c>
    </row>
    <row r="275" spans="18:23" x14ac:dyDescent="0.15">
      <c r="R275" s="60">
        <v>265</v>
      </c>
      <c r="S275" s="60">
        <f t="shared" si="12"/>
        <v>45562.333333333336</v>
      </c>
      <c r="T275" s="60">
        <f t="shared" si="12"/>
        <v>45562.333333333336</v>
      </c>
      <c r="U275" s="60">
        <f t="shared" si="12"/>
        <v>45562.333333333336</v>
      </c>
      <c r="V275" s="60">
        <f t="shared" si="12"/>
        <v>45562.333333333336</v>
      </c>
      <c r="W275" s="60">
        <f t="shared" si="12"/>
        <v>45562.333333333336</v>
      </c>
    </row>
    <row r="276" spans="18:23" x14ac:dyDescent="0.15">
      <c r="R276" s="60">
        <v>266</v>
      </c>
      <c r="S276" s="60">
        <f t="shared" si="12"/>
        <v>45734.26666666667</v>
      </c>
      <c r="T276" s="60">
        <f t="shared" si="12"/>
        <v>45734.26666666667</v>
      </c>
      <c r="U276" s="60">
        <f t="shared" si="12"/>
        <v>45734.26666666667</v>
      </c>
      <c r="V276" s="60">
        <f t="shared" si="12"/>
        <v>45734.26666666667</v>
      </c>
      <c r="W276" s="60">
        <f t="shared" si="12"/>
        <v>45734.26666666667</v>
      </c>
    </row>
    <row r="277" spans="18:23" x14ac:dyDescent="0.15">
      <c r="R277" s="60">
        <v>267</v>
      </c>
      <c r="S277" s="60">
        <f t="shared" si="12"/>
        <v>45906.2</v>
      </c>
      <c r="T277" s="60">
        <f t="shared" si="12"/>
        <v>45906.2</v>
      </c>
      <c r="U277" s="60">
        <f t="shared" si="12"/>
        <v>45906.2</v>
      </c>
      <c r="V277" s="60">
        <f t="shared" si="12"/>
        <v>45906.2</v>
      </c>
      <c r="W277" s="60">
        <f t="shared" si="12"/>
        <v>45906.2</v>
      </c>
    </row>
    <row r="278" spans="18:23" x14ac:dyDescent="0.15">
      <c r="R278" s="60">
        <v>268</v>
      </c>
      <c r="S278" s="60">
        <f t="shared" si="12"/>
        <v>46078.133333333331</v>
      </c>
      <c r="T278" s="60">
        <f t="shared" si="12"/>
        <v>46078.133333333331</v>
      </c>
      <c r="U278" s="60">
        <f t="shared" si="12"/>
        <v>46078.133333333331</v>
      </c>
      <c r="V278" s="60">
        <f t="shared" si="12"/>
        <v>46078.133333333331</v>
      </c>
      <c r="W278" s="60">
        <f t="shared" si="12"/>
        <v>46078.133333333331</v>
      </c>
    </row>
    <row r="279" spans="18:23" x14ac:dyDescent="0.15">
      <c r="R279" s="60">
        <v>269</v>
      </c>
      <c r="S279" s="60">
        <f t="shared" si="12"/>
        <v>46250.066666666666</v>
      </c>
      <c r="T279" s="60">
        <f t="shared" si="12"/>
        <v>46250.066666666666</v>
      </c>
      <c r="U279" s="60">
        <f t="shared" si="12"/>
        <v>46250.066666666666</v>
      </c>
      <c r="V279" s="60">
        <f t="shared" si="12"/>
        <v>46250.066666666666</v>
      </c>
      <c r="W279" s="60">
        <f t="shared" si="12"/>
        <v>46250.066666666666</v>
      </c>
    </row>
    <row r="280" spans="18:23" x14ac:dyDescent="0.15">
      <c r="R280" s="60">
        <v>270</v>
      </c>
      <c r="S280" s="60">
        <f t="shared" si="12"/>
        <v>46422</v>
      </c>
      <c r="T280" s="60">
        <f t="shared" si="12"/>
        <v>46422</v>
      </c>
      <c r="U280" s="60">
        <f t="shared" si="12"/>
        <v>46422</v>
      </c>
      <c r="V280" s="60">
        <f t="shared" si="12"/>
        <v>46422</v>
      </c>
      <c r="W280" s="60">
        <f t="shared" si="12"/>
        <v>46422</v>
      </c>
    </row>
    <row r="281" spans="18:23" x14ac:dyDescent="0.15">
      <c r="R281" s="60">
        <v>271</v>
      </c>
      <c r="S281" s="60">
        <f t="shared" si="12"/>
        <v>46593.933333333334</v>
      </c>
      <c r="T281" s="60">
        <f t="shared" si="12"/>
        <v>46593.933333333334</v>
      </c>
      <c r="U281" s="60">
        <f t="shared" si="12"/>
        <v>46593.933333333334</v>
      </c>
      <c r="V281" s="60">
        <f t="shared" si="12"/>
        <v>46593.933333333334</v>
      </c>
      <c r="W281" s="60">
        <f t="shared" si="12"/>
        <v>46593.933333333334</v>
      </c>
    </row>
    <row r="282" spans="18:23" x14ac:dyDescent="0.15">
      <c r="R282" s="60">
        <v>272</v>
      </c>
      <c r="S282" s="60">
        <f t="shared" si="12"/>
        <v>46765.866666666669</v>
      </c>
      <c r="T282" s="60">
        <f t="shared" si="12"/>
        <v>46765.866666666669</v>
      </c>
      <c r="U282" s="60">
        <f t="shared" si="12"/>
        <v>46765.866666666669</v>
      </c>
      <c r="V282" s="60">
        <f t="shared" si="12"/>
        <v>46765.866666666669</v>
      </c>
      <c r="W282" s="60">
        <f t="shared" si="12"/>
        <v>46765.866666666669</v>
      </c>
    </row>
    <row r="283" spans="18:23" x14ac:dyDescent="0.15">
      <c r="R283" s="60">
        <v>273</v>
      </c>
      <c r="S283" s="60">
        <f t="shared" si="12"/>
        <v>46937.8</v>
      </c>
      <c r="T283" s="60">
        <f t="shared" si="12"/>
        <v>46937.8</v>
      </c>
      <c r="U283" s="60">
        <f t="shared" si="12"/>
        <v>46937.8</v>
      </c>
      <c r="V283" s="60">
        <f t="shared" si="12"/>
        <v>46937.8</v>
      </c>
      <c r="W283" s="60">
        <f t="shared" si="12"/>
        <v>46937.8</v>
      </c>
    </row>
    <row r="284" spans="18:23" x14ac:dyDescent="0.15">
      <c r="R284" s="60">
        <v>274</v>
      </c>
      <c r="S284" s="60">
        <f t="shared" si="12"/>
        <v>47109.73333333333</v>
      </c>
      <c r="T284" s="60">
        <f t="shared" si="12"/>
        <v>47109.73333333333</v>
      </c>
      <c r="U284" s="60">
        <f t="shared" si="12"/>
        <v>47109.73333333333</v>
      </c>
      <c r="V284" s="60">
        <f t="shared" si="12"/>
        <v>47109.73333333333</v>
      </c>
      <c r="W284" s="60">
        <f t="shared" si="12"/>
        <v>47109.73333333333</v>
      </c>
    </row>
    <row r="285" spans="18:23" x14ac:dyDescent="0.15">
      <c r="R285" s="60">
        <v>275</v>
      </c>
      <c r="S285" s="60">
        <f t="shared" si="12"/>
        <v>47281.666666666664</v>
      </c>
      <c r="T285" s="60">
        <f t="shared" si="12"/>
        <v>47281.666666666664</v>
      </c>
      <c r="U285" s="60">
        <f t="shared" si="12"/>
        <v>47281.666666666664</v>
      </c>
      <c r="V285" s="60">
        <f t="shared" si="12"/>
        <v>47281.666666666664</v>
      </c>
      <c r="W285" s="60">
        <f t="shared" si="12"/>
        <v>47281.666666666664</v>
      </c>
    </row>
    <row r="286" spans="18:23" x14ac:dyDescent="0.15">
      <c r="R286" s="60">
        <v>276</v>
      </c>
      <c r="S286" s="60">
        <f t="shared" si="12"/>
        <v>47453.599999999999</v>
      </c>
      <c r="T286" s="60">
        <f t="shared" si="12"/>
        <v>47453.599999999999</v>
      </c>
      <c r="U286" s="60">
        <f t="shared" si="12"/>
        <v>47453.599999999999</v>
      </c>
      <c r="V286" s="60">
        <f t="shared" si="12"/>
        <v>47453.599999999999</v>
      </c>
      <c r="W286" s="60">
        <f t="shared" si="12"/>
        <v>47453.599999999999</v>
      </c>
    </row>
    <row r="287" spans="18:23" x14ac:dyDescent="0.15">
      <c r="R287" s="60">
        <v>277</v>
      </c>
      <c r="S287" s="60">
        <f t="shared" si="12"/>
        <v>47625.533333333333</v>
      </c>
      <c r="T287" s="60">
        <f t="shared" si="12"/>
        <v>47625.533333333333</v>
      </c>
      <c r="U287" s="60">
        <f t="shared" si="12"/>
        <v>47625.533333333333</v>
      </c>
      <c r="V287" s="60">
        <f t="shared" si="12"/>
        <v>47625.533333333333</v>
      </c>
      <c r="W287" s="60">
        <f t="shared" si="12"/>
        <v>47625.533333333333</v>
      </c>
    </row>
    <row r="288" spans="18:23" x14ac:dyDescent="0.15">
      <c r="R288" s="60">
        <v>278</v>
      </c>
      <c r="S288" s="60">
        <f t="shared" si="12"/>
        <v>47797.466666666667</v>
      </c>
      <c r="T288" s="60">
        <f t="shared" si="12"/>
        <v>47797.466666666667</v>
      </c>
      <c r="U288" s="60">
        <f t="shared" si="12"/>
        <v>47797.466666666667</v>
      </c>
      <c r="V288" s="60">
        <f t="shared" si="12"/>
        <v>47797.466666666667</v>
      </c>
      <c r="W288" s="60">
        <f t="shared" si="12"/>
        <v>47797.466666666667</v>
      </c>
    </row>
    <row r="289" spans="18:23" x14ac:dyDescent="0.15">
      <c r="R289" s="60">
        <v>279</v>
      </c>
      <c r="S289" s="60">
        <f t="shared" si="12"/>
        <v>47969.4</v>
      </c>
      <c r="T289" s="60">
        <f t="shared" si="12"/>
        <v>47969.4</v>
      </c>
      <c r="U289" s="60">
        <f t="shared" si="12"/>
        <v>47969.4</v>
      </c>
      <c r="V289" s="60">
        <f t="shared" si="12"/>
        <v>47969.4</v>
      </c>
      <c r="W289" s="60">
        <f t="shared" si="12"/>
        <v>47969.4</v>
      </c>
    </row>
    <row r="290" spans="18:23" x14ac:dyDescent="0.15">
      <c r="R290" s="60">
        <v>280</v>
      </c>
      <c r="S290" s="60">
        <f t="shared" si="12"/>
        <v>48141.333333333336</v>
      </c>
      <c r="T290" s="60">
        <f t="shared" si="12"/>
        <v>48141.333333333336</v>
      </c>
      <c r="U290" s="60">
        <f t="shared" si="12"/>
        <v>48141.333333333336</v>
      </c>
      <c r="V290" s="60">
        <f t="shared" si="12"/>
        <v>48141.333333333336</v>
      </c>
      <c r="W290" s="60">
        <f t="shared" si="12"/>
        <v>48141.333333333336</v>
      </c>
    </row>
    <row r="291" spans="18:23" x14ac:dyDescent="0.15">
      <c r="R291" s="60">
        <v>281</v>
      </c>
      <c r="S291" s="60">
        <f t="shared" si="12"/>
        <v>48313.26666666667</v>
      </c>
      <c r="T291" s="60">
        <f t="shared" si="12"/>
        <v>48313.26666666667</v>
      </c>
      <c r="U291" s="60">
        <f t="shared" si="12"/>
        <v>48313.26666666667</v>
      </c>
      <c r="V291" s="60">
        <f t="shared" si="12"/>
        <v>48313.26666666667</v>
      </c>
      <c r="W291" s="60">
        <f t="shared" si="12"/>
        <v>48313.26666666667</v>
      </c>
    </row>
    <row r="292" spans="18:23" x14ac:dyDescent="0.15">
      <c r="R292" s="60">
        <v>282</v>
      </c>
      <c r="S292" s="60">
        <f t="shared" si="12"/>
        <v>48485.2</v>
      </c>
      <c r="T292" s="60">
        <f t="shared" si="12"/>
        <v>48485.2</v>
      </c>
      <c r="U292" s="60">
        <f t="shared" si="12"/>
        <v>48485.2</v>
      </c>
      <c r="V292" s="60">
        <f t="shared" si="12"/>
        <v>48485.2</v>
      </c>
      <c r="W292" s="60">
        <f t="shared" si="12"/>
        <v>48485.2</v>
      </c>
    </row>
    <row r="293" spans="18:23" x14ac:dyDescent="0.15">
      <c r="R293" s="60">
        <v>283</v>
      </c>
      <c r="S293" s="60">
        <f t="shared" si="12"/>
        <v>48657.133333333331</v>
      </c>
      <c r="T293" s="60">
        <f t="shared" si="12"/>
        <v>48657.133333333331</v>
      </c>
      <c r="U293" s="60">
        <f t="shared" si="12"/>
        <v>48657.133333333331</v>
      </c>
      <c r="V293" s="60">
        <f t="shared" si="12"/>
        <v>48657.133333333331</v>
      </c>
      <c r="W293" s="60">
        <f t="shared" si="12"/>
        <v>48657.133333333331</v>
      </c>
    </row>
    <row r="294" spans="18:23" x14ac:dyDescent="0.15">
      <c r="R294" s="60">
        <v>284</v>
      </c>
      <c r="S294" s="60">
        <f t="shared" si="12"/>
        <v>48829.066666666666</v>
      </c>
      <c r="T294" s="60">
        <f t="shared" si="12"/>
        <v>48829.066666666666</v>
      </c>
      <c r="U294" s="60">
        <f t="shared" si="12"/>
        <v>48829.066666666666</v>
      </c>
      <c r="V294" s="60">
        <f t="shared" si="12"/>
        <v>48829.066666666666</v>
      </c>
      <c r="W294" s="60">
        <f t="shared" si="12"/>
        <v>48829.066666666666</v>
      </c>
    </row>
    <row r="295" spans="18:23" x14ac:dyDescent="0.15">
      <c r="R295" s="60">
        <v>285</v>
      </c>
      <c r="S295" s="60">
        <f t="shared" si="12"/>
        <v>49001</v>
      </c>
      <c r="T295" s="60">
        <f t="shared" si="12"/>
        <v>49001</v>
      </c>
      <c r="U295" s="60">
        <f t="shared" si="12"/>
        <v>49001</v>
      </c>
      <c r="V295" s="60">
        <f t="shared" si="12"/>
        <v>49001</v>
      </c>
      <c r="W295" s="60">
        <f t="shared" si="12"/>
        <v>49001</v>
      </c>
    </row>
    <row r="296" spans="18:23" x14ac:dyDescent="0.15">
      <c r="R296" s="60">
        <v>286</v>
      </c>
      <c r="S296" s="60">
        <f t="shared" si="12"/>
        <v>49172.933333333334</v>
      </c>
      <c r="T296" s="60">
        <f t="shared" si="12"/>
        <v>49172.933333333334</v>
      </c>
      <c r="U296" s="60">
        <f t="shared" si="12"/>
        <v>49172.933333333334</v>
      </c>
      <c r="V296" s="60">
        <f t="shared" si="12"/>
        <v>49172.933333333334</v>
      </c>
      <c r="W296" s="60">
        <f t="shared" si="12"/>
        <v>49172.933333333334</v>
      </c>
    </row>
    <row r="297" spans="18:23" x14ac:dyDescent="0.15">
      <c r="R297" s="60">
        <v>287</v>
      </c>
      <c r="S297" s="60">
        <f t="shared" si="12"/>
        <v>49344.866666666669</v>
      </c>
      <c r="T297" s="60">
        <f t="shared" si="12"/>
        <v>49344.866666666669</v>
      </c>
      <c r="U297" s="60">
        <f t="shared" si="12"/>
        <v>49344.866666666669</v>
      </c>
      <c r="V297" s="60">
        <f t="shared" si="12"/>
        <v>49344.866666666669</v>
      </c>
      <c r="W297" s="60">
        <f t="shared" si="12"/>
        <v>49344.866666666669</v>
      </c>
    </row>
    <row r="298" spans="18:23" x14ac:dyDescent="0.15">
      <c r="R298" s="60">
        <v>288</v>
      </c>
      <c r="S298" s="60">
        <f t="shared" si="12"/>
        <v>49516.800000000003</v>
      </c>
      <c r="T298" s="60">
        <f t="shared" si="12"/>
        <v>49516.800000000003</v>
      </c>
      <c r="U298" s="60">
        <f t="shared" si="12"/>
        <v>49516.800000000003</v>
      </c>
      <c r="V298" s="60">
        <f t="shared" si="12"/>
        <v>49516.800000000003</v>
      </c>
      <c r="W298" s="60">
        <f t="shared" si="12"/>
        <v>49516.800000000003</v>
      </c>
    </row>
    <row r="299" spans="18:23" x14ac:dyDescent="0.15">
      <c r="R299" s="60">
        <v>289</v>
      </c>
      <c r="S299" s="60">
        <f t="shared" si="12"/>
        <v>49688.73333333333</v>
      </c>
      <c r="T299" s="60">
        <f t="shared" si="12"/>
        <v>49688.73333333333</v>
      </c>
      <c r="U299" s="60">
        <f t="shared" si="12"/>
        <v>49688.73333333333</v>
      </c>
      <c r="V299" s="60">
        <f t="shared" si="12"/>
        <v>49688.73333333333</v>
      </c>
      <c r="W299" s="60">
        <f t="shared" si="12"/>
        <v>49688.73333333333</v>
      </c>
    </row>
    <row r="300" spans="18:23" x14ac:dyDescent="0.15">
      <c r="R300" s="60">
        <v>290</v>
      </c>
      <c r="S300" s="60">
        <f t="shared" si="12"/>
        <v>49860.666666666664</v>
      </c>
      <c r="T300" s="60">
        <f t="shared" si="12"/>
        <v>49860.666666666664</v>
      </c>
      <c r="U300" s="60">
        <f t="shared" si="12"/>
        <v>49860.666666666664</v>
      </c>
      <c r="V300" s="60">
        <f t="shared" si="12"/>
        <v>49860.666666666664</v>
      </c>
      <c r="W300" s="60">
        <f t="shared" si="12"/>
        <v>49860.666666666664</v>
      </c>
    </row>
    <row r="301" spans="18:23" x14ac:dyDescent="0.15">
      <c r="R301" s="60">
        <v>291</v>
      </c>
      <c r="S301" s="60">
        <f t="shared" si="12"/>
        <v>50032.6</v>
      </c>
      <c r="T301" s="60">
        <f t="shared" si="12"/>
        <v>50032.6</v>
      </c>
      <c r="U301" s="60">
        <f t="shared" si="12"/>
        <v>50032.6</v>
      </c>
      <c r="V301" s="60">
        <f t="shared" si="12"/>
        <v>50032.6</v>
      </c>
      <c r="W301" s="60">
        <f t="shared" si="12"/>
        <v>50032.6</v>
      </c>
    </row>
    <row r="302" spans="18:23" x14ac:dyDescent="0.15">
      <c r="R302" s="60">
        <v>292</v>
      </c>
      <c r="S302" s="60">
        <f t="shared" si="12"/>
        <v>50204.533333333333</v>
      </c>
      <c r="T302" s="60">
        <f t="shared" si="12"/>
        <v>50204.533333333333</v>
      </c>
      <c r="U302" s="60">
        <f t="shared" si="12"/>
        <v>50204.533333333333</v>
      </c>
      <c r="V302" s="60">
        <f t="shared" si="12"/>
        <v>50204.533333333333</v>
      </c>
      <c r="W302" s="60">
        <f t="shared" si="12"/>
        <v>50204.533333333333</v>
      </c>
    </row>
    <row r="303" spans="18:23" x14ac:dyDescent="0.15">
      <c r="R303" s="60">
        <v>293</v>
      </c>
      <c r="S303" s="60">
        <f t="shared" si="12"/>
        <v>50376.466666666667</v>
      </c>
      <c r="T303" s="60">
        <f t="shared" si="12"/>
        <v>50376.466666666667</v>
      </c>
      <c r="U303" s="60">
        <f t="shared" si="12"/>
        <v>50376.466666666667</v>
      </c>
      <c r="V303" s="60">
        <f t="shared" si="12"/>
        <v>50376.466666666667</v>
      </c>
      <c r="W303" s="60">
        <f t="shared" si="12"/>
        <v>50376.466666666667</v>
      </c>
    </row>
    <row r="304" spans="18:23" x14ac:dyDescent="0.15">
      <c r="R304" s="60">
        <v>294</v>
      </c>
      <c r="S304" s="60">
        <f t="shared" si="12"/>
        <v>50548.4</v>
      </c>
      <c r="T304" s="60">
        <f t="shared" si="12"/>
        <v>50548.4</v>
      </c>
      <c r="U304" s="60">
        <f t="shared" si="12"/>
        <v>50548.4</v>
      </c>
      <c r="V304" s="60">
        <f t="shared" si="12"/>
        <v>50548.4</v>
      </c>
      <c r="W304" s="60">
        <f t="shared" si="12"/>
        <v>50548.4</v>
      </c>
    </row>
    <row r="305" spans="18:23" x14ac:dyDescent="0.15">
      <c r="R305" s="60">
        <v>295</v>
      </c>
      <c r="S305" s="60">
        <f t="shared" ref="S305:W336" si="13">$R305*$G$3/30*$G$2</f>
        <v>50720.333333333336</v>
      </c>
      <c r="T305" s="60">
        <f t="shared" si="13"/>
        <v>50720.333333333336</v>
      </c>
      <c r="U305" s="60">
        <f t="shared" si="13"/>
        <v>50720.333333333336</v>
      </c>
      <c r="V305" s="60">
        <f t="shared" si="13"/>
        <v>50720.333333333336</v>
      </c>
      <c r="W305" s="60">
        <f t="shared" si="13"/>
        <v>50720.333333333336</v>
      </c>
    </row>
    <row r="306" spans="18:23" x14ac:dyDescent="0.15">
      <c r="R306" s="60">
        <v>296</v>
      </c>
      <c r="S306" s="60">
        <f t="shared" si="13"/>
        <v>50892.26666666667</v>
      </c>
      <c r="T306" s="60">
        <f t="shared" si="13"/>
        <v>50892.26666666667</v>
      </c>
      <c r="U306" s="60">
        <f t="shared" si="13"/>
        <v>50892.26666666667</v>
      </c>
      <c r="V306" s="60">
        <f t="shared" si="13"/>
        <v>50892.26666666667</v>
      </c>
      <c r="W306" s="60">
        <f t="shared" si="13"/>
        <v>50892.26666666667</v>
      </c>
    </row>
    <row r="307" spans="18:23" x14ac:dyDescent="0.15">
      <c r="R307" s="60">
        <v>297</v>
      </c>
      <c r="S307" s="60">
        <f t="shared" si="13"/>
        <v>51064.2</v>
      </c>
      <c r="T307" s="60">
        <f t="shared" si="13"/>
        <v>51064.2</v>
      </c>
      <c r="U307" s="60">
        <f t="shared" si="13"/>
        <v>51064.2</v>
      </c>
      <c r="V307" s="60">
        <f t="shared" si="13"/>
        <v>51064.2</v>
      </c>
      <c r="W307" s="60">
        <f t="shared" si="13"/>
        <v>51064.2</v>
      </c>
    </row>
    <row r="308" spans="18:23" x14ac:dyDescent="0.15">
      <c r="R308" s="60">
        <v>298</v>
      </c>
      <c r="S308" s="60">
        <f t="shared" si="13"/>
        <v>51236.133333333331</v>
      </c>
      <c r="T308" s="60">
        <f t="shared" si="13"/>
        <v>51236.133333333331</v>
      </c>
      <c r="U308" s="60">
        <f t="shared" si="13"/>
        <v>51236.133333333331</v>
      </c>
      <c r="V308" s="60">
        <f t="shared" si="13"/>
        <v>51236.133333333331</v>
      </c>
      <c r="W308" s="60">
        <f t="shared" si="13"/>
        <v>51236.133333333331</v>
      </c>
    </row>
    <row r="309" spans="18:23" x14ac:dyDescent="0.15">
      <c r="R309" s="60">
        <v>299</v>
      </c>
      <c r="S309" s="60">
        <f t="shared" si="13"/>
        <v>51408.066666666666</v>
      </c>
      <c r="T309" s="60">
        <f t="shared" si="13"/>
        <v>51408.066666666666</v>
      </c>
      <c r="U309" s="60">
        <f t="shared" si="13"/>
        <v>51408.066666666666</v>
      </c>
      <c r="V309" s="60">
        <f t="shared" si="13"/>
        <v>51408.066666666666</v>
      </c>
      <c r="W309" s="60">
        <f t="shared" si="13"/>
        <v>51408.066666666666</v>
      </c>
    </row>
    <row r="310" spans="18:23" x14ac:dyDescent="0.15">
      <c r="R310" s="60">
        <v>300</v>
      </c>
      <c r="S310" s="60">
        <f t="shared" si="13"/>
        <v>51580</v>
      </c>
      <c r="T310" s="60">
        <f t="shared" si="13"/>
        <v>51580</v>
      </c>
      <c r="U310" s="60">
        <f t="shared" si="13"/>
        <v>51580</v>
      </c>
      <c r="V310" s="60">
        <f t="shared" si="13"/>
        <v>51580</v>
      </c>
      <c r="W310" s="60">
        <f t="shared" si="13"/>
        <v>51580</v>
      </c>
    </row>
    <row r="311" spans="18:23" x14ac:dyDescent="0.15">
      <c r="R311" s="60">
        <v>301</v>
      </c>
      <c r="S311" s="60">
        <f t="shared" si="13"/>
        <v>51751.933333333334</v>
      </c>
      <c r="T311" s="60">
        <f t="shared" si="13"/>
        <v>51751.933333333334</v>
      </c>
      <c r="U311" s="60">
        <f t="shared" si="13"/>
        <v>51751.933333333334</v>
      </c>
      <c r="V311" s="60">
        <f t="shared" si="13"/>
        <v>51751.933333333334</v>
      </c>
      <c r="W311" s="60">
        <f t="shared" si="13"/>
        <v>51751.933333333334</v>
      </c>
    </row>
    <row r="312" spans="18:23" x14ac:dyDescent="0.15">
      <c r="R312" s="60">
        <v>302</v>
      </c>
      <c r="S312" s="60">
        <f t="shared" si="13"/>
        <v>51923.866666666669</v>
      </c>
      <c r="T312" s="60">
        <f t="shared" si="13"/>
        <v>51923.866666666669</v>
      </c>
      <c r="U312" s="60">
        <f t="shared" si="13"/>
        <v>51923.866666666669</v>
      </c>
      <c r="V312" s="60">
        <f t="shared" si="13"/>
        <v>51923.866666666669</v>
      </c>
      <c r="W312" s="60">
        <f t="shared" si="13"/>
        <v>51923.866666666669</v>
      </c>
    </row>
    <row r="313" spans="18:23" x14ac:dyDescent="0.15">
      <c r="R313" s="60">
        <v>303</v>
      </c>
      <c r="S313" s="60">
        <f t="shared" si="13"/>
        <v>52095.8</v>
      </c>
      <c r="T313" s="60">
        <f t="shared" si="13"/>
        <v>52095.8</v>
      </c>
      <c r="U313" s="60">
        <f t="shared" si="13"/>
        <v>52095.8</v>
      </c>
      <c r="V313" s="60">
        <f t="shared" si="13"/>
        <v>52095.8</v>
      </c>
      <c r="W313" s="60">
        <f t="shared" si="13"/>
        <v>52095.8</v>
      </c>
    </row>
    <row r="314" spans="18:23" x14ac:dyDescent="0.15">
      <c r="R314" s="60">
        <v>304</v>
      </c>
      <c r="S314" s="60">
        <f t="shared" si="13"/>
        <v>52267.73333333333</v>
      </c>
      <c r="T314" s="60">
        <f t="shared" si="13"/>
        <v>52267.73333333333</v>
      </c>
      <c r="U314" s="60">
        <f t="shared" si="13"/>
        <v>52267.73333333333</v>
      </c>
      <c r="V314" s="60">
        <f t="shared" si="13"/>
        <v>52267.73333333333</v>
      </c>
      <c r="W314" s="60">
        <f t="shared" si="13"/>
        <v>52267.73333333333</v>
      </c>
    </row>
    <row r="315" spans="18:23" x14ac:dyDescent="0.15">
      <c r="R315" s="60">
        <v>305</v>
      </c>
      <c r="S315" s="60">
        <f t="shared" si="13"/>
        <v>52439.666666666664</v>
      </c>
      <c r="T315" s="60">
        <f t="shared" si="13"/>
        <v>52439.666666666664</v>
      </c>
      <c r="U315" s="60">
        <f t="shared" si="13"/>
        <v>52439.666666666664</v>
      </c>
      <c r="V315" s="60">
        <f t="shared" si="13"/>
        <v>52439.666666666664</v>
      </c>
      <c r="W315" s="60">
        <f t="shared" si="13"/>
        <v>52439.666666666664</v>
      </c>
    </row>
    <row r="316" spans="18:23" x14ac:dyDescent="0.15">
      <c r="R316" s="60">
        <v>306</v>
      </c>
      <c r="S316" s="60">
        <f t="shared" si="13"/>
        <v>52611.6</v>
      </c>
      <c r="T316" s="60">
        <f t="shared" si="13"/>
        <v>52611.6</v>
      </c>
      <c r="U316" s="60">
        <f t="shared" si="13"/>
        <v>52611.6</v>
      </c>
      <c r="V316" s="60">
        <f t="shared" si="13"/>
        <v>52611.6</v>
      </c>
      <c r="W316" s="60">
        <f t="shared" si="13"/>
        <v>52611.6</v>
      </c>
    </row>
    <row r="317" spans="18:23" x14ac:dyDescent="0.15">
      <c r="R317" s="60">
        <v>307</v>
      </c>
      <c r="S317" s="60">
        <f t="shared" si="13"/>
        <v>52783.533333333333</v>
      </c>
      <c r="T317" s="60">
        <f t="shared" si="13"/>
        <v>52783.533333333333</v>
      </c>
      <c r="U317" s="60">
        <f t="shared" si="13"/>
        <v>52783.533333333333</v>
      </c>
      <c r="V317" s="60">
        <f t="shared" si="13"/>
        <v>52783.533333333333</v>
      </c>
      <c r="W317" s="60">
        <f t="shared" si="13"/>
        <v>52783.533333333333</v>
      </c>
    </row>
    <row r="318" spans="18:23" x14ac:dyDescent="0.15">
      <c r="R318" s="60">
        <v>308</v>
      </c>
      <c r="S318" s="60">
        <f t="shared" si="13"/>
        <v>52955.466666666667</v>
      </c>
      <c r="T318" s="60">
        <f t="shared" si="13"/>
        <v>52955.466666666667</v>
      </c>
      <c r="U318" s="60">
        <f t="shared" si="13"/>
        <v>52955.466666666667</v>
      </c>
      <c r="V318" s="60">
        <f t="shared" si="13"/>
        <v>52955.466666666667</v>
      </c>
      <c r="W318" s="60">
        <f t="shared" si="13"/>
        <v>52955.466666666667</v>
      </c>
    </row>
    <row r="319" spans="18:23" x14ac:dyDescent="0.15">
      <c r="R319" s="60">
        <v>309</v>
      </c>
      <c r="S319" s="60">
        <f t="shared" si="13"/>
        <v>53127.4</v>
      </c>
      <c r="T319" s="60">
        <f t="shared" si="13"/>
        <v>53127.4</v>
      </c>
      <c r="U319" s="60">
        <f t="shared" si="13"/>
        <v>53127.4</v>
      </c>
      <c r="V319" s="60">
        <f t="shared" si="13"/>
        <v>53127.4</v>
      </c>
      <c r="W319" s="60">
        <f t="shared" si="13"/>
        <v>53127.4</v>
      </c>
    </row>
    <row r="320" spans="18:23" x14ac:dyDescent="0.15">
      <c r="R320" s="60">
        <v>310</v>
      </c>
      <c r="S320" s="60">
        <f t="shared" si="13"/>
        <v>53299.333333333336</v>
      </c>
      <c r="T320" s="60">
        <f t="shared" si="13"/>
        <v>53299.333333333336</v>
      </c>
      <c r="U320" s="60">
        <f t="shared" si="13"/>
        <v>53299.333333333336</v>
      </c>
      <c r="V320" s="60">
        <f t="shared" si="13"/>
        <v>53299.333333333336</v>
      </c>
      <c r="W320" s="60">
        <f t="shared" si="13"/>
        <v>53299.333333333336</v>
      </c>
    </row>
    <row r="321" spans="18:23" x14ac:dyDescent="0.15">
      <c r="R321" s="60">
        <v>311</v>
      </c>
      <c r="S321" s="60">
        <f t="shared" si="13"/>
        <v>53471.26666666667</v>
      </c>
      <c r="T321" s="60">
        <f t="shared" si="13"/>
        <v>53471.26666666667</v>
      </c>
      <c r="U321" s="60">
        <f t="shared" si="13"/>
        <v>53471.26666666667</v>
      </c>
      <c r="V321" s="60">
        <f t="shared" si="13"/>
        <v>53471.26666666667</v>
      </c>
      <c r="W321" s="60">
        <f t="shared" si="13"/>
        <v>53471.26666666667</v>
      </c>
    </row>
    <row r="322" spans="18:23" x14ac:dyDescent="0.15">
      <c r="R322" s="60">
        <v>312</v>
      </c>
      <c r="S322" s="60">
        <f t="shared" si="13"/>
        <v>53643.199999999997</v>
      </c>
      <c r="T322" s="60">
        <f t="shared" si="13"/>
        <v>53643.199999999997</v>
      </c>
      <c r="U322" s="60">
        <f t="shared" si="13"/>
        <v>53643.199999999997</v>
      </c>
      <c r="V322" s="60">
        <f t="shared" si="13"/>
        <v>53643.199999999997</v>
      </c>
      <c r="W322" s="60">
        <f t="shared" si="13"/>
        <v>53643.199999999997</v>
      </c>
    </row>
    <row r="323" spans="18:23" x14ac:dyDescent="0.15">
      <c r="R323" s="60">
        <v>313</v>
      </c>
      <c r="S323" s="60">
        <f t="shared" si="13"/>
        <v>53815.133333333331</v>
      </c>
      <c r="T323" s="60">
        <f t="shared" si="13"/>
        <v>53815.133333333331</v>
      </c>
      <c r="U323" s="60">
        <f t="shared" si="13"/>
        <v>53815.133333333331</v>
      </c>
      <c r="V323" s="60">
        <f t="shared" si="13"/>
        <v>53815.133333333331</v>
      </c>
      <c r="W323" s="60">
        <f t="shared" si="13"/>
        <v>53815.133333333331</v>
      </c>
    </row>
    <row r="324" spans="18:23" x14ac:dyDescent="0.15">
      <c r="R324" s="60">
        <v>314</v>
      </c>
      <c r="S324" s="60">
        <f t="shared" si="13"/>
        <v>53987.066666666666</v>
      </c>
      <c r="T324" s="60">
        <f t="shared" si="13"/>
        <v>53987.066666666666</v>
      </c>
      <c r="U324" s="60">
        <f t="shared" si="13"/>
        <v>53987.066666666666</v>
      </c>
      <c r="V324" s="60">
        <f t="shared" si="13"/>
        <v>53987.066666666666</v>
      </c>
      <c r="W324" s="60">
        <f t="shared" si="13"/>
        <v>53987.066666666666</v>
      </c>
    </row>
    <row r="325" spans="18:23" x14ac:dyDescent="0.15">
      <c r="R325" s="60">
        <v>315</v>
      </c>
      <c r="S325" s="60">
        <f t="shared" si="13"/>
        <v>54159</v>
      </c>
      <c r="T325" s="60">
        <f t="shared" si="13"/>
        <v>54159</v>
      </c>
      <c r="U325" s="60">
        <f t="shared" si="13"/>
        <v>54159</v>
      </c>
      <c r="V325" s="60">
        <f t="shared" si="13"/>
        <v>54159</v>
      </c>
      <c r="W325" s="60">
        <f t="shared" si="13"/>
        <v>54159</v>
      </c>
    </row>
    <row r="326" spans="18:23" x14ac:dyDescent="0.15">
      <c r="R326" s="60">
        <v>316</v>
      </c>
      <c r="S326" s="60">
        <f t="shared" si="13"/>
        <v>54330.933333333334</v>
      </c>
      <c r="T326" s="60">
        <f t="shared" si="13"/>
        <v>54330.933333333334</v>
      </c>
      <c r="U326" s="60">
        <f t="shared" si="13"/>
        <v>54330.933333333334</v>
      </c>
      <c r="V326" s="60">
        <f t="shared" si="13"/>
        <v>54330.933333333334</v>
      </c>
      <c r="W326" s="60">
        <f t="shared" si="13"/>
        <v>54330.933333333334</v>
      </c>
    </row>
    <row r="327" spans="18:23" x14ac:dyDescent="0.15">
      <c r="R327" s="60">
        <v>317</v>
      </c>
      <c r="S327" s="60">
        <f t="shared" si="13"/>
        <v>54502.866666666669</v>
      </c>
      <c r="T327" s="60">
        <f t="shared" si="13"/>
        <v>54502.866666666669</v>
      </c>
      <c r="U327" s="60">
        <f t="shared" si="13"/>
        <v>54502.866666666669</v>
      </c>
      <c r="V327" s="60">
        <f t="shared" si="13"/>
        <v>54502.866666666669</v>
      </c>
      <c r="W327" s="60">
        <f t="shared" si="13"/>
        <v>54502.866666666669</v>
      </c>
    </row>
    <row r="328" spans="18:23" x14ac:dyDescent="0.15">
      <c r="R328" s="60">
        <v>318</v>
      </c>
      <c r="S328" s="60">
        <f t="shared" si="13"/>
        <v>54674.8</v>
      </c>
      <c r="T328" s="60">
        <f t="shared" si="13"/>
        <v>54674.8</v>
      </c>
      <c r="U328" s="60">
        <f t="shared" si="13"/>
        <v>54674.8</v>
      </c>
      <c r="V328" s="60">
        <f t="shared" si="13"/>
        <v>54674.8</v>
      </c>
      <c r="W328" s="60">
        <f t="shared" si="13"/>
        <v>54674.8</v>
      </c>
    </row>
    <row r="329" spans="18:23" x14ac:dyDescent="0.15">
      <c r="R329" s="60">
        <v>319</v>
      </c>
      <c r="S329" s="60">
        <f t="shared" si="13"/>
        <v>54846.73333333333</v>
      </c>
      <c r="T329" s="60">
        <f t="shared" si="13"/>
        <v>54846.73333333333</v>
      </c>
      <c r="U329" s="60">
        <f t="shared" si="13"/>
        <v>54846.73333333333</v>
      </c>
      <c r="V329" s="60">
        <f t="shared" si="13"/>
        <v>54846.73333333333</v>
      </c>
      <c r="W329" s="60">
        <f t="shared" si="13"/>
        <v>54846.73333333333</v>
      </c>
    </row>
    <row r="330" spans="18:23" x14ac:dyDescent="0.15">
      <c r="R330" s="60">
        <v>320</v>
      </c>
      <c r="S330" s="60">
        <f t="shared" si="13"/>
        <v>55018.666666666664</v>
      </c>
      <c r="T330" s="60">
        <f t="shared" si="13"/>
        <v>55018.666666666664</v>
      </c>
      <c r="U330" s="60">
        <f t="shared" si="13"/>
        <v>55018.666666666664</v>
      </c>
      <c r="V330" s="60">
        <f t="shared" si="13"/>
        <v>55018.666666666664</v>
      </c>
      <c r="W330" s="60">
        <f t="shared" si="13"/>
        <v>55018.666666666664</v>
      </c>
    </row>
    <row r="331" spans="18:23" x14ac:dyDescent="0.15">
      <c r="R331" s="60">
        <v>321</v>
      </c>
      <c r="S331" s="60">
        <f t="shared" si="13"/>
        <v>55190.6</v>
      </c>
      <c r="T331" s="60">
        <f t="shared" si="13"/>
        <v>55190.6</v>
      </c>
      <c r="U331" s="60">
        <f t="shared" si="13"/>
        <v>55190.6</v>
      </c>
      <c r="V331" s="60">
        <f t="shared" si="13"/>
        <v>55190.6</v>
      </c>
      <c r="W331" s="60">
        <f t="shared" si="13"/>
        <v>55190.6</v>
      </c>
    </row>
    <row r="332" spans="18:23" x14ac:dyDescent="0.15">
      <c r="R332" s="60">
        <v>322</v>
      </c>
      <c r="S332" s="60">
        <f t="shared" si="13"/>
        <v>55362.533333333333</v>
      </c>
      <c r="T332" s="60">
        <f t="shared" si="13"/>
        <v>55362.533333333333</v>
      </c>
      <c r="U332" s="60">
        <f t="shared" si="13"/>
        <v>55362.533333333333</v>
      </c>
      <c r="V332" s="60">
        <f t="shared" si="13"/>
        <v>55362.533333333333</v>
      </c>
      <c r="W332" s="60">
        <f t="shared" si="13"/>
        <v>55362.533333333333</v>
      </c>
    </row>
    <row r="333" spans="18:23" x14ac:dyDescent="0.15">
      <c r="R333" s="60">
        <v>323</v>
      </c>
      <c r="S333" s="60">
        <f t="shared" si="13"/>
        <v>55534.466666666667</v>
      </c>
      <c r="T333" s="60">
        <f t="shared" si="13"/>
        <v>55534.466666666667</v>
      </c>
      <c r="U333" s="60">
        <f t="shared" si="13"/>
        <v>55534.466666666667</v>
      </c>
      <c r="V333" s="60">
        <f t="shared" si="13"/>
        <v>55534.466666666667</v>
      </c>
      <c r="W333" s="60">
        <f t="shared" si="13"/>
        <v>55534.466666666667</v>
      </c>
    </row>
    <row r="334" spans="18:23" x14ac:dyDescent="0.15">
      <c r="R334" s="60">
        <v>324</v>
      </c>
      <c r="S334" s="60">
        <f t="shared" si="13"/>
        <v>55706.400000000001</v>
      </c>
      <c r="T334" s="60">
        <f t="shared" si="13"/>
        <v>55706.400000000001</v>
      </c>
      <c r="U334" s="60">
        <f t="shared" si="13"/>
        <v>55706.400000000001</v>
      </c>
      <c r="V334" s="60">
        <f t="shared" si="13"/>
        <v>55706.400000000001</v>
      </c>
      <c r="W334" s="60">
        <f t="shared" si="13"/>
        <v>55706.400000000001</v>
      </c>
    </row>
    <row r="335" spans="18:23" x14ac:dyDescent="0.15">
      <c r="R335" s="60">
        <v>325</v>
      </c>
      <c r="S335" s="60">
        <f t="shared" si="13"/>
        <v>55878.333333333336</v>
      </c>
      <c r="T335" s="60">
        <f t="shared" si="13"/>
        <v>55878.333333333336</v>
      </c>
      <c r="U335" s="60">
        <f t="shared" si="13"/>
        <v>55878.333333333336</v>
      </c>
      <c r="V335" s="60">
        <f t="shared" si="13"/>
        <v>55878.333333333336</v>
      </c>
      <c r="W335" s="60">
        <f t="shared" si="13"/>
        <v>55878.333333333336</v>
      </c>
    </row>
    <row r="336" spans="18:23" x14ac:dyDescent="0.15">
      <c r="R336" s="60">
        <v>326</v>
      </c>
      <c r="S336" s="60">
        <f t="shared" si="13"/>
        <v>56050.26666666667</v>
      </c>
      <c r="T336" s="60">
        <f t="shared" si="13"/>
        <v>56050.26666666667</v>
      </c>
      <c r="U336" s="60">
        <f t="shared" si="13"/>
        <v>56050.26666666667</v>
      </c>
      <c r="V336" s="60">
        <f t="shared" si="13"/>
        <v>56050.26666666667</v>
      </c>
      <c r="W336" s="60">
        <f t="shared" si="13"/>
        <v>56050.26666666667</v>
      </c>
    </row>
    <row r="337" spans="18:23" x14ac:dyDescent="0.15">
      <c r="R337" s="60">
        <v>327</v>
      </c>
      <c r="S337" s="60">
        <f t="shared" ref="S337:W370" si="14">$R337*$G$3/30*$G$2</f>
        <v>56222.2</v>
      </c>
      <c r="T337" s="60">
        <f t="shared" si="14"/>
        <v>56222.2</v>
      </c>
      <c r="U337" s="60">
        <f t="shared" si="14"/>
        <v>56222.2</v>
      </c>
      <c r="V337" s="60">
        <f t="shared" si="14"/>
        <v>56222.2</v>
      </c>
      <c r="W337" s="60">
        <f t="shared" si="14"/>
        <v>56222.2</v>
      </c>
    </row>
    <row r="338" spans="18:23" x14ac:dyDescent="0.15">
      <c r="R338" s="60">
        <v>328</v>
      </c>
      <c r="S338" s="60">
        <f t="shared" si="14"/>
        <v>56394.133333333331</v>
      </c>
      <c r="T338" s="60">
        <f t="shared" si="14"/>
        <v>56394.133333333331</v>
      </c>
      <c r="U338" s="60">
        <f t="shared" si="14"/>
        <v>56394.133333333331</v>
      </c>
      <c r="V338" s="60">
        <f t="shared" si="14"/>
        <v>56394.133333333331</v>
      </c>
      <c r="W338" s="60">
        <f t="shared" si="14"/>
        <v>56394.133333333331</v>
      </c>
    </row>
    <row r="339" spans="18:23" x14ac:dyDescent="0.15">
      <c r="R339" s="60">
        <v>329</v>
      </c>
      <c r="S339" s="60">
        <f t="shared" si="14"/>
        <v>56566.066666666666</v>
      </c>
      <c r="T339" s="60">
        <f t="shared" si="14"/>
        <v>56566.066666666666</v>
      </c>
      <c r="U339" s="60">
        <f t="shared" si="14"/>
        <v>56566.066666666666</v>
      </c>
      <c r="V339" s="60">
        <f t="shared" si="14"/>
        <v>56566.066666666666</v>
      </c>
      <c r="W339" s="60">
        <f t="shared" si="14"/>
        <v>56566.066666666666</v>
      </c>
    </row>
    <row r="340" spans="18:23" x14ac:dyDescent="0.15">
      <c r="R340" s="60">
        <v>330</v>
      </c>
      <c r="S340" s="60">
        <f t="shared" si="14"/>
        <v>56738</v>
      </c>
      <c r="T340" s="60">
        <f t="shared" si="14"/>
        <v>56738</v>
      </c>
      <c r="U340" s="60">
        <f t="shared" si="14"/>
        <v>56738</v>
      </c>
      <c r="V340" s="60">
        <f t="shared" si="14"/>
        <v>56738</v>
      </c>
      <c r="W340" s="60">
        <f t="shared" si="14"/>
        <v>56738</v>
      </c>
    </row>
    <row r="341" spans="18:23" x14ac:dyDescent="0.15">
      <c r="R341" s="60">
        <v>331</v>
      </c>
      <c r="S341" s="60">
        <f t="shared" si="14"/>
        <v>56909.933333333334</v>
      </c>
      <c r="T341" s="60">
        <f t="shared" si="14"/>
        <v>56909.933333333334</v>
      </c>
      <c r="U341" s="60">
        <f t="shared" si="14"/>
        <v>56909.933333333334</v>
      </c>
      <c r="V341" s="60">
        <f t="shared" si="14"/>
        <v>56909.933333333334</v>
      </c>
      <c r="W341" s="60">
        <f t="shared" si="14"/>
        <v>56909.933333333334</v>
      </c>
    </row>
    <row r="342" spans="18:23" x14ac:dyDescent="0.15">
      <c r="R342" s="60">
        <v>332</v>
      </c>
      <c r="S342" s="60">
        <f t="shared" si="14"/>
        <v>57081.866666666669</v>
      </c>
      <c r="T342" s="60">
        <f t="shared" si="14"/>
        <v>57081.866666666669</v>
      </c>
      <c r="U342" s="60">
        <f t="shared" si="14"/>
        <v>57081.866666666669</v>
      </c>
      <c r="V342" s="60">
        <f t="shared" si="14"/>
        <v>57081.866666666669</v>
      </c>
      <c r="W342" s="60">
        <f t="shared" si="14"/>
        <v>57081.866666666669</v>
      </c>
    </row>
    <row r="343" spans="18:23" x14ac:dyDescent="0.15">
      <c r="R343" s="60">
        <v>333</v>
      </c>
      <c r="S343" s="60">
        <f t="shared" si="14"/>
        <v>57253.8</v>
      </c>
      <c r="T343" s="60">
        <f t="shared" si="14"/>
        <v>57253.8</v>
      </c>
      <c r="U343" s="60">
        <f t="shared" si="14"/>
        <v>57253.8</v>
      </c>
      <c r="V343" s="60">
        <f t="shared" si="14"/>
        <v>57253.8</v>
      </c>
      <c r="W343" s="60">
        <f t="shared" si="14"/>
        <v>57253.8</v>
      </c>
    </row>
    <row r="344" spans="18:23" x14ac:dyDescent="0.15">
      <c r="R344" s="60">
        <v>334</v>
      </c>
      <c r="S344" s="60">
        <f t="shared" si="14"/>
        <v>57425.73333333333</v>
      </c>
      <c r="T344" s="60">
        <f t="shared" si="14"/>
        <v>57425.73333333333</v>
      </c>
      <c r="U344" s="60">
        <f t="shared" si="14"/>
        <v>57425.73333333333</v>
      </c>
      <c r="V344" s="60">
        <f t="shared" si="14"/>
        <v>57425.73333333333</v>
      </c>
      <c r="W344" s="60">
        <f t="shared" si="14"/>
        <v>57425.73333333333</v>
      </c>
    </row>
    <row r="345" spans="18:23" x14ac:dyDescent="0.15">
      <c r="R345" s="60">
        <v>335</v>
      </c>
      <c r="S345" s="60">
        <f t="shared" si="14"/>
        <v>57597.666666666664</v>
      </c>
      <c r="T345" s="60">
        <f t="shared" si="14"/>
        <v>57597.666666666664</v>
      </c>
      <c r="U345" s="60">
        <f t="shared" si="14"/>
        <v>57597.666666666664</v>
      </c>
      <c r="V345" s="60">
        <f t="shared" si="14"/>
        <v>57597.666666666664</v>
      </c>
      <c r="W345" s="60">
        <f t="shared" si="14"/>
        <v>57597.666666666664</v>
      </c>
    </row>
    <row r="346" spans="18:23" x14ac:dyDescent="0.15">
      <c r="R346" s="60">
        <v>336</v>
      </c>
      <c r="S346" s="60">
        <f t="shared" si="14"/>
        <v>57769.599999999999</v>
      </c>
      <c r="T346" s="60">
        <f t="shared" si="14"/>
        <v>57769.599999999999</v>
      </c>
      <c r="U346" s="60">
        <f t="shared" si="14"/>
        <v>57769.599999999999</v>
      </c>
      <c r="V346" s="60">
        <f t="shared" si="14"/>
        <v>57769.599999999999</v>
      </c>
      <c r="W346" s="60">
        <f t="shared" si="14"/>
        <v>57769.599999999999</v>
      </c>
    </row>
    <row r="347" spans="18:23" x14ac:dyDescent="0.15">
      <c r="R347" s="60">
        <v>337</v>
      </c>
      <c r="S347" s="60">
        <f t="shared" si="14"/>
        <v>57941.533333333333</v>
      </c>
      <c r="T347" s="60">
        <f t="shared" si="14"/>
        <v>57941.533333333333</v>
      </c>
      <c r="U347" s="60">
        <f t="shared" si="14"/>
        <v>57941.533333333333</v>
      </c>
      <c r="V347" s="60">
        <f t="shared" si="14"/>
        <v>57941.533333333333</v>
      </c>
      <c r="W347" s="60">
        <f t="shared" si="14"/>
        <v>57941.533333333333</v>
      </c>
    </row>
    <row r="348" spans="18:23" x14ac:dyDescent="0.15">
      <c r="R348" s="60">
        <v>338</v>
      </c>
      <c r="S348" s="60">
        <f t="shared" si="14"/>
        <v>58113.466666666667</v>
      </c>
      <c r="T348" s="60">
        <f t="shared" si="14"/>
        <v>58113.466666666667</v>
      </c>
      <c r="U348" s="60">
        <f t="shared" si="14"/>
        <v>58113.466666666667</v>
      </c>
      <c r="V348" s="60">
        <f t="shared" si="14"/>
        <v>58113.466666666667</v>
      </c>
      <c r="W348" s="60">
        <f t="shared" si="14"/>
        <v>58113.466666666667</v>
      </c>
    </row>
    <row r="349" spans="18:23" x14ac:dyDescent="0.15">
      <c r="R349" s="60">
        <v>339</v>
      </c>
      <c r="S349" s="60">
        <f t="shared" si="14"/>
        <v>58285.4</v>
      </c>
      <c r="T349" s="60">
        <f t="shared" si="14"/>
        <v>58285.4</v>
      </c>
      <c r="U349" s="60">
        <f t="shared" si="14"/>
        <v>58285.4</v>
      </c>
      <c r="V349" s="60">
        <f t="shared" si="14"/>
        <v>58285.4</v>
      </c>
      <c r="W349" s="60">
        <f t="shared" si="14"/>
        <v>58285.4</v>
      </c>
    </row>
    <row r="350" spans="18:23" x14ac:dyDescent="0.15">
      <c r="R350" s="60">
        <v>340</v>
      </c>
      <c r="S350" s="60">
        <f t="shared" si="14"/>
        <v>58457.333333333336</v>
      </c>
      <c r="T350" s="60">
        <f t="shared" si="14"/>
        <v>58457.333333333336</v>
      </c>
      <c r="U350" s="60">
        <f t="shared" si="14"/>
        <v>58457.333333333336</v>
      </c>
      <c r="V350" s="60">
        <f t="shared" si="14"/>
        <v>58457.333333333336</v>
      </c>
      <c r="W350" s="60">
        <f t="shared" si="14"/>
        <v>58457.333333333336</v>
      </c>
    </row>
    <row r="351" spans="18:23" x14ac:dyDescent="0.15">
      <c r="R351" s="60">
        <v>341</v>
      </c>
      <c r="S351" s="60">
        <f t="shared" si="14"/>
        <v>58629.26666666667</v>
      </c>
      <c r="T351" s="60">
        <f t="shared" si="14"/>
        <v>58629.26666666667</v>
      </c>
      <c r="U351" s="60">
        <f t="shared" si="14"/>
        <v>58629.26666666667</v>
      </c>
      <c r="V351" s="60">
        <f t="shared" si="14"/>
        <v>58629.26666666667</v>
      </c>
      <c r="W351" s="60">
        <f t="shared" si="14"/>
        <v>58629.26666666667</v>
      </c>
    </row>
    <row r="352" spans="18:23" x14ac:dyDescent="0.15">
      <c r="R352" s="60">
        <v>342</v>
      </c>
      <c r="S352" s="60">
        <f t="shared" si="14"/>
        <v>58801.2</v>
      </c>
      <c r="T352" s="60">
        <f t="shared" si="14"/>
        <v>58801.2</v>
      </c>
      <c r="U352" s="60">
        <f t="shared" si="14"/>
        <v>58801.2</v>
      </c>
      <c r="V352" s="60">
        <f t="shared" si="14"/>
        <v>58801.2</v>
      </c>
      <c r="W352" s="60">
        <f t="shared" si="14"/>
        <v>58801.2</v>
      </c>
    </row>
    <row r="353" spans="18:23" x14ac:dyDescent="0.15">
      <c r="R353" s="60">
        <v>343</v>
      </c>
      <c r="S353" s="60">
        <f t="shared" si="14"/>
        <v>58973.133333333331</v>
      </c>
      <c r="T353" s="60">
        <f t="shared" si="14"/>
        <v>58973.133333333331</v>
      </c>
      <c r="U353" s="60">
        <f t="shared" si="14"/>
        <v>58973.133333333331</v>
      </c>
      <c r="V353" s="60">
        <f t="shared" si="14"/>
        <v>58973.133333333331</v>
      </c>
      <c r="W353" s="60">
        <f t="shared" si="14"/>
        <v>58973.133333333331</v>
      </c>
    </row>
    <row r="354" spans="18:23" x14ac:dyDescent="0.15">
      <c r="R354" s="60">
        <v>344</v>
      </c>
      <c r="S354" s="60">
        <f t="shared" si="14"/>
        <v>59145.066666666666</v>
      </c>
      <c r="T354" s="60">
        <f t="shared" si="14"/>
        <v>59145.066666666666</v>
      </c>
      <c r="U354" s="60">
        <f t="shared" si="14"/>
        <v>59145.066666666666</v>
      </c>
      <c r="V354" s="60">
        <f t="shared" si="14"/>
        <v>59145.066666666666</v>
      </c>
      <c r="W354" s="60">
        <f t="shared" si="14"/>
        <v>59145.066666666666</v>
      </c>
    </row>
    <row r="355" spans="18:23" x14ac:dyDescent="0.15">
      <c r="R355" s="60">
        <v>345</v>
      </c>
      <c r="S355" s="60">
        <f t="shared" si="14"/>
        <v>59317</v>
      </c>
      <c r="T355" s="60">
        <f t="shared" si="14"/>
        <v>59317</v>
      </c>
      <c r="U355" s="60">
        <f t="shared" si="14"/>
        <v>59317</v>
      </c>
      <c r="V355" s="60">
        <f t="shared" si="14"/>
        <v>59317</v>
      </c>
      <c r="W355" s="60">
        <f t="shared" si="14"/>
        <v>59317</v>
      </c>
    </row>
    <row r="356" spans="18:23" x14ac:dyDescent="0.15">
      <c r="R356" s="60">
        <v>346</v>
      </c>
      <c r="S356" s="60">
        <f t="shared" si="14"/>
        <v>59488.933333333334</v>
      </c>
      <c r="T356" s="60">
        <f t="shared" si="14"/>
        <v>59488.933333333334</v>
      </c>
      <c r="U356" s="60">
        <f t="shared" si="14"/>
        <v>59488.933333333334</v>
      </c>
      <c r="V356" s="60">
        <f t="shared" si="14"/>
        <v>59488.933333333334</v>
      </c>
      <c r="W356" s="60">
        <f t="shared" si="14"/>
        <v>59488.933333333334</v>
      </c>
    </row>
    <row r="357" spans="18:23" x14ac:dyDescent="0.15">
      <c r="R357" s="60">
        <v>347</v>
      </c>
      <c r="S357" s="60">
        <f t="shared" si="14"/>
        <v>59660.866666666669</v>
      </c>
      <c r="T357" s="60">
        <f t="shared" si="14"/>
        <v>59660.866666666669</v>
      </c>
      <c r="U357" s="60">
        <f t="shared" si="14"/>
        <v>59660.866666666669</v>
      </c>
      <c r="V357" s="60">
        <f t="shared" si="14"/>
        <v>59660.866666666669</v>
      </c>
      <c r="W357" s="60">
        <f t="shared" si="14"/>
        <v>59660.866666666669</v>
      </c>
    </row>
    <row r="358" spans="18:23" x14ac:dyDescent="0.15">
      <c r="R358" s="60">
        <v>348</v>
      </c>
      <c r="S358" s="60">
        <f t="shared" si="14"/>
        <v>59832.800000000003</v>
      </c>
      <c r="T358" s="60">
        <f t="shared" si="14"/>
        <v>59832.800000000003</v>
      </c>
      <c r="U358" s="60">
        <f t="shared" si="14"/>
        <v>59832.800000000003</v>
      </c>
      <c r="V358" s="60">
        <f t="shared" si="14"/>
        <v>59832.800000000003</v>
      </c>
      <c r="W358" s="60">
        <f t="shared" si="14"/>
        <v>59832.800000000003</v>
      </c>
    </row>
    <row r="359" spans="18:23" x14ac:dyDescent="0.15">
      <c r="R359" s="60">
        <v>349</v>
      </c>
      <c r="S359" s="60">
        <f t="shared" si="14"/>
        <v>60004.73333333333</v>
      </c>
      <c r="T359" s="60">
        <f t="shared" si="14"/>
        <v>60004.73333333333</v>
      </c>
      <c r="U359" s="60">
        <f t="shared" si="14"/>
        <v>60004.73333333333</v>
      </c>
      <c r="V359" s="60">
        <f t="shared" si="14"/>
        <v>60004.73333333333</v>
      </c>
      <c r="W359" s="60">
        <f t="shared" si="14"/>
        <v>60004.73333333333</v>
      </c>
    </row>
    <row r="360" spans="18:23" x14ac:dyDescent="0.15">
      <c r="R360" s="60">
        <v>350</v>
      </c>
      <c r="S360" s="60">
        <f t="shared" si="14"/>
        <v>60176.666666666664</v>
      </c>
      <c r="T360" s="60">
        <f t="shared" si="14"/>
        <v>60176.666666666664</v>
      </c>
      <c r="U360" s="60">
        <f t="shared" si="14"/>
        <v>60176.666666666664</v>
      </c>
      <c r="V360" s="60">
        <f t="shared" si="14"/>
        <v>60176.666666666664</v>
      </c>
      <c r="W360" s="60">
        <f t="shared" si="14"/>
        <v>60176.666666666664</v>
      </c>
    </row>
    <row r="361" spans="18:23" x14ac:dyDescent="0.15">
      <c r="R361" s="60">
        <v>351</v>
      </c>
      <c r="S361" s="60">
        <f t="shared" si="14"/>
        <v>60348.6</v>
      </c>
      <c r="T361" s="60">
        <f t="shared" si="14"/>
        <v>60348.6</v>
      </c>
      <c r="U361" s="60">
        <f t="shared" si="14"/>
        <v>60348.6</v>
      </c>
      <c r="V361" s="60">
        <f t="shared" si="14"/>
        <v>60348.6</v>
      </c>
      <c r="W361" s="60">
        <f t="shared" si="14"/>
        <v>60348.6</v>
      </c>
    </row>
    <row r="362" spans="18:23" x14ac:dyDescent="0.15">
      <c r="R362" s="60">
        <v>352</v>
      </c>
      <c r="S362" s="60">
        <f t="shared" si="14"/>
        <v>60520.533333333333</v>
      </c>
      <c r="T362" s="60">
        <f t="shared" si="14"/>
        <v>60520.533333333333</v>
      </c>
      <c r="U362" s="60">
        <f t="shared" si="14"/>
        <v>60520.533333333333</v>
      </c>
      <c r="V362" s="60">
        <f t="shared" si="14"/>
        <v>60520.533333333333</v>
      </c>
      <c r="W362" s="60">
        <f t="shared" si="14"/>
        <v>60520.533333333333</v>
      </c>
    </row>
    <row r="363" spans="18:23" x14ac:dyDescent="0.15">
      <c r="R363" s="60">
        <v>353</v>
      </c>
      <c r="S363" s="60">
        <f t="shared" si="14"/>
        <v>60692.466666666667</v>
      </c>
      <c r="T363" s="60">
        <f t="shared" si="14"/>
        <v>60692.466666666667</v>
      </c>
      <c r="U363" s="60">
        <f t="shared" si="14"/>
        <v>60692.466666666667</v>
      </c>
      <c r="V363" s="60">
        <f t="shared" si="14"/>
        <v>60692.466666666667</v>
      </c>
      <c r="W363" s="60">
        <f t="shared" si="14"/>
        <v>60692.466666666667</v>
      </c>
    </row>
    <row r="364" spans="18:23" x14ac:dyDescent="0.15">
      <c r="R364" s="60">
        <v>354</v>
      </c>
      <c r="S364" s="60">
        <f t="shared" si="14"/>
        <v>60864.4</v>
      </c>
      <c r="T364" s="60">
        <f t="shared" si="14"/>
        <v>60864.4</v>
      </c>
      <c r="U364" s="60">
        <f t="shared" si="14"/>
        <v>60864.4</v>
      </c>
      <c r="V364" s="60">
        <f t="shared" si="14"/>
        <v>60864.4</v>
      </c>
      <c r="W364" s="60">
        <f t="shared" si="14"/>
        <v>60864.4</v>
      </c>
    </row>
    <row r="365" spans="18:23" x14ac:dyDescent="0.15">
      <c r="R365" s="60">
        <v>355</v>
      </c>
      <c r="S365" s="60">
        <f t="shared" si="14"/>
        <v>61036.333333333336</v>
      </c>
      <c r="T365" s="60">
        <f t="shared" si="14"/>
        <v>61036.333333333336</v>
      </c>
      <c r="U365" s="60">
        <f t="shared" si="14"/>
        <v>61036.333333333336</v>
      </c>
      <c r="V365" s="60">
        <f t="shared" si="14"/>
        <v>61036.333333333336</v>
      </c>
      <c r="W365" s="60">
        <f t="shared" si="14"/>
        <v>61036.333333333336</v>
      </c>
    </row>
    <row r="366" spans="18:23" x14ac:dyDescent="0.15">
      <c r="R366" s="60">
        <v>356</v>
      </c>
      <c r="S366" s="60">
        <f t="shared" si="14"/>
        <v>61208.26666666667</v>
      </c>
      <c r="T366" s="60">
        <f t="shared" si="14"/>
        <v>61208.26666666667</v>
      </c>
      <c r="U366" s="60">
        <f t="shared" si="14"/>
        <v>61208.26666666667</v>
      </c>
      <c r="V366" s="60">
        <f t="shared" si="14"/>
        <v>61208.26666666667</v>
      </c>
      <c r="W366" s="60">
        <f t="shared" si="14"/>
        <v>61208.26666666667</v>
      </c>
    </row>
    <row r="367" spans="18:23" x14ac:dyDescent="0.15">
      <c r="R367" s="60">
        <v>357</v>
      </c>
      <c r="S367" s="60">
        <f t="shared" si="14"/>
        <v>61380.2</v>
      </c>
      <c r="T367" s="60">
        <f t="shared" si="14"/>
        <v>61380.2</v>
      </c>
      <c r="U367" s="60">
        <f t="shared" si="14"/>
        <v>61380.2</v>
      </c>
      <c r="V367" s="60">
        <f t="shared" si="14"/>
        <v>61380.2</v>
      </c>
      <c r="W367" s="60">
        <f t="shared" si="14"/>
        <v>61380.2</v>
      </c>
    </row>
    <row r="368" spans="18:23" x14ac:dyDescent="0.15">
      <c r="R368" s="60">
        <v>358</v>
      </c>
      <c r="S368" s="60">
        <f t="shared" si="14"/>
        <v>61552.133333333331</v>
      </c>
      <c r="T368" s="60">
        <f t="shared" si="14"/>
        <v>61552.133333333331</v>
      </c>
      <c r="U368" s="60">
        <f t="shared" si="14"/>
        <v>61552.133333333331</v>
      </c>
      <c r="V368" s="60">
        <f t="shared" si="14"/>
        <v>61552.133333333331</v>
      </c>
      <c r="W368" s="60">
        <f t="shared" si="14"/>
        <v>61552.133333333331</v>
      </c>
    </row>
    <row r="369" spans="18:23" x14ac:dyDescent="0.15">
      <c r="R369" s="60">
        <v>359</v>
      </c>
      <c r="S369" s="60">
        <f t="shared" si="14"/>
        <v>61724.066666666666</v>
      </c>
      <c r="T369" s="60">
        <f t="shared" si="14"/>
        <v>61724.066666666666</v>
      </c>
      <c r="U369" s="60">
        <f t="shared" si="14"/>
        <v>61724.066666666666</v>
      </c>
      <c r="V369" s="60">
        <f t="shared" si="14"/>
        <v>61724.066666666666</v>
      </c>
      <c r="W369" s="60">
        <f t="shared" si="14"/>
        <v>61724.066666666666</v>
      </c>
    </row>
    <row r="370" spans="18:23" x14ac:dyDescent="0.15">
      <c r="R370" s="60">
        <v>360</v>
      </c>
      <c r="S370" s="60">
        <f t="shared" si="14"/>
        <v>61896</v>
      </c>
      <c r="T370" s="60">
        <f t="shared" si="14"/>
        <v>61896</v>
      </c>
      <c r="U370" s="60">
        <f t="shared" si="14"/>
        <v>61896</v>
      </c>
      <c r="V370" s="60">
        <f t="shared" si="14"/>
        <v>61896</v>
      </c>
      <c r="W370" s="60">
        <f t="shared" si="14"/>
        <v>61896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Z776"/>
  <sheetViews>
    <sheetView topLeftCell="A145" workbookViewId="0">
      <selection activeCell="I164" sqref="I164"/>
    </sheetView>
  </sheetViews>
  <sheetFormatPr defaultRowHeight="11.25" x14ac:dyDescent="0.15"/>
  <cols>
    <col min="1" max="16384" width="9" style="58"/>
  </cols>
  <sheetData>
    <row r="1" spans="1:26" x14ac:dyDescent="0.15">
      <c r="A1" s="59" t="str">
        <f>IF([2]道具信息!A1="","",[2]道具信息!A1)</f>
        <v/>
      </c>
      <c r="B1" s="59" t="str">
        <f>IF([2]道具信息!B1="","",[2]道具信息!B1)</f>
        <v/>
      </c>
      <c r="C1" s="59" t="str">
        <f>IF([2]道具信息!C1="","",[2]道具信息!C1)</f>
        <v>道具价值</v>
      </c>
      <c r="D1" s="59" t="str">
        <f>IF([2]道具信息!D1="","",[2]道具信息!D1)</f>
        <v/>
      </c>
      <c r="E1" s="59" t="str">
        <f>IF([2]道具信息!E1="","",[2]道具信息!E1)</f>
        <v/>
      </c>
      <c r="F1" s="59" t="str">
        <f>IF([2]道具信息!F1="","",[2]道具信息!F1)</f>
        <v/>
      </c>
      <c r="G1" s="59" t="str">
        <f>IF([2]道具信息!G1="","",[2]道具信息!G1)</f>
        <v/>
      </c>
      <c r="H1" s="59" t="str">
        <f>IF([2]道具信息!H1="","",[2]道具信息!H1)</f>
        <v/>
      </c>
      <c r="I1" s="59" t="str">
        <f>IF([2]道具信息!I1="","",[2]道具信息!I1)</f>
        <v/>
      </c>
      <c r="J1" s="59" t="str">
        <f>IF([2]道具信息!J1="","",[2]道具信息!J1)</f>
        <v/>
      </c>
      <c r="K1" s="59" t="str">
        <f>IF([2]道具信息!K1="","",[2]道具信息!K1)</f>
        <v/>
      </c>
      <c r="L1" s="59" t="str">
        <f>IF([2]道具信息!L1="","",[2]道具信息!L1)</f>
        <v/>
      </c>
      <c r="M1" s="59" t="str">
        <f>IF([2]道具信息!M1="","",[2]道具信息!M1)</f>
        <v/>
      </c>
      <c r="N1" s="59" t="str">
        <f>IF([2]道具信息!N1="","",[2]道具信息!N1)</f>
        <v/>
      </c>
      <c r="O1" s="59" t="str">
        <f>IF([2]道具信息!O1="","",[2]道具信息!O1)</f>
        <v/>
      </c>
      <c r="P1" s="59" t="str">
        <f>IF([2]道具信息!P1="","",[2]道具信息!P1)</f>
        <v>buff价值</v>
      </c>
      <c r="Q1" s="59" t="str">
        <f>IF([2]道具信息!Q1="","",[2]道具信息!Q1)</f>
        <v/>
      </c>
      <c r="R1" s="59" t="str">
        <f>IF([2]道具信息!R1="","",[2]道具信息!R1)</f>
        <v/>
      </c>
      <c r="S1" s="59" t="str">
        <f>IF([2]道具信息!S1="","",[2]道具信息!S1)</f>
        <v/>
      </c>
      <c r="T1" s="59" t="str">
        <f>IF([2]道具信息!T1="","",[2]道具信息!T1)</f>
        <v/>
      </c>
      <c r="U1" s="59" t="str">
        <f>IF([2]道具信息!U1="","",[2]道具信息!U1)</f>
        <v/>
      </c>
      <c r="V1" s="59" t="str">
        <f>IF([2]道具信息!V1="","",[2]道具信息!V1)</f>
        <v/>
      </c>
      <c r="W1" s="59" t="str">
        <f>IF([2]道具信息!W1="","",[2]道具信息!W1)</f>
        <v/>
      </c>
      <c r="X1" s="59" t="str">
        <f>IF([2]道具信息!X1="","",[2]道具信息!X1)</f>
        <v/>
      </c>
      <c r="Y1" s="59" t="str">
        <f>IF([2]道具信息!Y1="","",[2]道具信息!Y1)</f>
        <v/>
      </c>
      <c r="Z1" s="59" t="str">
        <f>IF([2]道具信息!Z1="","",[2]道具信息!Z1)</f>
        <v/>
      </c>
    </row>
    <row r="2" spans="1:26" x14ac:dyDescent="0.15">
      <c r="A2" s="59" t="str">
        <f>IF([2]道具信息!A2="","",[2]道具信息!A2)</f>
        <v/>
      </c>
      <c r="B2" s="59" t="str">
        <f>IF([2]道具信息!B2="","",[2]道具信息!B2)</f>
        <v/>
      </c>
      <c r="C2" s="59" t="str">
        <f>IF([2]道具信息!C2="","",[2]道具信息!C2)</f>
        <v/>
      </c>
      <c r="D2" s="59" t="str">
        <f>IF([2]道具信息!D2="","",[2]道具信息!D2)</f>
        <v/>
      </c>
      <c r="E2" s="59" t="str">
        <f>IF([2]道具信息!E2="","",[2]道具信息!E2)</f>
        <v/>
      </c>
      <c r="F2" s="59" t="str">
        <f>IF([2]道具信息!F2="","",[2]道具信息!F2)</f>
        <v>（1-10天）</v>
      </c>
      <c r="G2" s="59" t="str">
        <f>IF([2]道具信息!G2="","",[2]道具信息!G2)</f>
        <v>(11-180天）</v>
      </c>
      <c r="H2" s="59" t="str">
        <f>IF([2]道具信息!H2="","",[2]道具信息!H2)</f>
        <v>（181~360天）</v>
      </c>
      <c r="I2" s="59" t="str">
        <f>IF([2]道具信息!I2="","",[2]道具信息!I2)</f>
        <v>（1-10天）</v>
      </c>
      <c r="J2" s="59" t="str">
        <f>IF([2]道具信息!J2="","",[2]道具信息!J2)</f>
        <v>(11-180天）</v>
      </c>
      <c r="K2" s="59" t="str">
        <f>IF([2]道具信息!K2="","",[2]道具信息!K2)</f>
        <v>（181~360天）</v>
      </c>
      <c r="L2" s="59" t="str">
        <f>IF([2]道具信息!L2="","",[2]道具信息!L2)</f>
        <v/>
      </c>
      <c r="M2" s="59" t="str">
        <f>IF([2]道具信息!M2="","",[2]道具信息!M2)</f>
        <v/>
      </c>
      <c r="N2" s="59" t="str">
        <f>IF([2]道具信息!N2="","",[2]道具信息!N2)</f>
        <v/>
      </c>
      <c r="O2" s="59" t="str">
        <f>IF([2]道具信息!O2="","",[2]道具信息!O2)</f>
        <v/>
      </c>
      <c r="P2" s="59" t="str">
        <f>IF([2]道具信息!P2="","",[2]道具信息!P2)</f>
        <v/>
      </c>
      <c r="Q2" s="59" t="str">
        <f>IF([2]道具信息!Q2="","",[2]道具信息!Q2)</f>
        <v/>
      </c>
      <c r="R2" s="59" t="str">
        <f>IF([2]道具信息!R2="","",[2]道具信息!R2)</f>
        <v/>
      </c>
      <c r="S2" s="59" t="str">
        <f>IF([2]道具信息!S2="","",[2]道具信息!S2)</f>
        <v/>
      </c>
      <c r="T2" s="59" t="str">
        <f>IF([2]道具信息!T2="","",[2]道具信息!T2)</f>
        <v/>
      </c>
      <c r="U2" s="59" t="str">
        <f>IF([2]道具信息!U2="","",[2]道具信息!U2)</f>
        <v/>
      </c>
      <c r="V2" s="59" t="str">
        <f>IF([2]道具信息!V2="","",[2]道具信息!V2)</f>
        <v/>
      </c>
      <c r="W2" s="59" t="str">
        <f>IF([2]道具信息!W2="","",[2]道具信息!W2)</f>
        <v/>
      </c>
      <c r="X2" s="59" t="str">
        <f>IF([2]道具信息!X2="","",[2]道具信息!X2)</f>
        <v/>
      </c>
      <c r="Y2" s="59" t="str">
        <f>IF([2]道具信息!Y2="","",[2]道具信息!Y2)</f>
        <v/>
      </c>
      <c r="Z2" s="59" t="str">
        <f>IF([2]道具信息!Z2="","",[2]道具信息!Z2)</f>
        <v/>
      </c>
    </row>
    <row r="3" spans="1:26" x14ac:dyDescent="0.15">
      <c r="A3" s="59" t="str">
        <f>IF([2]道具信息!A3="","",[2]道具信息!A3)</f>
        <v/>
      </c>
      <c r="B3" s="59" t="str">
        <f>IF([2]道具信息!B3="","",[2]道具信息!B3)</f>
        <v/>
      </c>
      <c r="C3" s="59" t="str">
        <f>IF([2]道具信息!C3="","",[2]道具信息!C3)</f>
        <v>sid</v>
      </c>
      <c r="D3" s="59" t="str">
        <f>IF([2]道具信息!D3="","",[2]道具信息!D3)</f>
        <v>名称</v>
      </c>
      <c r="E3" s="59" t="str">
        <f>IF([2]道具信息!E3="","",[2]道具信息!E3)</f>
        <v>价格</v>
      </c>
      <c r="F3" s="59" t="str">
        <f>IF([2]道具信息!F3="","",[2]道具信息!F3)</f>
        <v>调整参数</v>
      </c>
      <c r="G3" s="59" t="str">
        <f>IF([2]道具信息!G3="","",[2]道具信息!G3)</f>
        <v>调整参数</v>
      </c>
      <c r="H3" s="59" t="str">
        <f>IF([2]道具信息!H3="","",[2]道具信息!H3)</f>
        <v>调整参数</v>
      </c>
      <c r="I3" s="59" t="str">
        <f>IF([2]道具信息!I3="","",[2]道具信息!I3)</f>
        <v>实际价格</v>
      </c>
      <c r="J3" s="59" t="str">
        <f>IF([2]道具信息!J3="","",[2]道具信息!J3)</f>
        <v>实际价格</v>
      </c>
      <c r="K3" s="59" t="str">
        <f>IF([2]道具信息!K3="","",[2]道具信息!K3)</f>
        <v>实际价格</v>
      </c>
      <c r="L3" s="59" t="str">
        <f>IF([2]道具信息!L3="","",[2]道具信息!L3)</f>
        <v>描述</v>
      </c>
      <c r="M3" s="59" t="str">
        <f>IF([2]道具信息!M3="","",[2]道具信息!M3)</f>
        <v/>
      </c>
      <c r="N3" s="59" t="str">
        <f>IF([2]道具信息!N3="","",[2]道具信息!N3)</f>
        <v/>
      </c>
      <c r="O3" s="59" t="str">
        <f>IF([2]道具信息!O3="","",[2]道具信息!O3)</f>
        <v/>
      </c>
      <c r="P3" s="59" t="str">
        <f>IF([2]道具信息!P3="","",[2]道具信息!P3)</f>
        <v>buff效果</v>
      </c>
      <c r="Q3" s="59" t="str">
        <f>IF([2]道具信息!Q3="","",[2]道具信息!Q3)</f>
        <v>单位价值（100%加成/天）</v>
      </c>
      <c r="R3" s="59" t="str">
        <f>IF([2]道具信息!R3="","",[2]道具信息!R3)</f>
        <v/>
      </c>
      <c r="S3" s="59" t="str">
        <f>IF([2]道具信息!S3="","",[2]道具信息!S3)</f>
        <v/>
      </c>
      <c r="T3" s="59" t="str">
        <f>IF([2]道具信息!T3="","",[2]道具信息!T3)</f>
        <v/>
      </c>
      <c r="U3" s="59" t="str">
        <f>IF([2]道具信息!U3="","",[2]道具信息!U3)</f>
        <v/>
      </c>
      <c r="V3" s="59" t="str">
        <f>IF([2]道具信息!V3="","",[2]道具信息!V3)</f>
        <v/>
      </c>
      <c r="W3" s="59" t="str">
        <f>IF([2]道具信息!W3="","",[2]道具信息!W3)</f>
        <v/>
      </c>
      <c r="X3" s="59" t="str">
        <f>IF([2]道具信息!X3="","",[2]道具信息!X3)</f>
        <v/>
      </c>
      <c r="Y3" s="59" t="str">
        <f>IF([2]道具信息!Y3="","",[2]道具信息!Y3)</f>
        <v/>
      </c>
      <c r="Z3" s="59" t="str">
        <f>IF([2]道具信息!Z3="","",[2]道具信息!Z3)</f>
        <v/>
      </c>
    </row>
    <row r="4" spans="1:26" x14ac:dyDescent="0.15">
      <c r="A4" s="59" t="str">
        <f>IF([2]道具信息!A4="","",[2]道具信息!A4)</f>
        <v/>
      </c>
      <c r="B4" s="59" t="str">
        <f>IF([2]道具信息!B4="","",[2]道具信息!B4)</f>
        <v/>
      </c>
      <c r="C4" s="59" t="str">
        <f>IF([2]道具信息!C4="","",[2]道具信息!C4)</f>
        <v/>
      </c>
      <c r="D4" s="59" t="str">
        <f>IF([2]道具信息!D4="","",[2]道具信息!D4)</f>
        <v>橙色指定武将</v>
      </c>
      <c r="E4" s="59">
        <f>IF([2]道具信息!E4="","",[2]道具信息!E4)</f>
        <v>4800</v>
      </c>
      <c r="F4" s="59">
        <f>IF([2]道具信息!F4="","",[2]道具信息!F4)</f>
        <v>1</v>
      </c>
      <c r="G4" s="59">
        <f>IF([2]道具信息!G4="","",[2]道具信息!G4)</f>
        <v>1</v>
      </c>
      <c r="H4" s="59">
        <f>IF([2]道具信息!H4="","",[2]道具信息!H4)</f>
        <v>1</v>
      </c>
      <c r="I4" s="59">
        <f>IF([2]道具信息!I4="","",[2]道具信息!I4)</f>
        <v>4800</v>
      </c>
      <c r="J4" s="59">
        <f>IF([2]道具信息!J4="","",[2]道具信息!J4)</f>
        <v>4800</v>
      </c>
      <c r="K4" s="59">
        <f>IF([2]道具信息!K4="","",[2]道具信息!K4)</f>
        <v>4800</v>
      </c>
      <c r="L4" s="59" t="str">
        <f>IF([2]道具信息!L4="","",[2]道具信息!L4)</f>
        <v>120武将</v>
      </c>
      <c r="M4" s="59" t="str">
        <f>IF([2]道具信息!M4="","",[2]道具信息!M4)</f>
        <v/>
      </c>
      <c r="N4" s="59" t="str">
        <f>IF([2]道具信息!N4="","",[2]道具信息!N4)</f>
        <v/>
      </c>
      <c r="O4" s="59" t="str">
        <f>IF([2]道具信息!O4="","",[2]道具信息!O4)</f>
        <v/>
      </c>
      <c r="P4" s="59" t="str">
        <f>IF([2]道具信息!P4="","",[2]道具信息!P4)</f>
        <v>城建加速/天</v>
      </c>
      <c r="Q4" s="59">
        <f>IF([2]道具信息!Q4="","",[2]道具信息!Q4)</f>
        <v>6580.9143041563138</v>
      </c>
      <c r="R4" s="59" t="str">
        <f>IF([2]道具信息!R4="","",[2]道具信息!R4)</f>
        <v/>
      </c>
      <c r="S4" s="59" t="str">
        <f>IF([2]道具信息!S4="","",[2]道具信息!S4)</f>
        <v/>
      </c>
      <c r="T4" s="59" t="str">
        <f>IF([2]道具信息!T4="","",[2]道具信息!T4)</f>
        <v/>
      </c>
      <c r="U4" s="59" t="str">
        <f>IF([2]道具信息!U4="","",[2]道具信息!U4)</f>
        <v/>
      </c>
      <c r="V4" s="59" t="str">
        <f>IF([2]道具信息!V4="","",[2]道具信息!V4)</f>
        <v/>
      </c>
      <c r="W4" s="59" t="str">
        <f>IF([2]道具信息!W4="","",[2]道具信息!W4)</f>
        <v/>
      </c>
      <c r="X4" s="59" t="str">
        <f>IF([2]道具信息!X4="","",[2]道具信息!X4)</f>
        <v/>
      </c>
      <c r="Y4" s="59" t="str">
        <f>IF([2]道具信息!Y4="","",[2]道具信息!Y4)</f>
        <v/>
      </c>
      <c r="Z4" s="59" t="str">
        <f>IF([2]道具信息!Z4="","",[2]道具信息!Z4)</f>
        <v/>
      </c>
    </row>
    <row r="5" spans="1:26" x14ac:dyDescent="0.15">
      <c r="A5" s="59" t="str">
        <f>IF([2]道具信息!A5="","",[2]道具信息!A5)</f>
        <v/>
      </c>
      <c r="B5" s="59" t="str">
        <f>IF([2]道具信息!B5="","",[2]道具信息!B5)</f>
        <v/>
      </c>
      <c r="C5" s="59" t="str">
        <f>IF([2]道具信息!C5="","",[2]道具信息!C5)</f>
        <v/>
      </c>
      <c r="D5" s="59" t="str">
        <f>IF([2]道具信息!D5="","",[2]道具信息!D5)</f>
        <v>紫色指定武将</v>
      </c>
      <c r="E5" s="59">
        <f>IF([2]道具信息!E5="","",[2]道具信息!E5)</f>
        <v>540</v>
      </c>
      <c r="F5" s="59">
        <f>IF([2]道具信息!F5="","",[2]道具信息!F5)</f>
        <v>1</v>
      </c>
      <c r="G5" s="59">
        <f>IF([2]道具信息!G5="","",[2]道具信息!G5)</f>
        <v>1</v>
      </c>
      <c r="H5" s="59">
        <f>IF([2]道具信息!H5="","",[2]道具信息!H5)</f>
        <v>1</v>
      </c>
      <c r="I5" s="59">
        <f>IF([2]道具信息!I5="","",[2]道具信息!I5)</f>
        <v>540</v>
      </c>
      <c r="J5" s="59">
        <f>IF([2]道具信息!J5="","",[2]道具信息!J5)</f>
        <v>540</v>
      </c>
      <c r="K5" s="59">
        <f>IF([2]道具信息!K5="","",[2]道具信息!K5)</f>
        <v>540</v>
      </c>
      <c r="L5" s="59" t="str">
        <f>IF([2]道具信息!L5="","",[2]道具信息!L5)</f>
        <v>110武将</v>
      </c>
      <c r="M5" s="59" t="str">
        <f>IF([2]道具信息!M5="","",[2]道具信息!M5)</f>
        <v/>
      </c>
      <c r="N5" s="59" t="str">
        <f>IF([2]道具信息!N5="","",[2]道具信息!N5)</f>
        <v/>
      </c>
      <c r="O5" s="59" t="str">
        <f>IF([2]道具信息!O5="","",[2]道具信息!O5)</f>
        <v/>
      </c>
      <c r="P5" s="59" t="str">
        <f>IF([2]道具信息!P5="","",[2]道具信息!P5)</f>
        <v>招募加速/天</v>
      </c>
      <c r="Q5" s="59">
        <f>IF([2]道具信息!Q5="","",[2]道具信息!Q5)</f>
        <v>1304.381932837668</v>
      </c>
      <c r="R5" s="59" t="str">
        <f>IF([2]道具信息!R5="","",[2]道具信息!R5)</f>
        <v/>
      </c>
      <c r="S5" s="59" t="str">
        <f>IF([2]道具信息!S5="","",[2]道具信息!S5)</f>
        <v/>
      </c>
      <c r="T5" s="59" t="str">
        <f>IF([2]道具信息!T5="","",[2]道具信息!T5)</f>
        <v/>
      </c>
      <c r="U5" s="59" t="str">
        <f>IF([2]道具信息!U5="","",[2]道具信息!U5)</f>
        <v/>
      </c>
      <c r="V5" s="59" t="str">
        <f>IF([2]道具信息!V5="","",[2]道具信息!V5)</f>
        <v/>
      </c>
      <c r="W5" s="59" t="str">
        <f>IF([2]道具信息!W5="","",[2]道具信息!W5)</f>
        <v/>
      </c>
      <c r="X5" s="59" t="str">
        <f>IF([2]道具信息!X5="","",[2]道具信息!X5)</f>
        <v/>
      </c>
      <c r="Y5" s="59" t="str">
        <f>IF([2]道具信息!Y5="","",[2]道具信息!Y5)</f>
        <v/>
      </c>
      <c r="Z5" s="59" t="str">
        <f>IF([2]道具信息!Z5="","",[2]道具信息!Z5)</f>
        <v/>
      </c>
    </row>
    <row r="6" spans="1:26" x14ac:dyDescent="0.15">
      <c r="A6" s="59" t="str">
        <f>IF([2]道具信息!A6="","",[2]道具信息!A6)</f>
        <v/>
      </c>
      <c r="B6" s="59" t="str">
        <f>IF([2]道具信息!B6="","",[2]道具信息!B6)</f>
        <v/>
      </c>
      <c r="C6" s="59" t="str">
        <f>IF([2]道具信息!C6="","",[2]道具信息!C6)</f>
        <v/>
      </c>
      <c r="D6" s="59" t="str">
        <f>IF([2]道具信息!D6="","",[2]道具信息!D6)</f>
        <v>125指定武将</v>
      </c>
      <c r="E6" s="59">
        <f>IF([2]道具信息!E6="","",[2]道具信息!E6)</f>
        <v>10800</v>
      </c>
      <c r="F6" s="59">
        <f>IF([2]道具信息!F6="","",[2]道具信息!F6)</f>
        <v>1</v>
      </c>
      <c r="G6" s="59">
        <f>IF([2]道具信息!G6="","",[2]道具信息!G6)</f>
        <v>1</v>
      </c>
      <c r="H6" s="59">
        <f>IF([2]道具信息!H6="","",[2]道具信息!H6)</f>
        <v>1</v>
      </c>
      <c r="I6" s="59">
        <f>IF([2]道具信息!I6="","",[2]道具信息!I6)</f>
        <v>10800</v>
      </c>
      <c r="J6" s="59">
        <f>IF([2]道具信息!J6="","",[2]道具信息!J6)</f>
        <v>10800</v>
      </c>
      <c r="K6" s="59">
        <f>IF([2]道具信息!K6="","",[2]道具信息!K6)</f>
        <v>10800</v>
      </c>
      <c r="L6" s="59" t="str">
        <f>IF([2]道具信息!L6="","",[2]道具信息!L6)</f>
        <v>125武将</v>
      </c>
      <c r="M6" s="59" t="str">
        <f>IF([2]道具信息!M6="","",[2]道具信息!M6)</f>
        <v/>
      </c>
      <c r="N6" s="59" t="str">
        <f>IF([2]道具信息!N6="","",[2]道具信息!N6)</f>
        <v/>
      </c>
      <c r="O6" s="59" t="str">
        <f>IF([2]道具信息!O6="","",[2]道具信息!O6)</f>
        <v/>
      </c>
      <c r="P6" s="59" t="str">
        <f>IF([2]道具信息!P6="","",[2]道具信息!P6)</f>
        <v>治疗加速/天</v>
      </c>
      <c r="Q6" s="59">
        <f>IF([2]道具信息!Q6="","",[2]道具信息!Q6)</f>
        <v>526.56698383615992</v>
      </c>
      <c r="R6" s="59" t="str">
        <f>IF([2]道具信息!R6="","",[2]道具信息!R6)</f>
        <v/>
      </c>
      <c r="S6" s="59" t="str">
        <f>IF([2]道具信息!S6="","",[2]道具信息!S6)</f>
        <v/>
      </c>
      <c r="T6" s="59" t="str">
        <f>IF([2]道具信息!T6="","",[2]道具信息!T6)</f>
        <v/>
      </c>
      <c r="U6" s="59" t="str">
        <f>IF([2]道具信息!U6="","",[2]道具信息!U6)</f>
        <v/>
      </c>
      <c r="V6" s="59" t="str">
        <f>IF([2]道具信息!V6="","",[2]道具信息!V6)</f>
        <v/>
      </c>
      <c r="W6" s="59" t="str">
        <f>IF([2]道具信息!W6="","",[2]道具信息!W6)</f>
        <v/>
      </c>
      <c r="X6" s="59" t="str">
        <f>IF([2]道具信息!X6="","",[2]道具信息!X6)</f>
        <v/>
      </c>
      <c r="Y6" s="59" t="str">
        <f>IF([2]道具信息!Y6="","",[2]道具信息!Y6)</f>
        <v/>
      </c>
      <c r="Z6" s="59" t="str">
        <f>IF([2]道具信息!Z6="","",[2]道具信息!Z6)</f>
        <v/>
      </c>
    </row>
    <row r="7" spans="1:26" x14ac:dyDescent="0.15">
      <c r="A7" s="59" t="str">
        <f>IF([2]道具信息!A7="","",[2]道具信息!A7)</f>
        <v/>
      </c>
      <c r="B7" s="59" t="str">
        <f>IF([2]道具信息!B7="","",[2]道具信息!B7)</f>
        <v/>
      </c>
      <c r="C7" s="59" t="str">
        <f>IF([2]道具信息!C7="","",[2]道具信息!C7)</f>
        <v/>
      </c>
      <c r="D7" s="59" t="str">
        <f>IF([2]道具信息!D7="","",[2]道具信息!D7)</f>
        <v>橙+指定武将</v>
      </c>
      <c r="E7" s="59">
        <f>IF([2]道具信息!E7="","",[2]道具信息!E7)</f>
        <v>14400</v>
      </c>
      <c r="F7" s="59">
        <f>IF([2]道具信息!F7="","",[2]道具信息!F7)</f>
        <v>1</v>
      </c>
      <c r="G7" s="59">
        <f>IF([2]道具信息!G7="","",[2]道具信息!G7)</f>
        <v>1</v>
      </c>
      <c r="H7" s="59">
        <f>IF([2]道具信息!H7="","",[2]道具信息!H7)</f>
        <v>1</v>
      </c>
      <c r="I7" s="59">
        <f>IF([2]道具信息!I7="","",[2]道具信息!I7)</f>
        <v>14400</v>
      </c>
      <c r="J7" s="59">
        <f>IF([2]道具信息!J7="","",[2]道具信息!J7)</f>
        <v>14400</v>
      </c>
      <c r="K7" s="59">
        <f>IF([2]道具信息!K7="","",[2]道具信息!K7)</f>
        <v>14400</v>
      </c>
      <c r="L7" s="59" t="str">
        <f>IF([2]道具信息!L7="","",[2]道具信息!L7)</f>
        <v>130武将</v>
      </c>
      <c r="M7" s="59" t="str">
        <f>IF([2]道具信息!M7="","",[2]道具信息!M7)</f>
        <v/>
      </c>
      <c r="N7" s="59" t="str">
        <f>IF([2]道具信息!N7="","",[2]道具信息!N7)</f>
        <v/>
      </c>
      <c r="O7" s="59" t="str">
        <f>IF([2]道具信息!O7="","",[2]道具信息!O7)</f>
        <v/>
      </c>
      <c r="P7" s="59" t="str">
        <f>IF([2]道具信息!P7="","",[2]道具信息!P7)</f>
        <v>训练加速/天</v>
      </c>
      <c r="Q7" s="59">
        <f>IF([2]道具信息!Q7="","",[2]道具信息!Q7)</f>
        <v>3919.2796718797345</v>
      </c>
      <c r="R7" s="59" t="str">
        <f>IF([2]道具信息!R7="","",[2]道具信息!R7)</f>
        <v/>
      </c>
      <c r="S7" s="59" t="str">
        <f>IF([2]道具信息!S7="","",[2]道具信息!S7)</f>
        <v/>
      </c>
      <c r="T7" s="59" t="str">
        <f>IF([2]道具信息!T7="","",[2]道具信息!T7)</f>
        <v/>
      </c>
      <c r="U7" s="59" t="str">
        <f>IF([2]道具信息!U7="","",[2]道具信息!U7)</f>
        <v/>
      </c>
      <c r="V7" s="59" t="str">
        <f>IF([2]道具信息!V7="","",[2]道具信息!V7)</f>
        <v/>
      </c>
      <c r="W7" s="59" t="str">
        <f>IF([2]道具信息!W7="","",[2]道具信息!W7)</f>
        <v/>
      </c>
      <c r="X7" s="59" t="str">
        <f>IF([2]道具信息!X7="","",[2]道具信息!X7)</f>
        <v/>
      </c>
      <c r="Y7" s="59" t="str">
        <f>IF([2]道具信息!Y7="","",[2]道具信息!Y7)</f>
        <v/>
      </c>
      <c r="Z7" s="59" t="str">
        <f>IF([2]道具信息!Z7="","",[2]道具信息!Z7)</f>
        <v/>
      </c>
    </row>
    <row r="8" spans="1:26" x14ac:dyDescent="0.15">
      <c r="A8" s="59" t="str">
        <f>IF([2]道具信息!A8="","",[2]道具信息!A8)</f>
        <v/>
      </c>
      <c r="B8" s="59" t="str">
        <f>IF([2]道具信息!B8="","",[2]道具信息!B8)</f>
        <v/>
      </c>
      <c r="C8" s="59" t="str">
        <f>IF([2]道具信息!C8="","",[2]道具信息!C8)</f>
        <v/>
      </c>
      <c r="D8" s="59" t="str">
        <f>IF([2]道具信息!D8="","",[2]道具信息!D8)</f>
        <v>125指定武将碎片</v>
      </c>
      <c r="E8" s="59">
        <f>IF([2]道具信息!E8="","",[2]道具信息!E8)</f>
        <v>360</v>
      </c>
      <c r="F8" s="59">
        <f>IF([2]道具信息!F8="","",[2]道具信息!F8)</f>
        <v>1</v>
      </c>
      <c r="G8" s="59">
        <f>IF([2]道具信息!G8="","",[2]道具信息!G8)</f>
        <v>1</v>
      </c>
      <c r="H8" s="59">
        <f>IF([2]道具信息!H8="","",[2]道具信息!H8)</f>
        <v>1</v>
      </c>
      <c r="I8" s="59">
        <f>IF([2]道具信息!I8="","",[2]道具信息!I8)</f>
        <v>360</v>
      </c>
      <c r="J8" s="59">
        <f>IF([2]道具信息!J8="","",[2]道具信息!J8)</f>
        <v>360</v>
      </c>
      <c r="K8" s="59">
        <f>IF([2]道具信息!K8="","",[2]道具信息!K8)</f>
        <v>360</v>
      </c>
      <c r="L8" s="59" t="str">
        <f>IF([2]道具信息!L8="","",[2]道具信息!L8)</f>
        <v>125武将碎片</v>
      </c>
      <c r="M8" s="59" t="str">
        <f>IF([2]道具信息!M8="","",[2]道具信息!M8)</f>
        <v/>
      </c>
      <c r="N8" s="59" t="str">
        <f>IF([2]道具信息!N8="","",[2]道具信息!N8)</f>
        <v/>
      </c>
      <c r="O8" s="59" t="str">
        <f>IF([2]道具信息!O8="","",[2]道具信息!O8)</f>
        <v/>
      </c>
      <c r="P8" s="59" t="str">
        <f>IF([2]道具信息!P8="","",[2]道具信息!P8)</f>
        <v/>
      </c>
      <c r="Q8" s="59" t="str">
        <f>IF([2]道具信息!Q8="","",[2]道具信息!Q8)</f>
        <v/>
      </c>
      <c r="R8" s="59" t="str">
        <f>IF([2]道具信息!R8="","",[2]道具信息!R8)</f>
        <v/>
      </c>
      <c r="S8" s="59" t="str">
        <f>IF([2]道具信息!S8="","",[2]道具信息!S8)</f>
        <v/>
      </c>
      <c r="T8" s="59" t="str">
        <f>IF([2]道具信息!T8="","",[2]道具信息!T8)</f>
        <v/>
      </c>
      <c r="U8" s="59" t="str">
        <f>IF([2]道具信息!U8="","",[2]道具信息!U8)</f>
        <v/>
      </c>
      <c r="V8" s="59" t="str">
        <f>IF([2]道具信息!V8="","",[2]道具信息!V8)</f>
        <v/>
      </c>
      <c r="W8" s="59" t="str">
        <f>IF([2]道具信息!W8="","",[2]道具信息!W8)</f>
        <v/>
      </c>
      <c r="X8" s="59" t="str">
        <f>IF([2]道具信息!X8="","",[2]道具信息!X8)</f>
        <v/>
      </c>
      <c r="Y8" s="59" t="str">
        <f>IF([2]道具信息!Y8="","",[2]道具信息!Y8)</f>
        <v/>
      </c>
      <c r="Z8" s="59" t="str">
        <f>IF([2]道具信息!Z8="","",[2]道具信息!Z8)</f>
        <v/>
      </c>
    </row>
    <row r="9" spans="1:26" x14ac:dyDescent="0.15">
      <c r="A9" s="59" t="str">
        <f>IF([2]道具信息!A9="","",[2]道具信息!A9)</f>
        <v/>
      </c>
      <c r="B9" s="59" t="str">
        <f>IF([2]道具信息!B9="","",[2]道具信息!B9)</f>
        <v/>
      </c>
      <c r="C9" s="59" t="str">
        <f>IF([2]道具信息!C9="","",[2]道具信息!C9)</f>
        <v/>
      </c>
      <c r="D9" s="59" t="str">
        <f>IF([2]道具信息!D9="","",[2]道具信息!D9)</f>
        <v>橙+指定武将碎片</v>
      </c>
      <c r="E9" s="59">
        <f>IF([2]道具信息!E9="","",[2]道具信息!E9)</f>
        <v>480</v>
      </c>
      <c r="F9" s="59">
        <f>IF([2]道具信息!F9="","",[2]道具信息!F9)</f>
        <v>1</v>
      </c>
      <c r="G9" s="59">
        <f>IF([2]道具信息!G9="","",[2]道具信息!G9)</f>
        <v>1</v>
      </c>
      <c r="H9" s="59">
        <f>IF([2]道具信息!H9="","",[2]道具信息!H9)</f>
        <v>1</v>
      </c>
      <c r="I9" s="59">
        <f>IF([2]道具信息!I9="","",[2]道具信息!I9)</f>
        <v>480</v>
      </c>
      <c r="J9" s="59">
        <f>IF([2]道具信息!J9="","",[2]道具信息!J9)</f>
        <v>480</v>
      </c>
      <c r="K9" s="59">
        <f>IF([2]道具信息!K9="","",[2]道具信息!K9)</f>
        <v>480</v>
      </c>
      <c r="L9" s="59" t="str">
        <f>IF([2]道具信息!L9="","",[2]道具信息!L9)</f>
        <v>130武将碎片</v>
      </c>
      <c r="M9" s="59" t="str">
        <f>IF([2]道具信息!M9="","",[2]道具信息!M9)</f>
        <v/>
      </c>
      <c r="N9" s="59" t="str">
        <f>IF([2]道具信息!N9="","",[2]道具信息!N9)</f>
        <v/>
      </c>
      <c r="O9" s="59" t="str">
        <f>IF([2]道具信息!O9="","",[2]道具信息!O9)</f>
        <v/>
      </c>
      <c r="P9" s="59" t="str">
        <f>IF([2]道具信息!P9="","",[2]道具信息!P9)</f>
        <v/>
      </c>
      <c r="Q9" s="59" t="str">
        <f>IF([2]道具信息!Q9="","",[2]道具信息!Q9)</f>
        <v/>
      </c>
      <c r="R9" s="59" t="str">
        <f>IF([2]道具信息!R9="","",[2]道具信息!R9)</f>
        <v/>
      </c>
      <c r="S9" s="59" t="str">
        <f>IF([2]道具信息!S9="","",[2]道具信息!S9)</f>
        <v/>
      </c>
      <c r="T9" s="59" t="str">
        <f>IF([2]道具信息!T9="","",[2]道具信息!T9)</f>
        <v/>
      </c>
      <c r="U9" s="59" t="str">
        <f>IF([2]道具信息!U9="","",[2]道具信息!U9)</f>
        <v/>
      </c>
      <c r="V9" s="59" t="str">
        <f>IF([2]道具信息!V9="","",[2]道具信息!V9)</f>
        <v/>
      </c>
      <c r="W9" s="59" t="str">
        <f>IF([2]道具信息!W9="","",[2]道具信息!W9)</f>
        <v/>
      </c>
      <c r="X9" s="59" t="str">
        <f>IF([2]道具信息!X9="","",[2]道具信息!X9)</f>
        <v/>
      </c>
      <c r="Y9" s="59" t="str">
        <f>IF([2]道具信息!Y9="","",[2]道具信息!Y9)</f>
        <v/>
      </c>
      <c r="Z9" s="59" t="str">
        <f>IF([2]道具信息!Z9="","",[2]道具信息!Z9)</f>
        <v/>
      </c>
    </row>
    <row r="10" spans="1:26" x14ac:dyDescent="0.15">
      <c r="A10" s="59" t="str">
        <f>IF([2]道具信息!A10="","",[2]道具信息!A10)</f>
        <v/>
      </c>
      <c r="B10" s="59" t="str">
        <f>IF([2]道具信息!B10="","",[2]道具信息!B10)</f>
        <v/>
      </c>
      <c r="C10" s="59" t="str">
        <f>IF([2]道具信息!C10="","",[2]道具信息!C10)</f>
        <v/>
      </c>
      <c r="D10" s="59" t="str">
        <f>IF([2]道具信息!D10="","",[2]道具信息!D10)</f>
        <v>140指定武将</v>
      </c>
      <c r="E10" s="59">
        <f>IF([2]道具信息!E10="","",[2]道具信息!E10)</f>
        <v>43200</v>
      </c>
      <c r="F10" s="59">
        <f>IF([2]道具信息!F10="","",[2]道具信息!F10)</f>
        <v>1</v>
      </c>
      <c r="G10" s="59">
        <f>IF([2]道具信息!G10="","",[2]道具信息!G10)</f>
        <v>1</v>
      </c>
      <c r="H10" s="59">
        <f>IF([2]道具信息!H10="","",[2]道具信息!H10)</f>
        <v>1</v>
      </c>
      <c r="I10" s="59">
        <f>IF([2]道具信息!I10="","",[2]道具信息!I10)</f>
        <v>43200</v>
      </c>
      <c r="J10" s="59">
        <f>IF([2]道具信息!J10="","",[2]道具信息!J10)</f>
        <v>43200</v>
      </c>
      <c r="K10" s="59">
        <f>IF([2]道具信息!K10="","",[2]道具信息!K10)</f>
        <v>43200</v>
      </c>
      <c r="L10" s="59" t="str">
        <f>IF([2]道具信息!L10="","",[2]道具信息!L10)</f>
        <v/>
      </c>
      <c r="M10" s="59" t="str">
        <f>IF([2]道具信息!M10="","",[2]道具信息!M10)</f>
        <v/>
      </c>
      <c r="N10" s="59" t="str">
        <f>IF([2]道具信息!N10="","",[2]道具信息!N10)</f>
        <v/>
      </c>
      <c r="O10" s="59" t="str">
        <f>IF([2]道具信息!O10="","",[2]道具信息!O10)</f>
        <v/>
      </c>
      <c r="P10" s="59" t="str">
        <f>IF([2]道具信息!P10="","",[2]道具信息!P10)</f>
        <v>钻研加速/天</v>
      </c>
      <c r="Q10" s="59">
        <f>IF([2]道具信息!Q10="","",[2]道具信息!Q10)</f>
        <v>5493.5213862222308</v>
      </c>
      <c r="R10" s="59" t="str">
        <f>IF([2]道具信息!R10="","",[2]道具信息!R10)</f>
        <v/>
      </c>
      <c r="S10" s="59" t="str">
        <f>IF([2]道具信息!S10="","",[2]道具信息!S10)</f>
        <v/>
      </c>
      <c r="T10" s="59" t="str">
        <f>IF([2]道具信息!T10="","",[2]道具信息!T10)</f>
        <v/>
      </c>
      <c r="U10" s="59" t="str">
        <f>IF([2]道具信息!U10="","",[2]道具信息!U10)</f>
        <v/>
      </c>
      <c r="V10" s="59" t="str">
        <f>IF([2]道具信息!V10="","",[2]道具信息!V10)</f>
        <v/>
      </c>
      <c r="W10" s="59" t="str">
        <f>IF([2]道具信息!W10="","",[2]道具信息!W10)</f>
        <v/>
      </c>
      <c r="X10" s="59" t="str">
        <f>IF([2]道具信息!X10="","",[2]道具信息!X10)</f>
        <v/>
      </c>
      <c r="Y10" s="59" t="str">
        <f>IF([2]道具信息!Y10="","",[2]道具信息!Y10)</f>
        <v/>
      </c>
      <c r="Z10" s="59" t="str">
        <f>IF([2]道具信息!Z10="","",[2]道具信息!Z10)</f>
        <v/>
      </c>
    </row>
    <row r="11" spans="1:26" x14ac:dyDescent="0.15">
      <c r="A11" s="59" t="str">
        <f>IF([2]道具信息!A11="","",[2]道具信息!A11)</f>
        <v/>
      </c>
      <c r="B11" s="59" t="str">
        <f>IF([2]道具信息!B11="","",[2]道具信息!B11)</f>
        <v/>
      </c>
      <c r="C11" s="59" t="str">
        <f>IF([2]道具信息!C11="","",[2]道具信息!C11)</f>
        <v/>
      </c>
      <c r="D11" s="59" t="str">
        <f>IF([2]道具信息!D11="","",[2]道具信息!D11)</f>
        <v>140指定武将碎片</v>
      </c>
      <c r="E11" s="59">
        <f>IF([2]道具信息!E11="","",[2]道具信息!E11)</f>
        <v>864</v>
      </c>
      <c r="F11" s="59">
        <f>IF([2]道具信息!F11="","",[2]道具信息!F11)</f>
        <v>1</v>
      </c>
      <c r="G11" s="59">
        <f>IF([2]道具信息!G11="","",[2]道具信息!G11)</f>
        <v>1</v>
      </c>
      <c r="H11" s="59">
        <f>IF([2]道具信息!H11="","",[2]道具信息!H11)</f>
        <v>1</v>
      </c>
      <c r="I11" s="59">
        <f>IF([2]道具信息!I11="","",[2]道具信息!I11)</f>
        <v>864</v>
      </c>
      <c r="J11" s="59">
        <f>IF([2]道具信息!J11="","",[2]道具信息!J11)</f>
        <v>864</v>
      </c>
      <c r="K11" s="59">
        <f>IF([2]道具信息!K11="","",[2]道具信息!K11)</f>
        <v>864</v>
      </c>
      <c r="L11" s="59" t="str">
        <f>IF([2]道具信息!L11="","",[2]道具信息!L11)</f>
        <v/>
      </c>
      <c r="M11" s="59" t="str">
        <f>IF([2]道具信息!M11="","",[2]道具信息!M11)</f>
        <v/>
      </c>
      <c r="N11" s="59" t="str">
        <f>IF([2]道具信息!N11="","",[2]道具信息!N11)</f>
        <v/>
      </c>
      <c r="O11" s="59" t="str">
        <f>IF([2]道具信息!O11="","",[2]道具信息!O11)</f>
        <v/>
      </c>
      <c r="P11" s="59" t="str">
        <f>IF([2]道具信息!P11="","",[2]道具信息!P11)</f>
        <v>木材产出加速/天</v>
      </c>
      <c r="Q11" s="59">
        <f>IF([2]道具信息!Q11="","",[2]道具信息!Q11)</f>
        <v>159.10603085818101</v>
      </c>
      <c r="R11" s="59" t="str">
        <f>IF([2]道具信息!R11="","",[2]道具信息!R11)</f>
        <v/>
      </c>
      <c r="S11" s="59" t="str">
        <f>IF([2]道具信息!S11="","",[2]道具信息!S11)</f>
        <v/>
      </c>
      <c r="T11" s="59" t="str">
        <f>IF([2]道具信息!T11="","",[2]道具信息!T11)</f>
        <v/>
      </c>
      <c r="U11" s="59" t="str">
        <f>IF([2]道具信息!U11="","",[2]道具信息!U11)</f>
        <v/>
      </c>
      <c r="V11" s="59" t="str">
        <f>IF([2]道具信息!V11="","",[2]道具信息!V11)</f>
        <v/>
      </c>
      <c r="W11" s="59" t="str">
        <f>IF([2]道具信息!W11="","",[2]道具信息!W11)</f>
        <v/>
      </c>
      <c r="X11" s="59" t="str">
        <f>IF([2]道具信息!X11="","",[2]道具信息!X11)</f>
        <v/>
      </c>
      <c r="Y11" s="59" t="str">
        <f>IF([2]道具信息!Y11="","",[2]道具信息!Y11)</f>
        <v/>
      </c>
      <c r="Z11" s="59" t="str">
        <f>IF([2]道具信息!Z11="","",[2]道具信息!Z11)</f>
        <v/>
      </c>
    </row>
    <row r="12" spans="1:26" x14ac:dyDescent="0.15">
      <c r="A12" s="59" t="str">
        <f>IF([2]道具信息!A12="","",[2]道具信息!A12)</f>
        <v/>
      </c>
      <c r="B12" s="59" t="str">
        <f>IF([2]道具信息!B12="","",[2]道具信息!B12)</f>
        <v/>
      </c>
      <c r="C12" s="59" t="str">
        <f>IF([2]道具信息!C12="","",[2]道具信息!C12)</f>
        <v/>
      </c>
      <c r="D12" s="59" t="str">
        <f>IF([2]道具信息!D12="","",[2]道具信息!D12)</f>
        <v>黄金</v>
      </c>
      <c r="E12" s="59">
        <f>IF([2]道具信息!E12="","",[2]道具信息!E12)</f>
        <v>1</v>
      </c>
      <c r="F12" s="59">
        <f>IF([2]道具信息!F12="","",[2]道具信息!F12)</f>
        <v>1</v>
      </c>
      <c r="G12" s="59">
        <f>IF([2]道具信息!G12="","",[2]道具信息!G12)</f>
        <v>1</v>
      </c>
      <c r="H12" s="59">
        <f>IF([2]道具信息!H12="","",[2]道具信息!H12)</f>
        <v>1</v>
      </c>
      <c r="I12" s="59">
        <f>IF([2]道具信息!I12="","",[2]道具信息!I12)</f>
        <v>1</v>
      </c>
      <c r="J12" s="59">
        <f>IF([2]道具信息!J12="","",[2]道具信息!J12)</f>
        <v>1</v>
      </c>
      <c r="K12" s="59">
        <f>IF([2]道具信息!K12="","",[2]道具信息!K12)</f>
        <v>1</v>
      </c>
      <c r="L12" s="59" t="str">
        <f>IF([2]道具信息!L12="","",[2]道具信息!L12)</f>
        <v/>
      </c>
      <c r="M12" s="59" t="str">
        <f>IF([2]道具信息!M12="","",[2]道具信息!M12)</f>
        <v/>
      </c>
      <c r="N12" s="59" t="str">
        <f>IF([2]道具信息!N12="","",[2]道具信息!N12)</f>
        <v/>
      </c>
      <c r="O12" s="59" t="str">
        <f>IF([2]道具信息!O12="","",[2]道具信息!O12)</f>
        <v/>
      </c>
      <c r="P12" s="59" t="str">
        <f>IF([2]道具信息!P12="","",[2]道具信息!P12)</f>
        <v>石料产出加速/天</v>
      </c>
      <c r="Q12" s="59">
        <f>IF([2]道具信息!Q12="","",[2]道具信息!Q12)</f>
        <v>159.10603085818101</v>
      </c>
      <c r="R12" s="59" t="str">
        <f>IF([2]道具信息!R12="","",[2]道具信息!R12)</f>
        <v/>
      </c>
      <c r="S12" s="59" t="str">
        <f>IF([2]道具信息!S12="","",[2]道具信息!S12)</f>
        <v/>
      </c>
      <c r="T12" s="59" t="str">
        <f>IF([2]道具信息!T12="","",[2]道具信息!T12)</f>
        <v/>
      </c>
      <c r="U12" s="59" t="str">
        <f>IF([2]道具信息!U12="","",[2]道具信息!U12)</f>
        <v/>
      </c>
      <c r="V12" s="59" t="str">
        <f>IF([2]道具信息!V12="","",[2]道具信息!V12)</f>
        <v/>
      </c>
      <c r="W12" s="59" t="str">
        <f>IF([2]道具信息!W12="","",[2]道具信息!W12)</f>
        <v/>
      </c>
      <c r="X12" s="59" t="str">
        <f>IF([2]道具信息!X12="","",[2]道具信息!X12)</f>
        <v/>
      </c>
      <c r="Y12" s="59" t="str">
        <f>IF([2]道具信息!Y12="","",[2]道具信息!Y12)</f>
        <v/>
      </c>
      <c r="Z12" s="59" t="str">
        <f>IF([2]道具信息!Z12="","",[2]道具信息!Z12)</f>
        <v/>
      </c>
    </row>
    <row r="13" spans="1:26" x14ac:dyDescent="0.15">
      <c r="A13" s="59" t="str">
        <f>IF([2]道具信息!A13="","",[2]道具信息!A13)</f>
        <v/>
      </c>
      <c r="B13" s="59" t="str">
        <f>IF([2]道具信息!B13="","",[2]道具信息!B13)</f>
        <v/>
      </c>
      <c r="C13" s="59" t="str">
        <f>IF([2]道具信息!C13="","",[2]道具信息!C13)</f>
        <v/>
      </c>
      <c r="D13" s="59" t="str">
        <f>IF([2]道具信息!D13="","",[2]道具信息!D13)</f>
        <v>粮食</v>
      </c>
      <c r="E13" s="59">
        <f>IF([2]道具信息!E13="","",[2]道具信息!E13)</f>
        <v>1.5532286312592918E-4</v>
      </c>
      <c r="F13" s="59">
        <f>IF([2]道具信息!F13="","",[2]道具信息!F13)</f>
        <v>1</v>
      </c>
      <c r="G13" s="59">
        <f>IF([2]道具信息!G13="","",[2]道具信息!G13)</f>
        <v>1</v>
      </c>
      <c r="H13" s="59">
        <f>IF([2]道具信息!H13="","",[2]道具信息!H13)</f>
        <v>0.5</v>
      </c>
      <c r="I13" s="59">
        <f>IF([2]道具信息!I13="","",[2]道具信息!I13)</f>
        <v>1.5532286312592918E-4</v>
      </c>
      <c r="J13" s="59">
        <f>IF([2]道具信息!J13="","",[2]道具信息!J13)</f>
        <v>1.5532286312592918E-4</v>
      </c>
      <c r="K13" s="59">
        <f>IF([2]道具信息!K13="","",[2]道具信息!K13)</f>
        <v>7.7661431562964592E-5</v>
      </c>
      <c r="L13" s="59" t="str">
        <f>IF([2]道具信息!L13="","",[2]道具信息!L13)</f>
        <v/>
      </c>
      <c r="M13" s="59" t="str">
        <f>IF([2]道具信息!M13="","",[2]道具信息!M13)</f>
        <v/>
      </c>
      <c r="N13" s="59" t="str">
        <f>IF([2]道具信息!N13="","",[2]道具信息!N13)</f>
        <v/>
      </c>
      <c r="O13" s="59" t="str">
        <f>IF([2]道具信息!O13="","",[2]道具信息!O13)</f>
        <v/>
      </c>
      <c r="P13" s="59" t="str">
        <f>IF([2]道具信息!P13="","",[2]道具信息!P13)</f>
        <v>铜矿产出加速/天</v>
      </c>
      <c r="Q13" s="59">
        <f>IF([2]道具信息!Q13="","",[2]道具信息!Q13)</f>
        <v>159.10603085818101</v>
      </c>
      <c r="R13" s="59" t="str">
        <f>IF([2]道具信息!R13="","",[2]道具信息!R13)</f>
        <v/>
      </c>
      <c r="S13" s="59" t="str">
        <f>IF([2]道具信息!S13="","",[2]道具信息!S13)</f>
        <v/>
      </c>
      <c r="T13" s="59" t="str">
        <f>IF([2]道具信息!T13="","",[2]道具信息!T13)</f>
        <v/>
      </c>
      <c r="U13" s="59" t="str">
        <f>IF([2]道具信息!U13="","",[2]道具信息!U13)</f>
        <v/>
      </c>
      <c r="V13" s="59" t="str">
        <f>IF([2]道具信息!V13="","",[2]道具信息!V13)</f>
        <v/>
      </c>
      <c r="W13" s="59" t="str">
        <f>IF([2]道具信息!W13="","",[2]道具信息!W13)</f>
        <v/>
      </c>
      <c r="X13" s="59" t="str">
        <f>IF([2]道具信息!X13="","",[2]道具信息!X13)</f>
        <v/>
      </c>
      <c r="Y13" s="59" t="str">
        <f>IF([2]道具信息!Y13="","",[2]道具信息!Y13)</f>
        <v/>
      </c>
      <c r="Z13" s="59" t="str">
        <f>IF([2]道具信息!Z13="","",[2]道具信息!Z13)</f>
        <v/>
      </c>
    </row>
    <row r="14" spans="1:26" x14ac:dyDescent="0.15">
      <c r="A14" s="59" t="str">
        <f>IF([2]道具信息!A14="","",[2]道具信息!A14)</f>
        <v/>
      </c>
      <c r="B14" s="59" t="str">
        <f>IF([2]道具信息!B14="","",[2]道具信息!B14)</f>
        <v/>
      </c>
      <c r="C14" s="59" t="str">
        <f>IF([2]道具信息!C14="","",[2]道具信息!C14)</f>
        <v/>
      </c>
      <c r="D14" s="59" t="str">
        <f>IF([2]道具信息!D14="","",[2]道具信息!D14)</f>
        <v>木材</v>
      </c>
      <c r="E14" s="59">
        <f>IF([2]道具信息!E14="","",[2]道具信息!E14)</f>
        <v>1.5532286312592918E-4</v>
      </c>
      <c r="F14" s="59">
        <f>IF([2]道具信息!F14="","",[2]道具信息!F14)</f>
        <v>1</v>
      </c>
      <c r="G14" s="59">
        <f>IF([2]道具信息!G14="","",[2]道具信息!G14)</f>
        <v>1</v>
      </c>
      <c r="H14" s="59">
        <f>IF([2]道具信息!H14="","",[2]道具信息!H14)</f>
        <v>0.5</v>
      </c>
      <c r="I14" s="59">
        <f>IF([2]道具信息!I14="","",[2]道具信息!I14)</f>
        <v>1.5532286312592918E-4</v>
      </c>
      <c r="J14" s="59">
        <f>IF([2]道具信息!J14="","",[2]道具信息!J14)</f>
        <v>1.5532286312592918E-4</v>
      </c>
      <c r="K14" s="59">
        <f>IF([2]道具信息!K14="","",[2]道具信息!K14)</f>
        <v>7.7661431562964592E-5</v>
      </c>
      <c r="L14" s="59" t="str">
        <f>IF([2]道具信息!L14="","",[2]道具信息!L14)</f>
        <v/>
      </c>
      <c r="M14" s="59" t="str">
        <f>IF([2]道具信息!M14="","",[2]道具信息!M14)</f>
        <v/>
      </c>
      <c r="N14" s="59" t="str">
        <f>IF([2]道具信息!N14="","",[2]道具信息!N14)</f>
        <v/>
      </c>
      <c r="O14" s="59" t="str">
        <f>IF([2]道具信息!O14="","",[2]道具信息!O14)</f>
        <v/>
      </c>
      <c r="P14" s="59" t="str">
        <f>IF([2]道具信息!P14="","",[2]道具信息!P14)</f>
        <v>粮食产出加速/天</v>
      </c>
      <c r="Q14" s="59">
        <f>IF([2]道具信息!Q14="","",[2]道具信息!Q14)</f>
        <v>159.10603085818101</v>
      </c>
      <c r="R14" s="59" t="str">
        <f>IF([2]道具信息!R14="","",[2]道具信息!R14)</f>
        <v/>
      </c>
      <c r="S14" s="59" t="str">
        <f>IF([2]道具信息!S14="","",[2]道具信息!S14)</f>
        <v/>
      </c>
      <c r="T14" s="59" t="str">
        <f>IF([2]道具信息!T14="","",[2]道具信息!T14)</f>
        <v/>
      </c>
      <c r="U14" s="59" t="str">
        <f>IF([2]道具信息!U14="","",[2]道具信息!U14)</f>
        <v/>
      </c>
      <c r="V14" s="59" t="str">
        <f>IF([2]道具信息!V14="","",[2]道具信息!V14)</f>
        <v/>
      </c>
      <c r="W14" s="59" t="str">
        <f>IF([2]道具信息!W14="","",[2]道具信息!W14)</f>
        <v/>
      </c>
      <c r="X14" s="59" t="str">
        <f>IF([2]道具信息!X14="","",[2]道具信息!X14)</f>
        <v/>
      </c>
      <c r="Y14" s="59" t="str">
        <f>IF([2]道具信息!Y14="","",[2]道具信息!Y14)</f>
        <v/>
      </c>
      <c r="Z14" s="59" t="str">
        <f>IF([2]道具信息!Z14="","",[2]道具信息!Z14)</f>
        <v/>
      </c>
    </row>
    <row r="15" spans="1:26" x14ac:dyDescent="0.15">
      <c r="A15" s="59" t="str">
        <f>IF([2]道具信息!A15="","",[2]道具信息!A15)</f>
        <v/>
      </c>
      <c r="B15" s="59" t="str">
        <f>IF([2]道具信息!B15="","",[2]道具信息!B15)</f>
        <v/>
      </c>
      <c r="C15" s="59" t="str">
        <f>IF([2]道具信息!C15="","",[2]道具信息!C15)</f>
        <v/>
      </c>
      <c r="D15" s="59" t="str">
        <f>IF([2]道具信息!D15="","",[2]道具信息!D15)</f>
        <v>石料</v>
      </c>
      <c r="E15" s="59">
        <f>IF([2]道具信息!E15="","",[2]道具信息!E15)</f>
        <v>1.5532286312592918E-4</v>
      </c>
      <c r="F15" s="59">
        <f>IF([2]道具信息!F15="","",[2]道具信息!F15)</f>
        <v>1</v>
      </c>
      <c r="G15" s="59">
        <f>IF([2]道具信息!G15="","",[2]道具信息!G15)</f>
        <v>1</v>
      </c>
      <c r="H15" s="59">
        <f>IF([2]道具信息!H15="","",[2]道具信息!H15)</f>
        <v>0.5</v>
      </c>
      <c r="I15" s="59">
        <f>IF([2]道具信息!I15="","",[2]道具信息!I15)</f>
        <v>1.5532286312592918E-4</v>
      </c>
      <c r="J15" s="59">
        <f>IF([2]道具信息!J15="","",[2]道具信息!J15)</f>
        <v>1.5532286312592918E-4</v>
      </c>
      <c r="K15" s="59">
        <f>IF([2]道具信息!K15="","",[2]道具信息!K15)</f>
        <v>7.7661431562964592E-5</v>
      </c>
      <c r="L15" s="59" t="str">
        <f>IF([2]道具信息!L15="","",[2]道具信息!L15)</f>
        <v/>
      </c>
      <c r="M15" s="59" t="str">
        <f>IF([2]道具信息!M15="","",[2]道具信息!M15)</f>
        <v/>
      </c>
      <c r="N15" s="59" t="str">
        <f>IF([2]道具信息!N15="","",[2]道具信息!N15)</f>
        <v/>
      </c>
      <c r="O15" s="59" t="str">
        <f>IF([2]道具信息!O15="","",[2]道具信息!O15)</f>
        <v/>
      </c>
      <c r="P15" s="59" t="str">
        <f>IF([2]道具信息!P15="","",[2]道具信息!P15)</f>
        <v>铁矿产出加速/天</v>
      </c>
      <c r="Q15" s="59">
        <f>IF([2]道具信息!Q15="","",[2]道具信息!Q15)</f>
        <v>238.65904628727151</v>
      </c>
      <c r="R15" s="59" t="str">
        <f>IF([2]道具信息!R15="","",[2]道具信息!R15)</f>
        <v/>
      </c>
      <c r="S15" s="59" t="str">
        <f>IF([2]道具信息!S15="","",[2]道具信息!S15)</f>
        <v/>
      </c>
      <c r="T15" s="59" t="str">
        <f>IF([2]道具信息!T15="","",[2]道具信息!T15)</f>
        <v/>
      </c>
      <c r="U15" s="59" t="str">
        <f>IF([2]道具信息!U15="","",[2]道具信息!U15)</f>
        <v/>
      </c>
      <c r="V15" s="59" t="str">
        <f>IF([2]道具信息!V15="","",[2]道具信息!V15)</f>
        <v/>
      </c>
      <c r="W15" s="59" t="str">
        <f>IF([2]道具信息!W15="","",[2]道具信息!W15)</f>
        <v/>
      </c>
      <c r="X15" s="59" t="str">
        <f>IF([2]道具信息!X15="","",[2]道具信息!X15)</f>
        <v/>
      </c>
      <c r="Y15" s="59" t="str">
        <f>IF([2]道具信息!Y15="","",[2]道具信息!Y15)</f>
        <v/>
      </c>
      <c r="Z15" s="59" t="str">
        <f>IF([2]道具信息!Z15="","",[2]道具信息!Z15)</f>
        <v/>
      </c>
    </row>
    <row r="16" spans="1:26" x14ac:dyDescent="0.15">
      <c r="A16" s="59" t="str">
        <f>IF([2]道具信息!A16="","",[2]道具信息!A16)</f>
        <v/>
      </c>
      <c r="B16" s="59" t="str">
        <f>IF([2]道具信息!B16="","",[2]道具信息!B16)</f>
        <v/>
      </c>
      <c r="C16" s="59" t="str">
        <f>IF([2]道具信息!C16="","",[2]道具信息!C16)</f>
        <v/>
      </c>
      <c r="D16" s="59" t="str">
        <f>IF([2]道具信息!D16="","",[2]道具信息!D16)</f>
        <v>铜矿</v>
      </c>
      <c r="E16" s="59">
        <f>IF([2]道具信息!E16="","",[2]道具信息!E16)</f>
        <v>1.5532286312592918E-4</v>
      </c>
      <c r="F16" s="59">
        <f>IF([2]道具信息!F16="","",[2]道具信息!F16)</f>
        <v>1</v>
      </c>
      <c r="G16" s="59">
        <f>IF([2]道具信息!G16="","",[2]道具信息!G16)</f>
        <v>1</v>
      </c>
      <c r="H16" s="59">
        <f>IF([2]道具信息!H16="","",[2]道具信息!H16)</f>
        <v>0.5</v>
      </c>
      <c r="I16" s="59">
        <f>IF([2]道具信息!I16="","",[2]道具信息!I16)</f>
        <v>1.5532286312592918E-4</v>
      </c>
      <c r="J16" s="59">
        <f>IF([2]道具信息!J16="","",[2]道具信息!J16)</f>
        <v>1.5532286312592918E-4</v>
      </c>
      <c r="K16" s="59">
        <f>IF([2]道具信息!K16="","",[2]道具信息!K16)</f>
        <v>7.7661431562964592E-5</v>
      </c>
      <c r="L16" s="59" t="str">
        <f>IF([2]道具信息!L16="","",[2]道具信息!L16)</f>
        <v/>
      </c>
      <c r="M16" s="59" t="str">
        <f>IF([2]道具信息!M16="","",[2]道具信息!M16)</f>
        <v/>
      </c>
      <c r="N16" s="59" t="str">
        <f>IF([2]道具信息!N16="","",[2]道具信息!N16)</f>
        <v/>
      </c>
      <c r="O16" s="59" t="str">
        <f>IF([2]道具信息!O16="","",[2]道具信息!O16)</f>
        <v/>
      </c>
      <c r="P16" s="59" t="str">
        <f>IF([2]道具信息!P16="","",[2]道具信息!P16)</f>
        <v>刀币产出加速/天</v>
      </c>
      <c r="Q16" s="59">
        <f>IF([2]道具信息!Q16="","",[2]道具信息!Q16)</f>
        <v>364.00823995945541</v>
      </c>
      <c r="R16" s="59" t="str">
        <f>IF([2]道具信息!R16="","",[2]道具信息!R16)</f>
        <v/>
      </c>
      <c r="S16" s="59" t="str">
        <f>IF([2]道具信息!S16="","",[2]道具信息!S16)</f>
        <v/>
      </c>
      <c r="T16" s="59" t="str">
        <f>IF([2]道具信息!T16="","",[2]道具信息!T16)</f>
        <v/>
      </c>
      <c r="U16" s="59" t="str">
        <f>IF([2]道具信息!U16="","",[2]道具信息!U16)</f>
        <v/>
      </c>
      <c r="V16" s="59" t="str">
        <f>IF([2]道具信息!V16="","",[2]道具信息!V16)</f>
        <v/>
      </c>
      <c r="W16" s="59" t="str">
        <f>IF([2]道具信息!W16="","",[2]道具信息!W16)</f>
        <v/>
      </c>
      <c r="X16" s="59" t="str">
        <f>IF([2]道具信息!X16="","",[2]道具信息!X16)</f>
        <v/>
      </c>
      <c r="Y16" s="59" t="str">
        <f>IF([2]道具信息!Y16="","",[2]道具信息!Y16)</f>
        <v/>
      </c>
      <c r="Z16" s="59" t="str">
        <f>IF([2]道具信息!Z16="","",[2]道具信息!Z16)</f>
        <v/>
      </c>
    </row>
    <row r="17" spans="1:26" x14ac:dyDescent="0.15">
      <c r="A17" s="59" t="str">
        <f>IF([2]道具信息!A17="","",[2]道具信息!A17)</f>
        <v/>
      </c>
      <c r="B17" s="59" t="str">
        <f>IF([2]道具信息!B17="","",[2]道具信息!B17)</f>
        <v/>
      </c>
      <c r="C17" s="59" t="str">
        <f>IF([2]道具信息!C17="","",[2]道具信息!C17)</f>
        <v/>
      </c>
      <c r="D17" s="59" t="str">
        <f>IF([2]道具信息!D17="","",[2]道具信息!D17)</f>
        <v>铁矿</v>
      </c>
      <c r="E17" s="59">
        <f>IF([2]道具信息!E17="","",[2]道具信息!E17)</f>
        <v>3.5830021050108204E-4</v>
      </c>
      <c r="F17" s="59">
        <f>IF([2]道具信息!F17="","",[2]道具信息!F17)</f>
        <v>1</v>
      </c>
      <c r="G17" s="59">
        <f>IF([2]道具信息!G17="","",[2]道具信息!G17)</f>
        <v>1</v>
      </c>
      <c r="H17" s="59">
        <f>IF([2]道具信息!H17="","",[2]道具信息!H17)</f>
        <v>0.5</v>
      </c>
      <c r="I17" s="59">
        <f>IF([2]道具信息!I17="","",[2]道具信息!I17)</f>
        <v>3.5830021050108204E-4</v>
      </c>
      <c r="J17" s="59">
        <f>IF([2]道具信息!J17="","",[2]道具信息!J17)</f>
        <v>3.5830021050108204E-4</v>
      </c>
      <c r="K17" s="59">
        <f>IF([2]道具信息!K17="","",[2]道具信息!K17)</f>
        <v>1.7915010525054102E-4</v>
      </c>
      <c r="L17" s="59" t="str">
        <f>IF([2]道具信息!L17="","",[2]道具信息!L17)</f>
        <v/>
      </c>
      <c r="M17" s="59" t="str">
        <f>IF([2]道具信息!M17="","",[2]道具信息!M17)</f>
        <v/>
      </c>
      <c r="N17" s="59" t="str">
        <f>IF([2]道具信息!N17="","",[2]道具信息!N17)</f>
        <v/>
      </c>
      <c r="O17" s="59" t="str">
        <f>IF([2]道具信息!O17="","",[2]道具信息!O17)</f>
        <v/>
      </c>
      <c r="P17" s="59" t="str">
        <f>IF([2]道具信息!P17="","",[2]道具信息!P17)</f>
        <v>木材采集加速/天</v>
      </c>
      <c r="Q17" s="59">
        <f>IF([2]道具信息!Q17="","",[2]道具信息!Q17)</f>
        <v>180.80790910307581</v>
      </c>
      <c r="R17" s="59" t="str">
        <f>IF([2]道具信息!R17="","",[2]道具信息!R17)</f>
        <v/>
      </c>
      <c r="S17" s="59" t="str">
        <f>IF([2]道具信息!S17="","",[2]道具信息!S17)</f>
        <v/>
      </c>
      <c r="T17" s="59" t="str">
        <f>IF([2]道具信息!T17="","",[2]道具信息!T17)</f>
        <v/>
      </c>
      <c r="U17" s="59" t="str">
        <f>IF([2]道具信息!U17="","",[2]道具信息!U17)</f>
        <v/>
      </c>
      <c r="V17" s="59" t="str">
        <f>IF([2]道具信息!V17="","",[2]道具信息!V17)</f>
        <v/>
      </c>
      <c r="W17" s="59" t="str">
        <f>IF([2]道具信息!W17="","",[2]道具信息!W17)</f>
        <v/>
      </c>
      <c r="X17" s="59" t="str">
        <f>IF([2]道具信息!X17="","",[2]道具信息!X17)</f>
        <v/>
      </c>
      <c r="Y17" s="59" t="str">
        <f>IF([2]道具信息!Y17="","",[2]道具信息!Y17)</f>
        <v/>
      </c>
      <c r="Z17" s="59" t="str">
        <f>IF([2]道具信息!Z17="","",[2]道具信息!Z17)</f>
        <v/>
      </c>
    </row>
    <row r="18" spans="1:26" x14ac:dyDescent="0.15">
      <c r="A18" s="59" t="str">
        <f>IF([2]道具信息!A18="","",[2]道具信息!A18)</f>
        <v/>
      </c>
      <c r="B18" s="59" t="str">
        <f>IF([2]道具信息!B18="","",[2]道具信息!B18)</f>
        <v/>
      </c>
      <c r="C18" s="59" t="str">
        <f>IF([2]道具信息!C18="","",[2]道具信息!C18)</f>
        <v/>
      </c>
      <c r="D18" s="59" t="str">
        <f>IF([2]道具信息!D18="","",[2]道具信息!D18)</f>
        <v>刀币</v>
      </c>
      <c r="E18" s="59">
        <f>IF([2]道具信息!E18="","",[2]道具信息!E18)</f>
        <v>1.5625000000000001E-3</v>
      </c>
      <c r="F18" s="59">
        <f>IF([2]道具信息!F18="","",[2]道具信息!F18)</f>
        <v>1</v>
      </c>
      <c r="G18" s="59">
        <f>IF([2]道具信息!G18="","",[2]道具信息!G18)</f>
        <v>1</v>
      </c>
      <c r="H18" s="59">
        <f>IF([2]道具信息!H18="","",[2]道具信息!H18)</f>
        <v>0.7</v>
      </c>
      <c r="I18" s="59">
        <f>IF([2]道具信息!I18="","",[2]道具信息!I18)</f>
        <v>1.5625000000000001E-3</v>
      </c>
      <c r="J18" s="59">
        <f>IF([2]道具信息!J18="","",[2]道具信息!J18)</f>
        <v>1.5625000000000001E-3</v>
      </c>
      <c r="K18" s="59">
        <f>IF([2]道具信息!K18="","",[2]道具信息!K18)</f>
        <v>1.0937499999999999E-3</v>
      </c>
      <c r="L18" s="59" t="str">
        <f>IF([2]道具信息!L18="","",[2]道具信息!L18)</f>
        <v/>
      </c>
      <c r="M18" s="59" t="str">
        <f>IF([2]道具信息!M18="","",[2]道具信息!M18)</f>
        <v/>
      </c>
      <c r="N18" s="59" t="str">
        <f>IF([2]道具信息!N18="","",[2]道具信息!N18)</f>
        <v/>
      </c>
      <c r="O18" s="59" t="str">
        <f>IF([2]道具信息!O18="","",[2]道具信息!O18)</f>
        <v/>
      </c>
      <c r="P18" s="59" t="str">
        <f>IF([2]道具信息!P18="","",[2]道具信息!P18)</f>
        <v>石料采集加速/天</v>
      </c>
      <c r="Q18" s="59">
        <f>IF([2]道具信息!Q18="","",[2]道具信息!Q18)</f>
        <v>180.80790910307581</v>
      </c>
      <c r="R18" s="59" t="str">
        <f>IF([2]道具信息!R18="","",[2]道具信息!R18)</f>
        <v/>
      </c>
      <c r="S18" s="59" t="str">
        <f>IF([2]道具信息!S18="","",[2]道具信息!S18)</f>
        <v/>
      </c>
      <c r="T18" s="59" t="str">
        <f>IF([2]道具信息!T18="","",[2]道具信息!T18)</f>
        <v/>
      </c>
      <c r="U18" s="59" t="str">
        <f>IF([2]道具信息!U18="","",[2]道具信息!U18)</f>
        <v/>
      </c>
      <c r="V18" s="59" t="str">
        <f>IF([2]道具信息!V18="","",[2]道具信息!V18)</f>
        <v/>
      </c>
      <c r="W18" s="59" t="str">
        <f>IF([2]道具信息!W18="","",[2]道具信息!W18)</f>
        <v/>
      </c>
      <c r="X18" s="59" t="str">
        <f>IF([2]道具信息!X18="","",[2]道具信息!X18)</f>
        <v/>
      </c>
      <c r="Y18" s="59" t="str">
        <f>IF([2]道具信息!Y18="","",[2]道具信息!Y18)</f>
        <v/>
      </c>
      <c r="Z18" s="59" t="str">
        <f>IF([2]道具信息!Z18="","",[2]道具信息!Z18)</f>
        <v/>
      </c>
    </row>
    <row r="19" spans="1:26" x14ac:dyDescent="0.15">
      <c r="A19" s="59" t="str">
        <f>IF([2]道具信息!A19="","",[2]道具信息!A19)</f>
        <v/>
      </c>
      <c r="B19" s="59" t="str">
        <f>IF([2]道具信息!B19="","",[2]道具信息!B19)</f>
        <v/>
      </c>
      <c r="C19" s="59" t="str">
        <f>IF([2]道具信息!C19="","",[2]道具信息!C19)</f>
        <v/>
      </c>
      <c r="D19" s="59" t="str">
        <f>IF([2]道具信息!D19="","",[2]道具信息!D19)</f>
        <v>玉珏</v>
      </c>
      <c r="E19" s="59">
        <f>IF([2]道具信息!E19="","",[2]道具信息!E19)</f>
        <v>1</v>
      </c>
      <c r="F19" s="59">
        <f>IF([2]道具信息!F19="","",[2]道具信息!F19)</f>
        <v>1</v>
      </c>
      <c r="G19" s="59">
        <f>IF([2]道具信息!G19="","",[2]道具信息!G19)</f>
        <v>1</v>
      </c>
      <c r="H19" s="59">
        <f>IF([2]道具信息!H19="","",[2]道具信息!H19)</f>
        <v>1</v>
      </c>
      <c r="I19" s="59">
        <f>IF([2]道具信息!I19="","",[2]道具信息!I19)</f>
        <v>1</v>
      </c>
      <c r="J19" s="59">
        <f>IF([2]道具信息!J19="","",[2]道具信息!J19)</f>
        <v>1</v>
      </c>
      <c r="K19" s="59">
        <f>IF([2]道具信息!K19="","",[2]道具信息!K19)</f>
        <v>1</v>
      </c>
      <c r="L19" s="59" t="str">
        <f>IF([2]道具信息!L19="","",[2]道具信息!L19)</f>
        <v/>
      </c>
      <c r="M19" s="59" t="str">
        <f>IF([2]道具信息!M19="","",[2]道具信息!M19)</f>
        <v/>
      </c>
      <c r="N19" s="59" t="str">
        <f>IF([2]道具信息!N19="","",[2]道具信息!N19)</f>
        <v/>
      </c>
      <c r="O19" s="59" t="str">
        <f>IF([2]道具信息!O19="","",[2]道具信息!O19)</f>
        <v/>
      </c>
      <c r="P19" s="59" t="str">
        <f>IF([2]道具信息!P19="","",[2]道具信息!P19)</f>
        <v>铜矿采集加速/天</v>
      </c>
      <c r="Q19" s="59">
        <f>IF([2]道具信息!Q19="","",[2]道具信息!Q19)</f>
        <v>180.80790910307581</v>
      </c>
      <c r="R19" s="59" t="str">
        <f>IF([2]道具信息!R19="","",[2]道具信息!R19)</f>
        <v/>
      </c>
      <c r="S19" s="59" t="str">
        <f>IF([2]道具信息!S19="","",[2]道具信息!S19)</f>
        <v/>
      </c>
      <c r="T19" s="59" t="str">
        <f>IF([2]道具信息!T19="","",[2]道具信息!T19)</f>
        <v/>
      </c>
      <c r="U19" s="59" t="str">
        <f>IF([2]道具信息!U19="","",[2]道具信息!U19)</f>
        <v/>
      </c>
      <c r="V19" s="59" t="str">
        <f>IF([2]道具信息!V19="","",[2]道具信息!V19)</f>
        <v/>
      </c>
      <c r="W19" s="59" t="str">
        <f>IF([2]道具信息!W19="","",[2]道具信息!W19)</f>
        <v/>
      </c>
      <c r="X19" s="59" t="str">
        <f>IF([2]道具信息!X19="","",[2]道具信息!X19)</f>
        <v/>
      </c>
      <c r="Y19" s="59" t="str">
        <f>IF([2]道具信息!Y19="","",[2]道具信息!Y19)</f>
        <v/>
      </c>
      <c r="Z19" s="59" t="str">
        <f>IF([2]道具信息!Z19="","",[2]道具信息!Z19)</f>
        <v/>
      </c>
    </row>
    <row r="20" spans="1:26" x14ac:dyDescent="0.15">
      <c r="A20" s="59" t="str">
        <f>IF([2]道具信息!A20="","",[2]道具信息!A20)</f>
        <v/>
      </c>
      <c r="B20" s="59" t="str">
        <f>IF([2]道具信息!B20="","",[2]道具信息!B20)</f>
        <v/>
      </c>
      <c r="C20" s="59" t="str">
        <f>IF([2]道具信息!C20="","",[2]道具信息!C20)</f>
        <v/>
      </c>
      <c r="D20" s="59" t="str">
        <f>IF([2]道具信息!D20="","",[2]道具信息!D20)</f>
        <v>清剿令</v>
      </c>
      <c r="E20" s="59">
        <f>IF([2]道具信息!E20="","",[2]道具信息!E20)</f>
        <v>75</v>
      </c>
      <c r="F20" s="59">
        <f>IF([2]道具信息!F20="","",[2]道具信息!F20)</f>
        <v>1</v>
      </c>
      <c r="G20" s="59">
        <f>IF([2]道具信息!G20="","",[2]道具信息!G20)</f>
        <v>1</v>
      </c>
      <c r="H20" s="59">
        <f>IF([2]道具信息!H20="","",[2]道具信息!H20)</f>
        <v>1</v>
      </c>
      <c r="I20" s="59">
        <f>IF([2]道具信息!I20="","",[2]道具信息!I20)</f>
        <v>75</v>
      </c>
      <c r="J20" s="59">
        <f>IF([2]道具信息!J20="","",[2]道具信息!J20)</f>
        <v>75</v>
      </c>
      <c r="K20" s="59">
        <f>IF([2]道具信息!K20="","",[2]道具信息!K20)</f>
        <v>75</v>
      </c>
      <c r="L20" s="59" t="str">
        <f>IF([2]道具信息!L20="","",[2]道具信息!L20)</f>
        <v/>
      </c>
      <c r="M20" s="59" t="str">
        <f>IF([2]道具信息!M20="","",[2]道具信息!M20)</f>
        <v/>
      </c>
      <c r="N20" s="59" t="str">
        <f>IF([2]道具信息!N20="","",[2]道具信息!N20)</f>
        <v/>
      </c>
      <c r="O20" s="59" t="str">
        <f>IF([2]道具信息!O20="","",[2]道具信息!O20)</f>
        <v/>
      </c>
      <c r="P20" s="59" t="str">
        <f>IF([2]道具信息!P20="","",[2]道具信息!P20)</f>
        <v>粮食采集加速/天</v>
      </c>
      <c r="Q20" s="59">
        <f>IF([2]道具信息!Q20="","",[2]道具信息!Q20)</f>
        <v>180.80790910307581</v>
      </c>
      <c r="R20" s="59" t="str">
        <f>IF([2]道具信息!R20="","",[2]道具信息!R20)</f>
        <v/>
      </c>
      <c r="S20" s="59" t="str">
        <f>IF([2]道具信息!S20="","",[2]道具信息!S20)</f>
        <v/>
      </c>
      <c r="T20" s="59" t="str">
        <f>IF([2]道具信息!T20="","",[2]道具信息!T20)</f>
        <v/>
      </c>
      <c r="U20" s="59" t="str">
        <f>IF([2]道具信息!U20="","",[2]道具信息!U20)</f>
        <v/>
      </c>
      <c r="V20" s="59" t="str">
        <f>IF([2]道具信息!V20="","",[2]道具信息!V20)</f>
        <v/>
      </c>
      <c r="W20" s="59" t="str">
        <f>IF([2]道具信息!W20="","",[2]道具信息!W20)</f>
        <v/>
      </c>
      <c r="X20" s="59" t="str">
        <f>IF([2]道具信息!X20="","",[2]道具信息!X20)</f>
        <v/>
      </c>
      <c r="Y20" s="59" t="str">
        <f>IF([2]道具信息!Y20="","",[2]道具信息!Y20)</f>
        <v/>
      </c>
      <c r="Z20" s="59" t="str">
        <f>IF([2]道具信息!Z20="","",[2]道具信息!Z20)</f>
        <v/>
      </c>
    </row>
    <row r="21" spans="1:26" x14ac:dyDescent="0.15">
      <c r="A21" s="59" t="str">
        <f>IF([2]道具信息!A21="","",[2]道具信息!A21)</f>
        <v/>
      </c>
      <c r="B21" s="59" t="str">
        <f>IF([2]道具信息!B21="","",[2]道具信息!B21)</f>
        <v/>
      </c>
      <c r="C21" s="59" t="str">
        <f>IF([2]道具信息!C21="","",[2]道具信息!C21)</f>
        <v/>
      </c>
      <c r="D21" s="59" t="str">
        <f>IF([2]道具信息!D21="","",[2]道具信息!D21)</f>
        <v>军团币</v>
      </c>
      <c r="E21" s="59">
        <f>IF([2]道具信息!E21="","",[2]道具信息!E21)</f>
        <v>0.1</v>
      </c>
      <c r="F21" s="59">
        <f>IF([2]道具信息!F21="","",[2]道具信息!F21)</f>
        <v>1</v>
      </c>
      <c r="G21" s="59">
        <f>IF([2]道具信息!G21="","",[2]道具信息!G21)</f>
        <v>1</v>
      </c>
      <c r="H21" s="59">
        <f>IF([2]道具信息!H21="","",[2]道具信息!H21)</f>
        <v>1</v>
      </c>
      <c r="I21" s="59">
        <f>IF([2]道具信息!I21="","",[2]道具信息!I21)</f>
        <v>0.1</v>
      </c>
      <c r="J21" s="59">
        <f>IF([2]道具信息!J21="","",[2]道具信息!J21)</f>
        <v>0.1</v>
      </c>
      <c r="K21" s="59">
        <f>IF([2]道具信息!K21="","",[2]道具信息!K21)</f>
        <v>0.1</v>
      </c>
      <c r="L21" s="59" t="str">
        <f>IF([2]道具信息!L21="","",[2]道具信息!L21)</f>
        <v/>
      </c>
      <c r="M21" s="59" t="str">
        <f>IF([2]道具信息!M21="","",[2]道具信息!M21)</f>
        <v/>
      </c>
      <c r="N21" s="59" t="str">
        <f>IF([2]道具信息!N21="","",[2]道具信息!N21)</f>
        <v/>
      </c>
      <c r="O21" s="59" t="str">
        <f>IF([2]道具信息!O21="","",[2]道具信息!O21)</f>
        <v/>
      </c>
      <c r="P21" s="59" t="str">
        <f>IF([2]道具信息!P21="","",[2]道具信息!P21)</f>
        <v>铁矿采集加速/天</v>
      </c>
      <c r="Q21" s="59">
        <f>IF([2]道具信息!Q21="","",[2]道具信息!Q21)</f>
        <v>271.21186365461375</v>
      </c>
      <c r="R21" s="59" t="str">
        <f>IF([2]道具信息!R21="","",[2]道具信息!R21)</f>
        <v/>
      </c>
      <c r="S21" s="59" t="str">
        <f>IF([2]道具信息!S21="","",[2]道具信息!S21)</f>
        <v/>
      </c>
      <c r="T21" s="59" t="str">
        <f>IF([2]道具信息!T21="","",[2]道具信息!T21)</f>
        <v/>
      </c>
      <c r="U21" s="59" t="str">
        <f>IF([2]道具信息!U21="","",[2]道具信息!U21)</f>
        <v/>
      </c>
      <c r="V21" s="59" t="str">
        <f>IF([2]道具信息!V21="","",[2]道具信息!V21)</f>
        <v/>
      </c>
      <c r="W21" s="59" t="str">
        <f>IF([2]道具信息!W21="","",[2]道具信息!W21)</f>
        <v/>
      </c>
      <c r="X21" s="59" t="str">
        <f>IF([2]道具信息!X21="","",[2]道具信息!X21)</f>
        <v/>
      </c>
      <c r="Y21" s="59" t="str">
        <f>IF([2]道具信息!Y21="","",[2]道具信息!Y21)</f>
        <v/>
      </c>
      <c r="Z21" s="59" t="str">
        <f>IF([2]道具信息!Z21="","",[2]道具信息!Z21)</f>
        <v/>
      </c>
    </row>
    <row r="22" spans="1:26" x14ac:dyDescent="0.15">
      <c r="A22" s="59" t="str">
        <f>IF([2]道具信息!A22="","",[2]道具信息!A22)</f>
        <v/>
      </c>
      <c r="B22" s="59" t="str">
        <f>IF([2]道具信息!B22="","",[2]道具信息!B22)</f>
        <v/>
      </c>
      <c r="C22" s="59" t="str">
        <f>IF([2]道具信息!C22="","",[2]道具信息!C22)</f>
        <v/>
      </c>
      <c r="D22" s="59" t="str">
        <f>IF([2]道具信息!D22="","",[2]道具信息!D22)</f>
        <v>黄金点将令</v>
      </c>
      <c r="E22" s="59">
        <f>IF([2]道具信息!E22="","",[2]道具信息!E22)</f>
        <v>240</v>
      </c>
      <c r="F22" s="59">
        <f>IF([2]道具信息!F22="","",[2]道具信息!F22)</f>
        <v>1</v>
      </c>
      <c r="G22" s="59">
        <f>IF([2]道具信息!G22="","",[2]道具信息!G22)</f>
        <v>1</v>
      </c>
      <c r="H22" s="59">
        <f>IF([2]道具信息!H22="","",[2]道具信息!H22)</f>
        <v>1</v>
      </c>
      <c r="I22" s="59">
        <f>IF([2]道具信息!I22="","",[2]道具信息!I22)</f>
        <v>240</v>
      </c>
      <c r="J22" s="59">
        <f>IF([2]道具信息!J22="","",[2]道具信息!J22)</f>
        <v>240</v>
      </c>
      <c r="K22" s="59">
        <f>IF([2]道具信息!K22="","",[2]道具信息!K22)</f>
        <v>240</v>
      </c>
      <c r="L22" s="59" t="str">
        <f>IF([2]道具信息!L22="","",[2]道具信息!L22)</f>
        <v/>
      </c>
      <c r="M22" s="59" t="str">
        <f>IF([2]道具信息!M22="","",[2]道具信息!M22)</f>
        <v/>
      </c>
      <c r="N22" s="59" t="str">
        <f>IF([2]道具信息!N22="","",[2]道具信息!N22)</f>
        <v/>
      </c>
      <c r="O22" s="59" t="str">
        <f>IF([2]道具信息!O22="","",[2]道具信息!O22)</f>
        <v/>
      </c>
      <c r="P22" s="59" t="str">
        <f>IF([2]道具信息!P22="","",[2]道具信息!P22)</f>
        <v/>
      </c>
      <c r="Q22" s="59" t="str">
        <f>IF([2]道具信息!Q22="","",[2]道具信息!Q22)</f>
        <v/>
      </c>
      <c r="R22" s="59" t="str">
        <f>IF([2]道具信息!R22="","",[2]道具信息!R22)</f>
        <v/>
      </c>
      <c r="S22" s="59" t="str">
        <f>IF([2]道具信息!S22="","",[2]道具信息!S22)</f>
        <v/>
      </c>
      <c r="T22" s="59" t="str">
        <f>IF([2]道具信息!T22="","",[2]道具信息!T22)</f>
        <v/>
      </c>
      <c r="U22" s="59" t="str">
        <f>IF([2]道具信息!U22="","",[2]道具信息!U22)</f>
        <v/>
      </c>
      <c r="V22" s="59" t="str">
        <f>IF([2]道具信息!V22="","",[2]道具信息!V22)</f>
        <v/>
      </c>
      <c r="W22" s="59" t="str">
        <f>IF([2]道具信息!W22="","",[2]道具信息!W22)</f>
        <v/>
      </c>
      <c r="X22" s="59" t="str">
        <f>IF([2]道具信息!X22="","",[2]道具信息!X22)</f>
        <v/>
      </c>
      <c r="Y22" s="59" t="str">
        <f>IF([2]道具信息!Y22="","",[2]道具信息!Y22)</f>
        <v/>
      </c>
      <c r="Z22" s="59" t="str">
        <f>IF([2]道具信息!Z22="","",[2]道具信息!Z22)</f>
        <v/>
      </c>
    </row>
    <row r="23" spans="1:26" x14ac:dyDescent="0.15">
      <c r="A23" s="59" t="str">
        <f>IF([2]道具信息!A23="","",[2]道具信息!A23)</f>
        <v/>
      </c>
      <c r="B23" s="59" t="str">
        <f>IF([2]道具信息!B23="","",[2]道具信息!B23)</f>
        <v/>
      </c>
      <c r="C23" s="59" t="str">
        <f>IF([2]道具信息!C23="","",[2]道具信息!C23)</f>
        <v/>
      </c>
      <c r="D23" s="59" t="str">
        <f>IF([2]道具信息!D23="","",[2]道具信息!D23)</f>
        <v>青铜点将令</v>
      </c>
      <c r="E23" s="59">
        <f>IF([2]道具信息!E23="","",[2]道具信息!E23)</f>
        <v>65</v>
      </c>
      <c r="F23" s="59">
        <f>IF([2]道具信息!F23="","",[2]道具信息!F23)</f>
        <v>1</v>
      </c>
      <c r="G23" s="59">
        <f>IF([2]道具信息!G23="","",[2]道具信息!G23)</f>
        <v>1</v>
      </c>
      <c r="H23" s="59">
        <f>IF([2]道具信息!H23="","",[2]道具信息!H23)</f>
        <v>1</v>
      </c>
      <c r="I23" s="59">
        <f>IF([2]道具信息!I23="","",[2]道具信息!I23)</f>
        <v>65</v>
      </c>
      <c r="J23" s="59">
        <f>IF([2]道具信息!J23="","",[2]道具信息!J23)</f>
        <v>65</v>
      </c>
      <c r="K23" s="59">
        <f>IF([2]道具信息!K23="","",[2]道具信息!K23)</f>
        <v>65</v>
      </c>
      <c r="L23" s="59" t="str">
        <f>IF([2]道具信息!L23="","",[2]道具信息!L23)</f>
        <v/>
      </c>
      <c r="M23" s="59" t="str">
        <f>IF([2]道具信息!M23="","",[2]道具信息!M23)</f>
        <v/>
      </c>
      <c r="N23" s="59" t="str">
        <f>IF([2]道具信息!N23="","",[2]道具信息!N23)</f>
        <v/>
      </c>
      <c r="O23" s="59" t="str">
        <f>IF([2]道具信息!O23="","",[2]道具信息!O23)</f>
        <v/>
      </c>
      <c r="P23" s="59" t="str">
        <f>IF([2]道具信息!P23="","",[2]道具信息!P23)</f>
        <v/>
      </c>
      <c r="Q23" s="59" t="str">
        <f>IF([2]道具信息!Q23="","",[2]道具信息!Q23)</f>
        <v/>
      </c>
      <c r="R23" s="59" t="str">
        <f>IF([2]道具信息!R23="","",[2]道具信息!R23)</f>
        <v/>
      </c>
      <c r="S23" s="59" t="str">
        <f>IF([2]道具信息!S23="","",[2]道具信息!S23)</f>
        <v/>
      </c>
      <c r="T23" s="59" t="str">
        <f>IF([2]道具信息!T23="","",[2]道具信息!T23)</f>
        <v/>
      </c>
      <c r="U23" s="59" t="str">
        <f>IF([2]道具信息!U23="","",[2]道具信息!U23)</f>
        <v/>
      </c>
      <c r="V23" s="59" t="str">
        <f>IF([2]道具信息!V23="","",[2]道具信息!V23)</f>
        <v/>
      </c>
      <c r="W23" s="59" t="str">
        <f>IF([2]道具信息!W23="","",[2]道具信息!W23)</f>
        <v/>
      </c>
      <c r="X23" s="59" t="str">
        <f>IF([2]道具信息!X23="","",[2]道具信息!X23)</f>
        <v/>
      </c>
      <c r="Y23" s="59" t="str">
        <f>IF([2]道具信息!Y23="","",[2]道具信息!Y23)</f>
        <v/>
      </c>
      <c r="Z23" s="59" t="str">
        <f>IF([2]道具信息!Z23="","",[2]道具信息!Z23)</f>
        <v/>
      </c>
    </row>
    <row r="24" spans="1:26" x14ac:dyDescent="0.15">
      <c r="A24" s="59" t="str">
        <f>IF([2]道具信息!A24="","",[2]道具信息!A24)</f>
        <v/>
      </c>
      <c r="B24" s="59" t="str">
        <f>IF([2]道具信息!B24="","",[2]道具信息!B24)</f>
        <v/>
      </c>
      <c r="C24" s="59" t="str">
        <f>IF([2]道具信息!C24="","",[2]道具信息!C24)</f>
        <v/>
      </c>
      <c r="D24" s="59" t="str">
        <f>IF([2]道具信息!D24="","",[2]道具信息!D24)</f>
        <v>信物*2、武将碎片*10、黄金600三选一（600钻）</v>
      </c>
      <c r="E24" s="59">
        <f>IF([2]道具信息!E24="","",[2]道具信息!E24)</f>
        <v>600</v>
      </c>
      <c r="F24" s="59">
        <f>IF([2]道具信息!F24="","",[2]道具信息!F24)</f>
        <v>1</v>
      </c>
      <c r="G24" s="59">
        <f>IF([2]道具信息!G24="","",[2]道具信息!G24)</f>
        <v>1</v>
      </c>
      <c r="H24" s="59">
        <f>IF([2]道具信息!H24="","",[2]道具信息!H24)</f>
        <v>1</v>
      </c>
      <c r="I24" s="59">
        <f>IF([2]道具信息!I24="","",[2]道具信息!I24)</f>
        <v>600</v>
      </c>
      <c r="J24" s="59">
        <f>IF([2]道具信息!J24="","",[2]道具信息!J24)</f>
        <v>600</v>
      </c>
      <c r="K24" s="59">
        <f>IF([2]道具信息!K24="","",[2]道具信息!K24)</f>
        <v>600</v>
      </c>
      <c r="L24" s="59" t="str">
        <f>IF([2]道具信息!L24="","",[2]道具信息!L24)</f>
        <v/>
      </c>
      <c r="M24" s="59" t="str">
        <f>IF([2]道具信息!M24="","",[2]道具信息!M24)</f>
        <v/>
      </c>
      <c r="N24" s="59" t="str">
        <f>IF([2]道具信息!N24="","",[2]道具信息!N24)</f>
        <v/>
      </c>
      <c r="O24" s="59" t="str">
        <f>IF([2]道具信息!O24="","",[2]道具信息!O24)</f>
        <v/>
      </c>
      <c r="P24" s="59" t="str">
        <f>IF([2]道具信息!P24="","",[2]道具信息!P24)</f>
        <v/>
      </c>
      <c r="Q24" s="59" t="str">
        <f>IF([2]道具信息!Q24="","",[2]道具信息!Q24)</f>
        <v/>
      </c>
      <c r="R24" s="59" t="str">
        <f>IF([2]道具信息!R24="","",[2]道具信息!R24)</f>
        <v/>
      </c>
      <c r="S24" s="59" t="str">
        <f>IF([2]道具信息!S24="","",[2]道具信息!S24)</f>
        <v/>
      </c>
      <c r="T24" s="59" t="str">
        <f>IF([2]道具信息!T24="","",[2]道具信息!T24)</f>
        <v/>
      </c>
      <c r="U24" s="59" t="str">
        <f>IF([2]道具信息!U24="","",[2]道具信息!U24)</f>
        <v/>
      </c>
      <c r="V24" s="59" t="str">
        <f>IF([2]道具信息!V24="","",[2]道具信息!V24)</f>
        <v/>
      </c>
      <c r="W24" s="59" t="str">
        <f>IF([2]道具信息!W24="","",[2]道具信息!W24)</f>
        <v/>
      </c>
      <c r="X24" s="59" t="str">
        <f>IF([2]道具信息!X24="","",[2]道具信息!X24)</f>
        <v/>
      </c>
      <c r="Y24" s="59" t="str">
        <f>IF([2]道具信息!Y24="","",[2]道具信息!Y24)</f>
        <v/>
      </c>
      <c r="Z24" s="59" t="str">
        <f>IF([2]道具信息!Z24="","",[2]道具信息!Z24)</f>
        <v/>
      </c>
    </row>
    <row r="25" spans="1:26" x14ac:dyDescent="0.15">
      <c r="A25" s="59" t="str">
        <f>IF([2]道具信息!A25="","",[2]道具信息!A25)</f>
        <v/>
      </c>
      <c r="B25" s="59" t="str">
        <f>IF([2]道具信息!B25="","",[2]道具信息!B25)</f>
        <v/>
      </c>
      <c r="C25" s="59" t="str">
        <f>IF([2]道具信息!C25="","",[2]道具信息!C25)</f>
        <v/>
      </c>
      <c r="D25" s="59" t="str">
        <f>IF([2]道具信息!D25="","",[2]道具信息!D25)</f>
        <v>蓝色门客</v>
      </c>
      <c r="E25" s="59">
        <f>IF([2]道具信息!E25="","",[2]道具信息!E25)</f>
        <v>1000</v>
      </c>
      <c r="F25" s="59">
        <f>IF([2]道具信息!F25="","",[2]道具信息!F25)</f>
        <v>1</v>
      </c>
      <c r="G25" s="59">
        <f>IF([2]道具信息!G25="","",[2]道具信息!G25)</f>
        <v>1</v>
      </c>
      <c r="H25" s="59">
        <f>IF([2]道具信息!H25="","",[2]道具信息!H25)</f>
        <v>1</v>
      </c>
      <c r="I25" s="59">
        <f>IF([2]道具信息!I25="","",[2]道具信息!I25)</f>
        <v>1000</v>
      </c>
      <c r="J25" s="59">
        <f>IF([2]道具信息!J25="","",[2]道具信息!J25)</f>
        <v>1000</v>
      </c>
      <c r="K25" s="59">
        <f>IF([2]道具信息!K25="","",[2]道具信息!K25)</f>
        <v>1000</v>
      </c>
      <c r="L25" s="59" t="str">
        <f>IF([2]道具信息!L25="","",[2]道具信息!L25)</f>
        <v/>
      </c>
      <c r="M25" s="59" t="str">
        <f>IF([2]道具信息!M25="","",[2]道具信息!M25)</f>
        <v/>
      </c>
      <c r="N25" s="59" t="str">
        <f>IF([2]道具信息!N25="","",[2]道具信息!N25)</f>
        <v/>
      </c>
      <c r="O25" s="59" t="str">
        <f>IF([2]道具信息!O25="","",[2]道具信息!O25)</f>
        <v/>
      </c>
      <c r="P25" s="59" t="str">
        <f>IF([2]道具信息!P25="","",[2]道具信息!P25)</f>
        <v/>
      </c>
      <c r="Q25" s="59" t="str">
        <f>IF([2]道具信息!Q25="","",[2]道具信息!Q25)</f>
        <v/>
      </c>
      <c r="R25" s="59" t="str">
        <f>IF([2]道具信息!R25="","",[2]道具信息!R25)</f>
        <v/>
      </c>
      <c r="S25" s="59" t="str">
        <f>IF([2]道具信息!S25="","",[2]道具信息!S25)</f>
        <v/>
      </c>
      <c r="T25" s="59" t="str">
        <f>IF([2]道具信息!T25="","",[2]道具信息!T25)</f>
        <v/>
      </c>
      <c r="U25" s="59" t="str">
        <f>IF([2]道具信息!U25="","",[2]道具信息!U25)</f>
        <v/>
      </c>
      <c r="V25" s="59" t="str">
        <f>IF([2]道具信息!V25="","",[2]道具信息!V25)</f>
        <v/>
      </c>
      <c r="W25" s="59" t="str">
        <f>IF([2]道具信息!W25="","",[2]道具信息!W25)</f>
        <v/>
      </c>
      <c r="X25" s="59" t="str">
        <f>IF([2]道具信息!X25="","",[2]道具信息!X25)</f>
        <v/>
      </c>
      <c r="Y25" s="59" t="str">
        <f>IF([2]道具信息!Y25="","",[2]道具信息!Y25)</f>
        <v/>
      </c>
      <c r="Z25" s="59" t="str">
        <f>IF([2]道具信息!Z25="","",[2]道具信息!Z25)</f>
        <v/>
      </c>
    </row>
    <row r="26" spans="1:26" x14ac:dyDescent="0.15">
      <c r="A26" s="59" t="str">
        <f>IF([2]道具信息!A26="","",[2]道具信息!A26)</f>
        <v/>
      </c>
      <c r="B26" s="59" t="str">
        <f>IF([2]道具信息!B26="","",[2]道具信息!B26)</f>
        <v/>
      </c>
      <c r="C26" s="59" t="str">
        <f>IF([2]道具信息!C26="","",[2]道具信息!C26)</f>
        <v/>
      </c>
      <c r="D26" s="59" t="str">
        <f>IF([2]道具信息!D26="","",[2]道具信息!D26)</f>
        <v>紫色门客</v>
      </c>
      <c r="E26" s="59">
        <f>IF([2]道具信息!E26="","",[2]道具信息!E26)</f>
        <v>3000</v>
      </c>
      <c r="F26" s="59">
        <f>IF([2]道具信息!F26="","",[2]道具信息!F26)</f>
        <v>1</v>
      </c>
      <c r="G26" s="59">
        <f>IF([2]道具信息!G26="","",[2]道具信息!G26)</f>
        <v>1</v>
      </c>
      <c r="H26" s="59">
        <f>IF([2]道具信息!H26="","",[2]道具信息!H26)</f>
        <v>1</v>
      </c>
      <c r="I26" s="59">
        <f>IF([2]道具信息!I26="","",[2]道具信息!I26)</f>
        <v>3000</v>
      </c>
      <c r="J26" s="59">
        <f>IF([2]道具信息!J26="","",[2]道具信息!J26)</f>
        <v>3000</v>
      </c>
      <c r="K26" s="59">
        <f>IF([2]道具信息!K26="","",[2]道具信息!K26)</f>
        <v>3000</v>
      </c>
      <c r="L26" s="59" t="str">
        <f>IF([2]道具信息!L26="","",[2]道具信息!L26)</f>
        <v/>
      </c>
      <c r="M26" s="59" t="str">
        <f>IF([2]道具信息!M26="","",[2]道具信息!M26)</f>
        <v/>
      </c>
      <c r="N26" s="59" t="str">
        <f>IF([2]道具信息!N26="","",[2]道具信息!N26)</f>
        <v/>
      </c>
      <c r="O26" s="59" t="str">
        <f>IF([2]道具信息!O26="","",[2]道具信息!O26)</f>
        <v/>
      </c>
      <c r="P26" s="59" t="str">
        <f>IF([2]道具信息!P26="","",[2]道具信息!P26)</f>
        <v/>
      </c>
      <c r="Q26" s="59" t="str">
        <f>IF([2]道具信息!Q26="","",[2]道具信息!Q26)</f>
        <v/>
      </c>
      <c r="R26" s="59" t="str">
        <f>IF([2]道具信息!R26="","",[2]道具信息!R26)</f>
        <v/>
      </c>
      <c r="S26" s="59" t="str">
        <f>IF([2]道具信息!S26="","",[2]道具信息!S26)</f>
        <v/>
      </c>
      <c r="T26" s="59" t="str">
        <f>IF([2]道具信息!T26="","",[2]道具信息!T26)</f>
        <v/>
      </c>
      <c r="U26" s="59" t="str">
        <f>IF([2]道具信息!U26="","",[2]道具信息!U26)</f>
        <v/>
      </c>
      <c r="V26" s="59" t="str">
        <f>IF([2]道具信息!V26="","",[2]道具信息!V26)</f>
        <v/>
      </c>
      <c r="W26" s="59" t="str">
        <f>IF([2]道具信息!W26="","",[2]道具信息!W26)</f>
        <v/>
      </c>
      <c r="X26" s="59" t="str">
        <f>IF([2]道具信息!X26="","",[2]道具信息!X26)</f>
        <v/>
      </c>
      <c r="Y26" s="59" t="str">
        <f>IF([2]道具信息!Y26="","",[2]道具信息!Y26)</f>
        <v/>
      </c>
      <c r="Z26" s="59" t="str">
        <f>IF([2]道具信息!Z26="","",[2]道具信息!Z26)</f>
        <v/>
      </c>
    </row>
    <row r="27" spans="1:26" x14ac:dyDescent="0.15">
      <c r="A27" s="59" t="str">
        <f>IF([2]道具信息!A27="","",[2]道具信息!A27)</f>
        <v/>
      </c>
      <c r="B27" s="59" t="str">
        <f>IF([2]道具信息!B27="","",[2]道具信息!B27)</f>
        <v/>
      </c>
      <c r="C27" s="59" t="str">
        <f>IF([2]道具信息!C27="","",[2]道具信息!C27)</f>
        <v/>
      </c>
      <c r="D27" s="59" t="str">
        <f>IF([2]道具信息!D27="","",[2]道具信息!D27)</f>
        <v>橙色门客</v>
      </c>
      <c r="E27" s="59">
        <f>IF([2]道具信息!E27="","",[2]道具信息!E27)</f>
        <v>8000</v>
      </c>
      <c r="F27" s="59">
        <f>IF([2]道具信息!F27="","",[2]道具信息!F27)</f>
        <v>1</v>
      </c>
      <c r="G27" s="59">
        <f>IF([2]道具信息!G27="","",[2]道具信息!G27)</f>
        <v>1</v>
      </c>
      <c r="H27" s="59">
        <f>IF([2]道具信息!H27="","",[2]道具信息!H27)</f>
        <v>1</v>
      </c>
      <c r="I27" s="59">
        <f>IF([2]道具信息!I27="","",[2]道具信息!I27)</f>
        <v>8000</v>
      </c>
      <c r="J27" s="59">
        <f>IF([2]道具信息!J27="","",[2]道具信息!J27)</f>
        <v>8000</v>
      </c>
      <c r="K27" s="59">
        <f>IF([2]道具信息!K27="","",[2]道具信息!K27)</f>
        <v>8000</v>
      </c>
      <c r="L27" s="59" t="str">
        <f>IF([2]道具信息!L27="","",[2]道具信息!L27)</f>
        <v/>
      </c>
      <c r="M27" s="59" t="str">
        <f>IF([2]道具信息!M27="","",[2]道具信息!M27)</f>
        <v/>
      </c>
      <c r="N27" s="59" t="str">
        <f>IF([2]道具信息!N27="","",[2]道具信息!N27)</f>
        <v/>
      </c>
      <c r="O27" s="59" t="str">
        <f>IF([2]道具信息!O27="","",[2]道具信息!O27)</f>
        <v/>
      </c>
      <c r="P27" s="59" t="str">
        <f>IF([2]道具信息!P27="","",[2]道具信息!P27)</f>
        <v/>
      </c>
      <c r="Q27" s="59" t="str">
        <f>IF([2]道具信息!Q27="","",[2]道具信息!Q27)</f>
        <v/>
      </c>
      <c r="R27" s="59" t="str">
        <f>IF([2]道具信息!R27="","",[2]道具信息!R27)</f>
        <v/>
      </c>
      <c r="S27" s="59" t="str">
        <f>IF([2]道具信息!S27="","",[2]道具信息!S27)</f>
        <v/>
      </c>
      <c r="T27" s="59" t="str">
        <f>IF([2]道具信息!T27="","",[2]道具信息!T27)</f>
        <v/>
      </c>
      <c r="U27" s="59" t="str">
        <f>IF([2]道具信息!U27="","",[2]道具信息!U27)</f>
        <v/>
      </c>
      <c r="V27" s="59" t="str">
        <f>IF([2]道具信息!V27="","",[2]道具信息!V27)</f>
        <v/>
      </c>
      <c r="W27" s="59" t="str">
        <f>IF([2]道具信息!W27="","",[2]道具信息!W27)</f>
        <v/>
      </c>
      <c r="X27" s="59" t="str">
        <f>IF([2]道具信息!X27="","",[2]道具信息!X27)</f>
        <v/>
      </c>
      <c r="Y27" s="59" t="str">
        <f>IF([2]道具信息!Y27="","",[2]道具信息!Y27)</f>
        <v/>
      </c>
      <c r="Z27" s="59" t="str">
        <f>IF([2]道具信息!Z27="","",[2]道具信息!Z27)</f>
        <v/>
      </c>
    </row>
    <row r="28" spans="1:26" x14ac:dyDescent="0.15">
      <c r="A28" s="59" t="str">
        <f>IF([2]道具信息!A28="","",[2]道具信息!A28)</f>
        <v/>
      </c>
      <c r="B28" s="59" t="str">
        <f>IF([2]道具信息!B28="","",[2]道具信息!B28)</f>
        <v/>
      </c>
      <c r="C28" s="59" t="str">
        <f>IF([2]道具信息!C28="","",[2]道具信息!C28)</f>
        <v/>
      </c>
      <c r="D28" s="59" t="str">
        <f>IF([2]道具信息!D28="","",[2]道具信息!D28)</f>
        <v>红色门客</v>
      </c>
      <c r="E28" s="59">
        <f>IF([2]道具信息!E28="","",[2]道具信息!E28)</f>
        <v>20000</v>
      </c>
      <c r="F28" s="59">
        <f>IF([2]道具信息!F28="","",[2]道具信息!F28)</f>
        <v>1</v>
      </c>
      <c r="G28" s="59">
        <f>IF([2]道具信息!G28="","",[2]道具信息!G28)</f>
        <v>1</v>
      </c>
      <c r="H28" s="59">
        <f>IF([2]道具信息!H28="","",[2]道具信息!H28)</f>
        <v>1</v>
      </c>
      <c r="I28" s="59">
        <f>IF([2]道具信息!I28="","",[2]道具信息!I28)</f>
        <v>20000</v>
      </c>
      <c r="J28" s="59">
        <f>IF([2]道具信息!J28="","",[2]道具信息!J28)</f>
        <v>20000</v>
      </c>
      <c r="K28" s="59">
        <f>IF([2]道具信息!K28="","",[2]道具信息!K28)</f>
        <v>20000</v>
      </c>
      <c r="L28" s="59" t="str">
        <f>IF([2]道具信息!L28="","",[2]道具信息!L28)</f>
        <v/>
      </c>
      <c r="M28" s="59" t="str">
        <f>IF([2]道具信息!M28="","",[2]道具信息!M28)</f>
        <v/>
      </c>
      <c r="N28" s="59" t="str">
        <f>IF([2]道具信息!N28="","",[2]道具信息!N28)</f>
        <v/>
      </c>
      <c r="O28" s="59" t="str">
        <f>IF([2]道具信息!O28="","",[2]道具信息!O28)</f>
        <v/>
      </c>
      <c r="P28" s="59" t="str">
        <f>IF([2]道具信息!P28="","",[2]道具信息!P28)</f>
        <v/>
      </c>
      <c r="Q28" s="59" t="str">
        <f>IF([2]道具信息!Q28="","",[2]道具信息!Q28)</f>
        <v/>
      </c>
      <c r="R28" s="59" t="str">
        <f>IF([2]道具信息!R28="","",[2]道具信息!R28)</f>
        <v/>
      </c>
      <c r="S28" s="59" t="str">
        <f>IF([2]道具信息!S28="","",[2]道具信息!S28)</f>
        <v/>
      </c>
      <c r="T28" s="59" t="str">
        <f>IF([2]道具信息!T28="","",[2]道具信息!T28)</f>
        <v/>
      </c>
      <c r="U28" s="59" t="str">
        <f>IF([2]道具信息!U28="","",[2]道具信息!U28)</f>
        <v/>
      </c>
      <c r="V28" s="59" t="str">
        <f>IF([2]道具信息!V28="","",[2]道具信息!V28)</f>
        <v/>
      </c>
      <c r="W28" s="59" t="str">
        <f>IF([2]道具信息!W28="","",[2]道具信息!W28)</f>
        <v/>
      </c>
      <c r="X28" s="59" t="str">
        <f>IF([2]道具信息!X28="","",[2]道具信息!X28)</f>
        <v/>
      </c>
      <c r="Y28" s="59" t="str">
        <f>IF([2]道具信息!Y28="","",[2]道具信息!Y28)</f>
        <v/>
      </c>
      <c r="Z28" s="59" t="str">
        <f>IF([2]道具信息!Z28="","",[2]道具信息!Z28)</f>
        <v/>
      </c>
    </row>
    <row r="29" spans="1:26" x14ac:dyDescent="0.15">
      <c r="A29" s="59" t="str">
        <f>IF([2]道具信息!A29="","",[2]道具信息!A29)</f>
        <v/>
      </c>
      <c r="B29" s="59" t="str">
        <f>IF([2]道具信息!B29="","",[2]道具信息!B29)</f>
        <v/>
      </c>
      <c r="C29" s="59" t="str">
        <f>IF([2]道具信息!C29="","",[2]道具信息!C29)</f>
        <v/>
      </c>
      <c r="D29" s="59" t="str">
        <f>IF([2]道具信息!D29="","",[2]道具信息!D29)</f>
        <v>神将点将令</v>
      </c>
      <c r="E29" s="59">
        <f>IF([2]道具信息!E29="","",[2]道具信息!E29)</f>
        <v>400</v>
      </c>
      <c r="F29" s="59">
        <f>IF([2]道具信息!F29="","",[2]道具信息!F29)</f>
        <v>1</v>
      </c>
      <c r="G29" s="59">
        <f>IF([2]道具信息!G29="","",[2]道具信息!G29)</f>
        <v>1</v>
      </c>
      <c r="H29" s="59">
        <f>IF([2]道具信息!H29="","",[2]道具信息!H29)</f>
        <v>1</v>
      </c>
      <c r="I29" s="59">
        <f>IF([2]道具信息!I29="","",[2]道具信息!I29)</f>
        <v>400</v>
      </c>
      <c r="J29" s="59">
        <f>IF([2]道具信息!J29="","",[2]道具信息!J29)</f>
        <v>400</v>
      </c>
      <c r="K29" s="59">
        <f>IF([2]道具信息!K29="","",[2]道具信息!K29)</f>
        <v>400</v>
      </c>
      <c r="L29" s="59" t="str">
        <f>IF([2]道具信息!L29="","",[2]道具信息!L29)</f>
        <v/>
      </c>
      <c r="M29" s="59" t="str">
        <f>IF([2]道具信息!M29="","",[2]道具信息!M29)</f>
        <v/>
      </c>
      <c r="N29" s="59" t="str">
        <f>IF([2]道具信息!N29="","",[2]道具信息!N29)</f>
        <v/>
      </c>
      <c r="O29" s="59" t="str">
        <f>IF([2]道具信息!O29="","",[2]道具信息!O29)</f>
        <v/>
      </c>
      <c r="P29" s="59" t="str">
        <f>IF([2]道具信息!P29="","",[2]道具信息!P29)</f>
        <v/>
      </c>
      <c r="Q29" s="59" t="str">
        <f>IF([2]道具信息!Q29="","",[2]道具信息!Q29)</f>
        <v/>
      </c>
      <c r="R29" s="59" t="str">
        <f>IF([2]道具信息!R29="","",[2]道具信息!R29)</f>
        <v/>
      </c>
      <c r="S29" s="59" t="str">
        <f>IF([2]道具信息!S29="","",[2]道具信息!S29)</f>
        <v/>
      </c>
      <c r="T29" s="59" t="str">
        <f>IF([2]道具信息!T29="","",[2]道具信息!T29)</f>
        <v/>
      </c>
      <c r="U29" s="59" t="str">
        <f>IF([2]道具信息!U29="","",[2]道具信息!U29)</f>
        <v/>
      </c>
      <c r="V29" s="59" t="str">
        <f>IF([2]道具信息!V29="","",[2]道具信息!V29)</f>
        <v/>
      </c>
      <c r="W29" s="59" t="str">
        <f>IF([2]道具信息!W29="","",[2]道具信息!W29)</f>
        <v/>
      </c>
      <c r="X29" s="59" t="str">
        <f>IF([2]道具信息!X29="","",[2]道具信息!X29)</f>
        <v/>
      </c>
      <c r="Y29" s="59" t="str">
        <f>IF([2]道具信息!Y29="","",[2]道具信息!Y29)</f>
        <v/>
      </c>
      <c r="Z29" s="59" t="str">
        <f>IF([2]道具信息!Z29="","",[2]道具信息!Z29)</f>
        <v/>
      </c>
    </row>
    <row r="30" spans="1:26" x14ac:dyDescent="0.15">
      <c r="A30" s="59" t="str">
        <f>IF([2]道具信息!A30="","",[2]道具信息!A30)</f>
        <v/>
      </c>
      <c r="B30" s="59" t="str">
        <f>IF([2]道具信息!B30="","",[2]道具信息!B30)</f>
        <v/>
      </c>
      <c r="C30" s="59" t="str">
        <f>IF([2]道具信息!C30="","",[2]道具信息!C30)</f>
        <v/>
      </c>
      <c r="D30" s="59" t="str">
        <f>IF([2]道具信息!D30="","",[2]道具信息!D30)</f>
        <v>绿色军团馈赠</v>
      </c>
      <c r="E30" s="59">
        <f>IF([2]道具信息!E30="","",[2]道具信息!E30)</f>
        <v>20</v>
      </c>
      <c r="F30" s="59">
        <f>IF([2]道具信息!F30="","",[2]道具信息!F30)</f>
        <v>1</v>
      </c>
      <c r="G30" s="59">
        <f>IF([2]道具信息!G30="","",[2]道具信息!G30)</f>
        <v>1</v>
      </c>
      <c r="H30" s="59">
        <f>IF([2]道具信息!H30="","",[2]道具信息!H30)</f>
        <v>1</v>
      </c>
      <c r="I30" s="59">
        <f>IF([2]道具信息!I30="","",[2]道具信息!I30)</f>
        <v>20</v>
      </c>
      <c r="J30" s="59">
        <f>IF([2]道具信息!J30="","",[2]道具信息!J30)</f>
        <v>20</v>
      </c>
      <c r="K30" s="59">
        <f>IF([2]道具信息!K30="","",[2]道具信息!K30)</f>
        <v>20</v>
      </c>
      <c r="L30" s="59" t="str">
        <f>IF([2]道具信息!L30="","",[2]道具信息!L30)</f>
        <v/>
      </c>
      <c r="M30" s="59" t="str">
        <f>IF([2]道具信息!M30="","",[2]道具信息!M30)</f>
        <v/>
      </c>
      <c r="N30" s="59" t="str">
        <f>IF([2]道具信息!N30="","",[2]道具信息!N30)</f>
        <v/>
      </c>
      <c r="O30" s="59" t="str">
        <f>IF([2]道具信息!O30="","",[2]道具信息!O30)</f>
        <v/>
      </c>
      <c r="P30" s="59" t="str">
        <f>IF([2]道具信息!P30="","",[2]道具信息!P30)</f>
        <v/>
      </c>
      <c r="Q30" s="59" t="str">
        <f>IF([2]道具信息!Q30="","",[2]道具信息!Q30)</f>
        <v/>
      </c>
      <c r="R30" s="59" t="str">
        <f>IF([2]道具信息!R30="","",[2]道具信息!R30)</f>
        <v/>
      </c>
      <c r="S30" s="59" t="str">
        <f>IF([2]道具信息!S30="","",[2]道具信息!S30)</f>
        <v/>
      </c>
      <c r="T30" s="59" t="str">
        <f>IF([2]道具信息!T30="","",[2]道具信息!T30)</f>
        <v/>
      </c>
      <c r="U30" s="59" t="str">
        <f>IF([2]道具信息!U30="","",[2]道具信息!U30)</f>
        <v/>
      </c>
      <c r="V30" s="59" t="str">
        <f>IF([2]道具信息!V30="","",[2]道具信息!V30)</f>
        <v/>
      </c>
      <c r="W30" s="59" t="str">
        <f>IF([2]道具信息!W30="","",[2]道具信息!W30)</f>
        <v/>
      </c>
      <c r="X30" s="59" t="str">
        <f>IF([2]道具信息!X30="","",[2]道具信息!X30)</f>
        <v/>
      </c>
      <c r="Y30" s="59" t="str">
        <f>IF([2]道具信息!Y30="","",[2]道具信息!Y30)</f>
        <v/>
      </c>
      <c r="Z30" s="59" t="str">
        <f>IF([2]道具信息!Z30="","",[2]道具信息!Z30)</f>
        <v/>
      </c>
    </row>
    <row r="31" spans="1:26" x14ac:dyDescent="0.15">
      <c r="A31" s="59" t="str">
        <f>IF([2]道具信息!A31="","",[2]道具信息!A31)</f>
        <v/>
      </c>
      <c r="B31" s="59" t="str">
        <f>IF([2]道具信息!B31="","",[2]道具信息!B31)</f>
        <v/>
      </c>
      <c r="C31" s="59" t="str">
        <f>IF([2]道具信息!C31="","",[2]道具信息!C31)</f>
        <v/>
      </c>
      <c r="D31" s="59" t="str">
        <f>IF([2]道具信息!D31="","",[2]道具信息!D31)</f>
        <v>蓝色军团馈赠</v>
      </c>
      <c r="E31" s="59">
        <f>IF([2]道具信息!E31="","",[2]道具信息!E31)</f>
        <v>100</v>
      </c>
      <c r="F31" s="59">
        <f>IF([2]道具信息!F31="","",[2]道具信息!F31)</f>
        <v>1</v>
      </c>
      <c r="G31" s="59">
        <f>IF([2]道具信息!G31="","",[2]道具信息!G31)</f>
        <v>1</v>
      </c>
      <c r="H31" s="59">
        <f>IF([2]道具信息!H31="","",[2]道具信息!H31)</f>
        <v>1</v>
      </c>
      <c r="I31" s="59">
        <f>IF([2]道具信息!I31="","",[2]道具信息!I31)</f>
        <v>100</v>
      </c>
      <c r="J31" s="59">
        <f>IF([2]道具信息!J31="","",[2]道具信息!J31)</f>
        <v>100</v>
      </c>
      <c r="K31" s="59">
        <f>IF([2]道具信息!K31="","",[2]道具信息!K31)</f>
        <v>100</v>
      </c>
      <c r="L31" s="59" t="str">
        <f>IF([2]道具信息!L31="","",[2]道具信息!L31)</f>
        <v/>
      </c>
      <c r="M31" s="59" t="str">
        <f>IF([2]道具信息!M31="","",[2]道具信息!M31)</f>
        <v/>
      </c>
      <c r="N31" s="59" t="str">
        <f>IF([2]道具信息!N31="","",[2]道具信息!N31)</f>
        <v/>
      </c>
      <c r="O31" s="59" t="str">
        <f>IF([2]道具信息!O31="","",[2]道具信息!O31)</f>
        <v/>
      </c>
      <c r="P31" s="59" t="str">
        <f>IF([2]道具信息!P31="","",[2]道具信息!P31)</f>
        <v/>
      </c>
      <c r="Q31" s="59" t="str">
        <f>IF([2]道具信息!Q31="","",[2]道具信息!Q31)</f>
        <v/>
      </c>
      <c r="R31" s="59" t="str">
        <f>IF([2]道具信息!R31="","",[2]道具信息!R31)</f>
        <v/>
      </c>
      <c r="S31" s="59" t="str">
        <f>IF([2]道具信息!S31="","",[2]道具信息!S31)</f>
        <v/>
      </c>
      <c r="T31" s="59" t="str">
        <f>IF([2]道具信息!T31="","",[2]道具信息!T31)</f>
        <v/>
      </c>
      <c r="U31" s="59" t="str">
        <f>IF([2]道具信息!U31="","",[2]道具信息!U31)</f>
        <v/>
      </c>
      <c r="V31" s="59" t="str">
        <f>IF([2]道具信息!V31="","",[2]道具信息!V31)</f>
        <v/>
      </c>
      <c r="W31" s="59" t="str">
        <f>IF([2]道具信息!W31="","",[2]道具信息!W31)</f>
        <v/>
      </c>
      <c r="X31" s="59" t="str">
        <f>IF([2]道具信息!X31="","",[2]道具信息!X31)</f>
        <v/>
      </c>
      <c r="Y31" s="59" t="str">
        <f>IF([2]道具信息!Y31="","",[2]道具信息!Y31)</f>
        <v/>
      </c>
      <c r="Z31" s="59" t="str">
        <f>IF([2]道具信息!Z31="","",[2]道具信息!Z31)</f>
        <v/>
      </c>
    </row>
    <row r="32" spans="1:26" x14ac:dyDescent="0.15">
      <c r="A32" s="59" t="str">
        <f>IF([2]道具信息!A32="","",[2]道具信息!A32)</f>
        <v/>
      </c>
      <c r="B32" s="59" t="str">
        <f>IF([2]道具信息!B32="","",[2]道具信息!B32)</f>
        <v/>
      </c>
      <c r="C32" s="59" t="str">
        <f>IF([2]道具信息!C32="","",[2]道具信息!C32)</f>
        <v/>
      </c>
      <c r="D32" s="59" t="str">
        <f>IF([2]道具信息!D32="","",[2]道具信息!D32)</f>
        <v>紫色军团馈赠</v>
      </c>
      <c r="E32" s="59">
        <f>IF([2]道具信息!E32="","",[2]道具信息!E32)</f>
        <v>500</v>
      </c>
      <c r="F32" s="59">
        <f>IF([2]道具信息!F32="","",[2]道具信息!F32)</f>
        <v>1</v>
      </c>
      <c r="G32" s="59">
        <f>IF([2]道具信息!G32="","",[2]道具信息!G32)</f>
        <v>1</v>
      </c>
      <c r="H32" s="59">
        <f>IF([2]道具信息!H32="","",[2]道具信息!H32)</f>
        <v>1</v>
      </c>
      <c r="I32" s="59">
        <f>IF([2]道具信息!I32="","",[2]道具信息!I32)</f>
        <v>500</v>
      </c>
      <c r="J32" s="59">
        <f>IF([2]道具信息!J32="","",[2]道具信息!J32)</f>
        <v>500</v>
      </c>
      <c r="K32" s="59">
        <f>IF([2]道具信息!K32="","",[2]道具信息!K32)</f>
        <v>500</v>
      </c>
      <c r="L32" s="59" t="str">
        <f>IF([2]道具信息!L32="","",[2]道具信息!L32)</f>
        <v/>
      </c>
      <c r="M32" s="59" t="str">
        <f>IF([2]道具信息!M32="","",[2]道具信息!M32)</f>
        <v/>
      </c>
      <c r="N32" s="59" t="str">
        <f>IF([2]道具信息!N32="","",[2]道具信息!N32)</f>
        <v/>
      </c>
      <c r="O32" s="59" t="str">
        <f>IF([2]道具信息!O32="","",[2]道具信息!O32)</f>
        <v/>
      </c>
      <c r="P32" s="59" t="str">
        <f>IF([2]道具信息!P32="","",[2]道具信息!P32)</f>
        <v/>
      </c>
      <c r="Q32" s="59" t="str">
        <f>IF([2]道具信息!Q32="","",[2]道具信息!Q32)</f>
        <v/>
      </c>
      <c r="R32" s="59" t="str">
        <f>IF([2]道具信息!R32="","",[2]道具信息!R32)</f>
        <v/>
      </c>
      <c r="S32" s="59" t="str">
        <f>IF([2]道具信息!S32="","",[2]道具信息!S32)</f>
        <v/>
      </c>
      <c r="T32" s="59" t="str">
        <f>IF([2]道具信息!T32="","",[2]道具信息!T32)</f>
        <v/>
      </c>
      <c r="U32" s="59" t="str">
        <f>IF([2]道具信息!U32="","",[2]道具信息!U32)</f>
        <v/>
      </c>
      <c r="V32" s="59" t="str">
        <f>IF([2]道具信息!V32="","",[2]道具信息!V32)</f>
        <v/>
      </c>
      <c r="W32" s="59" t="str">
        <f>IF([2]道具信息!W32="","",[2]道具信息!W32)</f>
        <v/>
      </c>
      <c r="X32" s="59" t="str">
        <f>IF([2]道具信息!X32="","",[2]道具信息!X32)</f>
        <v/>
      </c>
      <c r="Y32" s="59" t="str">
        <f>IF([2]道具信息!Y32="","",[2]道具信息!Y32)</f>
        <v/>
      </c>
      <c r="Z32" s="59" t="str">
        <f>IF([2]道具信息!Z32="","",[2]道具信息!Z32)</f>
        <v/>
      </c>
    </row>
    <row r="33" spans="1:26" x14ac:dyDescent="0.15">
      <c r="A33" s="59" t="str">
        <f>IF([2]道具信息!A33="","",[2]道具信息!A33)</f>
        <v/>
      </c>
      <c r="B33" s="59" t="str">
        <f>IF([2]道具信息!B33="","",[2]道具信息!B33)</f>
        <v/>
      </c>
      <c r="C33" s="59" t="str">
        <f>IF([2]道具信息!C33="","",[2]道具信息!C33)</f>
        <v/>
      </c>
      <c r="D33" s="59" t="str">
        <f>IF([2]道具信息!D33="","",[2]道具信息!D33)</f>
        <v>橙色军团馈赠</v>
      </c>
      <c r="E33" s="59">
        <f>IF([2]道具信息!E33="","",[2]道具信息!E33)</f>
        <v>2000</v>
      </c>
      <c r="F33" s="59">
        <f>IF([2]道具信息!F33="","",[2]道具信息!F33)</f>
        <v>1</v>
      </c>
      <c r="G33" s="59">
        <f>IF([2]道具信息!G33="","",[2]道具信息!G33)</f>
        <v>1</v>
      </c>
      <c r="H33" s="59">
        <f>IF([2]道具信息!H33="","",[2]道具信息!H33)</f>
        <v>1</v>
      </c>
      <c r="I33" s="59">
        <f>IF([2]道具信息!I33="","",[2]道具信息!I33)</f>
        <v>2000</v>
      </c>
      <c r="J33" s="59">
        <f>IF([2]道具信息!J33="","",[2]道具信息!J33)</f>
        <v>2000</v>
      </c>
      <c r="K33" s="59">
        <f>IF([2]道具信息!K33="","",[2]道具信息!K33)</f>
        <v>2000</v>
      </c>
      <c r="L33" s="59" t="str">
        <f>IF([2]道具信息!L33="","",[2]道具信息!L33)</f>
        <v/>
      </c>
      <c r="M33" s="59" t="str">
        <f>IF([2]道具信息!M33="","",[2]道具信息!M33)</f>
        <v/>
      </c>
      <c r="N33" s="59" t="str">
        <f>IF([2]道具信息!N33="","",[2]道具信息!N33)</f>
        <v/>
      </c>
      <c r="O33" s="59" t="str">
        <f>IF([2]道具信息!O33="","",[2]道具信息!O33)</f>
        <v/>
      </c>
      <c r="P33" s="59" t="str">
        <f>IF([2]道具信息!P33="","",[2]道具信息!P33)</f>
        <v/>
      </c>
      <c r="Q33" s="59" t="str">
        <f>IF([2]道具信息!Q33="","",[2]道具信息!Q33)</f>
        <v/>
      </c>
      <c r="R33" s="59" t="str">
        <f>IF([2]道具信息!R33="","",[2]道具信息!R33)</f>
        <v/>
      </c>
      <c r="S33" s="59" t="str">
        <f>IF([2]道具信息!S33="","",[2]道具信息!S33)</f>
        <v/>
      </c>
      <c r="T33" s="59" t="str">
        <f>IF([2]道具信息!T33="","",[2]道具信息!T33)</f>
        <v/>
      </c>
      <c r="U33" s="59" t="str">
        <f>IF([2]道具信息!U33="","",[2]道具信息!U33)</f>
        <v/>
      </c>
      <c r="V33" s="59" t="str">
        <f>IF([2]道具信息!V33="","",[2]道具信息!V33)</f>
        <v/>
      </c>
      <c r="W33" s="59" t="str">
        <f>IF([2]道具信息!W33="","",[2]道具信息!W33)</f>
        <v/>
      </c>
      <c r="X33" s="59" t="str">
        <f>IF([2]道具信息!X33="","",[2]道具信息!X33)</f>
        <v/>
      </c>
      <c r="Y33" s="59" t="str">
        <f>IF([2]道具信息!Y33="","",[2]道具信息!Y33)</f>
        <v/>
      </c>
      <c r="Z33" s="59" t="str">
        <f>IF([2]道具信息!Z33="","",[2]道具信息!Z33)</f>
        <v/>
      </c>
    </row>
    <row r="34" spans="1:26" x14ac:dyDescent="0.15">
      <c r="A34" s="59" t="str">
        <f>IF([2]道具信息!A34="","",[2]道具信息!A34)</f>
        <v/>
      </c>
      <c r="B34" s="59" t="str">
        <f>IF([2]道具信息!B34="","",[2]道具信息!B34)</f>
        <v/>
      </c>
      <c r="C34" s="59" t="str">
        <f>IF([2]道具信息!C34="","",[2]道具信息!C34)</f>
        <v/>
      </c>
      <c r="D34" s="59" t="str">
        <f>IF([2]道具信息!D34="","",[2]道具信息!D34)</f>
        <v/>
      </c>
      <c r="E34" s="59" t="str">
        <f>IF([2]道具信息!E34="","",[2]道具信息!E34)</f>
        <v/>
      </c>
      <c r="F34" s="59" t="str">
        <f>IF([2]道具信息!F34="","",[2]道具信息!F34)</f>
        <v/>
      </c>
      <c r="G34" s="59" t="str">
        <f>IF([2]道具信息!G34="","",[2]道具信息!G34)</f>
        <v/>
      </c>
      <c r="H34" s="59" t="str">
        <f>IF([2]道具信息!H34="","",[2]道具信息!H34)</f>
        <v/>
      </c>
      <c r="I34" s="59" t="str">
        <f>IF([2]道具信息!I34="","",[2]道具信息!I34)</f>
        <v/>
      </c>
      <c r="J34" s="59" t="str">
        <f>IF([2]道具信息!J34="","",[2]道具信息!J34)</f>
        <v/>
      </c>
      <c r="K34" s="59" t="str">
        <f>IF([2]道具信息!K34="","",[2]道具信息!K34)</f>
        <v/>
      </c>
      <c r="L34" s="59" t="str">
        <f>IF([2]道具信息!L34="","",[2]道具信息!L34)</f>
        <v/>
      </c>
      <c r="M34" s="59" t="str">
        <f>IF([2]道具信息!M34="","",[2]道具信息!M34)</f>
        <v/>
      </c>
      <c r="N34" s="59" t="str">
        <f>IF([2]道具信息!N34="","",[2]道具信息!N34)</f>
        <v/>
      </c>
      <c r="O34" s="59" t="str">
        <f>IF([2]道具信息!O34="","",[2]道具信息!O34)</f>
        <v/>
      </c>
      <c r="P34" s="59" t="str">
        <f>IF([2]道具信息!P34="","",[2]道具信息!P34)</f>
        <v/>
      </c>
      <c r="Q34" s="59" t="str">
        <f>IF([2]道具信息!Q34="","",[2]道具信息!Q34)</f>
        <v/>
      </c>
      <c r="R34" s="59" t="str">
        <f>IF([2]道具信息!R34="","",[2]道具信息!R34)</f>
        <v/>
      </c>
      <c r="S34" s="59" t="str">
        <f>IF([2]道具信息!S34="","",[2]道具信息!S34)</f>
        <v/>
      </c>
      <c r="T34" s="59" t="str">
        <f>IF([2]道具信息!T34="","",[2]道具信息!T34)</f>
        <v/>
      </c>
      <c r="U34" s="59" t="str">
        <f>IF([2]道具信息!U34="","",[2]道具信息!U34)</f>
        <v/>
      </c>
      <c r="V34" s="59" t="str">
        <f>IF([2]道具信息!V34="","",[2]道具信息!V34)</f>
        <v/>
      </c>
      <c r="W34" s="59" t="str">
        <f>IF([2]道具信息!W34="","",[2]道具信息!W34)</f>
        <v/>
      </c>
      <c r="X34" s="59" t="str">
        <f>IF([2]道具信息!X34="","",[2]道具信息!X34)</f>
        <v/>
      </c>
      <c r="Y34" s="59" t="str">
        <f>IF([2]道具信息!Y34="","",[2]道具信息!Y34)</f>
        <v/>
      </c>
      <c r="Z34" s="59" t="str">
        <f>IF([2]道具信息!Z34="","",[2]道具信息!Z34)</f>
        <v/>
      </c>
    </row>
    <row r="35" spans="1:26" x14ac:dyDescent="0.15">
      <c r="A35" s="59" t="str">
        <f>IF([2]道具信息!A35="","",[2]道具信息!A35)</f>
        <v/>
      </c>
      <c r="B35" s="59" t="str">
        <f>IF([2]道具信息!B35="","",[2]道具信息!B35)</f>
        <v/>
      </c>
      <c r="C35" s="59" t="str">
        <f>IF([2]道具信息!C35="","",[2]道具信息!C35)</f>
        <v/>
      </c>
      <c r="D35" s="59" t="str">
        <f>IF([2]道具信息!D35="","",[2]道具信息!D35)</f>
        <v>文心</v>
      </c>
      <c r="E35" s="59">
        <f>IF([2]道具信息!E35="","",[2]道具信息!E35)</f>
        <v>0.33333333333333331</v>
      </c>
      <c r="F35" s="59">
        <f>IF([2]道具信息!F35="","",[2]道具信息!F35)</f>
        <v>1</v>
      </c>
      <c r="G35" s="59">
        <f>IF([2]道具信息!G35="","",[2]道具信息!G35)</f>
        <v>1</v>
      </c>
      <c r="H35" s="59">
        <f>IF([2]道具信息!H35="","",[2]道具信息!H35)</f>
        <v>1</v>
      </c>
      <c r="I35" s="59">
        <f>IF([2]道具信息!I35="","",[2]道具信息!I35)</f>
        <v>0.33333333333333331</v>
      </c>
      <c r="J35" s="59">
        <f>IF([2]道具信息!J35="","",[2]道具信息!J35)</f>
        <v>0.33333333333333331</v>
      </c>
      <c r="K35" s="59">
        <f>IF([2]道具信息!K35="","",[2]道具信息!K35)</f>
        <v>0.33333333333333331</v>
      </c>
      <c r="L35" s="59" t="str">
        <f>IF([2]道具信息!L35="","",[2]道具信息!L35)</f>
        <v>宝物温养货币</v>
      </c>
      <c r="M35" s="59" t="str">
        <f>IF([2]道具信息!M35="","",[2]道具信息!M35)</f>
        <v/>
      </c>
      <c r="N35" s="59" t="str">
        <f>IF([2]道具信息!N35="","",[2]道具信息!N35)</f>
        <v/>
      </c>
      <c r="O35" s="59" t="str">
        <f>IF([2]道具信息!O35="","",[2]道具信息!O35)</f>
        <v/>
      </c>
      <c r="P35" s="59" t="str">
        <f>IF([2]道具信息!P35="","",[2]道具信息!P35)</f>
        <v/>
      </c>
      <c r="Q35" s="59" t="str">
        <f>IF([2]道具信息!Q35="","",[2]道具信息!Q35)</f>
        <v/>
      </c>
      <c r="R35" s="59" t="str">
        <f>IF([2]道具信息!R35="","",[2]道具信息!R35)</f>
        <v/>
      </c>
      <c r="S35" s="59" t="str">
        <f>IF([2]道具信息!S35="","",[2]道具信息!S35)</f>
        <v/>
      </c>
      <c r="T35" s="59" t="str">
        <f>IF([2]道具信息!T35="","",[2]道具信息!T35)</f>
        <v/>
      </c>
      <c r="U35" s="59" t="str">
        <f>IF([2]道具信息!U35="","",[2]道具信息!U35)</f>
        <v/>
      </c>
      <c r="V35" s="59" t="str">
        <f>IF([2]道具信息!V35="","",[2]道具信息!V35)</f>
        <v/>
      </c>
      <c r="W35" s="59" t="str">
        <f>IF([2]道具信息!W35="","",[2]道具信息!W35)</f>
        <v/>
      </c>
      <c r="X35" s="59" t="str">
        <f>IF([2]道具信息!X35="","",[2]道具信息!X35)</f>
        <v/>
      </c>
      <c r="Y35" s="59" t="str">
        <f>IF([2]道具信息!Y35="","",[2]道具信息!Y35)</f>
        <v/>
      </c>
      <c r="Z35" s="59" t="str">
        <f>IF([2]道具信息!Z35="","",[2]道具信息!Z35)</f>
        <v/>
      </c>
    </row>
    <row r="36" spans="1:26" x14ac:dyDescent="0.15">
      <c r="A36" s="59" t="str">
        <f>IF([2]道具信息!A36="","",[2]道具信息!A36)</f>
        <v/>
      </c>
      <c r="B36" s="59" t="str">
        <f>IF([2]道具信息!B36="","",[2]道具信息!B36)</f>
        <v/>
      </c>
      <c r="C36" s="59" t="str">
        <f>IF([2]道具信息!C36="","",[2]道具信息!C36)</f>
        <v/>
      </c>
      <c r="D36" s="59" t="str">
        <f>IF([2]道具信息!D36="","",[2]道具信息!D36)</f>
        <v>宝鉴</v>
      </c>
      <c r="E36" s="59">
        <f>IF([2]道具信息!E36="","",[2]道具信息!E36)</f>
        <v>500</v>
      </c>
      <c r="F36" s="59">
        <f>IF([2]道具信息!F36="","",[2]道具信息!F36)</f>
        <v>1</v>
      </c>
      <c r="G36" s="59">
        <f>IF([2]道具信息!G36="","",[2]道具信息!G36)</f>
        <v>1</v>
      </c>
      <c r="H36" s="59">
        <f>IF([2]道具信息!H36="","",[2]道具信息!H36)</f>
        <v>1</v>
      </c>
      <c r="I36" s="59">
        <f>IF([2]道具信息!I36="","",[2]道具信息!I36)</f>
        <v>500</v>
      </c>
      <c r="J36" s="59">
        <f>IF([2]道具信息!J36="","",[2]道具信息!J36)</f>
        <v>500</v>
      </c>
      <c r="K36" s="59">
        <f>IF([2]道具信息!K36="","",[2]道具信息!K36)</f>
        <v>500</v>
      </c>
      <c r="L36" s="59" t="str">
        <f>IF([2]道具信息!L36="","",[2]道具信息!L36)</f>
        <v>鉴赏宝物属性</v>
      </c>
      <c r="M36" s="59" t="str">
        <f>IF([2]道具信息!M36="","",[2]道具信息!M36)</f>
        <v/>
      </c>
      <c r="N36" s="59" t="str">
        <f>IF([2]道具信息!N36="","",[2]道具信息!N36)</f>
        <v/>
      </c>
      <c r="O36" s="59" t="str">
        <f>IF([2]道具信息!O36="","",[2]道具信息!O36)</f>
        <v/>
      </c>
      <c r="P36" s="59" t="str">
        <f>IF([2]道具信息!P36="","",[2]道具信息!P36)</f>
        <v/>
      </c>
      <c r="Q36" s="59" t="str">
        <f>IF([2]道具信息!Q36="","",[2]道具信息!Q36)</f>
        <v/>
      </c>
      <c r="R36" s="59" t="str">
        <f>IF([2]道具信息!R36="","",[2]道具信息!R36)</f>
        <v/>
      </c>
      <c r="S36" s="59" t="str">
        <f>IF([2]道具信息!S36="","",[2]道具信息!S36)</f>
        <v/>
      </c>
      <c r="T36" s="59" t="str">
        <f>IF([2]道具信息!T36="","",[2]道具信息!T36)</f>
        <v/>
      </c>
      <c r="U36" s="59" t="str">
        <f>IF([2]道具信息!U36="","",[2]道具信息!U36)</f>
        <v/>
      </c>
      <c r="V36" s="59" t="str">
        <f>IF([2]道具信息!V36="","",[2]道具信息!V36)</f>
        <v/>
      </c>
      <c r="W36" s="59" t="str">
        <f>IF([2]道具信息!W36="","",[2]道具信息!W36)</f>
        <v/>
      </c>
      <c r="X36" s="59" t="str">
        <f>IF([2]道具信息!X36="","",[2]道具信息!X36)</f>
        <v/>
      </c>
      <c r="Y36" s="59" t="str">
        <f>IF([2]道具信息!Y36="","",[2]道具信息!Y36)</f>
        <v/>
      </c>
      <c r="Z36" s="59" t="str">
        <f>IF([2]道具信息!Z36="","",[2]道具信息!Z36)</f>
        <v/>
      </c>
    </row>
    <row r="37" spans="1:26" x14ac:dyDescent="0.15">
      <c r="A37" s="59" t="str">
        <f>IF([2]道具信息!A37="","",[2]道具信息!A37)</f>
        <v/>
      </c>
      <c r="B37" s="59" t="str">
        <f>IF([2]道具信息!B37="","",[2]道具信息!B37)</f>
        <v/>
      </c>
      <c r="C37" s="59" t="str">
        <f>IF([2]道具信息!C37="","",[2]道具信息!C37)</f>
        <v/>
      </c>
      <c r="D37" s="59" t="str">
        <f>IF([2]道具信息!D37="","",[2]道具信息!D37)</f>
        <v>密藏之匙</v>
      </c>
      <c r="E37" s="59">
        <f>IF([2]道具信息!E37="","",[2]道具信息!E37)</f>
        <v>330</v>
      </c>
      <c r="F37" s="59">
        <f>IF([2]道具信息!F37="","",[2]道具信息!F37)</f>
        <v>1</v>
      </c>
      <c r="G37" s="59">
        <f>IF([2]道具信息!G37="","",[2]道具信息!G37)</f>
        <v>1</v>
      </c>
      <c r="H37" s="59">
        <f>IF([2]道具信息!H37="","",[2]道具信息!H37)</f>
        <v>1</v>
      </c>
      <c r="I37" s="59">
        <f>IF([2]道具信息!I37="","",[2]道具信息!I37)</f>
        <v>330</v>
      </c>
      <c r="J37" s="59">
        <f>IF([2]道具信息!J37="","",[2]道具信息!J37)</f>
        <v>330</v>
      </c>
      <c r="K37" s="59">
        <f>IF([2]道具信息!K37="","",[2]道具信息!K37)</f>
        <v>330</v>
      </c>
      <c r="L37" s="59" t="str">
        <f>IF([2]道具信息!L37="","",[2]道具信息!L37)</f>
        <v>宝物抽奖道具</v>
      </c>
      <c r="M37" s="59" t="str">
        <f>IF([2]道具信息!M37="","",[2]道具信息!M37)</f>
        <v/>
      </c>
      <c r="N37" s="59" t="str">
        <f>IF([2]道具信息!N37="","",[2]道具信息!N37)</f>
        <v/>
      </c>
      <c r="O37" s="59" t="str">
        <f>IF([2]道具信息!O37="","",[2]道具信息!O37)</f>
        <v/>
      </c>
      <c r="P37" s="59" t="str">
        <f>IF([2]道具信息!P37="","",[2]道具信息!P37)</f>
        <v/>
      </c>
      <c r="Q37" s="59" t="str">
        <f>IF([2]道具信息!Q37="","",[2]道具信息!Q37)</f>
        <v/>
      </c>
      <c r="R37" s="59" t="str">
        <f>IF([2]道具信息!R37="","",[2]道具信息!R37)</f>
        <v/>
      </c>
      <c r="S37" s="59" t="str">
        <f>IF([2]道具信息!S37="","",[2]道具信息!S37)</f>
        <v/>
      </c>
      <c r="T37" s="59" t="str">
        <f>IF([2]道具信息!T37="","",[2]道具信息!T37)</f>
        <v/>
      </c>
      <c r="U37" s="59" t="str">
        <f>IF([2]道具信息!U37="","",[2]道具信息!U37)</f>
        <v/>
      </c>
      <c r="V37" s="59" t="str">
        <f>IF([2]道具信息!V37="","",[2]道具信息!V37)</f>
        <v/>
      </c>
      <c r="W37" s="59" t="str">
        <f>IF([2]道具信息!W37="","",[2]道具信息!W37)</f>
        <v/>
      </c>
      <c r="X37" s="59" t="str">
        <f>IF([2]道具信息!X37="","",[2]道具信息!X37)</f>
        <v/>
      </c>
      <c r="Y37" s="59" t="str">
        <f>IF([2]道具信息!Y37="","",[2]道具信息!Y37)</f>
        <v/>
      </c>
      <c r="Z37" s="59" t="str">
        <f>IF([2]道具信息!Z37="","",[2]道具信息!Z37)</f>
        <v/>
      </c>
    </row>
    <row r="38" spans="1:26" x14ac:dyDescent="0.15">
      <c r="A38" s="59" t="str">
        <f>IF([2]道具信息!A38="","",[2]道具信息!A38)</f>
        <v/>
      </c>
      <c r="B38" s="59" t="str">
        <f>IF([2]道具信息!B38="","",[2]道具信息!B38)</f>
        <v/>
      </c>
      <c r="C38" s="59" t="str">
        <f>IF([2]道具信息!C38="","",[2]道具信息!C38)</f>
        <v/>
      </c>
      <c r="D38" s="59" t="str">
        <f>IF([2]道具信息!D38="","",[2]道具信息!D38)</f>
        <v>宝物精华</v>
      </c>
      <c r="E38" s="59">
        <f>IF([2]道具信息!E38="","",[2]道具信息!E38)</f>
        <v>100</v>
      </c>
      <c r="F38" s="59">
        <f>IF([2]道具信息!F38="","",[2]道具信息!F38)</f>
        <v>1</v>
      </c>
      <c r="G38" s="59">
        <f>IF([2]道具信息!G38="","",[2]道具信息!G38)</f>
        <v>1</v>
      </c>
      <c r="H38" s="59">
        <f>IF([2]道具信息!H38="","",[2]道具信息!H38)</f>
        <v>1</v>
      </c>
      <c r="I38" s="59">
        <f>IF([2]道具信息!I38="","",[2]道具信息!I38)</f>
        <v>100</v>
      </c>
      <c r="J38" s="59">
        <f>IF([2]道具信息!J38="","",[2]道具信息!J38)</f>
        <v>100</v>
      </c>
      <c r="K38" s="59">
        <f>IF([2]道具信息!K38="","",[2]道具信息!K38)</f>
        <v>100</v>
      </c>
      <c r="L38" s="59" t="str">
        <f>IF([2]道具信息!L38="","",[2]道具信息!L38)</f>
        <v>宝物升星消耗货币</v>
      </c>
      <c r="M38" s="59" t="str">
        <f>IF([2]道具信息!M38="","",[2]道具信息!M38)</f>
        <v/>
      </c>
      <c r="N38" s="59" t="str">
        <f>IF([2]道具信息!N38="","",[2]道具信息!N38)</f>
        <v/>
      </c>
      <c r="O38" s="59" t="str">
        <f>IF([2]道具信息!O38="","",[2]道具信息!O38)</f>
        <v/>
      </c>
      <c r="P38" s="59" t="str">
        <f>IF([2]道具信息!P38="","",[2]道具信息!P38)</f>
        <v/>
      </c>
      <c r="Q38" s="59" t="str">
        <f>IF([2]道具信息!Q38="","",[2]道具信息!Q38)</f>
        <v/>
      </c>
      <c r="R38" s="59" t="str">
        <f>IF([2]道具信息!R38="","",[2]道具信息!R38)</f>
        <v/>
      </c>
      <c r="S38" s="59" t="str">
        <f>IF([2]道具信息!S38="","",[2]道具信息!S38)</f>
        <v/>
      </c>
      <c r="T38" s="59" t="str">
        <f>IF([2]道具信息!T38="","",[2]道具信息!T38)</f>
        <v/>
      </c>
      <c r="U38" s="59" t="str">
        <f>IF([2]道具信息!U38="","",[2]道具信息!U38)</f>
        <v/>
      </c>
      <c r="V38" s="59" t="str">
        <f>IF([2]道具信息!V38="","",[2]道具信息!V38)</f>
        <v/>
      </c>
      <c r="W38" s="59" t="str">
        <f>IF([2]道具信息!W38="","",[2]道具信息!W38)</f>
        <v/>
      </c>
      <c r="X38" s="59" t="str">
        <f>IF([2]道具信息!X38="","",[2]道具信息!X38)</f>
        <v/>
      </c>
      <c r="Y38" s="59" t="str">
        <f>IF([2]道具信息!Y38="","",[2]道具信息!Y38)</f>
        <v/>
      </c>
      <c r="Z38" s="59" t="str">
        <f>IF([2]道具信息!Z38="","",[2]道具信息!Z38)</f>
        <v/>
      </c>
    </row>
    <row r="39" spans="1:26" x14ac:dyDescent="0.15">
      <c r="A39" s="59" t="str">
        <f>IF([2]道具信息!A39="","",[2]道具信息!A39)</f>
        <v/>
      </c>
      <c r="B39" s="59" t="str">
        <f>IF([2]道具信息!B39="","",[2]道具信息!B39)</f>
        <v/>
      </c>
      <c r="C39" s="59" t="str">
        <f>IF([2]道具信息!C39="","",[2]道具信息!C39)</f>
        <v/>
      </c>
      <c r="D39" s="59" t="str">
        <f>IF([2]道具信息!D39="","",[2]道具信息!D39)</f>
        <v>指定蓝色宝物</v>
      </c>
      <c r="E39" s="59">
        <f>IF([2]道具信息!E39="","",[2]道具信息!E39)</f>
        <v>100</v>
      </c>
      <c r="F39" s="59">
        <f>IF([2]道具信息!F39="","",[2]道具信息!F39)</f>
        <v>2.5</v>
      </c>
      <c r="G39" s="59">
        <f>IF([2]道具信息!G39="","",[2]道具信息!G39)</f>
        <v>1</v>
      </c>
      <c r="H39" s="59">
        <f>IF([2]道具信息!H39="","",[2]道具信息!H39)</f>
        <v>1</v>
      </c>
      <c r="I39" s="59">
        <f>IF([2]道具信息!I39="","",[2]道具信息!I39)</f>
        <v>250</v>
      </c>
      <c r="J39" s="59">
        <f>IF([2]道具信息!J39="","",[2]道具信息!J39)</f>
        <v>100</v>
      </c>
      <c r="K39" s="59">
        <f>IF([2]道具信息!K39="","",[2]道具信息!K39)</f>
        <v>100</v>
      </c>
      <c r="L39" s="59" t="str">
        <f>IF([2]道具信息!L39="","",[2]道具信息!L39)</f>
        <v/>
      </c>
      <c r="M39" s="59" t="str">
        <f>IF([2]道具信息!M39="","",[2]道具信息!M39)</f>
        <v/>
      </c>
      <c r="N39" s="59" t="str">
        <f>IF([2]道具信息!N39="","",[2]道具信息!N39)</f>
        <v/>
      </c>
      <c r="O39" s="59" t="str">
        <f>IF([2]道具信息!O39="","",[2]道具信息!O39)</f>
        <v/>
      </c>
      <c r="P39" s="59" t="str">
        <f>IF([2]道具信息!P39="","",[2]道具信息!P39)</f>
        <v/>
      </c>
      <c r="Q39" s="59" t="str">
        <f>IF([2]道具信息!Q39="","",[2]道具信息!Q39)</f>
        <v/>
      </c>
      <c r="R39" s="59" t="str">
        <f>IF([2]道具信息!R39="","",[2]道具信息!R39)</f>
        <v/>
      </c>
      <c r="S39" s="59" t="str">
        <f>IF([2]道具信息!S39="","",[2]道具信息!S39)</f>
        <v/>
      </c>
      <c r="T39" s="59" t="str">
        <f>IF([2]道具信息!T39="","",[2]道具信息!T39)</f>
        <v/>
      </c>
      <c r="U39" s="59" t="str">
        <f>IF([2]道具信息!U39="","",[2]道具信息!U39)</f>
        <v/>
      </c>
      <c r="V39" s="59" t="str">
        <f>IF([2]道具信息!V39="","",[2]道具信息!V39)</f>
        <v/>
      </c>
      <c r="W39" s="59" t="str">
        <f>IF([2]道具信息!W39="","",[2]道具信息!W39)</f>
        <v/>
      </c>
      <c r="X39" s="59" t="str">
        <f>IF([2]道具信息!X39="","",[2]道具信息!X39)</f>
        <v/>
      </c>
      <c r="Y39" s="59" t="str">
        <f>IF([2]道具信息!Y39="","",[2]道具信息!Y39)</f>
        <v/>
      </c>
      <c r="Z39" s="59" t="str">
        <f>IF([2]道具信息!Z39="","",[2]道具信息!Z39)</f>
        <v/>
      </c>
    </row>
    <row r="40" spans="1:26" x14ac:dyDescent="0.15">
      <c r="A40" s="59" t="str">
        <f>IF([2]道具信息!A40="","",[2]道具信息!A40)</f>
        <v/>
      </c>
      <c r="B40" s="59" t="str">
        <f>IF([2]道具信息!B40="","",[2]道具信息!B40)</f>
        <v/>
      </c>
      <c r="C40" s="59" t="str">
        <f>IF([2]道具信息!C40="","",[2]道具信息!C40)</f>
        <v/>
      </c>
      <c r="D40" s="59" t="str">
        <f>IF([2]道具信息!D40="","",[2]道具信息!D40)</f>
        <v>指定紫色宝物</v>
      </c>
      <c r="E40" s="59">
        <f>IF([2]道具信息!E40="","",[2]道具信息!E40)</f>
        <v>500</v>
      </c>
      <c r="F40" s="59">
        <f>IF([2]道具信息!F40="","",[2]道具信息!F40)</f>
        <v>2.5</v>
      </c>
      <c r="G40" s="59">
        <f>IF([2]道具信息!G40="","",[2]道具信息!G40)</f>
        <v>1</v>
      </c>
      <c r="H40" s="59">
        <f>IF([2]道具信息!H40="","",[2]道具信息!H40)</f>
        <v>1</v>
      </c>
      <c r="I40" s="59">
        <f>IF([2]道具信息!I40="","",[2]道具信息!I40)</f>
        <v>1250</v>
      </c>
      <c r="J40" s="59">
        <f>IF([2]道具信息!J40="","",[2]道具信息!J40)</f>
        <v>500</v>
      </c>
      <c r="K40" s="59">
        <f>IF([2]道具信息!K40="","",[2]道具信息!K40)</f>
        <v>500</v>
      </c>
      <c r="L40" s="59" t="str">
        <f>IF([2]道具信息!L40="","",[2]道具信息!L40)</f>
        <v/>
      </c>
      <c r="M40" s="59" t="str">
        <f>IF([2]道具信息!M40="","",[2]道具信息!M40)</f>
        <v/>
      </c>
      <c r="N40" s="59" t="str">
        <f>IF([2]道具信息!N40="","",[2]道具信息!N40)</f>
        <v/>
      </c>
      <c r="O40" s="59" t="str">
        <f>IF([2]道具信息!O40="","",[2]道具信息!O40)</f>
        <v/>
      </c>
      <c r="P40" s="59" t="str">
        <f>IF([2]道具信息!P40="","",[2]道具信息!P40)</f>
        <v/>
      </c>
      <c r="Q40" s="59" t="str">
        <f>IF([2]道具信息!Q40="","",[2]道具信息!Q40)</f>
        <v/>
      </c>
      <c r="R40" s="59" t="str">
        <f>IF([2]道具信息!R40="","",[2]道具信息!R40)</f>
        <v/>
      </c>
      <c r="S40" s="59" t="str">
        <f>IF([2]道具信息!S40="","",[2]道具信息!S40)</f>
        <v/>
      </c>
      <c r="T40" s="59" t="str">
        <f>IF([2]道具信息!T40="","",[2]道具信息!T40)</f>
        <v/>
      </c>
      <c r="U40" s="59" t="str">
        <f>IF([2]道具信息!U40="","",[2]道具信息!U40)</f>
        <v/>
      </c>
      <c r="V40" s="59" t="str">
        <f>IF([2]道具信息!V40="","",[2]道具信息!V40)</f>
        <v/>
      </c>
      <c r="W40" s="59" t="str">
        <f>IF([2]道具信息!W40="","",[2]道具信息!W40)</f>
        <v/>
      </c>
      <c r="X40" s="59" t="str">
        <f>IF([2]道具信息!X40="","",[2]道具信息!X40)</f>
        <v/>
      </c>
      <c r="Y40" s="59" t="str">
        <f>IF([2]道具信息!Y40="","",[2]道具信息!Y40)</f>
        <v/>
      </c>
      <c r="Z40" s="59" t="str">
        <f>IF([2]道具信息!Z40="","",[2]道具信息!Z40)</f>
        <v/>
      </c>
    </row>
    <row r="41" spans="1:26" x14ac:dyDescent="0.15">
      <c r="A41" s="59" t="str">
        <f>IF([2]道具信息!A41="","",[2]道具信息!A41)</f>
        <v/>
      </c>
      <c r="B41" s="59" t="str">
        <f>IF([2]道具信息!B41="","",[2]道具信息!B41)</f>
        <v/>
      </c>
      <c r="C41" s="59" t="str">
        <f>IF([2]道具信息!C41="","",[2]道具信息!C41)</f>
        <v/>
      </c>
      <c r="D41" s="59" t="str">
        <f>IF([2]道具信息!D41="","",[2]道具信息!D41)</f>
        <v>指定橙色宝物</v>
      </c>
      <c r="E41" s="59">
        <f>IF([2]道具信息!E41="","",[2]道具信息!E41)</f>
        <v>4000</v>
      </c>
      <c r="F41" s="59">
        <f>IF([2]道具信息!F41="","",[2]道具信息!F41)</f>
        <v>2.5</v>
      </c>
      <c r="G41" s="59">
        <f>IF([2]道具信息!G41="","",[2]道具信息!G41)</f>
        <v>1</v>
      </c>
      <c r="H41" s="59">
        <f>IF([2]道具信息!H41="","",[2]道具信息!H41)</f>
        <v>1</v>
      </c>
      <c r="I41" s="59">
        <f>IF([2]道具信息!I41="","",[2]道具信息!I41)</f>
        <v>10000</v>
      </c>
      <c r="J41" s="59">
        <f>IF([2]道具信息!J41="","",[2]道具信息!J41)</f>
        <v>4000</v>
      </c>
      <c r="K41" s="59">
        <f>IF([2]道具信息!K41="","",[2]道具信息!K41)</f>
        <v>4000</v>
      </c>
      <c r="L41" s="59" t="str">
        <f>IF([2]道具信息!L41="","",[2]道具信息!L41)</f>
        <v/>
      </c>
      <c r="M41" s="59" t="str">
        <f>IF([2]道具信息!M41="","",[2]道具信息!M41)</f>
        <v/>
      </c>
      <c r="N41" s="59" t="str">
        <f>IF([2]道具信息!N41="","",[2]道具信息!N41)</f>
        <v/>
      </c>
      <c r="O41" s="59" t="str">
        <f>IF([2]道具信息!O41="","",[2]道具信息!O41)</f>
        <v/>
      </c>
      <c r="P41" s="59" t="str">
        <f>IF([2]道具信息!P41="","",[2]道具信息!P41)</f>
        <v/>
      </c>
      <c r="Q41" s="59" t="str">
        <f>IF([2]道具信息!Q41="","",[2]道具信息!Q41)</f>
        <v/>
      </c>
      <c r="R41" s="59" t="str">
        <f>IF([2]道具信息!R41="","",[2]道具信息!R41)</f>
        <v/>
      </c>
      <c r="S41" s="59" t="str">
        <f>IF([2]道具信息!S41="","",[2]道具信息!S41)</f>
        <v/>
      </c>
      <c r="T41" s="59" t="str">
        <f>IF([2]道具信息!T41="","",[2]道具信息!T41)</f>
        <v/>
      </c>
      <c r="U41" s="59" t="str">
        <f>IF([2]道具信息!U41="","",[2]道具信息!U41)</f>
        <v/>
      </c>
      <c r="V41" s="59" t="str">
        <f>IF([2]道具信息!V41="","",[2]道具信息!V41)</f>
        <v/>
      </c>
      <c r="W41" s="59" t="str">
        <f>IF([2]道具信息!W41="","",[2]道具信息!W41)</f>
        <v/>
      </c>
      <c r="X41" s="59" t="str">
        <f>IF([2]道具信息!X41="","",[2]道具信息!X41)</f>
        <v/>
      </c>
      <c r="Y41" s="59" t="str">
        <f>IF([2]道具信息!Y41="","",[2]道具信息!Y41)</f>
        <v/>
      </c>
      <c r="Z41" s="59" t="str">
        <f>IF([2]道具信息!Z41="","",[2]道具信息!Z41)</f>
        <v/>
      </c>
    </row>
    <row r="42" spans="1:26" x14ac:dyDescent="0.15">
      <c r="A42" s="59" t="str">
        <f>IF([2]道具信息!A42="","",[2]道具信息!A42)</f>
        <v/>
      </c>
      <c r="B42" s="59" t="str">
        <f>IF([2]道具信息!B42="","",[2]道具信息!B42)</f>
        <v/>
      </c>
      <c r="C42" s="59" t="str">
        <f>IF([2]道具信息!C42="","",[2]道具信息!C42)</f>
        <v/>
      </c>
      <c r="D42" s="59" t="str">
        <f>IF([2]道具信息!D42="","",[2]道具信息!D42)</f>
        <v>指定橙+宝物</v>
      </c>
      <c r="E42" s="59">
        <f>IF([2]道具信息!E42="","",[2]道具信息!E42)</f>
        <v>20000</v>
      </c>
      <c r="F42" s="59">
        <f>IF([2]道具信息!F42="","",[2]道具信息!F42)</f>
        <v>2.5</v>
      </c>
      <c r="G42" s="59">
        <f>IF([2]道具信息!G42="","",[2]道具信息!G42)</f>
        <v>1</v>
      </c>
      <c r="H42" s="59">
        <f>IF([2]道具信息!H42="","",[2]道具信息!H42)</f>
        <v>1</v>
      </c>
      <c r="I42" s="59">
        <f>IF([2]道具信息!I42="","",[2]道具信息!I42)</f>
        <v>50000</v>
      </c>
      <c r="J42" s="59">
        <f>IF([2]道具信息!J42="","",[2]道具信息!J42)</f>
        <v>20000</v>
      </c>
      <c r="K42" s="59">
        <f>IF([2]道具信息!K42="","",[2]道具信息!K42)</f>
        <v>20000</v>
      </c>
      <c r="L42" s="59" t="str">
        <f>IF([2]道具信息!L42="","",[2]道具信息!L42)</f>
        <v/>
      </c>
      <c r="M42" s="59" t="str">
        <f>IF([2]道具信息!M42="","",[2]道具信息!M42)</f>
        <v/>
      </c>
      <c r="N42" s="59" t="str">
        <f>IF([2]道具信息!N42="","",[2]道具信息!N42)</f>
        <v/>
      </c>
      <c r="O42" s="59" t="str">
        <f>IF([2]道具信息!O42="","",[2]道具信息!O42)</f>
        <v/>
      </c>
      <c r="P42" s="59" t="str">
        <f>IF([2]道具信息!P42="","",[2]道具信息!P42)</f>
        <v/>
      </c>
      <c r="Q42" s="59" t="str">
        <f>IF([2]道具信息!Q42="","",[2]道具信息!Q42)</f>
        <v/>
      </c>
      <c r="R42" s="59" t="str">
        <f>IF([2]道具信息!R42="","",[2]道具信息!R42)</f>
        <v/>
      </c>
      <c r="S42" s="59" t="str">
        <f>IF([2]道具信息!S42="","",[2]道具信息!S42)</f>
        <v/>
      </c>
      <c r="T42" s="59" t="str">
        <f>IF([2]道具信息!T42="","",[2]道具信息!T42)</f>
        <v/>
      </c>
      <c r="U42" s="59" t="str">
        <f>IF([2]道具信息!U42="","",[2]道具信息!U42)</f>
        <v/>
      </c>
      <c r="V42" s="59" t="str">
        <f>IF([2]道具信息!V42="","",[2]道具信息!V42)</f>
        <v/>
      </c>
      <c r="W42" s="59" t="str">
        <f>IF([2]道具信息!W42="","",[2]道具信息!W42)</f>
        <v/>
      </c>
      <c r="X42" s="59" t="str">
        <f>IF([2]道具信息!X42="","",[2]道具信息!X42)</f>
        <v/>
      </c>
      <c r="Y42" s="59" t="str">
        <f>IF([2]道具信息!Y42="","",[2]道具信息!Y42)</f>
        <v/>
      </c>
      <c r="Z42" s="59" t="str">
        <f>IF([2]道具信息!Z42="","",[2]道具信息!Z42)</f>
        <v/>
      </c>
    </row>
    <row r="43" spans="1:26" x14ac:dyDescent="0.15">
      <c r="A43" s="59" t="str">
        <f>IF([2]道具信息!A43="","",[2]道具信息!A43)</f>
        <v/>
      </c>
      <c r="B43" s="59" t="str">
        <f>IF([2]道具信息!B43="","",[2]道具信息!B43)</f>
        <v/>
      </c>
      <c r="C43" s="59" t="str">
        <f>IF([2]道具信息!C43="","",[2]道具信息!C43)</f>
        <v/>
      </c>
      <c r="D43" s="59" t="str">
        <f>IF([2]道具信息!D43="","",[2]道具信息!D43)</f>
        <v>指定红色宝物</v>
      </c>
      <c r="E43" s="59">
        <f>IF([2]道具信息!E43="","",[2]道具信息!E43)</f>
        <v>60000</v>
      </c>
      <c r="F43" s="59">
        <f>IF([2]道具信息!F43="","",[2]道具信息!F43)</f>
        <v>2.5</v>
      </c>
      <c r="G43" s="59">
        <f>IF([2]道具信息!G43="","",[2]道具信息!G43)</f>
        <v>1</v>
      </c>
      <c r="H43" s="59">
        <f>IF([2]道具信息!H43="","",[2]道具信息!H43)</f>
        <v>1</v>
      </c>
      <c r="I43" s="59">
        <f>IF([2]道具信息!I43="","",[2]道具信息!I43)</f>
        <v>150000</v>
      </c>
      <c r="J43" s="59">
        <f>IF([2]道具信息!J43="","",[2]道具信息!J43)</f>
        <v>60000</v>
      </c>
      <c r="K43" s="59">
        <f>IF([2]道具信息!K43="","",[2]道具信息!K43)</f>
        <v>60000</v>
      </c>
      <c r="L43" s="59" t="str">
        <f>IF([2]道具信息!L43="","",[2]道具信息!L43)</f>
        <v/>
      </c>
      <c r="M43" s="59" t="str">
        <f>IF([2]道具信息!M43="","",[2]道具信息!M43)</f>
        <v/>
      </c>
      <c r="N43" s="59" t="str">
        <f>IF([2]道具信息!N43="","",[2]道具信息!N43)</f>
        <v/>
      </c>
      <c r="O43" s="59" t="str">
        <f>IF([2]道具信息!O43="","",[2]道具信息!O43)</f>
        <v/>
      </c>
      <c r="P43" s="59" t="str">
        <f>IF([2]道具信息!P43="","",[2]道具信息!P43)</f>
        <v/>
      </c>
      <c r="Q43" s="59" t="str">
        <f>IF([2]道具信息!Q43="","",[2]道具信息!Q43)</f>
        <v/>
      </c>
      <c r="R43" s="59" t="str">
        <f>IF([2]道具信息!R43="","",[2]道具信息!R43)</f>
        <v/>
      </c>
      <c r="S43" s="59" t="str">
        <f>IF([2]道具信息!S43="","",[2]道具信息!S43)</f>
        <v/>
      </c>
      <c r="T43" s="59" t="str">
        <f>IF([2]道具信息!T43="","",[2]道具信息!T43)</f>
        <v/>
      </c>
      <c r="U43" s="59" t="str">
        <f>IF([2]道具信息!U43="","",[2]道具信息!U43)</f>
        <v/>
      </c>
      <c r="V43" s="59" t="str">
        <f>IF([2]道具信息!V43="","",[2]道具信息!V43)</f>
        <v/>
      </c>
      <c r="W43" s="59" t="str">
        <f>IF([2]道具信息!W43="","",[2]道具信息!W43)</f>
        <v/>
      </c>
      <c r="X43" s="59" t="str">
        <f>IF([2]道具信息!X43="","",[2]道具信息!X43)</f>
        <v/>
      </c>
      <c r="Y43" s="59" t="str">
        <f>IF([2]道具信息!Y43="","",[2]道具信息!Y43)</f>
        <v/>
      </c>
      <c r="Z43" s="59" t="str">
        <f>IF([2]道具信息!Z43="","",[2]道具信息!Z43)</f>
        <v/>
      </c>
    </row>
    <row r="44" spans="1:26" x14ac:dyDescent="0.15">
      <c r="A44" s="59" t="str">
        <f>IF([2]道具信息!A44="","",[2]道具信息!A44)</f>
        <v/>
      </c>
      <c r="B44" s="59" t="str">
        <f>IF([2]道具信息!B44="","",[2]道具信息!B44)</f>
        <v/>
      </c>
      <c r="C44" s="59" t="str">
        <f>IF([2]道具信息!C44="","",[2]道具信息!C44)</f>
        <v/>
      </c>
      <c r="D44" s="59" t="str">
        <f>IF([2]道具信息!D44="","",[2]道具信息!D44)</f>
        <v>指定橙色宝物碎片</v>
      </c>
      <c r="E44" s="59">
        <f>IF([2]道具信息!E44="","",[2]道具信息!E44)</f>
        <v>133.33333333333334</v>
      </c>
      <c r="F44" s="59">
        <f>IF([2]道具信息!F44="","",[2]道具信息!F44)</f>
        <v>2.5</v>
      </c>
      <c r="G44" s="59">
        <f>IF([2]道具信息!G44="","",[2]道具信息!G44)</f>
        <v>1</v>
      </c>
      <c r="H44" s="59">
        <f>IF([2]道具信息!H44="","",[2]道具信息!H44)</f>
        <v>1</v>
      </c>
      <c r="I44" s="59">
        <f>IF([2]道具信息!I44="","",[2]道具信息!I44)</f>
        <v>333.33333333333337</v>
      </c>
      <c r="J44" s="59">
        <f>IF([2]道具信息!J44="","",[2]道具信息!J44)</f>
        <v>133.33333333333334</v>
      </c>
      <c r="K44" s="59">
        <f>IF([2]道具信息!K44="","",[2]道具信息!K44)</f>
        <v>133.33333333333334</v>
      </c>
      <c r="L44" s="59" t="str">
        <f>IF([2]道具信息!L44="","",[2]道具信息!L44)</f>
        <v/>
      </c>
      <c r="M44" s="59" t="str">
        <f>IF([2]道具信息!M44="","",[2]道具信息!M44)</f>
        <v/>
      </c>
      <c r="N44" s="59" t="str">
        <f>IF([2]道具信息!N44="","",[2]道具信息!N44)</f>
        <v/>
      </c>
      <c r="O44" s="59" t="str">
        <f>IF([2]道具信息!O44="","",[2]道具信息!O44)</f>
        <v/>
      </c>
      <c r="P44" s="59" t="str">
        <f>IF([2]道具信息!P44="","",[2]道具信息!P44)</f>
        <v/>
      </c>
      <c r="Q44" s="59" t="str">
        <f>IF([2]道具信息!Q44="","",[2]道具信息!Q44)</f>
        <v/>
      </c>
      <c r="R44" s="59" t="str">
        <f>IF([2]道具信息!R44="","",[2]道具信息!R44)</f>
        <v/>
      </c>
      <c r="S44" s="59" t="str">
        <f>IF([2]道具信息!S44="","",[2]道具信息!S44)</f>
        <v/>
      </c>
      <c r="T44" s="59" t="str">
        <f>IF([2]道具信息!T44="","",[2]道具信息!T44)</f>
        <v/>
      </c>
      <c r="U44" s="59" t="str">
        <f>IF([2]道具信息!U44="","",[2]道具信息!U44)</f>
        <v/>
      </c>
      <c r="V44" s="59" t="str">
        <f>IF([2]道具信息!V44="","",[2]道具信息!V44)</f>
        <v/>
      </c>
      <c r="W44" s="59" t="str">
        <f>IF([2]道具信息!W44="","",[2]道具信息!W44)</f>
        <v/>
      </c>
      <c r="X44" s="59" t="str">
        <f>IF([2]道具信息!X44="","",[2]道具信息!X44)</f>
        <v/>
      </c>
      <c r="Y44" s="59" t="str">
        <f>IF([2]道具信息!Y44="","",[2]道具信息!Y44)</f>
        <v/>
      </c>
      <c r="Z44" s="59" t="str">
        <f>IF([2]道具信息!Z44="","",[2]道具信息!Z44)</f>
        <v/>
      </c>
    </row>
    <row r="45" spans="1:26" x14ac:dyDescent="0.15">
      <c r="A45" s="59" t="str">
        <f>IF([2]道具信息!A45="","",[2]道具信息!A45)</f>
        <v/>
      </c>
      <c r="B45" s="59" t="str">
        <f>IF([2]道具信息!B45="","",[2]道具信息!B45)</f>
        <v/>
      </c>
      <c r="C45" s="59" t="str">
        <f>IF([2]道具信息!C45="","",[2]道具信息!C45)</f>
        <v/>
      </c>
      <c r="D45" s="59" t="str">
        <f>IF([2]道具信息!D45="","",[2]道具信息!D45)</f>
        <v>指定橙+宝物碎片</v>
      </c>
      <c r="E45" s="59">
        <f>IF([2]道具信息!E45="","",[2]道具信息!E45)</f>
        <v>666.66666666666663</v>
      </c>
      <c r="F45" s="59">
        <f>IF([2]道具信息!F45="","",[2]道具信息!F45)</f>
        <v>2.5</v>
      </c>
      <c r="G45" s="59">
        <f>IF([2]道具信息!G45="","",[2]道具信息!G45)</f>
        <v>1</v>
      </c>
      <c r="H45" s="59">
        <f>IF([2]道具信息!H45="","",[2]道具信息!H45)</f>
        <v>1</v>
      </c>
      <c r="I45" s="59">
        <f>IF([2]道具信息!I45="","",[2]道具信息!I45)</f>
        <v>1666.6666666666665</v>
      </c>
      <c r="J45" s="59">
        <f>IF([2]道具信息!J45="","",[2]道具信息!J45)</f>
        <v>666.66666666666663</v>
      </c>
      <c r="K45" s="59">
        <f>IF([2]道具信息!K45="","",[2]道具信息!K45)</f>
        <v>666.66666666666663</v>
      </c>
      <c r="L45" s="59" t="str">
        <f>IF([2]道具信息!L45="","",[2]道具信息!L45)</f>
        <v/>
      </c>
      <c r="M45" s="59" t="str">
        <f>IF([2]道具信息!M45="","",[2]道具信息!M45)</f>
        <v/>
      </c>
      <c r="N45" s="59" t="str">
        <f>IF([2]道具信息!N45="","",[2]道具信息!N45)</f>
        <v/>
      </c>
      <c r="O45" s="59" t="str">
        <f>IF([2]道具信息!O45="","",[2]道具信息!O45)</f>
        <v/>
      </c>
      <c r="P45" s="59" t="str">
        <f>IF([2]道具信息!P45="","",[2]道具信息!P45)</f>
        <v/>
      </c>
      <c r="Q45" s="59" t="str">
        <f>IF([2]道具信息!Q45="","",[2]道具信息!Q45)</f>
        <v/>
      </c>
      <c r="R45" s="59" t="str">
        <f>IF([2]道具信息!R45="","",[2]道具信息!R45)</f>
        <v/>
      </c>
      <c r="S45" s="59" t="str">
        <f>IF([2]道具信息!S45="","",[2]道具信息!S45)</f>
        <v/>
      </c>
      <c r="T45" s="59" t="str">
        <f>IF([2]道具信息!T45="","",[2]道具信息!T45)</f>
        <v/>
      </c>
      <c r="U45" s="59" t="str">
        <f>IF([2]道具信息!U45="","",[2]道具信息!U45)</f>
        <v/>
      </c>
      <c r="V45" s="59" t="str">
        <f>IF([2]道具信息!V45="","",[2]道具信息!V45)</f>
        <v/>
      </c>
      <c r="W45" s="59" t="str">
        <f>IF([2]道具信息!W45="","",[2]道具信息!W45)</f>
        <v/>
      </c>
      <c r="X45" s="59" t="str">
        <f>IF([2]道具信息!X45="","",[2]道具信息!X45)</f>
        <v/>
      </c>
      <c r="Y45" s="59" t="str">
        <f>IF([2]道具信息!Y45="","",[2]道具信息!Y45)</f>
        <v/>
      </c>
      <c r="Z45" s="59" t="str">
        <f>IF([2]道具信息!Z45="","",[2]道具信息!Z45)</f>
        <v/>
      </c>
    </row>
    <row r="46" spans="1:26" x14ac:dyDescent="0.15">
      <c r="A46" s="59" t="str">
        <f>IF([2]道具信息!A46="","",[2]道具信息!A46)</f>
        <v/>
      </c>
      <c r="B46" s="59" t="str">
        <f>IF([2]道具信息!B46="","",[2]道具信息!B46)</f>
        <v/>
      </c>
      <c r="C46" s="59" t="str">
        <f>IF([2]道具信息!C46="","",[2]道具信息!C46)</f>
        <v/>
      </c>
      <c r="D46" s="59" t="str">
        <f>IF([2]道具信息!D46="","",[2]道具信息!D46)</f>
        <v>指定红色宝物碎片</v>
      </c>
      <c r="E46" s="59">
        <f>IF([2]道具信息!E46="","",[2]道具信息!E46)</f>
        <v>1200</v>
      </c>
      <c r="F46" s="59">
        <f>IF([2]道具信息!F46="","",[2]道具信息!F46)</f>
        <v>2.5</v>
      </c>
      <c r="G46" s="59">
        <f>IF([2]道具信息!G46="","",[2]道具信息!G46)</f>
        <v>1</v>
      </c>
      <c r="H46" s="59">
        <f>IF([2]道具信息!H46="","",[2]道具信息!H46)</f>
        <v>1</v>
      </c>
      <c r="I46" s="59">
        <f>IF([2]道具信息!I46="","",[2]道具信息!I46)</f>
        <v>3000</v>
      </c>
      <c r="J46" s="59">
        <f>IF([2]道具信息!J46="","",[2]道具信息!J46)</f>
        <v>1200</v>
      </c>
      <c r="K46" s="59">
        <f>IF([2]道具信息!K46="","",[2]道具信息!K46)</f>
        <v>1200</v>
      </c>
      <c r="L46" s="59" t="str">
        <f>IF([2]道具信息!L46="","",[2]道具信息!L46)</f>
        <v/>
      </c>
      <c r="M46" s="59" t="str">
        <f>IF([2]道具信息!M46="","",[2]道具信息!M46)</f>
        <v/>
      </c>
      <c r="N46" s="59" t="str">
        <f>IF([2]道具信息!N46="","",[2]道具信息!N46)</f>
        <v/>
      </c>
      <c r="O46" s="59" t="str">
        <f>IF([2]道具信息!O46="","",[2]道具信息!O46)</f>
        <v/>
      </c>
      <c r="P46" s="59" t="str">
        <f>IF([2]道具信息!P46="","",[2]道具信息!P46)</f>
        <v/>
      </c>
      <c r="Q46" s="59" t="str">
        <f>IF([2]道具信息!Q46="","",[2]道具信息!Q46)</f>
        <v/>
      </c>
      <c r="R46" s="59" t="str">
        <f>IF([2]道具信息!R46="","",[2]道具信息!R46)</f>
        <v/>
      </c>
      <c r="S46" s="59" t="str">
        <f>IF([2]道具信息!S46="","",[2]道具信息!S46)</f>
        <v/>
      </c>
      <c r="T46" s="59" t="str">
        <f>IF([2]道具信息!T46="","",[2]道具信息!T46)</f>
        <v/>
      </c>
      <c r="U46" s="59" t="str">
        <f>IF([2]道具信息!U46="","",[2]道具信息!U46)</f>
        <v/>
      </c>
      <c r="V46" s="59" t="str">
        <f>IF([2]道具信息!V46="","",[2]道具信息!V46)</f>
        <v/>
      </c>
      <c r="W46" s="59" t="str">
        <f>IF([2]道具信息!W46="","",[2]道具信息!W46)</f>
        <v/>
      </c>
      <c r="X46" s="59" t="str">
        <f>IF([2]道具信息!X46="","",[2]道具信息!X46)</f>
        <v/>
      </c>
      <c r="Y46" s="59" t="str">
        <f>IF([2]道具信息!Y46="","",[2]道具信息!Y46)</f>
        <v/>
      </c>
      <c r="Z46" s="59" t="str">
        <f>IF([2]道具信息!Z46="","",[2]道具信息!Z46)</f>
        <v/>
      </c>
    </row>
    <row r="47" spans="1:26" x14ac:dyDescent="0.15">
      <c r="A47" s="59" t="str">
        <f>IF([2]道具信息!A47="","",[2]道具信息!A47)</f>
        <v/>
      </c>
      <c r="B47" s="59" t="str">
        <f>IF([2]道具信息!B47="","",[2]道具信息!B47)</f>
        <v/>
      </c>
      <c r="C47" s="59" t="str">
        <f>IF([2]道具信息!C47="","",[2]道具信息!C47)</f>
        <v/>
      </c>
      <c r="D47" s="59" t="str">
        <f>IF([2]道具信息!D47="","",[2]道具信息!D47)</f>
        <v>随机蓝色宝物</v>
      </c>
      <c r="E47" s="59">
        <f>IF([2]道具信息!E47="","",[2]道具信息!E47)</f>
        <v>100</v>
      </c>
      <c r="F47" s="59">
        <f>IF([2]道具信息!F47="","",[2]道具信息!F47)</f>
        <v>2.5</v>
      </c>
      <c r="G47" s="59">
        <f>IF([2]道具信息!G47="","",[2]道具信息!G47)</f>
        <v>1</v>
      </c>
      <c r="H47" s="59">
        <f>IF([2]道具信息!H47="","",[2]道具信息!H47)</f>
        <v>1</v>
      </c>
      <c r="I47" s="59">
        <f>IF([2]道具信息!I47="","",[2]道具信息!I47)</f>
        <v>250</v>
      </c>
      <c r="J47" s="59">
        <f>IF([2]道具信息!J47="","",[2]道具信息!J47)</f>
        <v>100</v>
      </c>
      <c r="K47" s="59">
        <f>IF([2]道具信息!K47="","",[2]道具信息!K47)</f>
        <v>100</v>
      </c>
      <c r="L47" s="59" t="str">
        <f>IF([2]道具信息!L47="","",[2]道具信息!L47)</f>
        <v/>
      </c>
      <c r="M47" s="59" t="str">
        <f>IF([2]道具信息!M47="","",[2]道具信息!M47)</f>
        <v/>
      </c>
      <c r="N47" s="59" t="str">
        <f>IF([2]道具信息!N47="","",[2]道具信息!N47)</f>
        <v/>
      </c>
      <c r="O47" s="59" t="str">
        <f>IF([2]道具信息!O47="","",[2]道具信息!O47)</f>
        <v/>
      </c>
      <c r="P47" s="59" t="str">
        <f>IF([2]道具信息!P47="","",[2]道具信息!P47)</f>
        <v/>
      </c>
      <c r="Q47" s="59" t="str">
        <f>IF([2]道具信息!Q47="","",[2]道具信息!Q47)</f>
        <v/>
      </c>
      <c r="R47" s="59" t="str">
        <f>IF([2]道具信息!R47="","",[2]道具信息!R47)</f>
        <v/>
      </c>
      <c r="S47" s="59" t="str">
        <f>IF([2]道具信息!S47="","",[2]道具信息!S47)</f>
        <v/>
      </c>
      <c r="T47" s="59" t="str">
        <f>IF([2]道具信息!T47="","",[2]道具信息!T47)</f>
        <v/>
      </c>
      <c r="U47" s="59" t="str">
        <f>IF([2]道具信息!U47="","",[2]道具信息!U47)</f>
        <v/>
      </c>
      <c r="V47" s="59" t="str">
        <f>IF([2]道具信息!V47="","",[2]道具信息!V47)</f>
        <v/>
      </c>
      <c r="W47" s="59" t="str">
        <f>IF([2]道具信息!W47="","",[2]道具信息!W47)</f>
        <v/>
      </c>
      <c r="X47" s="59" t="str">
        <f>IF([2]道具信息!X47="","",[2]道具信息!X47)</f>
        <v/>
      </c>
      <c r="Y47" s="59" t="str">
        <f>IF([2]道具信息!Y47="","",[2]道具信息!Y47)</f>
        <v/>
      </c>
      <c r="Z47" s="59" t="str">
        <f>IF([2]道具信息!Z47="","",[2]道具信息!Z47)</f>
        <v/>
      </c>
    </row>
    <row r="48" spans="1:26" x14ac:dyDescent="0.15">
      <c r="A48" s="59" t="str">
        <f>IF([2]道具信息!A48="","",[2]道具信息!A48)</f>
        <v/>
      </c>
      <c r="B48" s="59" t="str">
        <f>IF([2]道具信息!B48="","",[2]道具信息!B48)</f>
        <v/>
      </c>
      <c r="C48" s="59" t="str">
        <f>IF([2]道具信息!C48="","",[2]道具信息!C48)</f>
        <v/>
      </c>
      <c r="D48" s="59" t="str">
        <f>IF([2]道具信息!D48="","",[2]道具信息!D48)</f>
        <v>随机紫色宝物</v>
      </c>
      <c r="E48" s="59">
        <f>IF([2]道具信息!E48="","",[2]道具信息!E48)</f>
        <v>500</v>
      </c>
      <c r="F48" s="59">
        <f>IF([2]道具信息!F48="","",[2]道具信息!F48)</f>
        <v>2.5</v>
      </c>
      <c r="G48" s="59">
        <f>IF([2]道具信息!G48="","",[2]道具信息!G48)</f>
        <v>1</v>
      </c>
      <c r="H48" s="59">
        <f>IF([2]道具信息!H48="","",[2]道具信息!H48)</f>
        <v>1</v>
      </c>
      <c r="I48" s="59">
        <f>IF([2]道具信息!I48="","",[2]道具信息!I48)</f>
        <v>1250</v>
      </c>
      <c r="J48" s="59">
        <f>IF([2]道具信息!J48="","",[2]道具信息!J48)</f>
        <v>500</v>
      </c>
      <c r="K48" s="59">
        <f>IF([2]道具信息!K48="","",[2]道具信息!K48)</f>
        <v>500</v>
      </c>
      <c r="L48" s="59" t="str">
        <f>IF([2]道具信息!L48="","",[2]道具信息!L48)</f>
        <v/>
      </c>
      <c r="M48" s="59" t="str">
        <f>IF([2]道具信息!M48="","",[2]道具信息!M48)</f>
        <v/>
      </c>
      <c r="N48" s="59" t="str">
        <f>IF([2]道具信息!N48="","",[2]道具信息!N48)</f>
        <v/>
      </c>
      <c r="O48" s="59" t="str">
        <f>IF([2]道具信息!O48="","",[2]道具信息!O48)</f>
        <v/>
      </c>
      <c r="P48" s="59" t="str">
        <f>IF([2]道具信息!P48="","",[2]道具信息!P48)</f>
        <v/>
      </c>
      <c r="Q48" s="59" t="str">
        <f>IF([2]道具信息!Q48="","",[2]道具信息!Q48)</f>
        <v/>
      </c>
      <c r="R48" s="59" t="str">
        <f>IF([2]道具信息!R48="","",[2]道具信息!R48)</f>
        <v/>
      </c>
      <c r="S48" s="59" t="str">
        <f>IF([2]道具信息!S48="","",[2]道具信息!S48)</f>
        <v/>
      </c>
      <c r="T48" s="59" t="str">
        <f>IF([2]道具信息!T48="","",[2]道具信息!T48)</f>
        <v/>
      </c>
      <c r="U48" s="59" t="str">
        <f>IF([2]道具信息!U48="","",[2]道具信息!U48)</f>
        <v/>
      </c>
      <c r="V48" s="59" t="str">
        <f>IF([2]道具信息!V48="","",[2]道具信息!V48)</f>
        <v/>
      </c>
      <c r="W48" s="59" t="str">
        <f>IF([2]道具信息!W48="","",[2]道具信息!W48)</f>
        <v/>
      </c>
      <c r="X48" s="59" t="str">
        <f>IF([2]道具信息!X48="","",[2]道具信息!X48)</f>
        <v/>
      </c>
      <c r="Y48" s="59" t="str">
        <f>IF([2]道具信息!Y48="","",[2]道具信息!Y48)</f>
        <v/>
      </c>
      <c r="Z48" s="59" t="str">
        <f>IF([2]道具信息!Z48="","",[2]道具信息!Z48)</f>
        <v/>
      </c>
    </row>
    <row r="49" spans="1:26" x14ac:dyDescent="0.15">
      <c r="A49" s="59" t="str">
        <f>IF([2]道具信息!A49="","",[2]道具信息!A49)</f>
        <v/>
      </c>
      <c r="B49" s="59" t="str">
        <f>IF([2]道具信息!B49="","",[2]道具信息!B49)</f>
        <v/>
      </c>
      <c r="C49" s="59" t="str">
        <f>IF([2]道具信息!C49="","",[2]道具信息!C49)</f>
        <v/>
      </c>
      <c r="D49" s="59" t="str">
        <f>IF([2]道具信息!D49="","",[2]道具信息!D49)</f>
        <v>随机橙色宝物</v>
      </c>
      <c r="E49" s="59">
        <f>IF([2]道具信息!E49="","",[2]道具信息!E49)</f>
        <v>2500</v>
      </c>
      <c r="F49" s="59">
        <f>IF([2]道具信息!F49="","",[2]道具信息!F49)</f>
        <v>2.5</v>
      </c>
      <c r="G49" s="59">
        <f>IF([2]道具信息!G49="","",[2]道具信息!G49)</f>
        <v>1</v>
      </c>
      <c r="H49" s="59">
        <f>IF([2]道具信息!H49="","",[2]道具信息!H49)</f>
        <v>1</v>
      </c>
      <c r="I49" s="59">
        <f>IF([2]道具信息!I49="","",[2]道具信息!I49)</f>
        <v>6250</v>
      </c>
      <c r="J49" s="59">
        <f>IF([2]道具信息!J49="","",[2]道具信息!J49)</f>
        <v>2500</v>
      </c>
      <c r="K49" s="59">
        <f>IF([2]道具信息!K49="","",[2]道具信息!K49)</f>
        <v>2500</v>
      </c>
      <c r="L49" s="59" t="str">
        <f>IF([2]道具信息!L49="","",[2]道具信息!L49)</f>
        <v/>
      </c>
      <c r="M49" s="59" t="str">
        <f>IF([2]道具信息!M49="","",[2]道具信息!M49)</f>
        <v/>
      </c>
      <c r="N49" s="59" t="str">
        <f>IF([2]道具信息!N49="","",[2]道具信息!N49)</f>
        <v/>
      </c>
      <c r="O49" s="59" t="str">
        <f>IF([2]道具信息!O49="","",[2]道具信息!O49)</f>
        <v/>
      </c>
      <c r="P49" s="59" t="str">
        <f>IF([2]道具信息!P49="","",[2]道具信息!P49)</f>
        <v/>
      </c>
      <c r="Q49" s="59" t="str">
        <f>IF([2]道具信息!Q49="","",[2]道具信息!Q49)</f>
        <v/>
      </c>
      <c r="R49" s="59" t="str">
        <f>IF([2]道具信息!R49="","",[2]道具信息!R49)</f>
        <v/>
      </c>
      <c r="S49" s="59" t="str">
        <f>IF([2]道具信息!S49="","",[2]道具信息!S49)</f>
        <v/>
      </c>
      <c r="T49" s="59" t="str">
        <f>IF([2]道具信息!T49="","",[2]道具信息!T49)</f>
        <v/>
      </c>
      <c r="U49" s="59" t="str">
        <f>IF([2]道具信息!U49="","",[2]道具信息!U49)</f>
        <v/>
      </c>
      <c r="V49" s="59" t="str">
        <f>IF([2]道具信息!V49="","",[2]道具信息!V49)</f>
        <v/>
      </c>
      <c r="W49" s="59" t="str">
        <f>IF([2]道具信息!W49="","",[2]道具信息!W49)</f>
        <v/>
      </c>
      <c r="X49" s="59" t="str">
        <f>IF([2]道具信息!X49="","",[2]道具信息!X49)</f>
        <v/>
      </c>
      <c r="Y49" s="59" t="str">
        <f>IF([2]道具信息!Y49="","",[2]道具信息!Y49)</f>
        <v/>
      </c>
      <c r="Z49" s="59" t="str">
        <f>IF([2]道具信息!Z49="","",[2]道具信息!Z49)</f>
        <v/>
      </c>
    </row>
    <row r="50" spans="1:26" x14ac:dyDescent="0.15">
      <c r="A50" s="59" t="str">
        <f>IF([2]道具信息!A50="","",[2]道具信息!A50)</f>
        <v/>
      </c>
      <c r="B50" s="59" t="str">
        <f>IF([2]道具信息!B50="","",[2]道具信息!B50)</f>
        <v/>
      </c>
      <c r="C50" s="59" t="str">
        <f>IF([2]道具信息!C50="","",[2]道具信息!C50)</f>
        <v/>
      </c>
      <c r="D50" s="59" t="str">
        <f>IF([2]道具信息!D50="","",[2]道具信息!D50)</f>
        <v>随机橙+宝物</v>
      </c>
      <c r="E50" s="59">
        <f>IF([2]道具信息!E50="","",[2]道具信息!E50)</f>
        <v>10000</v>
      </c>
      <c r="F50" s="59">
        <f>IF([2]道具信息!F50="","",[2]道具信息!F50)</f>
        <v>2.5</v>
      </c>
      <c r="G50" s="59">
        <f>IF([2]道具信息!G50="","",[2]道具信息!G50)</f>
        <v>1</v>
      </c>
      <c r="H50" s="59">
        <f>IF([2]道具信息!H50="","",[2]道具信息!H50)</f>
        <v>1</v>
      </c>
      <c r="I50" s="59">
        <f>IF([2]道具信息!I50="","",[2]道具信息!I50)</f>
        <v>25000</v>
      </c>
      <c r="J50" s="59">
        <f>IF([2]道具信息!J50="","",[2]道具信息!J50)</f>
        <v>10000</v>
      </c>
      <c r="K50" s="59">
        <f>IF([2]道具信息!K50="","",[2]道具信息!K50)</f>
        <v>10000</v>
      </c>
      <c r="L50" s="59" t="str">
        <f>IF([2]道具信息!L50="","",[2]道具信息!L50)</f>
        <v/>
      </c>
      <c r="M50" s="59" t="str">
        <f>IF([2]道具信息!M50="","",[2]道具信息!M50)</f>
        <v/>
      </c>
      <c r="N50" s="59" t="str">
        <f>IF([2]道具信息!N50="","",[2]道具信息!N50)</f>
        <v/>
      </c>
      <c r="O50" s="59" t="str">
        <f>IF([2]道具信息!O50="","",[2]道具信息!O50)</f>
        <v/>
      </c>
      <c r="P50" s="59" t="str">
        <f>IF([2]道具信息!P50="","",[2]道具信息!P50)</f>
        <v/>
      </c>
      <c r="Q50" s="59" t="str">
        <f>IF([2]道具信息!Q50="","",[2]道具信息!Q50)</f>
        <v/>
      </c>
      <c r="R50" s="59" t="str">
        <f>IF([2]道具信息!R50="","",[2]道具信息!R50)</f>
        <v/>
      </c>
      <c r="S50" s="59" t="str">
        <f>IF([2]道具信息!S50="","",[2]道具信息!S50)</f>
        <v/>
      </c>
      <c r="T50" s="59" t="str">
        <f>IF([2]道具信息!T50="","",[2]道具信息!T50)</f>
        <v/>
      </c>
      <c r="U50" s="59" t="str">
        <f>IF([2]道具信息!U50="","",[2]道具信息!U50)</f>
        <v/>
      </c>
      <c r="V50" s="59" t="str">
        <f>IF([2]道具信息!V50="","",[2]道具信息!V50)</f>
        <v/>
      </c>
      <c r="W50" s="59" t="str">
        <f>IF([2]道具信息!W50="","",[2]道具信息!W50)</f>
        <v/>
      </c>
      <c r="X50" s="59" t="str">
        <f>IF([2]道具信息!X50="","",[2]道具信息!X50)</f>
        <v/>
      </c>
      <c r="Y50" s="59" t="str">
        <f>IF([2]道具信息!Y50="","",[2]道具信息!Y50)</f>
        <v/>
      </c>
      <c r="Z50" s="59" t="str">
        <f>IF([2]道具信息!Z50="","",[2]道具信息!Z50)</f>
        <v/>
      </c>
    </row>
    <row r="51" spans="1:26" x14ac:dyDescent="0.15">
      <c r="A51" s="59" t="str">
        <f>IF([2]道具信息!A51="","",[2]道具信息!A51)</f>
        <v/>
      </c>
      <c r="B51" s="59" t="str">
        <f>IF([2]道具信息!B51="","",[2]道具信息!B51)</f>
        <v/>
      </c>
      <c r="C51" s="59" t="str">
        <f>IF([2]道具信息!C51="","",[2]道具信息!C51)</f>
        <v/>
      </c>
      <c r="D51" s="59" t="str">
        <f>IF([2]道具信息!D51="","",[2]道具信息!D51)</f>
        <v>随机紫色宝物碎片</v>
      </c>
      <c r="E51" s="59">
        <f>IF([2]道具信息!E51="","",[2]道具信息!E51)</f>
        <v>16.666666666666668</v>
      </c>
      <c r="F51" s="59">
        <f>IF([2]道具信息!F51="","",[2]道具信息!F51)</f>
        <v>2.5</v>
      </c>
      <c r="G51" s="59">
        <f>IF([2]道具信息!G51="","",[2]道具信息!G51)</f>
        <v>1</v>
      </c>
      <c r="H51" s="59">
        <f>IF([2]道具信息!H51="","",[2]道具信息!H51)</f>
        <v>1</v>
      </c>
      <c r="I51" s="59">
        <f>IF([2]道具信息!I51="","",[2]道具信息!I51)</f>
        <v>41.666666666666671</v>
      </c>
      <c r="J51" s="59">
        <f>IF([2]道具信息!J51="","",[2]道具信息!J51)</f>
        <v>16.666666666666668</v>
      </c>
      <c r="K51" s="59">
        <f>IF([2]道具信息!K51="","",[2]道具信息!K51)</f>
        <v>16.666666666666668</v>
      </c>
      <c r="L51" s="59" t="str">
        <f>IF([2]道具信息!L51="","",[2]道具信息!L51)</f>
        <v>配置成了30合1，所以价值为随机紫色宝物/30</v>
      </c>
      <c r="M51" s="59" t="str">
        <f>IF([2]道具信息!M51="","",[2]道具信息!M51)</f>
        <v/>
      </c>
      <c r="N51" s="59" t="str">
        <f>IF([2]道具信息!N51="","",[2]道具信息!N51)</f>
        <v/>
      </c>
      <c r="O51" s="59" t="str">
        <f>IF([2]道具信息!O51="","",[2]道具信息!O51)</f>
        <v/>
      </c>
      <c r="P51" s="59" t="str">
        <f>IF([2]道具信息!P51="","",[2]道具信息!P51)</f>
        <v/>
      </c>
      <c r="Q51" s="59" t="str">
        <f>IF([2]道具信息!Q51="","",[2]道具信息!Q51)</f>
        <v/>
      </c>
      <c r="R51" s="59" t="str">
        <f>IF([2]道具信息!R51="","",[2]道具信息!R51)</f>
        <v/>
      </c>
      <c r="S51" s="59" t="str">
        <f>IF([2]道具信息!S51="","",[2]道具信息!S51)</f>
        <v/>
      </c>
      <c r="T51" s="59" t="str">
        <f>IF([2]道具信息!T51="","",[2]道具信息!T51)</f>
        <v/>
      </c>
      <c r="U51" s="59" t="str">
        <f>IF([2]道具信息!U51="","",[2]道具信息!U51)</f>
        <v/>
      </c>
      <c r="V51" s="59" t="str">
        <f>IF([2]道具信息!V51="","",[2]道具信息!V51)</f>
        <v/>
      </c>
      <c r="W51" s="59" t="str">
        <f>IF([2]道具信息!W51="","",[2]道具信息!W51)</f>
        <v/>
      </c>
      <c r="X51" s="59" t="str">
        <f>IF([2]道具信息!X51="","",[2]道具信息!X51)</f>
        <v/>
      </c>
      <c r="Y51" s="59" t="str">
        <f>IF([2]道具信息!Y51="","",[2]道具信息!Y51)</f>
        <v/>
      </c>
      <c r="Z51" s="59" t="str">
        <f>IF([2]道具信息!Z51="","",[2]道具信息!Z51)</f>
        <v/>
      </c>
    </row>
    <row r="52" spans="1:26" x14ac:dyDescent="0.15">
      <c r="A52" s="59" t="str">
        <f>IF([2]道具信息!A52="","",[2]道具信息!A52)</f>
        <v/>
      </c>
      <c r="B52" s="59" t="str">
        <f>IF([2]道具信息!B52="","",[2]道具信息!B52)</f>
        <v/>
      </c>
      <c r="C52" s="59" t="str">
        <f>IF([2]道具信息!C52="","",[2]道具信息!C52)</f>
        <v/>
      </c>
      <c r="D52" s="59" t="str">
        <f>IF([2]道具信息!D52="","",[2]道具信息!D52)</f>
        <v>随机橙色宝物碎片</v>
      </c>
      <c r="E52" s="59">
        <f>IF([2]道具信息!E52="","",[2]道具信息!E52)</f>
        <v>83.333333333333329</v>
      </c>
      <c r="F52" s="59">
        <f>IF([2]道具信息!F52="","",[2]道具信息!F52)</f>
        <v>2.5</v>
      </c>
      <c r="G52" s="59">
        <f>IF([2]道具信息!G52="","",[2]道具信息!G52)</f>
        <v>1</v>
      </c>
      <c r="H52" s="59">
        <f>IF([2]道具信息!H52="","",[2]道具信息!H52)</f>
        <v>1</v>
      </c>
      <c r="I52" s="59">
        <f>IF([2]道具信息!I52="","",[2]道具信息!I52)</f>
        <v>208.33333333333331</v>
      </c>
      <c r="J52" s="59">
        <f>IF([2]道具信息!J52="","",[2]道具信息!J52)</f>
        <v>83.333333333333329</v>
      </c>
      <c r="K52" s="59">
        <f>IF([2]道具信息!K52="","",[2]道具信息!K52)</f>
        <v>83.333333333333329</v>
      </c>
      <c r="L52" s="59" t="str">
        <f>IF([2]道具信息!L52="","",[2]道具信息!L52)</f>
        <v/>
      </c>
      <c r="M52" s="59" t="str">
        <f>IF([2]道具信息!M52="","",[2]道具信息!M52)</f>
        <v/>
      </c>
      <c r="N52" s="59" t="str">
        <f>IF([2]道具信息!N52="","",[2]道具信息!N52)</f>
        <v/>
      </c>
      <c r="O52" s="59" t="str">
        <f>IF([2]道具信息!O52="","",[2]道具信息!O52)</f>
        <v/>
      </c>
      <c r="P52" s="59" t="str">
        <f>IF([2]道具信息!P52="","",[2]道具信息!P52)</f>
        <v/>
      </c>
      <c r="Q52" s="59" t="str">
        <f>IF([2]道具信息!Q52="","",[2]道具信息!Q52)</f>
        <v/>
      </c>
      <c r="R52" s="59" t="str">
        <f>IF([2]道具信息!R52="","",[2]道具信息!R52)</f>
        <v/>
      </c>
      <c r="S52" s="59" t="str">
        <f>IF([2]道具信息!S52="","",[2]道具信息!S52)</f>
        <v/>
      </c>
      <c r="T52" s="59" t="str">
        <f>IF([2]道具信息!T52="","",[2]道具信息!T52)</f>
        <v/>
      </c>
      <c r="U52" s="59" t="str">
        <f>IF([2]道具信息!U52="","",[2]道具信息!U52)</f>
        <v/>
      </c>
      <c r="V52" s="59" t="str">
        <f>IF([2]道具信息!V52="","",[2]道具信息!V52)</f>
        <v/>
      </c>
      <c r="W52" s="59" t="str">
        <f>IF([2]道具信息!W52="","",[2]道具信息!W52)</f>
        <v/>
      </c>
      <c r="X52" s="59" t="str">
        <f>IF([2]道具信息!X52="","",[2]道具信息!X52)</f>
        <v/>
      </c>
      <c r="Y52" s="59" t="str">
        <f>IF([2]道具信息!Y52="","",[2]道具信息!Y52)</f>
        <v/>
      </c>
      <c r="Z52" s="59" t="str">
        <f>IF([2]道具信息!Z52="","",[2]道具信息!Z52)</f>
        <v/>
      </c>
    </row>
    <row r="53" spans="1:26" x14ac:dyDescent="0.15">
      <c r="A53" s="59" t="str">
        <f>IF([2]道具信息!A53="","",[2]道具信息!A53)</f>
        <v/>
      </c>
      <c r="B53" s="59" t="str">
        <f>IF([2]道具信息!B53="","",[2]道具信息!B53)</f>
        <v/>
      </c>
      <c r="C53" s="59" t="str">
        <f>IF([2]道具信息!C53="","",[2]道具信息!C53)</f>
        <v/>
      </c>
      <c r="D53" s="59" t="str">
        <f>IF([2]道具信息!D53="","",[2]道具信息!D53)</f>
        <v>随机橙+宝物碎片</v>
      </c>
      <c r="E53" s="59">
        <f>IF([2]道具信息!E53="","",[2]道具信息!E53)</f>
        <v>333.33333333333331</v>
      </c>
      <c r="F53" s="59">
        <f>IF([2]道具信息!F53="","",[2]道具信息!F53)</f>
        <v>2.5</v>
      </c>
      <c r="G53" s="59">
        <f>IF([2]道具信息!G53="","",[2]道具信息!G53)</f>
        <v>1</v>
      </c>
      <c r="H53" s="59">
        <f>IF([2]道具信息!H53="","",[2]道具信息!H53)</f>
        <v>1</v>
      </c>
      <c r="I53" s="59">
        <f>IF([2]道具信息!I53="","",[2]道具信息!I53)</f>
        <v>833.33333333333326</v>
      </c>
      <c r="J53" s="59">
        <f>IF([2]道具信息!J53="","",[2]道具信息!J53)</f>
        <v>333.33333333333331</v>
      </c>
      <c r="K53" s="59">
        <f>IF([2]道具信息!K53="","",[2]道具信息!K53)</f>
        <v>333.33333333333331</v>
      </c>
      <c r="L53" s="59" t="str">
        <f>IF([2]道具信息!L53="","",[2]道具信息!L53)</f>
        <v/>
      </c>
      <c r="M53" s="59" t="str">
        <f>IF([2]道具信息!M53="","",[2]道具信息!M53)</f>
        <v/>
      </c>
      <c r="N53" s="59" t="str">
        <f>IF([2]道具信息!N53="","",[2]道具信息!N53)</f>
        <v/>
      </c>
      <c r="O53" s="59" t="str">
        <f>IF([2]道具信息!O53="","",[2]道具信息!O53)</f>
        <v/>
      </c>
      <c r="P53" s="59" t="str">
        <f>IF([2]道具信息!P53="","",[2]道具信息!P53)</f>
        <v/>
      </c>
      <c r="Q53" s="59" t="str">
        <f>IF([2]道具信息!Q53="","",[2]道具信息!Q53)</f>
        <v/>
      </c>
      <c r="R53" s="59" t="str">
        <f>IF([2]道具信息!R53="","",[2]道具信息!R53)</f>
        <v/>
      </c>
      <c r="S53" s="59" t="str">
        <f>IF([2]道具信息!S53="","",[2]道具信息!S53)</f>
        <v/>
      </c>
      <c r="T53" s="59" t="str">
        <f>IF([2]道具信息!T53="","",[2]道具信息!T53)</f>
        <v/>
      </c>
      <c r="U53" s="59" t="str">
        <f>IF([2]道具信息!U53="","",[2]道具信息!U53)</f>
        <v/>
      </c>
      <c r="V53" s="59" t="str">
        <f>IF([2]道具信息!V53="","",[2]道具信息!V53)</f>
        <v/>
      </c>
      <c r="W53" s="59" t="str">
        <f>IF([2]道具信息!W53="","",[2]道具信息!W53)</f>
        <v/>
      </c>
      <c r="X53" s="59" t="str">
        <f>IF([2]道具信息!X53="","",[2]道具信息!X53)</f>
        <v/>
      </c>
      <c r="Y53" s="59" t="str">
        <f>IF([2]道具信息!Y53="","",[2]道具信息!Y53)</f>
        <v/>
      </c>
      <c r="Z53" s="59" t="str">
        <f>IF([2]道具信息!Z53="","",[2]道具信息!Z53)</f>
        <v/>
      </c>
    </row>
    <row r="54" spans="1:26" x14ac:dyDescent="0.15">
      <c r="A54" s="59" t="str">
        <f>IF([2]道具信息!A54="","",[2]道具信息!A54)</f>
        <v/>
      </c>
      <c r="B54" s="59" t="str">
        <f>IF([2]道具信息!B54="","",[2]道具信息!B54)</f>
        <v/>
      </c>
      <c r="C54" s="59" t="str">
        <f>IF([2]道具信息!C54="","",[2]道具信息!C54)</f>
        <v/>
      </c>
      <c r="D54" s="59" t="str">
        <f>IF([2]道具信息!D54="","",[2]道具信息!D54)</f>
        <v/>
      </c>
      <c r="E54" s="59" t="str">
        <f>IF([2]道具信息!E54="","",[2]道具信息!E54)</f>
        <v/>
      </c>
      <c r="F54" s="59" t="str">
        <f>IF([2]道具信息!F54="","",[2]道具信息!F54)</f>
        <v/>
      </c>
      <c r="G54" s="59" t="str">
        <f>IF([2]道具信息!G54="","",[2]道具信息!G54)</f>
        <v/>
      </c>
      <c r="H54" s="59" t="str">
        <f>IF([2]道具信息!H54="","",[2]道具信息!H54)</f>
        <v/>
      </c>
      <c r="I54" s="59" t="str">
        <f>IF([2]道具信息!I54="","",[2]道具信息!I54)</f>
        <v/>
      </c>
      <c r="J54" s="59" t="str">
        <f>IF([2]道具信息!J54="","",[2]道具信息!J54)</f>
        <v/>
      </c>
      <c r="K54" s="59" t="str">
        <f>IF([2]道具信息!K54="","",[2]道具信息!K54)</f>
        <v/>
      </c>
      <c r="L54" s="59" t="str">
        <f>IF([2]道具信息!L54="","",[2]道具信息!L54)</f>
        <v/>
      </c>
      <c r="M54" s="59" t="str">
        <f>IF([2]道具信息!M54="","",[2]道具信息!M54)</f>
        <v/>
      </c>
      <c r="N54" s="59" t="str">
        <f>IF([2]道具信息!N54="","",[2]道具信息!N54)</f>
        <v/>
      </c>
      <c r="O54" s="59" t="str">
        <f>IF([2]道具信息!O54="","",[2]道具信息!O54)</f>
        <v/>
      </c>
      <c r="P54" s="59" t="str">
        <f>IF([2]道具信息!P54="","",[2]道具信息!P54)</f>
        <v/>
      </c>
      <c r="Q54" s="59" t="str">
        <f>IF([2]道具信息!Q54="","",[2]道具信息!Q54)</f>
        <v/>
      </c>
      <c r="R54" s="59" t="str">
        <f>IF([2]道具信息!R54="","",[2]道具信息!R54)</f>
        <v/>
      </c>
      <c r="S54" s="59" t="str">
        <f>IF([2]道具信息!S54="","",[2]道具信息!S54)</f>
        <v/>
      </c>
      <c r="T54" s="59" t="str">
        <f>IF([2]道具信息!T54="","",[2]道具信息!T54)</f>
        <v/>
      </c>
      <c r="U54" s="59" t="str">
        <f>IF([2]道具信息!U54="","",[2]道具信息!U54)</f>
        <v/>
      </c>
      <c r="V54" s="59" t="str">
        <f>IF([2]道具信息!V54="","",[2]道具信息!V54)</f>
        <v/>
      </c>
      <c r="W54" s="59" t="str">
        <f>IF([2]道具信息!W54="","",[2]道具信息!W54)</f>
        <v/>
      </c>
      <c r="X54" s="59" t="str">
        <f>IF([2]道具信息!X54="","",[2]道具信息!X54)</f>
        <v/>
      </c>
      <c r="Y54" s="59" t="str">
        <f>IF([2]道具信息!Y54="","",[2]道具信息!Y54)</f>
        <v/>
      </c>
      <c r="Z54" s="59" t="str">
        <f>IF([2]道具信息!Z54="","",[2]道具信息!Z54)</f>
        <v/>
      </c>
    </row>
    <row r="55" spans="1:26" x14ac:dyDescent="0.15">
      <c r="A55" s="59" t="str">
        <f>IF([2]道具信息!A55="","",[2]道具信息!A55)</f>
        <v/>
      </c>
      <c r="B55" s="59" t="str">
        <f>IF([2]道具信息!B55="","",[2]道具信息!B55)</f>
        <v/>
      </c>
      <c r="C55" s="59" t="str">
        <f>IF([2]道具信息!C55="","",[2]道具信息!C55)</f>
        <v/>
      </c>
      <c r="D55" s="59" t="str">
        <f>IF([2]道具信息!D55="","",[2]道具信息!D55)</f>
        <v>紫色藏宝图</v>
      </c>
      <c r="E55" s="59">
        <f>IF([2]道具信息!E55="","",[2]道具信息!E55)</f>
        <v>137.5</v>
      </c>
      <c r="F55" s="59">
        <f>IF([2]道具信息!F55="","",[2]道具信息!F55)</f>
        <v>1</v>
      </c>
      <c r="G55" s="59">
        <f>IF([2]道具信息!G55="","",[2]道具信息!G55)</f>
        <v>1</v>
      </c>
      <c r="H55" s="59">
        <f>IF([2]道具信息!H55="","",[2]道具信息!H55)</f>
        <v>1</v>
      </c>
      <c r="I55" s="59">
        <f>IF([2]道具信息!I55="","",[2]道具信息!I55)</f>
        <v>137.5</v>
      </c>
      <c r="J55" s="59">
        <f>IF([2]道具信息!J55="","",[2]道具信息!J55)</f>
        <v>137.5</v>
      </c>
      <c r="K55" s="59">
        <f>IF([2]道具信息!K55="","",[2]道具信息!K55)</f>
        <v>137.5</v>
      </c>
      <c r="L55" s="59" t="str">
        <f>IF([2]道具信息!L55="","",[2]道具信息!L55)</f>
        <v/>
      </c>
      <c r="M55" s="59" t="str">
        <f>IF([2]道具信息!M55="","",[2]道具信息!M55)</f>
        <v/>
      </c>
      <c r="N55" s="59" t="str">
        <f>IF([2]道具信息!N55="","",[2]道具信息!N55)</f>
        <v/>
      </c>
      <c r="O55" s="59" t="str">
        <f>IF([2]道具信息!O55="","",[2]道具信息!O55)</f>
        <v/>
      </c>
      <c r="P55" s="59" t="str">
        <f>IF([2]道具信息!P55="","",[2]道具信息!P55)</f>
        <v/>
      </c>
      <c r="Q55" s="59" t="str">
        <f>IF([2]道具信息!Q55="","",[2]道具信息!Q55)</f>
        <v/>
      </c>
      <c r="R55" s="59" t="str">
        <f>IF([2]道具信息!R55="","",[2]道具信息!R55)</f>
        <v/>
      </c>
      <c r="S55" s="59" t="str">
        <f>IF([2]道具信息!S55="","",[2]道具信息!S55)</f>
        <v/>
      </c>
      <c r="T55" s="59" t="str">
        <f>IF([2]道具信息!T55="","",[2]道具信息!T55)</f>
        <v/>
      </c>
      <c r="U55" s="59" t="str">
        <f>IF([2]道具信息!U55="","",[2]道具信息!U55)</f>
        <v/>
      </c>
      <c r="V55" s="59" t="str">
        <f>IF([2]道具信息!V55="","",[2]道具信息!V55)</f>
        <v/>
      </c>
      <c r="W55" s="59" t="str">
        <f>IF([2]道具信息!W55="","",[2]道具信息!W55)</f>
        <v/>
      </c>
      <c r="X55" s="59" t="str">
        <f>IF([2]道具信息!X55="","",[2]道具信息!X55)</f>
        <v/>
      </c>
      <c r="Y55" s="59" t="str">
        <f>IF([2]道具信息!Y55="","",[2]道具信息!Y55)</f>
        <v/>
      </c>
      <c r="Z55" s="59" t="str">
        <f>IF([2]道具信息!Z55="","",[2]道具信息!Z55)</f>
        <v/>
      </c>
    </row>
    <row r="56" spans="1:26" x14ac:dyDescent="0.15">
      <c r="A56" s="59" t="str">
        <f>IF([2]道具信息!A56="","",[2]道具信息!A56)</f>
        <v/>
      </c>
      <c r="B56" s="59" t="str">
        <f>IF([2]道具信息!B56="","",[2]道具信息!B56)</f>
        <v/>
      </c>
      <c r="C56" s="59" t="str">
        <f>IF([2]道具信息!C56="","",[2]道具信息!C56)</f>
        <v/>
      </c>
      <c r="D56" s="59" t="str">
        <f>IF([2]道具信息!D56="","",[2]道具信息!D56)</f>
        <v>紫色藏宝图碎片</v>
      </c>
      <c r="E56" s="59">
        <f>IF([2]道具信息!E56="","",[2]道具信息!E56)</f>
        <v>13.75</v>
      </c>
      <c r="F56" s="59">
        <f>IF([2]道具信息!F56="","",[2]道具信息!F56)</f>
        <v>1</v>
      </c>
      <c r="G56" s="59">
        <f>IF([2]道具信息!G56="","",[2]道具信息!G56)</f>
        <v>1</v>
      </c>
      <c r="H56" s="59">
        <f>IF([2]道具信息!H56="","",[2]道具信息!H56)</f>
        <v>1</v>
      </c>
      <c r="I56" s="59">
        <f>IF([2]道具信息!I56="","",[2]道具信息!I56)</f>
        <v>13.75</v>
      </c>
      <c r="J56" s="59">
        <f>IF([2]道具信息!J56="","",[2]道具信息!J56)</f>
        <v>13.75</v>
      </c>
      <c r="K56" s="59">
        <f>IF([2]道具信息!K56="","",[2]道具信息!K56)</f>
        <v>13.75</v>
      </c>
      <c r="L56" s="59" t="str">
        <f>IF([2]道具信息!L56="","",[2]道具信息!L56)</f>
        <v/>
      </c>
      <c r="M56" s="59" t="str">
        <f>IF([2]道具信息!M56="","",[2]道具信息!M56)</f>
        <v/>
      </c>
      <c r="N56" s="59" t="str">
        <f>IF([2]道具信息!N56="","",[2]道具信息!N56)</f>
        <v/>
      </c>
      <c r="O56" s="59" t="str">
        <f>IF([2]道具信息!O56="","",[2]道具信息!O56)</f>
        <v/>
      </c>
      <c r="P56" s="59" t="str">
        <f>IF([2]道具信息!P56="","",[2]道具信息!P56)</f>
        <v/>
      </c>
      <c r="Q56" s="59" t="str">
        <f>IF([2]道具信息!Q56="","",[2]道具信息!Q56)</f>
        <v/>
      </c>
      <c r="R56" s="59" t="str">
        <f>IF([2]道具信息!R56="","",[2]道具信息!R56)</f>
        <v/>
      </c>
      <c r="S56" s="59" t="str">
        <f>IF([2]道具信息!S56="","",[2]道具信息!S56)</f>
        <v/>
      </c>
      <c r="T56" s="59" t="str">
        <f>IF([2]道具信息!T56="","",[2]道具信息!T56)</f>
        <v/>
      </c>
      <c r="U56" s="59" t="str">
        <f>IF([2]道具信息!U56="","",[2]道具信息!U56)</f>
        <v/>
      </c>
      <c r="V56" s="59" t="str">
        <f>IF([2]道具信息!V56="","",[2]道具信息!V56)</f>
        <v/>
      </c>
      <c r="W56" s="59" t="str">
        <f>IF([2]道具信息!W56="","",[2]道具信息!W56)</f>
        <v/>
      </c>
      <c r="X56" s="59" t="str">
        <f>IF([2]道具信息!X56="","",[2]道具信息!X56)</f>
        <v/>
      </c>
      <c r="Y56" s="59" t="str">
        <f>IF([2]道具信息!Y56="","",[2]道具信息!Y56)</f>
        <v/>
      </c>
      <c r="Z56" s="59" t="str">
        <f>IF([2]道具信息!Z56="","",[2]道具信息!Z56)</f>
        <v/>
      </c>
    </row>
    <row r="57" spans="1:26" x14ac:dyDescent="0.15">
      <c r="A57" s="59" t="str">
        <f>IF([2]道具信息!A57="","",[2]道具信息!A57)</f>
        <v/>
      </c>
      <c r="B57" s="59" t="str">
        <f>IF([2]道具信息!B57="","",[2]道具信息!B57)</f>
        <v/>
      </c>
      <c r="C57" s="59" t="str">
        <f>IF([2]道具信息!C57="","",[2]道具信息!C57)</f>
        <v/>
      </c>
      <c r="D57" s="59" t="str">
        <f>IF([2]道具信息!D57="","",[2]道具信息!D57)</f>
        <v>橙色藏宝图</v>
      </c>
      <c r="E57" s="59">
        <f>IF([2]道具信息!E57="","",[2]道具信息!E57)</f>
        <v>300</v>
      </c>
      <c r="F57" s="59">
        <f>IF([2]道具信息!F57="","",[2]道具信息!F57)</f>
        <v>1</v>
      </c>
      <c r="G57" s="59">
        <f>IF([2]道具信息!G57="","",[2]道具信息!G57)</f>
        <v>1</v>
      </c>
      <c r="H57" s="59">
        <f>IF([2]道具信息!H57="","",[2]道具信息!H57)</f>
        <v>1</v>
      </c>
      <c r="I57" s="59">
        <f>IF([2]道具信息!I57="","",[2]道具信息!I57)</f>
        <v>300</v>
      </c>
      <c r="J57" s="59">
        <f>IF([2]道具信息!J57="","",[2]道具信息!J57)</f>
        <v>300</v>
      </c>
      <c r="K57" s="59">
        <f>IF([2]道具信息!K57="","",[2]道具信息!K57)</f>
        <v>300</v>
      </c>
      <c r="L57" s="59" t="str">
        <f>IF([2]道具信息!L57="","",[2]道具信息!L57)</f>
        <v/>
      </c>
      <c r="M57" s="59" t="str">
        <f>IF([2]道具信息!M57="","",[2]道具信息!M57)</f>
        <v/>
      </c>
      <c r="N57" s="59" t="str">
        <f>IF([2]道具信息!N57="","",[2]道具信息!N57)</f>
        <v/>
      </c>
      <c r="O57" s="59" t="str">
        <f>IF([2]道具信息!O57="","",[2]道具信息!O57)</f>
        <v/>
      </c>
      <c r="P57" s="59" t="str">
        <f>IF([2]道具信息!P57="","",[2]道具信息!P57)</f>
        <v/>
      </c>
      <c r="Q57" s="59" t="str">
        <f>IF([2]道具信息!Q57="","",[2]道具信息!Q57)</f>
        <v/>
      </c>
      <c r="R57" s="59" t="str">
        <f>IF([2]道具信息!R57="","",[2]道具信息!R57)</f>
        <v/>
      </c>
      <c r="S57" s="59" t="str">
        <f>IF([2]道具信息!S57="","",[2]道具信息!S57)</f>
        <v/>
      </c>
      <c r="T57" s="59" t="str">
        <f>IF([2]道具信息!T57="","",[2]道具信息!T57)</f>
        <v/>
      </c>
      <c r="U57" s="59" t="str">
        <f>IF([2]道具信息!U57="","",[2]道具信息!U57)</f>
        <v/>
      </c>
      <c r="V57" s="59" t="str">
        <f>IF([2]道具信息!V57="","",[2]道具信息!V57)</f>
        <v/>
      </c>
      <c r="W57" s="59" t="str">
        <f>IF([2]道具信息!W57="","",[2]道具信息!W57)</f>
        <v/>
      </c>
      <c r="X57" s="59" t="str">
        <f>IF([2]道具信息!X57="","",[2]道具信息!X57)</f>
        <v/>
      </c>
      <c r="Y57" s="59" t="str">
        <f>IF([2]道具信息!Y57="","",[2]道具信息!Y57)</f>
        <v/>
      </c>
      <c r="Z57" s="59" t="str">
        <f>IF([2]道具信息!Z57="","",[2]道具信息!Z57)</f>
        <v/>
      </c>
    </row>
    <row r="58" spans="1:26" x14ac:dyDescent="0.15">
      <c r="A58" s="59" t="str">
        <f>IF([2]道具信息!A58="","",[2]道具信息!A58)</f>
        <v/>
      </c>
      <c r="B58" s="59" t="str">
        <f>IF([2]道具信息!B58="","",[2]道具信息!B58)</f>
        <v/>
      </c>
      <c r="C58" s="59" t="str">
        <f>IF([2]道具信息!C58="","",[2]道具信息!C58)</f>
        <v/>
      </c>
      <c r="D58" s="59" t="str">
        <f>IF([2]道具信息!D58="","",[2]道具信息!D58)</f>
        <v>橙色藏宝图碎片</v>
      </c>
      <c r="E58" s="59">
        <f>IF([2]道具信息!E58="","",[2]道具信息!E58)</f>
        <v>10</v>
      </c>
      <c r="F58" s="59">
        <f>IF([2]道具信息!F58="","",[2]道具信息!F58)</f>
        <v>1</v>
      </c>
      <c r="G58" s="59">
        <f>IF([2]道具信息!G58="","",[2]道具信息!G58)</f>
        <v>1</v>
      </c>
      <c r="H58" s="59">
        <f>IF([2]道具信息!H58="","",[2]道具信息!H58)</f>
        <v>1</v>
      </c>
      <c r="I58" s="59">
        <f>IF([2]道具信息!I58="","",[2]道具信息!I58)</f>
        <v>10</v>
      </c>
      <c r="J58" s="59">
        <f>IF([2]道具信息!J58="","",[2]道具信息!J58)</f>
        <v>10</v>
      </c>
      <c r="K58" s="59">
        <f>IF([2]道具信息!K58="","",[2]道具信息!K58)</f>
        <v>10</v>
      </c>
      <c r="L58" s="59" t="str">
        <f>IF([2]道具信息!L58="","",[2]道具信息!L58)</f>
        <v/>
      </c>
      <c r="M58" s="59" t="str">
        <f>IF([2]道具信息!M58="","",[2]道具信息!M58)</f>
        <v/>
      </c>
      <c r="N58" s="59" t="str">
        <f>IF([2]道具信息!N58="","",[2]道具信息!N58)</f>
        <v/>
      </c>
      <c r="O58" s="59" t="str">
        <f>IF([2]道具信息!O58="","",[2]道具信息!O58)</f>
        <v/>
      </c>
      <c r="P58" s="59" t="str">
        <f>IF([2]道具信息!P58="","",[2]道具信息!P58)</f>
        <v/>
      </c>
      <c r="Q58" s="59" t="str">
        <f>IF([2]道具信息!Q58="","",[2]道具信息!Q58)</f>
        <v/>
      </c>
      <c r="R58" s="59" t="str">
        <f>IF([2]道具信息!R58="","",[2]道具信息!R58)</f>
        <v/>
      </c>
      <c r="S58" s="59" t="str">
        <f>IF([2]道具信息!S58="","",[2]道具信息!S58)</f>
        <v/>
      </c>
      <c r="T58" s="59" t="str">
        <f>IF([2]道具信息!T58="","",[2]道具信息!T58)</f>
        <v/>
      </c>
      <c r="U58" s="59" t="str">
        <f>IF([2]道具信息!U58="","",[2]道具信息!U58)</f>
        <v/>
      </c>
      <c r="V58" s="59" t="str">
        <f>IF([2]道具信息!V58="","",[2]道具信息!V58)</f>
        <v/>
      </c>
      <c r="W58" s="59" t="str">
        <f>IF([2]道具信息!W58="","",[2]道具信息!W58)</f>
        <v/>
      </c>
      <c r="X58" s="59" t="str">
        <f>IF([2]道具信息!X58="","",[2]道具信息!X58)</f>
        <v/>
      </c>
      <c r="Y58" s="59" t="str">
        <f>IF([2]道具信息!Y58="","",[2]道具信息!Y58)</f>
        <v/>
      </c>
      <c r="Z58" s="59" t="str">
        <f>IF([2]道具信息!Z58="","",[2]道具信息!Z58)</f>
        <v/>
      </c>
    </row>
    <row r="59" spans="1:26" x14ac:dyDescent="0.15">
      <c r="A59" s="59" t="str">
        <f>IF([2]道具信息!A59="","",[2]道具信息!A59)</f>
        <v/>
      </c>
      <c r="B59" s="59" t="str">
        <f>IF([2]道具信息!B59="","",[2]道具信息!B59)</f>
        <v/>
      </c>
      <c r="C59" s="59" t="str">
        <f>IF([2]道具信息!C59="","",[2]道具信息!C59)</f>
        <v/>
      </c>
      <c r="D59" s="59" t="str">
        <f>IF([2]道具信息!D59="","",[2]道具信息!D59)</f>
        <v/>
      </c>
      <c r="E59" s="59" t="str">
        <f>IF([2]道具信息!E59="","",[2]道具信息!E59)</f>
        <v/>
      </c>
      <c r="F59" s="59" t="str">
        <f>IF([2]道具信息!F59="","",[2]道具信息!F59)</f>
        <v/>
      </c>
      <c r="G59" s="59" t="str">
        <f>IF([2]道具信息!G59="","",[2]道具信息!G59)</f>
        <v/>
      </c>
      <c r="H59" s="59" t="str">
        <f>IF([2]道具信息!H59="","",[2]道具信息!H59)</f>
        <v/>
      </c>
      <c r="I59" s="59" t="str">
        <f>IF([2]道具信息!I59="","",[2]道具信息!I59)</f>
        <v/>
      </c>
      <c r="J59" s="59" t="str">
        <f>IF([2]道具信息!J59="","",[2]道具信息!J59)</f>
        <v/>
      </c>
      <c r="K59" s="59" t="str">
        <f>IF([2]道具信息!K59="","",[2]道具信息!K59)</f>
        <v/>
      </c>
      <c r="L59" s="59" t="str">
        <f>IF([2]道具信息!L59="","",[2]道具信息!L59)</f>
        <v/>
      </c>
      <c r="M59" s="59" t="str">
        <f>IF([2]道具信息!M59="","",[2]道具信息!M59)</f>
        <v/>
      </c>
      <c r="N59" s="59" t="str">
        <f>IF([2]道具信息!N59="","",[2]道具信息!N59)</f>
        <v/>
      </c>
      <c r="O59" s="59" t="str">
        <f>IF([2]道具信息!O59="","",[2]道具信息!O59)</f>
        <v/>
      </c>
      <c r="P59" s="59" t="str">
        <f>IF([2]道具信息!P59="","",[2]道具信息!P59)</f>
        <v/>
      </c>
      <c r="Q59" s="59" t="str">
        <f>IF([2]道具信息!Q59="","",[2]道具信息!Q59)</f>
        <v/>
      </c>
      <c r="R59" s="59" t="str">
        <f>IF([2]道具信息!R59="","",[2]道具信息!R59)</f>
        <v/>
      </c>
      <c r="S59" s="59" t="str">
        <f>IF([2]道具信息!S59="","",[2]道具信息!S59)</f>
        <v/>
      </c>
      <c r="T59" s="59" t="str">
        <f>IF([2]道具信息!T59="","",[2]道具信息!T59)</f>
        <v/>
      </c>
      <c r="U59" s="59" t="str">
        <f>IF([2]道具信息!U59="","",[2]道具信息!U59)</f>
        <v/>
      </c>
      <c r="V59" s="59" t="str">
        <f>IF([2]道具信息!V59="","",[2]道具信息!V59)</f>
        <v/>
      </c>
      <c r="W59" s="59" t="str">
        <f>IF([2]道具信息!W59="","",[2]道具信息!W59)</f>
        <v/>
      </c>
      <c r="X59" s="59" t="str">
        <f>IF([2]道具信息!X59="","",[2]道具信息!X59)</f>
        <v/>
      </c>
      <c r="Y59" s="59" t="str">
        <f>IF([2]道具信息!Y59="","",[2]道具信息!Y59)</f>
        <v/>
      </c>
      <c r="Z59" s="59" t="str">
        <f>IF([2]道具信息!Z59="","",[2]道具信息!Z59)</f>
        <v/>
      </c>
    </row>
    <row r="60" spans="1:26" x14ac:dyDescent="0.15">
      <c r="A60" s="59" t="str">
        <f>IF([2]道具信息!A60="","",[2]道具信息!A60)</f>
        <v/>
      </c>
      <c r="B60" s="59" t="str">
        <f>IF([2]道具信息!B60="","",[2]道具信息!B60)</f>
        <v/>
      </c>
      <c r="C60" s="59" t="str">
        <f>IF([2]道具信息!C60="","",[2]道具信息!C60)</f>
        <v/>
      </c>
      <c r="D60" s="59" t="str">
        <f>IF([2]道具信息!D60="","",[2]道具信息!D60)</f>
        <v>紫色皮肤</v>
      </c>
      <c r="E60" s="59">
        <f>IF([2]道具信息!E60="","",[2]道具信息!E60)</f>
        <v>6000</v>
      </c>
      <c r="F60" s="59">
        <f>IF([2]道具信息!F60="","",[2]道具信息!F60)</f>
        <v>1</v>
      </c>
      <c r="G60" s="59">
        <f>IF([2]道具信息!G60="","",[2]道具信息!G60)</f>
        <v>1</v>
      </c>
      <c r="H60" s="59">
        <f>IF([2]道具信息!H60="","",[2]道具信息!H60)</f>
        <v>1</v>
      </c>
      <c r="I60" s="59">
        <f>IF([2]道具信息!I60="","",[2]道具信息!I60)</f>
        <v>6000</v>
      </c>
      <c r="J60" s="59">
        <f>IF([2]道具信息!J60="","",[2]道具信息!J60)</f>
        <v>6000</v>
      </c>
      <c r="K60" s="59">
        <f>IF([2]道具信息!K60="","",[2]道具信息!K60)</f>
        <v>6000</v>
      </c>
      <c r="L60" s="59" t="str">
        <f>IF([2]道具信息!L60="","",[2]道具信息!L60)</f>
        <v/>
      </c>
      <c r="M60" s="59" t="str">
        <f>IF([2]道具信息!M60="","",[2]道具信息!M60)</f>
        <v/>
      </c>
      <c r="N60" s="59" t="str">
        <f>IF([2]道具信息!N60="","",[2]道具信息!N60)</f>
        <v/>
      </c>
      <c r="O60" s="59" t="str">
        <f>IF([2]道具信息!O60="","",[2]道具信息!O60)</f>
        <v/>
      </c>
      <c r="P60" s="59" t="str">
        <f>IF([2]道具信息!P60="","",[2]道具信息!P60)</f>
        <v/>
      </c>
      <c r="Q60" s="59" t="str">
        <f>IF([2]道具信息!Q60="","",[2]道具信息!Q60)</f>
        <v/>
      </c>
      <c r="R60" s="59" t="str">
        <f>IF([2]道具信息!R60="","",[2]道具信息!R60)</f>
        <v/>
      </c>
      <c r="S60" s="59" t="str">
        <f>IF([2]道具信息!S60="","",[2]道具信息!S60)</f>
        <v/>
      </c>
      <c r="T60" s="59" t="str">
        <f>IF([2]道具信息!T60="","",[2]道具信息!T60)</f>
        <v/>
      </c>
      <c r="U60" s="59" t="str">
        <f>IF([2]道具信息!U60="","",[2]道具信息!U60)</f>
        <v/>
      </c>
      <c r="V60" s="59" t="str">
        <f>IF([2]道具信息!V60="","",[2]道具信息!V60)</f>
        <v/>
      </c>
      <c r="W60" s="59" t="str">
        <f>IF([2]道具信息!W60="","",[2]道具信息!W60)</f>
        <v/>
      </c>
      <c r="X60" s="59" t="str">
        <f>IF([2]道具信息!X60="","",[2]道具信息!X60)</f>
        <v/>
      </c>
      <c r="Y60" s="59" t="str">
        <f>IF([2]道具信息!Y60="","",[2]道具信息!Y60)</f>
        <v/>
      </c>
      <c r="Z60" s="59" t="str">
        <f>IF([2]道具信息!Z60="","",[2]道具信息!Z60)</f>
        <v/>
      </c>
    </row>
    <row r="61" spans="1:26" x14ac:dyDescent="0.15">
      <c r="A61" s="59" t="str">
        <f>IF([2]道具信息!A61="","",[2]道具信息!A61)</f>
        <v/>
      </c>
      <c r="B61" s="59" t="str">
        <f>IF([2]道具信息!B61="","",[2]道具信息!B61)</f>
        <v/>
      </c>
      <c r="C61" s="59" t="str">
        <f>IF([2]道具信息!C61="","",[2]道具信息!C61)</f>
        <v/>
      </c>
      <c r="D61" s="59" t="str">
        <f>IF([2]道具信息!D61="","",[2]道具信息!D61)</f>
        <v>橙色皮肤</v>
      </c>
      <c r="E61" s="59">
        <f>IF([2]道具信息!E61="","",[2]道具信息!E61)</f>
        <v>16000</v>
      </c>
      <c r="F61" s="59">
        <f>IF([2]道具信息!F61="","",[2]道具信息!F61)</f>
        <v>1</v>
      </c>
      <c r="G61" s="59">
        <f>IF([2]道具信息!G61="","",[2]道具信息!G61)</f>
        <v>1</v>
      </c>
      <c r="H61" s="59">
        <f>IF([2]道具信息!H61="","",[2]道具信息!H61)</f>
        <v>1</v>
      </c>
      <c r="I61" s="59">
        <f>IF([2]道具信息!I61="","",[2]道具信息!I61)</f>
        <v>16000</v>
      </c>
      <c r="J61" s="59">
        <f>IF([2]道具信息!J61="","",[2]道具信息!J61)</f>
        <v>16000</v>
      </c>
      <c r="K61" s="59">
        <f>IF([2]道具信息!K61="","",[2]道具信息!K61)</f>
        <v>16000</v>
      </c>
      <c r="L61" s="59" t="str">
        <f>IF([2]道具信息!L61="","",[2]道具信息!L61)</f>
        <v/>
      </c>
      <c r="M61" s="59" t="str">
        <f>IF([2]道具信息!M61="","",[2]道具信息!M61)</f>
        <v/>
      </c>
      <c r="N61" s="59" t="str">
        <f>IF([2]道具信息!N61="","",[2]道具信息!N61)</f>
        <v/>
      </c>
      <c r="O61" s="59" t="str">
        <f>IF([2]道具信息!O61="","",[2]道具信息!O61)</f>
        <v/>
      </c>
      <c r="P61" s="59" t="str">
        <f>IF([2]道具信息!P61="","",[2]道具信息!P61)</f>
        <v/>
      </c>
      <c r="Q61" s="59" t="str">
        <f>IF([2]道具信息!Q61="","",[2]道具信息!Q61)</f>
        <v/>
      </c>
      <c r="R61" s="59" t="str">
        <f>IF([2]道具信息!R61="","",[2]道具信息!R61)</f>
        <v/>
      </c>
      <c r="S61" s="59" t="str">
        <f>IF([2]道具信息!S61="","",[2]道具信息!S61)</f>
        <v/>
      </c>
      <c r="T61" s="59" t="str">
        <f>IF([2]道具信息!T61="","",[2]道具信息!T61)</f>
        <v/>
      </c>
      <c r="U61" s="59" t="str">
        <f>IF([2]道具信息!U61="","",[2]道具信息!U61)</f>
        <v/>
      </c>
      <c r="V61" s="59" t="str">
        <f>IF([2]道具信息!V61="","",[2]道具信息!V61)</f>
        <v/>
      </c>
      <c r="W61" s="59" t="str">
        <f>IF([2]道具信息!W61="","",[2]道具信息!W61)</f>
        <v/>
      </c>
      <c r="X61" s="59" t="str">
        <f>IF([2]道具信息!X61="","",[2]道具信息!X61)</f>
        <v/>
      </c>
      <c r="Y61" s="59" t="str">
        <f>IF([2]道具信息!Y61="","",[2]道具信息!Y61)</f>
        <v/>
      </c>
      <c r="Z61" s="59" t="str">
        <f>IF([2]道具信息!Z61="","",[2]道具信息!Z61)</f>
        <v/>
      </c>
    </row>
    <row r="62" spans="1:26" x14ac:dyDescent="0.15">
      <c r="A62" s="59" t="str">
        <f>IF([2]道具信息!A62="","",[2]道具信息!A62)</f>
        <v/>
      </c>
      <c r="B62" s="59" t="str">
        <f>IF([2]道具信息!B62="","",[2]道具信息!B62)</f>
        <v/>
      </c>
      <c r="C62" s="59" t="str">
        <f>IF([2]道具信息!C62="","",[2]道具信息!C62)</f>
        <v/>
      </c>
      <c r="D62" s="59" t="str">
        <f>IF([2]道具信息!D62="","",[2]道具信息!D62)</f>
        <v>红色皮肤</v>
      </c>
      <c r="E62" s="59">
        <f>IF([2]道具信息!E62="","",[2]道具信息!E62)</f>
        <v>150000</v>
      </c>
      <c r="F62" s="59">
        <f>IF([2]道具信息!F62="","",[2]道具信息!F62)</f>
        <v>2</v>
      </c>
      <c r="G62" s="59">
        <f>IF([2]道具信息!G62="","",[2]道具信息!G62)</f>
        <v>2</v>
      </c>
      <c r="H62" s="59">
        <f>IF([2]道具信息!H62="","",[2]道具信息!H62)</f>
        <v>2</v>
      </c>
      <c r="I62" s="59">
        <f>IF([2]道具信息!I62="","",[2]道具信息!I62)</f>
        <v>300000</v>
      </c>
      <c r="J62" s="59">
        <f>IF([2]道具信息!J62="","",[2]道具信息!J62)</f>
        <v>300000</v>
      </c>
      <c r="K62" s="59">
        <f>IF([2]道具信息!K62="","",[2]道具信息!K62)</f>
        <v>300000</v>
      </c>
      <c r="L62" s="59" t="str">
        <f>IF([2]道具信息!L62="","",[2]道具信息!L62)</f>
        <v/>
      </c>
      <c r="M62" s="59" t="str">
        <f>IF([2]道具信息!M62="","",[2]道具信息!M62)</f>
        <v/>
      </c>
      <c r="N62" s="59" t="str">
        <f>IF([2]道具信息!N62="","",[2]道具信息!N62)</f>
        <v/>
      </c>
      <c r="O62" s="59" t="str">
        <f>IF([2]道具信息!O62="","",[2]道具信息!O62)</f>
        <v/>
      </c>
      <c r="P62" s="59" t="str">
        <f>IF([2]道具信息!P62="","",[2]道具信息!P62)</f>
        <v/>
      </c>
      <c r="Q62" s="59" t="str">
        <f>IF([2]道具信息!Q62="","",[2]道具信息!Q62)</f>
        <v/>
      </c>
      <c r="R62" s="59" t="str">
        <f>IF([2]道具信息!R62="","",[2]道具信息!R62)</f>
        <v/>
      </c>
      <c r="S62" s="59" t="str">
        <f>IF([2]道具信息!S62="","",[2]道具信息!S62)</f>
        <v/>
      </c>
      <c r="T62" s="59" t="str">
        <f>IF([2]道具信息!T62="","",[2]道具信息!T62)</f>
        <v/>
      </c>
      <c r="U62" s="59" t="str">
        <f>IF([2]道具信息!U62="","",[2]道具信息!U62)</f>
        <v/>
      </c>
      <c r="V62" s="59" t="str">
        <f>IF([2]道具信息!V62="","",[2]道具信息!V62)</f>
        <v/>
      </c>
      <c r="W62" s="59" t="str">
        <f>IF([2]道具信息!W62="","",[2]道具信息!W62)</f>
        <v/>
      </c>
      <c r="X62" s="59" t="str">
        <f>IF([2]道具信息!X62="","",[2]道具信息!X62)</f>
        <v/>
      </c>
      <c r="Y62" s="59" t="str">
        <f>IF([2]道具信息!Y62="","",[2]道具信息!Y62)</f>
        <v/>
      </c>
      <c r="Z62" s="59" t="str">
        <f>IF([2]道具信息!Z62="","",[2]道具信息!Z62)</f>
        <v/>
      </c>
    </row>
    <row r="63" spans="1:26" x14ac:dyDescent="0.15">
      <c r="A63" s="59" t="str">
        <f>IF([2]道具信息!A63="","",[2]道具信息!A63)</f>
        <v/>
      </c>
      <c r="B63" s="59" t="str">
        <f>IF([2]道具信息!B63="","",[2]道具信息!B63)</f>
        <v/>
      </c>
      <c r="C63" s="59" t="str">
        <f>IF([2]道具信息!C63="","",[2]道具信息!C63)</f>
        <v/>
      </c>
      <c r="D63" s="59" t="str">
        <f>IF([2]道具信息!D63="","",[2]道具信息!D63)</f>
        <v>橙色皮肤碎片</v>
      </c>
      <c r="E63" s="59">
        <f>IF([2]道具信息!E63="","",[2]道具信息!E63)</f>
        <v>533.33333333333337</v>
      </c>
      <c r="F63" s="59">
        <f>IF([2]道具信息!F63="","",[2]道具信息!F63)</f>
        <v>1</v>
      </c>
      <c r="G63" s="59">
        <f>IF([2]道具信息!G63="","",[2]道具信息!G63)</f>
        <v>1</v>
      </c>
      <c r="H63" s="59">
        <f>IF([2]道具信息!H63="","",[2]道具信息!H63)</f>
        <v>1</v>
      </c>
      <c r="I63" s="59">
        <f>IF([2]道具信息!I63="","",[2]道具信息!I63)</f>
        <v>533.33333333333337</v>
      </c>
      <c r="J63" s="59">
        <f>IF([2]道具信息!J63="","",[2]道具信息!J63)</f>
        <v>533.33333333333337</v>
      </c>
      <c r="K63" s="59">
        <f>IF([2]道具信息!K63="","",[2]道具信息!K63)</f>
        <v>533.33333333333337</v>
      </c>
      <c r="L63" s="59" t="str">
        <f>IF([2]道具信息!L63="","",[2]道具信息!L63)</f>
        <v/>
      </c>
      <c r="M63" s="59" t="str">
        <f>IF([2]道具信息!M63="","",[2]道具信息!M63)</f>
        <v/>
      </c>
      <c r="N63" s="59" t="str">
        <f>IF([2]道具信息!N63="","",[2]道具信息!N63)</f>
        <v/>
      </c>
      <c r="O63" s="59" t="str">
        <f>IF([2]道具信息!O63="","",[2]道具信息!O63)</f>
        <v/>
      </c>
      <c r="P63" s="59" t="str">
        <f>IF([2]道具信息!P63="","",[2]道具信息!P63)</f>
        <v/>
      </c>
      <c r="Q63" s="59" t="str">
        <f>IF([2]道具信息!Q63="","",[2]道具信息!Q63)</f>
        <v/>
      </c>
      <c r="R63" s="59" t="str">
        <f>IF([2]道具信息!R63="","",[2]道具信息!R63)</f>
        <v/>
      </c>
      <c r="S63" s="59" t="str">
        <f>IF([2]道具信息!S63="","",[2]道具信息!S63)</f>
        <v/>
      </c>
      <c r="T63" s="59" t="str">
        <f>IF([2]道具信息!T63="","",[2]道具信息!T63)</f>
        <v/>
      </c>
      <c r="U63" s="59" t="str">
        <f>IF([2]道具信息!U63="","",[2]道具信息!U63)</f>
        <v/>
      </c>
      <c r="V63" s="59" t="str">
        <f>IF([2]道具信息!V63="","",[2]道具信息!V63)</f>
        <v/>
      </c>
      <c r="W63" s="59" t="str">
        <f>IF([2]道具信息!W63="","",[2]道具信息!W63)</f>
        <v/>
      </c>
      <c r="X63" s="59" t="str">
        <f>IF([2]道具信息!X63="","",[2]道具信息!X63)</f>
        <v/>
      </c>
      <c r="Y63" s="59" t="str">
        <f>IF([2]道具信息!Y63="","",[2]道具信息!Y63)</f>
        <v/>
      </c>
      <c r="Z63" s="59" t="str">
        <f>IF([2]道具信息!Z63="","",[2]道具信息!Z63)</f>
        <v/>
      </c>
    </row>
    <row r="64" spans="1:26" x14ac:dyDescent="0.15">
      <c r="A64" s="59" t="str">
        <f>IF([2]道具信息!A64="","",[2]道具信息!A64)</f>
        <v/>
      </c>
      <c r="B64" s="59" t="str">
        <f>IF([2]道具信息!B64="","",[2]道具信息!B64)</f>
        <v/>
      </c>
      <c r="C64" s="59" t="str">
        <f>IF([2]道具信息!C64="","",[2]道具信息!C64)</f>
        <v/>
      </c>
      <c r="D64" s="59" t="str">
        <f>IF([2]道具信息!D64="","",[2]道具信息!D64)</f>
        <v>红色皮肤碎片</v>
      </c>
      <c r="E64" s="59">
        <f>IF([2]道具信息!E64="","",[2]道具信息!E64)</f>
        <v>3000</v>
      </c>
      <c r="F64" s="59">
        <f>IF([2]道具信息!F64="","",[2]道具信息!F64)</f>
        <v>2</v>
      </c>
      <c r="G64" s="59">
        <f>IF([2]道具信息!G64="","",[2]道具信息!G64)</f>
        <v>2</v>
      </c>
      <c r="H64" s="59">
        <f>IF([2]道具信息!H64="","",[2]道具信息!H64)</f>
        <v>2</v>
      </c>
      <c r="I64" s="59">
        <f>IF([2]道具信息!I64="","",[2]道具信息!I64)</f>
        <v>6000</v>
      </c>
      <c r="J64" s="59">
        <f>IF([2]道具信息!J64="","",[2]道具信息!J64)</f>
        <v>6000</v>
      </c>
      <c r="K64" s="59">
        <f>IF([2]道具信息!K64="","",[2]道具信息!K64)</f>
        <v>6000</v>
      </c>
      <c r="L64" s="59" t="str">
        <f>IF([2]道具信息!L64="","",[2]道具信息!L64)</f>
        <v/>
      </c>
      <c r="M64" s="59" t="str">
        <f>IF([2]道具信息!M64="","",[2]道具信息!M64)</f>
        <v/>
      </c>
      <c r="N64" s="59" t="str">
        <f>IF([2]道具信息!N64="","",[2]道具信息!N64)</f>
        <v/>
      </c>
      <c r="O64" s="59" t="str">
        <f>IF([2]道具信息!O64="","",[2]道具信息!O64)</f>
        <v/>
      </c>
      <c r="P64" s="59" t="str">
        <f>IF([2]道具信息!P64="","",[2]道具信息!P64)</f>
        <v/>
      </c>
      <c r="Q64" s="59" t="str">
        <f>IF([2]道具信息!Q64="","",[2]道具信息!Q64)</f>
        <v/>
      </c>
      <c r="R64" s="59" t="str">
        <f>IF([2]道具信息!R64="","",[2]道具信息!R64)</f>
        <v/>
      </c>
      <c r="S64" s="59" t="str">
        <f>IF([2]道具信息!S64="","",[2]道具信息!S64)</f>
        <v/>
      </c>
      <c r="T64" s="59" t="str">
        <f>IF([2]道具信息!T64="","",[2]道具信息!T64)</f>
        <v/>
      </c>
      <c r="U64" s="59" t="str">
        <f>IF([2]道具信息!U64="","",[2]道具信息!U64)</f>
        <v/>
      </c>
      <c r="V64" s="59" t="str">
        <f>IF([2]道具信息!V64="","",[2]道具信息!V64)</f>
        <v/>
      </c>
      <c r="W64" s="59" t="str">
        <f>IF([2]道具信息!W64="","",[2]道具信息!W64)</f>
        <v/>
      </c>
      <c r="X64" s="59" t="str">
        <f>IF([2]道具信息!X64="","",[2]道具信息!X64)</f>
        <v/>
      </c>
      <c r="Y64" s="59" t="str">
        <f>IF([2]道具信息!Y64="","",[2]道具信息!Y64)</f>
        <v/>
      </c>
      <c r="Z64" s="59" t="str">
        <f>IF([2]道具信息!Z64="","",[2]道具信息!Z64)</f>
        <v/>
      </c>
    </row>
    <row r="65" spans="1:26" x14ac:dyDescent="0.15">
      <c r="A65" s="59" t="str">
        <f>IF([2]道具信息!A65="","",[2]道具信息!A65)</f>
        <v/>
      </c>
      <c r="B65" s="59" t="str">
        <f>IF([2]道具信息!B65="","",[2]道具信息!B65)</f>
        <v/>
      </c>
      <c r="C65" s="59" t="str">
        <f>IF([2]道具信息!C65="","",[2]道具信息!C65)</f>
        <v/>
      </c>
      <c r="D65" s="59" t="str">
        <f>IF([2]道具信息!D65="","",[2]道具信息!D65)</f>
        <v>7天限时橙色皮肤</v>
      </c>
      <c r="E65" s="59">
        <f>IF([2]道具信息!E65="","",[2]道具信息!E65)</f>
        <v>16000</v>
      </c>
      <c r="F65" s="59">
        <f>IF([2]道具信息!F65="","",[2]道具信息!F65)</f>
        <v>0.2</v>
      </c>
      <c r="G65" s="59">
        <f>IF([2]道具信息!G65="","",[2]道具信息!G65)</f>
        <v>0.2</v>
      </c>
      <c r="H65" s="59">
        <f>IF([2]道具信息!H65="","",[2]道具信息!H65)</f>
        <v>0.2</v>
      </c>
      <c r="I65" s="59">
        <f>IF([2]道具信息!I65="","",[2]道具信息!I65)</f>
        <v>3200</v>
      </c>
      <c r="J65" s="59">
        <f>IF([2]道具信息!J65="","",[2]道具信息!J65)</f>
        <v>3200</v>
      </c>
      <c r="K65" s="59">
        <f>IF([2]道具信息!K65="","",[2]道具信息!K65)</f>
        <v>3200</v>
      </c>
      <c r="L65" s="59" t="str">
        <f>IF([2]道具信息!L65="","",[2]道具信息!L65)</f>
        <v>7天</v>
      </c>
      <c r="M65" s="59" t="str">
        <f>IF([2]道具信息!M65="","",[2]道具信息!M65)</f>
        <v/>
      </c>
      <c r="N65" s="59" t="str">
        <f>IF([2]道具信息!N65="","",[2]道具信息!N65)</f>
        <v/>
      </c>
      <c r="O65" s="59" t="str">
        <f>IF([2]道具信息!O65="","",[2]道具信息!O65)</f>
        <v/>
      </c>
      <c r="P65" s="59" t="str">
        <f>IF([2]道具信息!P65="","",[2]道具信息!P65)</f>
        <v/>
      </c>
      <c r="Q65" s="59" t="str">
        <f>IF([2]道具信息!Q65="","",[2]道具信息!Q65)</f>
        <v/>
      </c>
      <c r="R65" s="59" t="str">
        <f>IF([2]道具信息!R65="","",[2]道具信息!R65)</f>
        <v/>
      </c>
      <c r="S65" s="59" t="str">
        <f>IF([2]道具信息!S65="","",[2]道具信息!S65)</f>
        <v/>
      </c>
      <c r="T65" s="59" t="str">
        <f>IF([2]道具信息!T65="","",[2]道具信息!T65)</f>
        <v/>
      </c>
      <c r="U65" s="59" t="str">
        <f>IF([2]道具信息!U65="","",[2]道具信息!U65)</f>
        <v/>
      </c>
      <c r="V65" s="59" t="str">
        <f>IF([2]道具信息!V65="","",[2]道具信息!V65)</f>
        <v/>
      </c>
      <c r="W65" s="59" t="str">
        <f>IF([2]道具信息!W65="","",[2]道具信息!W65)</f>
        <v/>
      </c>
      <c r="X65" s="59" t="str">
        <f>IF([2]道具信息!X65="","",[2]道具信息!X65)</f>
        <v/>
      </c>
      <c r="Y65" s="59" t="str">
        <f>IF([2]道具信息!Y65="","",[2]道具信息!Y65)</f>
        <v/>
      </c>
      <c r="Z65" s="59" t="str">
        <f>IF([2]道具信息!Z65="","",[2]道具信息!Z65)</f>
        <v/>
      </c>
    </row>
    <row r="66" spans="1:26" x14ac:dyDescent="0.15">
      <c r="A66" s="59" t="str">
        <f>IF([2]道具信息!A66="","",[2]道具信息!A66)</f>
        <v/>
      </c>
      <c r="B66" s="59" t="str">
        <f>IF([2]道具信息!B66="","",[2]道具信息!B66)</f>
        <v/>
      </c>
      <c r="C66" s="59" t="str">
        <f>IF([2]道具信息!C66="","",[2]道具信息!C66)</f>
        <v/>
      </c>
      <c r="D66" s="59" t="str">
        <f>IF([2]道具信息!D66="","",[2]道具信息!D66)</f>
        <v>30天限时橙色皮肤</v>
      </c>
      <c r="E66" s="59">
        <f>IF([2]道具信息!E66="","",[2]道具信息!E66)</f>
        <v>16000</v>
      </c>
      <c r="F66" s="59">
        <f>IF([2]道具信息!F66="","",[2]道具信息!F66)</f>
        <v>0.5</v>
      </c>
      <c r="G66" s="59">
        <f>IF([2]道具信息!G66="","",[2]道具信息!G66)</f>
        <v>0.5</v>
      </c>
      <c r="H66" s="59">
        <f>IF([2]道具信息!H66="","",[2]道具信息!H66)</f>
        <v>0.5</v>
      </c>
      <c r="I66" s="59">
        <f>IF([2]道具信息!I66="","",[2]道具信息!I66)</f>
        <v>8000</v>
      </c>
      <c r="J66" s="59">
        <f>IF([2]道具信息!J66="","",[2]道具信息!J66)</f>
        <v>8000</v>
      </c>
      <c r="K66" s="59">
        <f>IF([2]道具信息!K66="","",[2]道具信息!K66)</f>
        <v>8000</v>
      </c>
      <c r="L66" s="59" t="str">
        <f>IF([2]道具信息!L66="","",[2]道具信息!L66)</f>
        <v>30天</v>
      </c>
      <c r="M66" s="59" t="str">
        <f>IF([2]道具信息!M66="","",[2]道具信息!M66)</f>
        <v/>
      </c>
      <c r="N66" s="59" t="str">
        <f>IF([2]道具信息!N66="","",[2]道具信息!N66)</f>
        <v/>
      </c>
      <c r="O66" s="59" t="str">
        <f>IF([2]道具信息!O66="","",[2]道具信息!O66)</f>
        <v/>
      </c>
      <c r="P66" s="59" t="str">
        <f>IF([2]道具信息!P66="","",[2]道具信息!P66)</f>
        <v/>
      </c>
      <c r="Q66" s="59" t="str">
        <f>IF([2]道具信息!Q66="","",[2]道具信息!Q66)</f>
        <v/>
      </c>
      <c r="R66" s="59" t="str">
        <f>IF([2]道具信息!R66="","",[2]道具信息!R66)</f>
        <v/>
      </c>
      <c r="S66" s="59" t="str">
        <f>IF([2]道具信息!S66="","",[2]道具信息!S66)</f>
        <v/>
      </c>
      <c r="T66" s="59" t="str">
        <f>IF([2]道具信息!T66="","",[2]道具信息!T66)</f>
        <v/>
      </c>
      <c r="U66" s="59" t="str">
        <f>IF([2]道具信息!U66="","",[2]道具信息!U66)</f>
        <v/>
      </c>
      <c r="V66" s="59" t="str">
        <f>IF([2]道具信息!V66="","",[2]道具信息!V66)</f>
        <v/>
      </c>
      <c r="W66" s="59" t="str">
        <f>IF([2]道具信息!W66="","",[2]道具信息!W66)</f>
        <v/>
      </c>
      <c r="X66" s="59" t="str">
        <f>IF([2]道具信息!X66="","",[2]道具信息!X66)</f>
        <v/>
      </c>
      <c r="Y66" s="59" t="str">
        <f>IF([2]道具信息!Y66="","",[2]道具信息!Y66)</f>
        <v/>
      </c>
      <c r="Z66" s="59" t="str">
        <f>IF([2]道具信息!Z66="","",[2]道具信息!Z66)</f>
        <v/>
      </c>
    </row>
    <row r="67" spans="1:26" x14ac:dyDescent="0.15">
      <c r="A67" s="59" t="str">
        <f>IF([2]道具信息!A67="","",[2]道具信息!A67)</f>
        <v/>
      </c>
      <c r="B67" s="59" t="str">
        <f>IF([2]道具信息!B67="","",[2]道具信息!B67)</f>
        <v/>
      </c>
      <c r="C67" s="59" t="str">
        <f>IF([2]道具信息!C67="","",[2]道具信息!C67)</f>
        <v/>
      </c>
      <c r="D67" s="59" t="str">
        <f>IF([2]道具信息!D67="","",[2]道具信息!D67)</f>
        <v>紫色外显</v>
      </c>
      <c r="E67" s="59">
        <f>IF([2]道具信息!E67="","",[2]道具信息!E67)</f>
        <v>6000</v>
      </c>
      <c r="F67" s="59">
        <f>IF([2]道具信息!F67="","",[2]道具信息!F67)</f>
        <v>0.75</v>
      </c>
      <c r="G67" s="59">
        <f>IF([2]道具信息!G67="","",[2]道具信息!G67)</f>
        <v>0.75</v>
      </c>
      <c r="H67" s="59">
        <f>IF([2]道具信息!H67="","",[2]道具信息!H67)</f>
        <v>0.75</v>
      </c>
      <c r="I67" s="59">
        <f>IF([2]道具信息!I67="","",[2]道具信息!I67)</f>
        <v>4500</v>
      </c>
      <c r="J67" s="59">
        <f>IF([2]道具信息!J67="","",[2]道具信息!J67)</f>
        <v>4500</v>
      </c>
      <c r="K67" s="59">
        <f>IF([2]道具信息!K67="","",[2]道具信息!K67)</f>
        <v>4500</v>
      </c>
      <c r="L67" s="59" t="str">
        <f>IF([2]道具信息!L67="","",[2]道具信息!L67)</f>
        <v/>
      </c>
      <c r="M67" s="59" t="str">
        <f>IF([2]道具信息!M67="","",[2]道具信息!M67)</f>
        <v/>
      </c>
      <c r="N67" s="59" t="str">
        <f>IF([2]道具信息!N67="","",[2]道具信息!N67)</f>
        <v/>
      </c>
      <c r="O67" s="59" t="str">
        <f>IF([2]道具信息!O67="","",[2]道具信息!O67)</f>
        <v/>
      </c>
      <c r="P67" s="59" t="str">
        <f>IF([2]道具信息!P67="","",[2]道具信息!P67)</f>
        <v/>
      </c>
      <c r="Q67" s="59" t="str">
        <f>IF([2]道具信息!Q67="","",[2]道具信息!Q67)</f>
        <v/>
      </c>
      <c r="R67" s="59" t="str">
        <f>IF([2]道具信息!R67="","",[2]道具信息!R67)</f>
        <v/>
      </c>
      <c r="S67" s="59" t="str">
        <f>IF([2]道具信息!S67="","",[2]道具信息!S67)</f>
        <v/>
      </c>
      <c r="T67" s="59" t="str">
        <f>IF([2]道具信息!T67="","",[2]道具信息!T67)</f>
        <v/>
      </c>
      <c r="U67" s="59" t="str">
        <f>IF([2]道具信息!U67="","",[2]道具信息!U67)</f>
        <v/>
      </c>
      <c r="V67" s="59" t="str">
        <f>IF([2]道具信息!V67="","",[2]道具信息!V67)</f>
        <v/>
      </c>
      <c r="W67" s="59" t="str">
        <f>IF([2]道具信息!W67="","",[2]道具信息!W67)</f>
        <v/>
      </c>
      <c r="X67" s="59" t="str">
        <f>IF([2]道具信息!X67="","",[2]道具信息!X67)</f>
        <v/>
      </c>
      <c r="Y67" s="59" t="str">
        <f>IF([2]道具信息!Y67="","",[2]道具信息!Y67)</f>
        <v/>
      </c>
      <c r="Z67" s="59" t="str">
        <f>IF([2]道具信息!Z67="","",[2]道具信息!Z67)</f>
        <v/>
      </c>
    </row>
    <row r="68" spans="1:26" x14ac:dyDescent="0.15">
      <c r="A68" s="59" t="str">
        <f>IF([2]道具信息!A68="","",[2]道具信息!A68)</f>
        <v/>
      </c>
      <c r="B68" s="59" t="str">
        <f>IF([2]道具信息!B68="","",[2]道具信息!B68)</f>
        <v/>
      </c>
      <c r="C68" s="59" t="str">
        <f>IF([2]道具信息!C68="","",[2]道具信息!C68)</f>
        <v/>
      </c>
      <c r="D68" s="59" t="str">
        <f>IF([2]道具信息!D68="","",[2]道具信息!D68)</f>
        <v>橙色外显</v>
      </c>
      <c r="E68" s="59">
        <f>IF([2]道具信息!E68="","",[2]道具信息!E68)</f>
        <v>16000</v>
      </c>
      <c r="F68" s="59">
        <f>IF([2]道具信息!F68="","",[2]道具信息!F68)</f>
        <v>0.75</v>
      </c>
      <c r="G68" s="59">
        <f>IF([2]道具信息!G68="","",[2]道具信息!G68)</f>
        <v>0.75</v>
      </c>
      <c r="H68" s="59">
        <f>IF([2]道具信息!H68="","",[2]道具信息!H68)</f>
        <v>0.75</v>
      </c>
      <c r="I68" s="59">
        <f>IF([2]道具信息!I68="","",[2]道具信息!I68)</f>
        <v>12000</v>
      </c>
      <c r="J68" s="59">
        <f>IF([2]道具信息!J68="","",[2]道具信息!J68)</f>
        <v>12000</v>
      </c>
      <c r="K68" s="59">
        <f>IF([2]道具信息!K68="","",[2]道具信息!K68)</f>
        <v>12000</v>
      </c>
      <c r="L68" s="59" t="str">
        <f>IF([2]道具信息!L68="","",[2]道具信息!L68)</f>
        <v/>
      </c>
      <c r="M68" s="59" t="str">
        <f>IF([2]道具信息!M68="","",[2]道具信息!M68)</f>
        <v/>
      </c>
      <c r="N68" s="59" t="str">
        <f>IF([2]道具信息!N68="","",[2]道具信息!N68)</f>
        <v/>
      </c>
      <c r="O68" s="59" t="str">
        <f>IF([2]道具信息!O68="","",[2]道具信息!O68)</f>
        <v/>
      </c>
      <c r="P68" s="59" t="str">
        <f>IF([2]道具信息!P68="","",[2]道具信息!P68)</f>
        <v/>
      </c>
      <c r="Q68" s="59" t="str">
        <f>IF([2]道具信息!Q68="","",[2]道具信息!Q68)</f>
        <v/>
      </c>
      <c r="R68" s="59" t="str">
        <f>IF([2]道具信息!R68="","",[2]道具信息!R68)</f>
        <v/>
      </c>
      <c r="S68" s="59" t="str">
        <f>IF([2]道具信息!S68="","",[2]道具信息!S68)</f>
        <v/>
      </c>
      <c r="T68" s="59" t="str">
        <f>IF([2]道具信息!T68="","",[2]道具信息!T68)</f>
        <v/>
      </c>
      <c r="U68" s="59" t="str">
        <f>IF([2]道具信息!U68="","",[2]道具信息!U68)</f>
        <v/>
      </c>
      <c r="V68" s="59" t="str">
        <f>IF([2]道具信息!V68="","",[2]道具信息!V68)</f>
        <v/>
      </c>
      <c r="W68" s="59" t="str">
        <f>IF([2]道具信息!W68="","",[2]道具信息!W68)</f>
        <v/>
      </c>
      <c r="X68" s="59" t="str">
        <f>IF([2]道具信息!X68="","",[2]道具信息!X68)</f>
        <v/>
      </c>
      <c r="Y68" s="59" t="str">
        <f>IF([2]道具信息!Y68="","",[2]道具信息!Y68)</f>
        <v/>
      </c>
      <c r="Z68" s="59" t="str">
        <f>IF([2]道具信息!Z68="","",[2]道具信息!Z68)</f>
        <v/>
      </c>
    </row>
    <row r="69" spans="1:26" x14ac:dyDescent="0.15">
      <c r="A69" s="59" t="str">
        <f>IF([2]道具信息!A69="","",[2]道具信息!A69)</f>
        <v/>
      </c>
      <c r="B69" s="59" t="str">
        <f>IF([2]道具信息!B69="","",[2]道具信息!B69)</f>
        <v/>
      </c>
      <c r="C69" s="59" t="str">
        <f>IF([2]道具信息!C69="","",[2]道具信息!C69)</f>
        <v/>
      </c>
      <c r="D69" s="59" t="str">
        <f>IF([2]道具信息!D69="","",[2]道具信息!D69)</f>
        <v>红色外显</v>
      </c>
      <c r="E69" s="59">
        <f>IF([2]道具信息!E69="","",[2]道具信息!E69)</f>
        <v>150000</v>
      </c>
      <c r="F69" s="59">
        <f>IF([2]道具信息!F69="","",[2]道具信息!F69)</f>
        <v>1.5</v>
      </c>
      <c r="G69" s="59">
        <f>IF([2]道具信息!G69="","",[2]道具信息!G69)</f>
        <v>1.5</v>
      </c>
      <c r="H69" s="59">
        <f>IF([2]道具信息!H69="","",[2]道具信息!H69)</f>
        <v>1.5</v>
      </c>
      <c r="I69" s="59">
        <f>IF([2]道具信息!I69="","",[2]道具信息!I69)</f>
        <v>225000</v>
      </c>
      <c r="J69" s="59">
        <f>IF([2]道具信息!J69="","",[2]道具信息!J69)</f>
        <v>225000</v>
      </c>
      <c r="K69" s="59">
        <f>IF([2]道具信息!K69="","",[2]道具信息!K69)</f>
        <v>225000</v>
      </c>
      <c r="L69" s="59" t="str">
        <f>IF([2]道具信息!L69="","",[2]道具信息!L69)</f>
        <v/>
      </c>
      <c r="M69" s="59" t="str">
        <f>IF([2]道具信息!M69="","",[2]道具信息!M69)</f>
        <v/>
      </c>
      <c r="N69" s="59" t="str">
        <f>IF([2]道具信息!N69="","",[2]道具信息!N69)</f>
        <v/>
      </c>
      <c r="O69" s="59" t="str">
        <f>IF([2]道具信息!O69="","",[2]道具信息!O69)</f>
        <v/>
      </c>
      <c r="P69" s="59" t="str">
        <f>IF([2]道具信息!P69="","",[2]道具信息!P69)</f>
        <v/>
      </c>
      <c r="Q69" s="59" t="str">
        <f>IF([2]道具信息!Q69="","",[2]道具信息!Q69)</f>
        <v/>
      </c>
      <c r="R69" s="59" t="str">
        <f>IF([2]道具信息!R69="","",[2]道具信息!R69)</f>
        <v/>
      </c>
      <c r="S69" s="59" t="str">
        <f>IF([2]道具信息!S69="","",[2]道具信息!S69)</f>
        <v/>
      </c>
      <c r="T69" s="59" t="str">
        <f>IF([2]道具信息!T69="","",[2]道具信息!T69)</f>
        <v/>
      </c>
      <c r="U69" s="59" t="str">
        <f>IF([2]道具信息!U69="","",[2]道具信息!U69)</f>
        <v/>
      </c>
      <c r="V69" s="59" t="str">
        <f>IF([2]道具信息!V69="","",[2]道具信息!V69)</f>
        <v/>
      </c>
      <c r="W69" s="59" t="str">
        <f>IF([2]道具信息!W69="","",[2]道具信息!W69)</f>
        <v/>
      </c>
      <c r="X69" s="59" t="str">
        <f>IF([2]道具信息!X69="","",[2]道具信息!X69)</f>
        <v/>
      </c>
      <c r="Y69" s="59" t="str">
        <f>IF([2]道具信息!Y69="","",[2]道具信息!Y69)</f>
        <v/>
      </c>
      <c r="Z69" s="59" t="str">
        <f>IF([2]道具信息!Z69="","",[2]道具信息!Z69)</f>
        <v/>
      </c>
    </row>
    <row r="70" spans="1:26" x14ac:dyDescent="0.15">
      <c r="A70" s="59" t="str">
        <f>IF([2]道具信息!A70="","",[2]道具信息!A70)</f>
        <v/>
      </c>
      <c r="B70" s="59" t="str">
        <f>IF([2]道具信息!B70="","",[2]道具信息!B70)</f>
        <v/>
      </c>
      <c r="C70" s="59" t="str">
        <f>IF([2]道具信息!C70="","",[2]道具信息!C70)</f>
        <v/>
      </c>
      <c r="D70" s="59" t="str">
        <f>IF([2]道具信息!D70="","",[2]道具信息!D70)</f>
        <v>7天限时橙色外显</v>
      </c>
      <c r="E70" s="59">
        <f>IF([2]道具信息!E70="","",[2]道具信息!E70)</f>
        <v>16000</v>
      </c>
      <c r="F70" s="59">
        <f>IF([2]道具信息!F70="","",[2]道具信息!F70)</f>
        <v>0.15000000000000002</v>
      </c>
      <c r="G70" s="59">
        <f>IF([2]道具信息!G70="","",[2]道具信息!G70)</f>
        <v>0.15000000000000002</v>
      </c>
      <c r="H70" s="59">
        <f>IF([2]道具信息!H70="","",[2]道具信息!H70)</f>
        <v>0.15000000000000002</v>
      </c>
      <c r="I70" s="59">
        <f>IF([2]道具信息!I70="","",[2]道具信息!I70)</f>
        <v>2400.0000000000005</v>
      </c>
      <c r="J70" s="59">
        <f>IF([2]道具信息!J70="","",[2]道具信息!J70)</f>
        <v>2400.0000000000005</v>
      </c>
      <c r="K70" s="59">
        <f>IF([2]道具信息!K70="","",[2]道具信息!K70)</f>
        <v>2400.0000000000005</v>
      </c>
      <c r="L70" s="59" t="str">
        <f>IF([2]道具信息!L70="","",[2]道具信息!L70)</f>
        <v>7天</v>
      </c>
      <c r="M70" s="59" t="str">
        <f>IF([2]道具信息!M70="","",[2]道具信息!M70)</f>
        <v/>
      </c>
      <c r="N70" s="59" t="str">
        <f>IF([2]道具信息!N70="","",[2]道具信息!N70)</f>
        <v/>
      </c>
      <c r="O70" s="59" t="str">
        <f>IF([2]道具信息!O70="","",[2]道具信息!O70)</f>
        <v/>
      </c>
      <c r="P70" s="59" t="str">
        <f>IF([2]道具信息!P70="","",[2]道具信息!P70)</f>
        <v/>
      </c>
      <c r="Q70" s="59" t="str">
        <f>IF([2]道具信息!Q70="","",[2]道具信息!Q70)</f>
        <v/>
      </c>
      <c r="R70" s="59" t="str">
        <f>IF([2]道具信息!R70="","",[2]道具信息!R70)</f>
        <v/>
      </c>
      <c r="S70" s="59" t="str">
        <f>IF([2]道具信息!S70="","",[2]道具信息!S70)</f>
        <v/>
      </c>
      <c r="T70" s="59" t="str">
        <f>IF([2]道具信息!T70="","",[2]道具信息!T70)</f>
        <v/>
      </c>
      <c r="U70" s="59" t="str">
        <f>IF([2]道具信息!U70="","",[2]道具信息!U70)</f>
        <v/>
      </c>
      <c r="V70" s="59" t="str">
        <f>IF([2]道具信息!V70="","",[2]道具信息!V70)</f>
        <v/>
      </c>
      <c r="W70" s="59" t="str">
        <f>IF([2]道具信息!W70="","",[2]道具信息!W70)</f>
        <v/>
      </c>
      <c r="X70" s="59" t="str">
        <f>IF([2]道具信息!X70="","",[2]道具信息!X70)</f>
        <v/>
      </c>
      <c r="Y70" s="59" t="str">
        <f>IF([2]道具信息!Y70="","",[2]道具信息!Y70)</f>
        <v/>
      </c>
      <c r="Z70" s="59" t="str">
        <f>IF([2]道具信息!Z70="","",[2]道具信息!Z70)</f>
        <v/>
      </c>
    </row>
    <row r="71" spans="1:26" x14ac:dyDescent="0.15">
      <c r="A71" s="59" t="str">
        <f>IF([2]道具信息!A71="","",[2]道具信息!A71)</f>
        <v/>
      </c>
      <c r="B71" s="59" t="str">
        <f>IF([2]道具信息!B71="","",[2]道具信息!B71)</f>
        <v/>
      </c>
      <c r="C71" s="59" t="str">
        <f>IF([2]道具信息!C71="","",[2]道具信息!C71)</f>
        <v/>
      </c>
      <c r="D71" s="59" t="str">
        <f>IF([2]道具信息!D71="","",[2]道具信息!D71)</f>
        <v>30天限时橙色外显</v>
      </c>
      <c r="E71" s="59">
        <f>IF([2]道具信息!E71="","",[2]道具信息!E71)</f>
        <v>16000</v>
      </c>
      <c r="F71" s="59">
        <f>IF([2]道具信息!F71="","",[2]道具信息!F71)</f>
        <v>0.375</v>
      </c>
      <c r="G71" s="59">
        <f>IF([2]道具信息!G71="","",[2]道具信息!G71)</f>
        <v>0.375</v>
      </c>
      <c r="H71" s="59">
        <f>IF([2]道具信息!H71="","",[2]道具信息!H71)</f>
        <v>0.375</v>
      </c>
      <c r="I71" s="59">
        <f>IF([2]道具信息!I71="","",[2]道具信息!I71)</f>
        <v>6000</v>
      </c>
      <c r="J71" s="59">
        <f>IF([2]道具信息!J71="","",[2]道具信息!J71)</f>
        <v>6000</v>
      </c>
      <c r="K71" s="59">
        <f>IF([2]道具信息!K71="","",[2]道具信息!K71)</f>
        <v>6000</v>
      </c>
      <c r="L71" s="59" t="str">
        <f>IF([2]道具信息!L71="","",[2]道具信息!L71)</f>
        <v>30天</v>
      </c>
      <c r="M71" s="59" t="str">
        <f>IF([2]道具信息!M71="","",[2]道具信息!M71)</f>
        <v/>
      </c>
      <c r="N71" s="59" t="str">
        <f>IF([2]道具信息!N71="","",[2]道具信息!N71)</f>
        <v/>
      </c>
      <c r="O71" s="59" t="str">
        <f>IF([2]道具信息!O71="","",[2]道具信息!O71)</f>
        <v/>
      </c>
      <c r="P71" s="59" t="str">
        <f>IF([2]道具信息!P71="","",[2]道具信息!P71)</f>
        <v/>
      </c>
      <c r="Q71" s="59" t="str">
        <f>IF([2]道具信息!Q71="","",[2]道具信息!Q71)</f>
        <v/>
      </c>
      <c r="R71" s="59" t="str">
        <f>IF([2]道具信息!R71="","",[2]道具信息!R71)</f>
        <v/>
      </c>
      <c r="S71" s="59" t="str">
        <f>IF([2]道具信息!S71="","",[2]道具信息!S71)</f>
        <v/>
      </c>
      <c r="T71" s="59" t="str">
        <f>IF([2]道具信息!T71="","",[2]道具信息!T71)</f>
        <v/>
      </c>
      <c r="U71" s="59" t="str">
        <f>IF([2]道具信息!U71="","",[2]道具信息!U71)</f>
        <v/>
      </c>
      <c r="V71" s="59" t="str">
        <f>IF([2]道具信息!V71="","",[2]道具信息!V71)</f>
        <v/>
      </c>
      <c r="W71" s="59" t="str">
        <f>IF([2]道具信息!W71="","",[2]道具信息!W71)</f>
        <v/>
      </c>
      <c r="X71" s="59" t="str">
        <f>IF([2]道具信息!X71="","",[2]道具信息!X71)</f>
        <v/>
      </c>
      <c r="Y71" s="59" t="str">
        <f>IF([2]道具信息!Y71="","",[2]道具信息!Y71)</f>
        <v/>
      </c>
      <c r="Z71" s="59" t="str">
        <f>IF([2]道具信息!Z71="","",[2]道具信息!Z71)</f>
        <v/>
      </c>
    </row>
    <row r="72" spans="1:26" x14ac:dyDescent="0.15">
      <c r="A72" s="59" t="str">
        <f>IF([2]道具信息!A72="","",[2]道具信息!A72)</f>
        <v/>
      </c>
      <c r="B72" s="59" t="str">
        <f>IF([2]道具信息!B72="","",[2]道具信息!B72)</f>
        <v/>
      </c>
      <c r="C72" s="59" t="str">
        <f>IF([2]道具信息!C72="","",[2]道具信息!C72)</f>
        <v/>
      </c>
      <c r="D72" s="59" t="str">
        <f>IF([2]道具信息!D72="","",[2]道具信息!D72)</f>
        <v/>
      </c>
      <c r="E72" s="59" t="str">
        <f>IF([2]道具信息!E72="","",[2]道具信息!E72)</f>
        <v/>
      </c>
      <c r="F72" s="59" t="str">
        <f>IF([2]道具信息!F72="","",[2]道具信息!F72)</f>
        <v/>
      </c>
      <c r="G72" s="59" t="str">
        <f>IF([2]道具信息!G72="","",[2]道具信息!G72)</f>
        <v/>
      </c>
      <c r="H72" s="59" t="str">
        <f>IF([2]道具信息!H72="","",[2]道具信息!H72)</f>
        <v/>
      </c>
      <c r="I72" s="59" t="str">
        <f>IF([2]道具信息!I72="","",[2]道具信息!I72)</f>
        <v/>
      </c>
      <c r="J72" s="59" t="str">
        <f>IF([2]道具信息!J72="","",[2]道具信息!J72)</f>
        <v/>
      </c>
      <c r="K72" s="59" t="str">
        <f>IF([2]道具信息!K72="","",[2]道具信息!K72)</f>
        <v/>
      </c>
      <c r="L72" s="59" t="str">
        <f>IF([2]道具信息!L72="","",[2]道具信息!L72)</f>
        <v/>
      </c>
      <c r="M72" s="59" t="str">
        <f>IF([2]道具信息!M72="","",[2]道具信息!M72)</f>
        <v/>
      </c>
      <c r="N72" s="59" t="str">
        <f>IF([2]道具信息!N72="","",[2]道具信息!N72)</f>
        <v/>
      </c>
      <c r="O72" s="59" t="str">
        <f>IF([2]道具信息!O72="","",[2]道具信息!O72)</f>
        <v/>
      </c>
      <c r="P72" s="59" t="str">
        <f>IF([2]道具信息!P72="","",[2]道具信息!P72)</f>
        <v/>
      </c>
      <c r="Q72" s="59" t="str">
        <f>IF([2]道具信息!Q72="","",[2]道具信息!Q72)</f>
        <v/>
      </c>
      <c r="R72" s="59" t="str">
        <f>IF([2]道具信息!R72="","",[2]道具信息!R72)</f>
        <v/>
      </c>
      <c r="S72" s="59" t="str">
        <f>IF([2]道具信息!S72="","",[2]道具信息!S72)</f>
        <v/>
      </c>
      <c r="T72" s="59" t="str">
        <f>IF([2]道具信息!T72="","",[2]道具信息!T72)</f>
        <v/>
      </c>
      <c r="U72" s="59" t="str">
        <f>IF([2]道具信息!U72="","",[2]道具信息!U72)</f>
        <v/>
      </c>
      <c r="V72" s="59" t="str">
        <f>IF([2]道具信息!V72="","",[2]道具信息!V72)</f>
        <v/>
      </c>
      <c r="W72" s="59" t="str">
        <f>IF([2]道具信息!W72="","",[2]道具信息!W72)</f>
        <v/>
      </c>
      <c r="X72" s="59" t="str">
        <f>IF([2]道具信息!X72="","",[2]道具信息!X72)</f>
        <v/>
      </c>
      <c r="Y72" s="59" t="str">
        <f>IF([2]道具信息!Y72="","",[2]道具信息!Y72)</f>
        <v/>
      </c>
      <c r="Z72" s="59" t="str">
        <f>IF([2]道具信息!Z72="","",[2]道具信息!Z72)</f>
        <v/>
      </c>
    </row>
    <row r="73" spans="1:26" x14ac:dyDescent="0.15">
      <c r="A73" s="59" t="str">
        <f>IF([2]道具信息!A73="","",[2]道具信息!A73)</f>
        <v/>
      </c>
      <c r="B73" s="59" t="str">
        <f>IF([2]道具信息!B73="","",[2]道具信息!B73)</f>
        <v/>
      </c>
      <c r="C73" s="59" t="str">
        <f>IF([2]道具信息!C73="","",[2]道具信息!C73)</f>
        <v/>
      </c>
      <c r="D73" s="59" t="str">
        <f>IF([2]道具信息!D73="","",[2]道具信息!D73)</f>
        <v/>
      </c>
      <c r="E73" s="59" t="str">
        <f>IF([2]道具信息!E73="","",[2]道具信息!E73)</f>
        <v/>
      </c>
      <c r="F73" s="59" t="str">
        <f>IF([2]道具信息!F73="","",[2]道具信息!F73)</f>
        <v/>
      </c>
      <c r="G73" s="59" t="str">
        <f>IF([2]道具信息!G73="","",[2]道具信息!G73)</f>
        <v/>
      </c>
      <c r="H73" s="59" t="str">
        <f>IF([2]道具信息!H73="","",[2]道具信息!H73)</f>
        <v/>
      </c>
      <c r="I73" s="59" t="str">
        <f>IF([2]道具信息!I73="","",[2]道具信息!I73)</f>
        <v/>
      </c>
      <c r="J73" s="59" t="str">
        <f>IF([2]道具信息!J73="","",[2]道具信息!J73)</f>
        <v/>
      </c>
      <c r="K73" s="59" t="str">
        <f>IF([2]道具信息!K73="","",[2]道具信息!K73)</f>
        <v/>
      </c>
      <c r="L73" s="59" t="str">
        <f>IF([2]道具信息!L73="","",[2]道具信息!L73)</f>
        <v/>
      </c>
      <c r="M73" s="59" t="str">
        <f>IF([2]道具信息!M73="","",[2]道具信息!M73)</f>
        <v/>
      </c>
      <c r="N73" s="59" t="str">
        <f>IF([2]道具信息!N73="","",[2]道具信息!N73)</f>
        <v/>
      </c>
      <c r="O73" s="59" t="str">
        <f>IF([2]道具信息!O73="","",[2]道具信息!O73)</f>
        <v/>
      </c>
      <c r="P73" s="59" t="str">
        <f>IF([2]道具信息!P73="","",[2]道具信息!P73)</f>
        <v/>
      </c>
      <c r="Q73" s="59" t="str">
        <f>IF([2]道具信息!Q73="","",[2]道具信息!Q73)</f>
        <v/>
      </c>
      <c r="R73" s="59" t="str">
        <f>IF([2]道具信息!R73="","",[2]道具信息!R73)</f>
        <v/>
      </c>
      <c r="S73" s="59" t="str">
        <f>IF([2]道具信息!S73="","",[2]道具信息!S73)</f>
        <v/>
      </c>
      <c r="T73" s="59" t="str">
        <f>IF([2]道具信息!T73="","",[2]道具信息!T73)</f>
        <v/>
      </c>
      <c r="U73" s="59" t="str">
        <f>IF([2]道具信息!U73="","",[2]道具信息!U73)</f>
        <v/>
      </c>
      <c r="V73" s="59" t="str">
        <f>IF([2]道具信息!V73="","",[2]道具信息!V73)</f>
        <v/>
      </c>
      <c r="W73" s="59" t="str">
        <f>IF([2]道具信息!W73="","",[2]道具信息!W73)</f>
        <v/>
      </c>
      <c r="X73" s="59" t="str">
        <f>IF([2]道具信息!X73="","",[2]道具信息!X73)</f>
        <v/>
      </c>
      <c r="Y73" s="59" t="str">
        <f>IF([2]道具信息!Y73="","",[2]道具信息!Y73)</f>
        <v/>
      </c>
      <c r="Z73" s="59" t="str">
        <f>IF([2]道具信息!Z73="","",[2]道具信息!Z73)</f>
        <v/>
      </c>
    </row>
    <row r="74" spans="1:26" x14ac:dyDescent="0.15">
      <c r="A74" s="59" t="str">
        <f>IF([2]道具信息!A74="","",[2]道具信息!A74)</f>
        <v/>
      </c>
      <c r="B74" s="59" t="str">
        <f>IF([2]道具信息!B74="","",[2]道具信息!B74)</f>
        <v/>
      </c>
      <c r="C74" s="59" t="str">
        <f>IF([2]道具信息!C74="","",[2]道具信息!C74)</f>
        <v/>
      </c>
      <c r="D74" s="59" t="str">
        <f>IF([2]道具信息!D74="","",[2]道具信息!D74)</f>
        <v/>
      </c>
      <c r="E74" s="59" t="str">
        <f>IF([2]道具信息!E74="","",[2]道具信息!E74)</f>
        <v/>
      </c>
      <c r="F74" s="59" t="str">
        <f>IF([2]道具信息!F74="","",[2]道具信息!F74)</f>
        <v/>
      </c>
      <c r="G74" s="59" t="str">
        <f>IF([2]道具信息!G74="","",[2]道具信息!G74)</f>
        <v/>
      </c>
      <c r="H74" s="59" t="str">
        <f>IF([2]道具信息!H74="","",[2]道具信息!H74)</f>
        <v/>
      </c>
      <c r="I74" s="59" t="str">
        <f>IF([2]道具信息!I74="","",[2]道具信息!I74)</f>
        <v/>
      </c>
      <c r="J74" s="59" t="str">
        <f>IF([2]道具信息!J74="","",[2]道具信息!J74)</f>
        <v/>
      </c>
      <c r="K74" s="59" t="str">
        <f>IF([2]道具信息!K74="","",[2]道具信息!K74)</f>
        <v/>
      </c>
      <c r="L74" s="59" t="str">
        <f>IF([2]道具信息!L74="","",[2]道具信息!L74)</f>
        <v/>
      </c>
      <c r="M74" s="59" t="str">
        <f>IF([2]道具信息!M74="","",[2]道具信息!M74)</f>
        <v/>
      </c>
      <c r="N74" s="59" t="str">
        <f>IF([2]道具信息!N74="","",[2]道具信息!N74)</f>
        <v/>
      </c>
      <c r="O74" s="59" t="str">
        <f>IF([2]道具信息!O74="","",[2]道具信息!O74)</f>
        <v/>
      </c>
      <c r="P74" s="59" t="str">
        <f>IF([2]道具信息!P74="","",[2]道具信息!P74)</f>
        <v/>
      </c>
      <c r="Q74" s="59" t="str">
        <f>IF([2]道具信息!Q74="","",[2]道具信息!Q74)</f>
        <v/>
      </c>
      <c r="R74" s="59" t="str">
        <f>IF([2]道具信息!R74="","",[2]道具信息!R74)</f>
        <v/>
      </c>
      <c r="S74" s="59" t="str">
        <f>IF([2]道具信息!S74="","",[2]道具信息!S74)</f>
        <v/>
      </c>
      <c r="T74" s="59" t="str">
        <f>IF([2]道具信息!T74="","",[2]道具信息!T74)</f>
        <v/>
      </c>
      <c r="U74" s="59" t="str">
        <f>IF([2]道具信息!U74="","",[2]道具信息!U74)</f>
        <v/>
      </c>
      <c r="V74" s="59" t="str">
        <f>IF([2]道具信息!V74="","",[2]道具信息!V74)</f>
        <v/>
      </c>
      <c r="W74" s="59" t="str">
        <f>IF([2]道具信息!W74="","",[2]道具信息!W74)</f>
        <v/>
      </c>
      <c r="X74" s="59" t="str">
        <f>IF([2]道具信息!X74="","",[2]道具信息!X74)</f>
        <v/>
      </c>
      <c r="Y74" s="59" t="str">
        <f>IF([2]道具信息!Y74="","",[2]道具信息!Y74)</f>
        <v/>
      </c>
      <c r="Z74" s="59" t="str">
        <f>IF([2]道具信息!Z74="","",[2]道具信息!Z74)</f>
        <v/>
      </c>
    </row>
    <row r="75" spans="1:26" x14ac:dyDescent="0.15">
      <c r="A75" s="59" t="str">
        <f>IF([2]道具信息!A75="","",[2]道具信息!A75)</f>
        <v/>
      </c>
      <c r="B75" s="59" t="str">
        <f>IF([2]道具信息!B75="","",[2]道具信息!B75)</f>
        <v/>
      </c>
      <c r="C75" s="59" t="str">
        <f>IF([2]道具信息!C75="","",[2]道具信息!C75)</f>
        <v/>
      </c>
      <c r="D75" s="59" t="str">
        <f>IF([2]道具信息!D75="","",[2]道具信息!D75)</f>
        <v>将军印</v>
      </c>
      <c r="E75" s="59">
        <f>IF([2]道具信息!E75="","",[2]道具信息!E75)</f>
        <v>1000</v>
      </c>
      <c r="F75" s="59">
        <f>IF([2]道具信息!F75="","",[2]道具信息!F75)</f>
        <v>1</v>
      </c>
      <c r="G75" s="59">
        <f>IF([2]道具信息!G75="","",[2]道具信息!G75)</f>
        <v>1</v>
      </c>
      <c r="H75" s="59">
        <f>IF([2]道具信息!H75="","",[2]道具信息!H75)</f>
        <v>1</v>
      </c>
      <c r="I75" s="59">
        <f>IF([2]道具信息!I75="","",[2]道具信息!I75)</f>
        <v>1000</v>
      </c>
      <c r="J75" s="59">
        <f>IF([2]道具信息!J75="","",[2]道具信息!J75)</f>
        <v>1000</v>
      </c>
      <c r="K75" s="59">
        <f>IF([2]道具信息!K75="","",[2]道具信息!K75)</f>
        <v>1000</v>
      </c>
      <c r="L75" s="59" t="str">
        <f>IF([2]道具信息!L75="","",[2]道具信息!L75)</f>
        <v/>
      </c>
      <c r="M75" s="59" t="str">
        <f>IF([2]道具信息!M75="","",[2]道具信息!M75)</f>
        <v/>
      </c>
      <c r="N75" s="59" t="str">
        <f>IF([2]道具信息!N75="","",[2]道具信息!N75)</f>
        <v/>
      </c>
      <c r="O75" s="59" t="str">
        <f>IF([2]道具信息!O75="","",[2]道具信息!O75)</f>
        <v/>
      </c>
      <c r="P75" s="59" t="str">
        <f>IF([2]道具信息!P75="","",[2]道具信息!P75)</f>
        <v/>
      </c>
      <c r="Q75" s="59" t="str">
        <f>IF([2]道具信息!Q75="","",[2]道具信息!Q75)</f>
        <v/>
      </c>
      <c r="R75" s="59" t="str">
        <f>IF([2]道具信息!R75="","",[2]道具信息!R75)</f>
        <v/>
      </c>
      <c r="S75" s="59" t="str">
        <f>IF([2]道具信息!S75="","",[2]道具信息!S75)</f>
        <v/>
      </c>
      <c r="T75" s="59" t="str">
        <f>IF([2]道具信息!T75="","",[2]道具信息!T75)</f>
        <v/>
      </c>
      <c r="U75" s="59" t="str">
        <f>IF([2]道具信息!U75="","",[2]道具信息!U75)</f>
        <v/>
      </c>
      <c r="V75" s="59" t="str">
        <f>IF([2]道具信息!V75="","",[2]道具信息!V75)</f>
        <v/>
      </c>
      <c r="W75" s="59" t="str">
        <f>IF([2]道具信息!W75="","",[2]道具信息!W75)</f>
        <v/>
      </c>
      <c r="X75" s="59" t="str">
        <f>IF([2]道具信息!X75="","",[2]道具信息!X75)</f>
        <v/>
      </c>
      <c r="Y75" s="59" t="str">
        <f>IF([2]道具信息!Y75="","",[2]道具信息!Y75)</f>
        <v/>
      </c>
      <c r="Z75" s="59" t="str">
        <f>IF([2]道具信息!Z75="","",[2]道具信息!Z75)</f>
        <v/>
      </c>
    </row>
    <row r="76" spans="1:26" x14ac:dyDescent="0.15">
      <c r="A76" s="59" t="str">
        <f>IF([2]道具信息!A76="","",[2]道具信息!A76)</f>
        <v/>
      </c>
      <c r="B76" s="59" t="str">
        <f>IF([2]道具信息!B76="","",[2]道具信息!B76)</f>
        <v/>
      </c>
      <c r="C76" s="59" t="str">
        <f>IF([2]道具信息!C76="","",[2]道具信息!C76)</f>
        <v/>
      </c>
      <c r="D76" s="59" t="str">
        <f>IF([2]道具信息!D76="","",[2]道具信息!D76)</f>
        <v>上将印</v>
      </c>
      <c r="E76" s="59">
        <f>IF([2]道具信息!E76="","",[2]道具信息!E76)</f>
        <v>2000</v>
      </c>
      <c r="F76" s="59">
        <f>IF([2]道具信息!F76="","",[2]道具信息!F76)</f>
        <v>1</v>
      </c>
      <c r="G76" s="59">
        <f>IF([2]道具信息!G76="","",[2]道具信息!G76)</f>
        <v>1</v>
      </c>
      <c r="H76" s="59">
        <f>IF([2]道具信息!H76="","",[2]道具信息!H76)</f>
        <v>1</v>
      </c>
      <c r="I76" s="59">
        <f>IF([2]道具信息!I76="","",[2]道具信息!I76)</f>
        <v>2000</v>
      </c>
      <c r="J76" s="59">
        <f>IF([2]道具信息!J76="","",[2]道具信息!J76)</f>
        <v>2000</v>
      </c>
      <c r="K76" s="59">
        <f>IF([2]道具信息!K76="","",[2]道具信息!K76)</f>
        <v>2000</v>
      </c>
      <c r="L76" s="59" t="str">
        <f>IF([2]道具信息!L76="","",[2]道具信息!L76)</f>
        <v/>
      </c>
      <c r="M76" s="59" t="str">
        <f>IF([2]道具信息!M76="","",[2]道具信息!M76)</f>
        <v/>
      </c>
      <c r="N76" s="59" t="str">
        <f>IF([2]道具信息!N76="","",[2]道具信息!N76)</f>
        <v/>
      </c>
      <c r="O76" s="59" t="str">
        <f>IF([2]道具信息!O76="","",[2]道具信息!O76)</f>
        <v/>
      </c>
      <c r="P76" s="59" t="str">
        <f>IF([2]道具信息!P76="","",[2]道具信息!P76)</f>
        <v/>
      </c>
      <c r="Q76" s="59" t="str">
        <f>IF([2]道具信息!Q76="","",[2]道具信息!Q76)</f>
        <v/>
      </c>
      <c r="R76" s="59" t="str">
        <f>IF([2]道具信息!R76="","",[2]道具信息!R76)</f>
        <v/>
      </c>
      <c r="S76" s="59" t="str">
        <f>IF([2]道具信息!S76="","",[2]道具信息!S76)</f>
        <v/>
      </c>
      <c r="T76" s="59" t="str">
        <f>IF([2]道具信息!T76="","",[2]道具信息!T76)</f>
        <v/>
      </c>
      <c r="U76" s="59" t="str">
        <f>IF([2]道具信息!U76="","",[2]道具信息!U76)</f>
        <v/>
      </c>
      <c r="V76" s="59" t="str">
        <f>IF([2]道具信息!V76="","",[2]道具信息!V76)</f>
        <v/>
      </c>
      <c r="W76" s="59" t="str">
        <f>IF([2]道具信息!W76="","",[2]道具信息!W76)</f>
        <v/>
      </c>
      <c r="X76" s="59" t="str">
        <f>IF([2]道具信息!X76="","",[2]道具信息!X76)</f>
        <v/>
      </c>
      <c r="Y76" s="59" t="str">
        <f>IF([2]道具信息!Y76="","",[2]道具信息!Y76)</f>
        <v/>
      </c>
      <c r="Z76" s="59" t="str">
        <f>IF([2]道具信息!Z76="","",[2]道具信息!Z76)</f>
        <v/>
      </c>
    </row>
    <row r="77" spans="1:26" x14ac:dyDescent="0.15">
      <c r="A77" s="59" t="str">
        <f>IF([2]道具信息!A77="","",[2]道具信息!A77)</f>
        <v/>
      </c>
      <c r="B77" s="59" t="str">
        <f>IF([2]道具信息!B77="","",[2]道具信息!B77)</f>
        <v/>
      </c>
      <c r="C77" s="59" t="str">
        <f>IF([2]道具信息!C77="","",[2]道具信息!C77)</f>
        <v/>
      </c>
      <c r="D77" s="59" t="str">
        <f>IF([2]道具信息!D77="","",[2]道具信息!D77)</f>
        <v>统帅印</v>
      </c>
      <c r="E77" s="59">
        <f>IF([2]道具信息!E77="","",[2]道具信息!E77)</f>
        <v>8000</v>
      </c>
      <c r="F77" s="59">
        <f>IF([2]道具信息!F77="","",[2]道具信息!F77)</f>
        <v>1</v>
      </c>
      <c r="G77" s="59">
        <f>IF([2]道具信息!G77="","",[2]道具信息!G77)</f>
        <v>1</v>
      </c>
      <c r="H77" s="59">
        <f>IF([2]道具信息!H77="","",[2]道具信息!H77)</f>
        <v>1</v>
      </c>
      <c r="I77" s="59">
        <f>IF([2]道具信息!I77="","",[2]道具信息!I77)</f>
        <v>8000</v>
      </c>
      <c r="J77" s="59">
        <f>IF([2]道具信息!J77="","",[2]道具信息!J77)</f>
        <v>8000</v>
      </c>
      <c r="K77" s="59">
        <f>IF([2]道具信息!K77="","",[2]道具信息!K77)</f>
        <v>8000</v>
      </c>
      <c r="L77" s="59" t="str">
        <f>IF([2]道具信息!L77="","",[2]道具信息!L77)</f>
        <v/>
      </c>
      <c r="M77" s="59" t="str">
        <f>IF([2]道具信息!M77="","",[2]道具信息!M77)</f>
        <v/>
      </c>
      <c r="N77" s="59" t="str">
        <f>IF([2]道具信息!N77="","",[2]道具信息!N77)</f>
        <v/>
      </c>
      <c r="O77" s="59" t="str">
        <f>IF([2]道具信息!O77="","",[2]道具信息!O77)</f>
        <v/>
      </c>
      <c r="P77" s="59" t="str">
        <f>IF([2]道具信息!P77="","",[2]道具信息!P77)</f>
        <v/>
      </c>
      <c r="Q77" s="59" t="str">
        <f>IF([2]道具信息!Q77="","",[2]道具信息!Q77)</f>
        <v/>
      </c>
      <c r="R77" s="59" t="str">
        <f>IF([2]道具信息!R77="","",[2]道具信息!R77)</f>
        <v/>
      </c>
      <c r="S77" s="59" t="str">
        <f>IF([2]道具信息!S77="","",[2]道具信息!S77)</f>
        <v/>
      </c>
      <c r="T77" s="59" t="str">
        <f>IF([2]道具信息!T77="","",[2]道具信息!T77)</f>
        <v/>
      </c>
      <c r="U77" s="59" t="str">
        <f>IF([2]道具信息!U77="","",[2]道具信息!U77)</f>
        <v/>
      </c>
      <c r="V77" s="59" t="str">
        <f>IF([2]道具信息!V77="","",[2]道具信息!V77)</f>
        <v/>
      </c>
      <c r="W77" s="59" t="str">
        <f>IF([2]道具信息!W77="","",[2]道具信息!W77)</f>
        <v/>
      </c>
      <c r="X77" s="59" t="str">
        <f>IF([2]道具信息!X77="","",[2]道具信息!X77)</f>
        <v/>
      </c>
      <c r="Y77" s="59" t="str">
        <f>IF([2]道具信息!Y77="","",[2]道具信息!Y77)</f>
        <v/>
      </c>
      <c r="Z77" s="59" t="str">
        <f>IF([2]道具信息!Z77="","",[2]道具信息!Z77)</f>
        <v/>
      </c>
    </row>
    <row r="78" spans="1:26" x14ac:dyDescent="0.15">
      <c r="A78" s="59" t="str">
        <f>IF([2]道具信息!A78="","",[2]道具信息!A78)</f>
        <v/>
      </c>
      <c r="B78" s="59" t="str">
        <f>IF([2]道具信息!B78="","",[2]道具信息!B78)</f>
        <v/>
      </c>
      <c r="C78" s="59" t="str">
        <f>IF([2]道具信息!C78="","",[2]道具信息!C78)</f>
        <v/>
      </c>
      <c r="D78" s="59" t="str">
        <f>IF([2]道具信息!D78="","",[2]道具信息!D78)</f>
        <v>将军印碎片</v>
      </c>
      <c r="E78" s="59">
        <f>IF([2]道具信息!E78="","",[2]道具信息!E78)</f>
        <v>33.333333333333336</v>
      </c>
      <c r="F78" s="59">
        <f>IF([2]道具信息!F78="","",[2]道具信息!F78)</f>
        <v>1</v>
      </c>
      <c r="G78" s="59">
        <f>IF([2]道具信息!G78="","",[2]道具信息!G78)</f>
        <v>1</v>
      </c>
      <c r="H78" s="59">
        <f>IF([2]道具信息!H78="","",[2]道具信息!H78)</f>
        <v>1</v>
      </c>
      <c r="I78" s="59">
        <f>IF([2]道具信息!I78="","",[2]道具信息!I78)</f>
        <v>33.333333333333336</v>
      </c>
      <c r="J78" s="59">
        <f>IF([2]道具信息!J78="","",[2]道具信息!J78)</f>
        <v>33.333333333333336</v>
      </c>
      <c r="K78" s="59">
        <f>IF([2]道具信息!K78="","",[2]道具信息!K78)</f>
        <v>33.333333333333336</v>
      </c>
      <c r="L78" s="59" t="str">
        <f>IF([2]道具信息!L78="","",[2]道具信息!L78)</f>
        <v>凑齐30个碎片可以合成1个将军印，可用于解锁武将的第四个特性</v>
      </c>
      <c r="M78" s="59" t="str">
        <f>IF([2]道具信息!M78="","",[2]道具信息!M78)</f>
        <v/>
      </c>
      <c r="N78" s="59" t="str">
        <f>IF([2]道具信息!N78="","",[2]道具信息!N78)</f>
        <v/>
      </c>
      <c r="O78" s="59" t="str">
        <f>IF([2]道具信息!O78="","",[2]道具信息!O78)</f>
        <v/>
      </c>
      <c r="P78" s="59" t="str">
        <f>IF([2]道具信息!P78="","",[2]道具信息!P78)</f>
        <v/>
      </c>
      <c r="Q78" s="59" t="str">
        <f>IF([2]道具信息!Q78="","",[2]道具信息!Q78)</f>
        <v/>
      </c>
      <c r="R78" s="59" t="str">
        <f>IF([2]道具信息!R78="","",[2]道具信息!R78)</f>
        <v/>
      </c>
      <c r="S78" s="59" t="str">
        <f>IF([2]道具信息!S78="","",[2]道具信息!S78)</f>
        <v/>
      </c>
      <c r="T78" s="59" t="str">
        <f>IF([2]道具信息!T78="","",[2]道具信息!T78)</f>
        <v/>
      </c>
      <c r="U78" s="59" t="str">
        <f>IF([2]道具信息!U78="","",[2]道具信息!U78)</f>
        <v/>
      </c>
      <c r="V78" s="59" t="str">
        <f>IF([2]道具信息!V78="","",[2]道具信息!V78)</f>
        <v/>
      </c>
      <c r="W78" s="59" t="str">
        <f>IF([2]道具信息!W78="","",[2]道具信息!W78)</f>
        <v/>
      </c>
      <c r="X78" s="59" t="str">
        <f>IF([2]道具信息!X78="","",[2]道具信息!X78)</f>
        <v/>
      </c>
      <c r="Y78" s="59" t="str">
        <f>IF([2]道具信息!Y78="","",[2]道具信息!Y78)</f>
        <v/>
      </c>
      <c r="Z78" s="59" t="str">
        <f>IF([2]道具信息!Z78="","",[2]道具信息!Z78)</f>
        <v/>
      </c>
    </row>
    <row r="79" spans="1:26" x14ac:dyDescent="0.15">
      <c r="A79" s="59" t="str">
        <f>IF([2]道具信息!A79="","",[2]道具信息!A79)</f>
        <v/>
      </c>
      <c r="B79" s="59" t="str">
        <f>IF([2]道具信息!B79="","",[2]道具信息!B79)</f>
        <v/>
      </c>
      <c r="C79" s="59" t="str">
        <f>IF([2]道具信息!C79="","",[2]道具信息!C79)</f>
        <v/>
      </c>
      <c r="D79" s="59" t="str">
        <f>IF([2]道具信息!D79="","",[2]道具信息!D79)</f>
        <v>上将印碎片</v>
      </c>
      <c r="E79" s="59">
        <f>IF([2]道具信息!E79="","",[2]道具信息!E79)</f>
        <v>66.666666666666671</v>
      </c>
      <c r="F79" s="59">
        <f>IF([2]道具信息!F79="","",[2]道具信息!F79)</f>
        <v>1</v>
      </c>
      <c r="G79" s="59">
        <f>IF([2]道具信息!G79="","",[2]道具信息!G79)</f>
        <v>1</v>
      </c>
      <c r="H79" s="59">
        <f>IF([2]道具信息!H79="","",[2]道具信息!H79)</f>
        <v>1</v>
      </c>
      <c r="I79" s="59">
        <f>IF([2]道具信息!I79="","",[2]道具信息!I79)</f>
        <v>66.666666666666671</v>
      </c>
      <c r="J79" s="59">
        <f>IF([2]道具信息!J79="","",[2]道具信息!J79)</f>
        <v>66.666666666666671</v>
      </c>
      <c r="K79" s="59">
        <f>IF([2]道具信息!K79="","",[2]道具信息!K79)</f>
        <v>66.666666666666671</v>
      </c>
      <c r="L79" s="59" t="str">
        <f>IF([2]道具信息!L79="","",[2]道具信息!L79)</f>
        <v>凑齐30个碎片可以合成1个上将印，可用于升级武将的第四个特性</v>
      </c>
      <c r="M79" s="59" t="str">
        <f>IF([2]道具信息!M79="","",[2]道具信息!M79)</f>
        <v/>
      </c>
      <c r="N79" s="59" t="str">
        <f>IF([2]道具信息!N79="","",[2]道具信息!N79)</f>
        <v/>
      </c>
      <c r="O79" s="59" t="str">
        <f>IF([2]道具信息!O79="","",[2]道具信息!O79)</f>
        <v/>
      </c>
      <c r="P79" s="59" t="str">
        <f>IF([2]道具信息!P79="","",[2]道具信息!P79)</f>
        <v/>
      </c>
      <c r="Q79" s="59" t="str">
        <f>IF([2]道具信息!Q79="","",[2]道具信息!Q79)</f>
        <v/>
      </c>
      <c r="R79" s="59" t="str">
        <f>IF([2]道具信息!R79="","",[2]道具信息!R79)</f>
        <v/>
      </c>
      <c r="S79" s="59" t="str">
        <f>IF([2]道具信息!S79="","",[2]道具信息!S79)</f>
        <v/>
      </c>
      <c r="T79" s="59" t="str">
        <f>IF([2]道具信息!T79="","",[2]道具信息!T79)</f>
        <v/>
      </c>
      <c r="U79" s="59" t="str">
        <f>IF([2]道具信息!U79="","",[2]道具信息!U79)</f>
        <v/>
      </c>
      <c r="V79" s="59" t="str">
        <f>IF([2]道具信息!V79="","",[2]道具信息!V79)</f>
        <v/>
      </c>
      <c r="W79" s="59" t="str">
        <f>IF([2]道具信息!W79="","",[2]道具信息!W79)</f>
        <v/>
      </c>
      <c r="X79" s="59" t="str">
        <f>IF([2]道具信息!X79="","",[2]道具信息!X79)</f>
        <v/>
      </c>
      <c r="Y79" s="59" t="str">
        <f>IF([2]道具信息!Y79="","",[2]道具信息!Y79)</f>
        <v/>
      </c>
      <c r="Z79" s="59" t="str">
        <f>IF([2]道具信息!Z79="","",[2]道具信息!Z79)</f>
        <v/>
      </c>
    </row>
    <row r="80" spans="1:26" x14ac:dyDescent="0.15">
      <c r="A80" s="59" t="str">
        <f>IF([2]道具信息!A80="","",[2]道具信息!A80)</f>
        <v/>
      </c>
      <c r="B80" s="59" t="str">
        <f>IF([2]道具信息!B80="","",[2]道具信息!B80)</f>
        <v/>
      </c>
      <c r="C80" s="59" t="str">
        <f>IF([2]道具信息!C80="","",[2]道具信息!C80)</f>
        <v/>
      </c>
      <c r="D80" s="59" t="str">
        <f>IF([2]道具信息!D80="","",[2]道具信息!D80)</f>
        <v>统帅印碎片</v>
      </c>
      <c r="E80" s="59">
        <f>IF([2]道具信息!E80="","",[2]道具信息!E80)</f>
        <v>266.66666666666669</v>
      </c>
      <c r="F80" s="59">
        <f>IF([2]道具信息!F80="","",[2]道具信息!F80)</f>
        <v>1</v>
      </c>
      <c r="G80" s="59">
        <f>IF([2]道具信息!G80="","",[2]道具信息!G80)</f>
        <v>1</v>
      </c>
      <c r="H80" s="59">
        <f>IF([2]道具信息!H80="","",[2]道具信息!H80)</f>
        <v>1</v>
      </c>
      <c r="I80" s="59">
        <f>IF([2]道具信息!I80="","",[2]道具信息!I80)</f>
        <v>266.66666666666669</v>
      </c>
      <c r="J80" s="59">
        <f>IF([2]道具信息!J80="","",[2]道具信息!J80)</f>
        <v>266.66666666666669</v>
      </c>
      <c r="K80" s="59">
        <f>IF([2]道具信息!K80="","",[2]道具信息!K80)</f>
        <v>266.66666666666669</v>
      </c>
      <c r="L80" s="59" t="str">
        <f>IF([2]道具信息!L80="","",[2]道具信息!L80)</f>
        <v>凑齐30个碎片可以合成1个统帅印，可用于升级武将的第四个特性</v>
      </c>
      <c r="M80" s="59" t="str">
        <f>IF([2]道具信息!M80="","",[2]道具信息!M80)</f>
        <v/>
      </c>
      <c r="N80" s="59" t="str">
        <f>IF([2]道具信息!N80="","",[2]道具信息!N80)</f>
        <v/>
      </c>
      <c r="O80" s="59" t="str">
        <f>IF([2]道具信息!O80="","",[2]道具信息!O80)</f>
        <v/>
      </c>
      <c r="P80" s="59" t="str">
        <f>IF([2]道具信息!P80="","",[2]道具信息!P80)</f>
        <v/>
      </c>
      <c r="Q80" s="59" t="str">
        <f>IF([2]道具信息!Q80="","",[2]道具信息!Q80)</f>
        <v/>
      </c>
      <c r="R80" s="59" t="str">
        <f>IF([2]道具信息!R80="","",[2]道具信息!R80)</f>
        <v/>
      </c>
      <c r="S80" s="59" t="str">
        <f>IF([2]道具信息!S80="","",[2]道具信息!S80)</f>
        <v/>
      </c>
      <c r="T80" s="59" t="str">
        <f>IF([2]道具信息!T80="","",[2]道具信息!T80)</f>
        <v/>
      </c>
      <c r="U80" s="59" t="str">
        <f>IF([2]道具信息!U80="","",[2]道具信息!U80)</f>
        <v/>
      </c>
      <c r="V80" s="59" t="str">
        <f>IF([2]道具信息!V80="","",[2]道具信息!V80)</f>
        <v/>
      </c>
      <c r="W80" s="59" t="str">
        <f>IF([2]道具信息!W80="","",[2]道具信息!W80)</f>
        <v/>
      </c>
      <c r="X80" s="59" t="str">
        <f>IF([2]道具信息!X80="","",[2]道具信息!X80)</f>
        <v/>
      </c>
      <c r="Y80" s="59" t="str">
        <f>IF([2]道具信息!Y80="","",[2]道具信息!Y80)</f>
        <v/>
      </c>
      <c r="Z80" s="59" t="str">
        <f>IF([2]道具信息!Z80="","",[2]道具信息!Z80)</f>
        <v/>
      </c>
    </row>
    <row r="81" spans="1:26" x14ac:dyDescent="0.15">
      <c r="A81" s="59" t="str">
        <f>IF([2]道具信息!A81="","",[2]道具信息!A81)</f>
        <v/>
      </c>
      <c r="B81" s="59" t="str">
        <f>IF([2]道具信息!B81="","",[2]道具信息!B81)</f>
        <v/>
      </c>
      <c r="C81" s="59" t="str">
        <f>IF([2]道具信息!C81="","",[2]道具信息!C81)</f>
        <v/>
      </c>
      <c r="D81" s="59" t="str">
        <f>IF([2]道具信息!D81="","",[2]道具信息!D81)</f>
        <v/>
      </c>
      <c r="E81" s="59" t="str">
        <f>IF([2]道具信息!E81="","",[2]道具信息!E81)</f>
        <v/>
      </c>
      <c r="F81" s="59" t="str">
        <f>IF([2]道具信息!F81="","",[2]道具信息!F81)</f>
        <v/>
      </c>
      <c r="G81" s="59" t="str">
        <f>IF([2]道具信息!G81="","",[2]道具信息!G81)</f>
        <v/>
      </c>
      <c r="H81" s="59" t="str">
        <f>IF([2]道具信息!H81="","",[2]道具信息!H81)</f>
        <v/>
      </c>
      <c r="I81" s="59" t="str">
        <f>IF([2]道具信息!I81="","",[2]道具信息!I81)</f>
        <v/>
      </c>
      <c r="J81" s="59" t="str">
        <f>IF([2]道具信息!J81="","",[2]道具信息!J81)</f>
        <v/>
      </c>
      <c r="K81" s="59" t="str">
        <f>IF([2]道具信息!K81="","",[2]道具信息!K81)</f>
        <v/>
      </c>
      <c r="L81" s="59" t="str">
        <f>IF([2]道具信息!L81="","",[2]道具信息!L81)</f>
        <v/>
      </c>
      <c r="M81" s="59" t="str">
        <f>IF([2]道具信息!M81="","",[2]道具信息!M81)</f>
        <v/>
      </c>
      <c r="N81" s="59" t="str">
        <f>IF([2]道具信息!N81="","",[2]道具信息!N81)</f>
        <v/>
      </c>
      <c r="O81" s="59" t="str">
        <f>IF([2]道具信息!O81="","",[2]道具信息!O81)</f>
        <v/>
      </c>
      <c r="P81" s="59" t="str">
        <f>IF([2]道具信息!P81="","",[2]道具信息!P81)</f>
        <v/>
      </c>
      <c r="Q81" s="59" t="str">
        <f>IF([2]道具信息!Q81="","",[2]道具信息!Q81)</f>
        <v/>
      </c>
      <c r="R81" s="59" t="str">
        <f>IF([2]道具信息!R81="","",[2]道具信息!R81)</f>
        <v/>
      </c>
      <c r="S81" s="59" t="str">
        <f>IF([2]道具信息!S81="","",[2]道具信息!S81)</f>
        <v/>
      </c>
      <c r="T81" s="59" t="str">
        <f>IF([2]道具信息!T81="","",[2]道具信息!T81)</f>
        <v/>
      </c>
      <c r="U81" s="59" t="str">
        <f>IF([2]道具信息!U81="","",[2]道具信息!U81)</f>
        <v/>
      </c>
      <c r="V81" s="59" t="str">
        <f>IF([2]道具信息!V81="","",[2]道具信息!V81)</f>
        <v/>
      </c>
      <c r="W81" s="59" t="str">
        <f>IF([2]道具信息!W81="","",[2]道具信息!W81)</f>
        <v/>
      </c>
      <c r="X81" s="59" t="str">
        <f>IF([2]道具信息!X81="","",[2]道具信息!X81)</f>
        <v/>
      </c>
      <c r="Y81" s="59" t="str">
        <f>IF([2]道具信息!Y81="","",[2]道具信息!Y81)</f>
        <v/>
      </c>
      <c r="Z81" s="59" t="str">
        <f>IF([2]道具信息!Z81="","",[2]道具信息!Z81)</f>
        <v/>
      </c>
    </row>
    <row r="82" spans="1:26" x14ac:dyDescent="0.15">
      <c r="A82" s="59" t="str">
        <f>IF([2]道具信息!A82="","",[2]道具信息!A82)</f>
        <v/>
      </c>
      <c r="B82" s="59" t="str">
        <f>IF([2]道具信息!B82="","",[2]道具信息!B82)</f>
        <v/>
      </c>
      <c r="C82" s="59" t="str">
        <f>IF([2]道具信息!C82="","",[2]道具信息!C82)</f>
        <v/>
      </c>
      <c r="D82" s="59" t="str">
        <f>IF([2]道具信息!D82="","",[2]道具信息!D82)</f>
        <v>高级免战牌</v>
      </c>
      <c r="E82" s="59">
        <f>IF([2]道具信息!E82="","",[2]道具信息!E82)</f>
        <v>400</v>
      </c>
      <c r="F82" s="59">
        <f>IF([2]道具信息!F82="","",[2]道具信息!F82)</f>
        <v>1</v>
      </c>
      <c r="G82" s="59">
        <f>IF([2]道具信息!G82="","",[2]道具信息!G82)</f>
        <v>1</v>
      </c>
      <c r="H82" s="59">
        <f>IF([2]道具信息!H82="","",[2]道具信息!H82)</f>
        <v>1</v>
      </c>
      <c r="I82" s="59">
        <f>IF([2]道具信息!I82="","",[2]道具信息!I82)</f>
        <v>400</v>
      </c>
      <c r="J82" s="59">
        <f>IF([2]道具信息!J82="","",[2]道具信息!J82)</f>
        <v>400</v>
      </c>
      <c r="K82" s="59">
        <f>IF([2]道具信息!K82="","",[2]道具信息!K82)</f>
        <v>400</v>
      </c>
      <c r="L82" s="59" t="str">
        <f>IF([2]道具信息!L82="","",[2]道具信息!L82)</f>
        <v/>
      </c>
      <c r="M82" s="59" t="str">
        <f>IF([2]道具信息!M82="","",[2]道具信息!M82)</f>
        <v/>
      </c>
      <c r="N82" s="59" t="str">
        <f>IF([2]道具信息!N82="","",[2]道具信息!N82)</f>
        <v/>
      </c>
      <c r="O82" s="59" t="str">
        <f>IF([2]道具信息!O82="","",[2]道具信息!O82)</f>
        <v/>
      </c>
      <c r="P82" s="59" t="str">
        <f>IF([2]道具信息!P82="","",[2]道具信息!P82)</f>
        <v/>
      </c>
      <c r="Q82" s="59" t="str">
        <f>IF([2]道具信息!Q82="","",[2]道具信息!Q82)</f>
        <v/>
      </c>
      <c r="R82" s="59" t="str">
        <f>IF([2]道具信息!R82="","",[2]道具信息!R82)</f>
        <v/>
      </c>
      <c r="S82" s="59" t="str">
        <f>IF([2]道具信息!S82="","",[2]道具信息!S82)</f>
        <v/>
      </c>
      <c r="T82" s="59" t="str">
        <f>IF([2]道具信息!T82="","",[2]道具信息!T82)</f>
        <v/>
      </c>
      <c r="U82" s="59" t="str">
        <f>IF([2]道具信息!U82="","",[2]道具信息!U82)</f>
        <v/>
      </c>
      <c r="V82" s="59" t="str">
        <f>IF([2]道具信息!V82="","",[2]道具信息!V82)</f>
        <v/>
      </c>
      <c r="W82" s="59" t="str">
        <f>IF([2]道具信息!W82="","",[2]道具信息!W82)</f>
        <v/>
      </c>
      <c r="X82" s="59" t="str">
        <f>IF([2]道具信息!X82="","",[2]道具信息!X82)</f>
        <v/>
      </c>
      <c r="Y82" s="59" t="str">
        <f>IF([2]道具信息!Y82="","",[2]道具信息!Y82)</f>
        <v/>
      </c>
      <c r="Z82" s="59" t="str">
        <f>IF([2]道具信息!Z82="","",[2]道具信息!Z82)</f>
        <v/>
      </c>
    </row>
    <row r="83" spans="1:26" x14ac:dyDescent="0.15">
      <c r="A83" s="59" t="str">
        <f>IF([2]道具信息!A83="","",[2]道具信息!A83)</f>
        <v/>
      </c>
      <c r="B83" s="59" t="str">
        <f>IF([2]道具信息!B83="","",[2]道具信息!B83)</f>
        <v/>
      </c>
      <c r="C83" s="59" t="str">
        <f>IF([2]道具信息!C83="","",[2]道具信息!C83)</f>
        <v/>
      </c>
      <c r="D83" s="59" t="str">
        <f>IF([2]道具信息!D83="","",[2]道具信息!D83)</f>
        <v>特级免战牌</v>
      </c>
      <c r="E83" s="59">
        <f>IF([2]道具信息!E83="","",[2]道具信息!E83)</f>
        <v>1500</v>
      </c>
      <c r="F83" s="59">
        <f>IF([2]道具信息!F83="","",[2]道具信息!F83)</f>
        <v>1</v>
      </c>
      <c r="G83" s="59">
        <f>IF([2]道具信息!G83="","",[2]道具信息!G83)</f>
        <v>1</v>
      </c>
      <c r="H83" s="59">
        <f>IF([2]道具信息!H83="","",[2]道具信息!H83)</f>
        <v>1</v>
      </c>
      <c r="I83" s="59">
        <f>IF([2]道具信息!I83="","",[2]道具信息!I83)</f>
        <v>1500</v>
      </c>
      <c r="J83" s="59">
        <f>IF([2]道具信息!J83="","",[2]道具信息!J83)</f>
        <v>1500</v>
      </c>
      <c r="K83" s="59">
        <f>IF([2]道具信息!K83="","",[2]道具信息!K83)</f>
        <v>1500</v>
      </c>
      <c r="L83" s="59" t="str">
        <f>IF([2]道具信息!L83="","",[2]道具信息!L83)</f>
        <v/>
      </c>
      <c r="M83" s="59" t="str">
        <f>IF([2]道具信息!M83="","",[2]道具信息!M83)</f>
        <v/>
      </c>
      <c r="N83" s="59" t="str">
        <f>IF([2]道具信息!N83="","",[2]道具信息!N83)</f>
        <v/>
      </c>
      <c r="O83" s="59" t="str">
        <f>IF([2]道具信息!O83="","",[2]道具信息!O83)</f>
        <v/>
      </c>
      <c r="P83" s="59" t="str">
        <f>IF([2]道具信息!P83="","",[2]道具信息!P83)</f>
        <v/>
      </c>
      <c r="Q83" s="59" t="str">
        <f>IF([2]道具信息!Q83="","",[2]道具信息!Q83)</f>
        <v/>
      </c>
      <c r="R83" s="59" t="str">
        <f>IF([2]道具信息!R83="","",[2]道具信息!R83)</f>
        <v/>
      </c>
      <c r="S83" s="59" t="str">
        <f>IF([2]道具信息!S83="","",[2]道具信息!S83)</f>
        <v/>
      </c>
      <c r="T83" s="59" t="str">
        <f>IF([2]道具信息!T83="","",[2]道具信息!T83)</f>
        <v/>
      </c>
      <c r="U83" s="59" t="str">
        <f>IF([2]道具信息!U83="","",[2]道具信息!U83)</f>
        <v/>
      </c>
      <c r="V83" s="59" t="str">
        <f>IF([2]道具信息!V83="","",[2]道具信息!V83)</f>
        <v/>
      </c>
      <c r="W83" s="59" t="str">
        <f>IF([2]道具信息!W83="","",[2]道具信息!W83)</f>
        <v/>
      </c>
      <c r="X83" s="59" t="str">
        <f>IF([2]道具信息!X83="","",[2]道具信息!X83)</f>
        <v/>
      </c>
      <c r="Y83" s="59" t="str">
        <f>IF([2]道具信息!Y83="","",[2]道具信息!Y83)</f>
        <v/>
      </c>
      <c r="Z83" s="59" t="str">
        <f>IF([2]道具信息!Z83="","",[2]道具信息!Z83)</f>
        <v/>
      </c>
    </row>
    <row r="84" spans="1:26" x14ac:dyDescent="0.15">
      <c r="A84" s="59" t="str">
        <f>IF([2]道具信息!A84="","",[2]道具信息!A84)</f>
        <v/>
      </c>
      <c r="B84" s="59" t="str">
        <f>IF([2]道具信息!B84="","",[2]道具信息!B84)</f>
        <v/>
      </c>
      <c r="C84" s="59" t="str">
        <f>IF([2]道具信息!C84="","",[2]道具信息!C84)</f>
        <v/>
      </c>
      <c r="D84" s="59" t="str">
        <f>IF([2]道具信息!D84="","",[2]道具信息!D84)</f>
        <v/>
      </c>
      <c r="E84" s="59" t="str">
        <f>IF([2]道具信息!E84="","",[2]道具信息!E84)</f>
        <v/>
      </c>
      <c r="F84" s="59" t="str">
        <f>IF([2]道具信息!F84="","",[2]道具信息!F84)</f>
        <v/>
      </c>
      <c r="G84" s="59" t="str">
        <f>IF([2]道具信息!G84="","",[2]道具信息!G84)</f>
        <v/>
      </c>
      <c r="H84" s="59" t="str">
        <f>IF([2]道具信息!H84="","",[2]道具信息!H84)</f>
        <v/>
      </c>
      <c r="I84" s="59" t="str">
        <f>IF([2]道具信息!I84="","",[2]道具信息!I84)</f>
        <v/>
      </c>
      <c r="J84" s="59" t="str">
        <f>IF([2]道具信息!J84="","",[2]道具信息!J84)</f>
        <v/>
      </c>
      <c r="K84" s="59" t="str">
        <f>IF([2]道具信息!K84="","",[2]道具信息!K84)</f>
        <v/>
      </c>
      <c r="L84" s="59" t="str">
        <f>IF([2]道具信息!L84="","",[2]道具信息!L84)</f>
        <v/>
      </c>
      <c r="M84" s="59" t="str">
        <f>IF([2]道具信息!M84="","",[2]道具信息!M84)</f>
        <v/>
      </c>
      <c r="N84" s="59" t="str">
        <f>IF([2]道具信息!N84="","",[2]道具信息!N84)</f>
        <v/>
      </c>
      <c r="O84" s="59" t="str">
        <f>IF([2]道具信息!O84="","",[2]道具信息!O84)</f>
        <v/>
      </c>
      <c r="P84" s="59" t="str">
        <f>IF([2]道具信息!P84="","",[2]道具信息!P84)</f>
        <v/>
      </c>
      <c r="Q84" s="59" t="str">
        <f>IF([2]道具信息!Q84="","",[2]道具信息!Q84)</f>
        <v/>
      </c>
      <c r="R84" s="59" t="str">
        <f>IF([2]道具信息!R84="","",[2]道具信息!R84)</f>
        <v/>
      </c>
      <c r="S84" s="59" t="str">
        <f>IF([2]道具信息!S84="","",[2]道具信息!S84)</f>
        <v/>
      </c>
      <c r="T84" s="59" t="str">
        <f>IF([2]道具信息!T84="","",[2]道具信息!T84)</f>
        <v/>
      </c>
      <c r="U84" s="59" t="str">
        <f>IF([2]道具信息!U84="","",[2]道具信息!U84)</f>
        <v/>
      </c>
      <c r="V84" s="59" t="str">
        <f>IF([2]道具信息!V84="","",[2]道具信息!V84)</f>
        <v/>
      </c>
      <c r="W84" s="59" t="str">
        <f>IF([2]道具信息!W84="","",[2]道具信息!W84)</f>
        <v/>
      </c>
      <c r="X84" s="59" t="str">
        <f>IF([2]道具信息!X84="","",[2]道具信息!X84)</f>
        <v/>
      </c>
      <c r="Y84" s="59" t="str">
        <f>IF([2]道具信息!Y84="","",[2]道具信息!Y84)</f>
        <v/>
      </c>
      <c r="Z84" s="59" t="str">
        <f>IF([2]道具信息!Z84="","",[2]道具信息!Z84)</f>
        <v/>
      </c>
    </row>
    <row r="85" spans="1:26" x14ac:dyDescent="0.15">
      <c r="A85" s="59" t="str">
        <f>IF([2]道具信息!A85="","",[2]道具信息!A85)</f>
        <v/>
      </c>
      <c r="B85" s="59" t="str">
        <f>IF([2]道具信息!B85="","",[2]道具信息!B85)</f>
        <v/>
      </c>
      <c r="C85" s="59" t="str">
        <f>IF([2]道具信息!C85="","",[2]道具信息!C85)</f>
        <v/>
      </c>
      <c r="D85" s="59" t="str">
        <f>IF([2]道具信息!D85="","",[2]道具信息!D85)</f>
        <v>指定or任选紫色兵法碎片</v>
      </c>
      <c r="E85" s="59">
        <f>IF([2]道具信息!E85="","",[2]道具信息!E85)</f>
        <v>75</v>
      </c>
      <c r="F85" s="59">
        <f>IF([2]道具信息!F85="","",[2]道具信息!F85)</f>
        <v>1</v>
      </c>
      <c r="G85" s="59">
        <f>IF([2]道具信息!G85="","",[2]道具信息!G85)</f>
        <v>1</v>
      </c>
      <c r="H85" s="59">
        <f>IF([2]道具信息!H85="","",[2]道具信息!H85)</f>
        <v>1</v>
      </c>
      <c r="I85" s="59">
        <f>IF([2]道具信息!I85="","",[2]道具信息!I85)</f>
        <v>75</v>
      </c>
      <c r="J85" s="59">
        <f>IF([2]道具信息!J85="","",[2]道具信息!J85)</f>
        <v>75</v>
      </c>
      <c r="K85" s="59">
        <f>IF([2]道具信息!K85="","",[2]道具信息!K85)</f>
        <v>75</v>
      </c>
      <c r="L85" s="59" t="str">
        <f>IF([2]道具信息!L85="","",[2]道具信息!L85)</f>
        <v/>
      </c>
      <c r="M85" s="59" t="str">
        <f>IF([2]道具信息!M85="","",[2]道具信息!M85)</f>
        <v/>
      </c>
      <c r="N85" s="59" t="str">
        <f>IF([2]道具信息!N85="","",[2]道具信息!N85)</f>
        <v/>
      </c>
      <c r="O85" s="59" t="str">
        <f>IF([2]道具信息!O85="","",[2]道具信息!O85)</f>
        <v/>
      </c>
      <c r="P85" s="59" t="str">
        <f>IF([2]道具信息!P85="","",[2]道具信息!P85)</f>
        <v/>
      </c>
      <c r="Q85" s="59" t="str">
        <f>IF([2]道具信息!Q85="","",[2]道具信息!Q85)</f>
        <v/>
      </c>
      <c r="R85" s="59" t="str">
        <f>IF([2]道具信息!R85="","",[2]道具信息!R85)</f>
        <v/>
      </c>
      <c r="S85" s="59" t="str">
        <f>IF([2]道具信息!S85="","",[2]道具信息!S85)</f>
        <v/>
      </c>
      <c r="T85" s="59" t="str">
        <f>IF([2]道具信息!T85="","",[2]道具信息!T85)</f>
        <v/>
      </c>
      <c r="U85" s="59" t="str">
        <f>IF([2]道具信息!U85="","",[2]道具信息!U85)</f>
        <v/>
      </c>
      <c r="V85" s="59" t="str">
        <f>IF([2]道具信息!V85="","",[2]道具信息!V85)</f>
        <v/>
      </c>
      <c r="W85" s="59" t="str">
        <f>IF([2]道具信息!W85="","",[2]道具信息!W85)</f>
        <v/>
      </c>
      <c r="X85" s="59" t="str">
        <f>IF([2]道具信息!X85="","",[2]道具信息!X85)</f>
        <v/>
      </c>
      <c r="Y85" s="59" t="str">
        <f>IF([2]道具信息!Y85="","",[2]道具信息!Y85)</f>
        <v/>
      </c>
      <c r="Z85" s="59" t="str">
        <f>IF([2]道具信息!Z85="","",[2]道具信息!Z85)</f>
        <v/>
      </c>
    </row>
    <row r="86" spans="1:26" x14ac:dyDescent="0.15">
      <c r="A86" s="59" t="str">
        <f>IF([2]道具信息!A86="","",[2]道具信息!A86)</f>
        <v/>
      </c>
      <c r="B86" s="59" t="str">
        <f>IF([2]道具信息!B86="","",[2]道具信息!B86)</f>
        <v/>
      </c>
      <c r="C86" s="59" t="str">
        <f>IF([2]道具信息!C86="","",[2]道具信息!C86)</f>
        <v/>
      </c>
      <c r="D86" s="59" t="str">
        <f>IF([2]道具信息!D86="","",[2]道具信息!D86)</f>
        <v>指定or任选橙色兵法碎片</v>
      </c>
      <c r="E86" s="59">
        <f>IF([2]道具信息!E86="","",[2]道具信息!E86)</f>
        <v>111.66666666666667</v>
      </c>
      <c r="F86" s="59">
        <f>IF([2]道具信息!F86="","",[2]道具信息!F86)</f>
        <v>1</v>
      </c>
      <c r="G86" s="59">
        <f>IF([2]道具信息!G86="","",[2]道具信息!G86)</f>
        <v>1</v>
      </c>
      <c r="H86" s="59">
        <f>IF([2]道具信息!H86="","",[2]道具信息!H86)</f>
        <v>1</v>
      </c>
      <c r="I86" s="59">
        <f>IF([2]道具信息!I86="","",[2]道具信息!I86)</f>
        <v>111.66666666666667</v>
      </c>
      <c r="J86" s="59">
        <f>IF([2]道具信息!J86="","",[2]道具信息!J86)</f>
        <v>111.66666666666667</v>
      </c>
      <c r="K86" s="59">
        <f>IF([2]道具信息!K86="","",[2]道具信息!K86)</f>
        <v>111.66666666666667</v>
      </c>
      <c r="L86" s="59" t="str">
        <f>IF([2]道具信息!L86="","",[2]道具信息!L86)</f>
        <v/>
      </c>
      <c r="M86" s="59" t="str">
        <f>IF([2]道具信息!M86="","",[2]道具信息!M86)</f>
        <v/>
      </c>
      <c r="N86" s="59" t="str">
        <f>IF([2]道具信息!N86="","",[2]道具信息!N86)</f>
        <v/>
      </c>
      <c r="O86" s="59" t="str">
        <f>IF([2]道具信息!O86="","",[2]道具信息!O86)</f>
        <v/>
      </c>
      <c r="P86" s="59" t="str">
        <f>IF([2]道具信息!P86="","",[2]道具信息!P86)</f>
        <v/>
      </c>
      <c r="Q86" s="59" t="str">
        <f>IF([2]道具信息!Q86="","",[2]道具信息!Q86)</f>
        <v/>
      </c>
      <c r="R86" s="59" t="str">
        <f>IF([2]道具信息!R86="","",[2]道具信息!R86)</f>
        <v/>
      </c>
      <c r="S86" s="59" t="str">
        <f>IF([2]道具信息!S86="","",[2]道具信息!S86)</f>
        <v/>
      </c>
      <c r="T86" s="59" t="str">
        <f>IF([2]道具信息!T86="","",[2]道具信息!T86)</f>
        <v/>
      </c>
      <c r="U86" s="59" t="str">
        <f>IF([2]道具信息!U86="","",[2]道具信息!U86)</f>
        <v/>
      </c>
      <c r="V86" s="59" t="str">
        <f>IF([2]道具信息!V86="","",[2]道具信息!V86)</f>
        <v/>
      </c>
      <c r="W86" s="59" t="str">
        <f>IF([2]道具信息!W86="","",[2]道具信息!W86)</f>
        <v/>
      </c>
      <c r="X86" s="59" t="str">
        <f>IF([2]道具信息!X86="","",[2]道具信息!X86)</f>
        <v/>
      </c>
      <c r="Y86" s="59" t="str">
        <f>IF([2]道具信息!Y86="","",[2]道具信息!Y86)</f>
        <v/>
      </c>
      <c r="Z86" s="59" t="str">
        <f>IF([2]道具信息!Z86="","",[2]道具信息!Z86)</f>
        <v/>
      </c>
    </row>
    <row r="87" spans="1:26" x14ac:dyDescent="0.15">
      <c r="A87" s="59" t="str">
        <f>IF([2]道具信息!A87="","",[2]道具信息!A87)</f>
        <v/>
      </c>
      <c r="B87" s="59" t="str">
        <f>IF([2]道具信息!B87="","",[2]道具信息!B87)</f>
        <v/>
      </c>
      <c r="C87" s="59" t="str">
        <f>IF([2]道具信息!C87="","",[2]道具信息!C87)</f>
        <v/>
      </c>
      <c r="D87" s="59" t="str">
        <f>IF([2]道具信息!D87="","",[2]道具信息!D87)</f>
        <v>指定or任选红色兵法碎片</v>
      </c>
      <c r="E87" s="59">
        <f>IF([2]道具信息!E87="","",[2]道具信息!E87)</f>
        <v>305.5</v>
      </c>
      <c r="F87" s="59">
        <f>IF([2]道具信息!F87="","",[2]道具信息!F87)</f>
        <v>1</v>
      </c>
      <c r="G87" s="59">
        <f>IF([2]道具信息!G87="","",[2]道具信息!G87)</f>
        <v>1</v>
      </c>
      <c r="H87" s="59">
        <f>IF([2]道具信息!H87="","",[2]道具信息!H87)</f>
        <v>1</v>
      </c>
      <c r="I87" s="59">
        <f>IF([2]道具信息!I87="","",[2]道具信息!I87)</f>
        <v>305.5</v>
      </c>
      <c r="J87" s="59">
        <f>IF([2]道具信息!J87="","",[2]道具信息!J87)</f>
        <v>305.5</v>
      </c>
      <c r="K87" s="59">
        <f>IF([2]道具信息!K87="","",[2]道具信息!K87)</f>
        <v>305.5</v>
      </c>
      <c r="L87" s="59" t="str">
        <f>IF([2]道具信息!L87="","",[2]道具信息!L87)</f>
        <v/>
      </c>
      <c r="M87" s="59" t="str">
        <f>IF([2]道具信息!M87="","",[2]道具信息!M87)</f>
        <v/>
      </c>
      <c r="N87" s="59" t="str">
        <f>IF([2]道具信息!N87="","",[2]道具信息!N87)</f>
        <v/>
      </c>
      <c r="O87" s="59" t="str">
        <f>IF([2]道具信息!O87="","",[2]道具信息!O87)</f>
        <v/>
      </c>
      <c r="P87" s="59" t="str">
        <f>IF([2]道具信息!P87="","",[2]道具信息!P87)</f>
        <v/>
      </c>
      <c r="Q87" s="59" t="str">
        <f>IF([2]道具信息!Q87="","",[2]道具信息!Q87)</f>
        <v/>
      </c>
      <c r="R87" s="59" t="str">
        <f>IF([2]道具信息!R87="","",[2]道具信息!R87)</f>
        <v/>
      </c>
      <c r="S87" s="59" t="str">
        <f>IF([2]道具信息!S87="","",[2]道具信息!S87)</f>
        <v/>
      </c>
      <c r="T87" s="59" t="str">
        <f>IF([2]道具信息!T87="","",[2]道具信息!T87)</f>
        <v/>
      </c>
      <c r="U87" s="59" t="str">
        <f>IF([2]道具信息!U87="","",[2]道具信息!U87)</f>
        <v/>
      </c>
      <c r="V87" s="59" t="str">
        <f>IF([2]道具信息!V87="","",[2]道具信息!V87)</f>
        <v/>
      </c>
      <c r="W87" s="59" t="str">
        <f>IF([2]道具信息!W87="","",[2]道具信息!W87)</f>
        <v/>
      </c>
      <c r="X87" s="59" t="str">
        <f>IF([2]道具信息!X87="","",[2]道具信息!X87)</f>
        <v/>
      </c>
      <c r="Y87" s="59" t="str">
        <f>IF([2]道具信息!Y87="","",[2]道具信息!Y87)</f>
        <v/>
      </c>
      <c r="Z87" s="59" t="str">
        <f>IF([2]道具信息!Z87="","",[2]道具信息!Z87)</f>
        <v/>
      </c>
    </row>
    <row r="88" spans="1:26" x14ac:dyDescent="0.15">
      <c r="A88" s="59" t="str">
        <f>IF([2]道具信息!A88="","",[2]道具信息!A88)</f>
        <v/>
      </c>
      <c r="B88" s="59" t="str">
        <f>IF([2]道具信息!B88="","",[2]道具信息!B88)</f>
        <v/>
      </c>
      <c r="C88" s="59" t="str">
        <f>IF([2]道具信息!C88="","",[2]道具信息!C88)</f>
        <v/>
      </c>
      <c r="D88" s="59" t="str">
        <f>IF([2]道具信息!D88="","",[2]道具信息!D88)</f>
        <v>随机紫色兵法碎片</v>
      </c>
      <c r="E88" s="59">
        <f>IF([2]道具信息!E88="","",[2]道具信息!E88)</f>
        <v>50</v>
      </c>
      <c r="F88" s="59">
        <f>IF([2]道具信息!F88="","",[2]道具信息!F88)</f>
        <v>1</v>
      </c>
      <c r="G88" s="59">
        <f>IF([2]道具信息!G88="","",[2]道具信息!G88)</f>
        <v>1</v>
      </c>
      <c r="H88" s="59">
        <f>IF([2]道具信息!H88="","",[2]道具信息!H88)</f>
        <v>1</v>
      </c>
      <c r="I88" s="59">
        <f>IF([2]道具信息!I88="","",[2]道具信息!I88)</f>
        <v>50</v>
      </c>
      <c r="J88" s="59">
        <f>IF([2]道具信息!J88="","",[2]道具信息!J88)</f>
        <v>50</v>
      </c>
      <c r="K88" s="59">
        <f>IF([2]道具信息!K88="","",[2]道具信息!K88)</f>
        <v>50</v>
      </c>
      <c r="L88" s="59" t="str">
        <f>IF([2]道具信息!L88="","",[2]道具信息!L88)</f>
        <v/>
      </c>
      <c r="M88" s="59" t="str">
        <f>IF([2]道具信息!M88="","",[2]道具信息!M88)</f>
        <v/>
      </c>
      <c r="N88" s="59" t="str">
        <f>IF([2]道具信息!N88="","",[2]道具信息!N88)</f>
        <v/>
      </c>
      <c r="O88" s="59" t="str">
        <f>IF([2]道具信息!O88="","",[2]道具信息!O88)</f>
        <v/>
      </c>
      <c r="P88" s="59" t="str">
        <f>IF([2]道具信息!P88="","",[2]道具信息!P88)</f>
        <v/>
      </c>
      <c r="Q88" s="59" t="str">
        <f>IF([2]道具信息!Q88="","",[2]道具信息!Q88)</f>
        <v/>
      </c>
      <c r="R88" s="59" t="str">
        <f>IF([2]道具信息!R88="","",[2]道具信息!R88)</f>
        <v/>
      </c>
      <c r="S88" s="59" t="str">
        <f>IF([2]道具信息!S88="","",[2]道具信息!S88)</f>
        <v/>
      </c>
      <c r="T88" s="59" t="str">
        <f>IF([2]道具信息!T88="","",[2]道具信息!T88)</f>
        <v/>
      </c>
      <c r="U88" s="59" t="str">
        <f>IF([2]道具信息!U88="","",[2]道具信息!U88)</f>
        <v/>
      </c>
      <c r="V88" s="59" t="str">
        <f>IF([2]道具信息!V88="","",[2]道具信息!V88)</f>
        <v/>
      </c>
      <c r="W88" s="59" t="str">
        <f>IF([2]道具信息!W88="","",[2]道具信息!W88)</f>
        <v/>
      </c>
      <c r="X88" s="59" t="str">
        <f>IF([2]道具信息!X88="","",[2]道具信息!X88)</f>
        <v/>
      </c>
      <c r="Y88" s="59" t="str">
        <f>IF([2]道具信息!Y88="","",[2]道具信息!Y88)</f>
        <v/>
      </c>
      <c r="Z88" s="59" t="str">
        <f>IF([2]道具信息!Z88="","",[2]道具信息!Z88)</f>
        <v/>
      </c>
    </row>
    <row r="89" spans="1:26" x14ac:dyDescent="0.15">
      <c r="A89" s="59" t="str">
        <f>IF([2]道具信息!A89="","",[2]道具信息!A89)</f>
        <v/>
      </c>
      <c r="B89" s="59" t="str">
        <f>IF([2]道具信息!B89="","",[2]道具信息!B89)</f>
        <v/>
      </c>
      <c r="C89" s="59" t="str">
        <f>IF([2]道具信息!C89="","",[2]道具信息!C89)</f>
        <v/>
      </c>
      <c r="D89" s="59" t="str">
        <f>IF([2]道具信息!D89="","",[2]道具信息!D89)</f>
        <v>随机橙色兵法碎片</v>
      </c>
      <c r="E89" s="59">
        <f>IF([2]道具信息!E89="","",[2]道具信息!E89)</f>
        <v>56</v>
      </c>
      <c r="F89" s="59">
        <f>IF([2]道具信息!F89="","",[2]道具信息!F89)</f>
        <v>1</v>
      </c>
      <c r="G89" s="59">
        <f>IF([2]道具信息!G89="","",[2]道具信息!G89)</f>
        <v>1</v>
      </c>
      <c r="H89" s="59">
        <f>IF([2]道具信息!H89="","",[2]道具信息!H89)</f>
        <v>1</v>
      </c>
      <c r="I89" s="59">
        <f>IF([2]道具信息!I89="","",[2]道具信息!I89)</f>
        <v>56</v>
      </c>
      <c r="J89" s="59">
        <f>IF([2]道具信息!J89="","",[2]道具信息!J89)</f>
        <v>56</v>
      </c>
      <c r="K89" s="59">
        <f>IF([2]道具信息!K89="","",[2]道具信息!K89)</f>
        <v>56</v>
      </c>
      <c r="L89" s="59" t="str">
        <f>IF([2]道具信息!L89="","",[2]道具信息!L89)</f>
        <v/>
      </c>
      <c r="M89" s="59" t="str">
        <f>IF([2]道具信息!M89="","",[2]道具信息!M89)</f>
        <v/>
      </c>
      <c r="N89" s="59" t="str">
        <f>IF([2]道具信息!N89="","",[2]道具信息!N89)</f>
        <v/>
      </c>
      <c r="O89" s="59" t="str">
        <f>IF([2]道具信息!O89="","",[2]道具信息!O89)</f>
        <v/>
      </c>
      <c r="P89" s="59" t="str">
        <f>IF([2]道具信息!P89="","",[2]道具信息!P89)</f>
        <v/>
      </c>
      <c r="Q89" s="59" t="str">
        <f>IF([2]道具信息!Q89="","",[2]道具信息!Q89)</f>
        <v/>
      </c>
      <c r="R89" s="59" t="str">
        <f>IF([2]道具信息!R89="","",[2]道具信息!R89)</f>
        <v/>
      </c>
      <c r="S89" s="59" t="str">
        <f>IF([2]道具信息!S89="","",[2]道具信息!S89)</f>
        <v/>
      </c>
      <c r="T89" s="59" t="str">
        <f>IF([2]道具信息!T89="","",[2]道具信息!T89)</f>
        <v/>
      </c>
      <c r="U89" s="59" t="str">
        <f>IF([2]道具信息!U89="","",[2]道具信息!U89)</f>
        <v/>
      </c>
      <c r="V89" s="59" t="str">
        <f>IF([2]道具信息!V89="","",[2]道具信息!V89)</f>
        <v/>
      </c>
      <c r="W89" s="59" t="str">
        <f>IF([2]道具信息!W89="","",[2]道具信息!W89)</f>
        <v/>
      </c>
      <c r="X89" s="59" t="str">
        <f>IF([2]道具信息!X89="","",[2]道具信息!X89)</f>
        <v/>
      </c>
      <c r="Y89" s="59" t="str">
        <f>IF([2]道具信息!Y89="","",[2]道具信息!Y89)</f>
        <v/>
      </c>
      <c r="Z89" s="59" t="str">
        <f>IF([2]道具信息!Z89="","",[2]道具信息!Z89)</f>
        <v/>
      </c>
    </row>
    <row r="90" spans="1:26" x14ac:dyDescent="0.15">
      <c r="A90" s="59" t="str">
        <f>IF([2]道具信息!A90="","",[2]道具信息!A90)</f>
        <v/>
      </c>
      <c r="B90" s="59" t="str">
        <f>IF([2]道具信息!B90="","",[2]道具信息!B90)</f>
        <v/>
      </c>
      <c r="C90" s="59" t="str">
        <f>IF([2]道具信息!C90="","",[2]道具信息!C90)</f>
        <v/>
      </c>
      <c r="D90" s="59" t="str">
        <f>IF([2]道具信息!D90="","",[2]道具信息!D90)</f>
        <v/>
      </c>
      <c r="E90" s="59" t="str">
        <f>IF([2]道具信息!E90="","",[2]道具信息!E90)</f>
        <v/>
      </c>
      <c r="F90" s="59" t="str">
        <f>IF([2]道具信息!F90="","",[2]道具信息!F90)</f>
        <v/>
      </c>
      <c r="G90" s="59" t="str">
        <f>IF([2]道具信息!G90="","",[2]道具信息!G90)</f>
        <v/>
      </c>
      <c r="H90" s="59" t="str">
        <f>IF([2]道具信息!H90="","",[2]道具信息!H90)</f>
        <v/>
      </c>
      <c r="I90" s="59" t="str">
        <f>IF([2]道具信息!I90="","",[2]道具信息!I90)</f>
        <v/>
      </c>
      <c r="J90" s="59" t="str">
        <f>IF([2]道具信息!J90="","",[2]道具信息!J90)</f>
        <v/>
      </c>
      <c r="K90" s="59" t="str">
        <f>IF([2]道具信息!K90="","",[2]道具信息!K90)</f>
        <v/>
      </c>
      <c r="L90" s="59" t="str">
        <f>IF([2]道具信息!L90="","",[2]道具信息!L90)</f>
        <v/>
      </c>
      <c r="M90" s="59" t="str">
        <f>IF([2]道具信息!M90="","",[2]道具信息!M90)</f>
        <v/>
      </c>
      <c r="N90" s="59" t="str">
        <f>IF([2]道具信息!N90="","",[2]道具信息!N90)</f>
        <v/>
      </c>
      <c r="O90" s="59" t="str">
        <f>IF([2]道具信息!O90="","",[2]道具信息!O90)</f>
        <v/>
      </c>
      <c r="P90" s="59" t="str">
        <f>IF([2]道具信息!P90="","",[2]道具信息!P90)</f>
        <v/>
      </c>
      <c r="Q90" s="59" t="str">
        <f>IF([2]道具信息!Q90="","",[2]道具信息!Q90)</f>
        <v/>
      </c>
      <c r="R90" s="59" t="str">
        <f>IF([2]道具信息!R90="","",[2]道具信息!R90)</f>
        <v/>
      </c>
      <c r="S90" s="59" t="str">
        <f>IF([2]道具信息!S90="","",[2]道具信息!S90)</f>
        <v/>
      </c>
      <c r="T90" s="59" t="str">
        <f>IF([2]道具信息!T90="","",[2]道具信息!T90)</f>
        <v/>
      </c>
      <c r="U90" s="59" t="str">
        <f>IF([2]道具信息!U90="","",[2]道具信息!U90)</f>
        <v/>
      </c>
      <c r="V90" s="59" t="str">
        <f>IF([2]道具信息!V90="","",[2]道具信息!V90)</f>
        <v/>
      </c>
      <c r="W90" s="59" t="str">
        <f>IF([2]道具信息!W90="","",[2]道具信息!W90)</f>
        <v/>
      </c>
      <c r="X90" s="59" t="str">
        <f>IF([2]道具信息!X90="","",[2]道具信息!X90)</f>
        <v/>
      </c>
      <c r="Y90" s="59" t="str">
        <f>IF([2]道具信息!Y90="","",[2]道具信息!Y90)</f>
        <v/>
      </c>
      <c r="Z90" s="59" t="str">
        <f>IF([2]道具信息!Z90="","",[2]道具信息!Z90)</f>
        <v/>
      </c>
    </row>
    <row r="91" spans="1:26" x14ac:dyDescent="0.15">
      <c r="A91" s="59" t="str">
        <f>IF([2]道具信息!A91="","",[2]道具信息!A91)</f>
        <v/>
      </c>
      <c r="B91" s="59" t="str">
        <f>IF([2]道具信息!B91="","",[2]道具信息!B91)</f>
        <v/>
      </c>
      <c r="C91" s="59" t="str">
        <f>IF([2]道具信息!C91="","",[2]道具信息!C91)</f>
        <v/>
      </c>
      <c r="D91" s="59" t="str">
        <f>IF([2]道具信息!D91="","",[2]道具信息!D91)</f>
        <v>红色装备自选碎片</v>
      </c>
      <c r="E91" s="59">
        <f>IF([2]道具信息!E91="","",[2]道具信息!E91)</f>
        <v>144</v>
      </c>
      <c r="F91" s="59">
        <f>IF([2]道具信息!F91="","",[2]道具信息!F91)</f>
        <v>1</v>
      </c>
      <c r="G91" s="59">
        <f>IF([2]道具信息!G91="","",[2]道具信息!G91)</f>
        <v>1</v>
      </c>
      <c r="H91" s="59">
        <f>IF([2]道具信息!H91="","",[2]道具信息!H91)</f>
        <v>1</v>
      </c>
      <c r="I91" s="59">
        <f>IF([2]道具信息!I91="","",[2]道具信息!I91)</f>
        <v>144</v>
      </c>
      <c r="J91" s="59">
        <f>IF([2]道具信息!J91="","",[2]道具信息!J91)</f>
        <v>144</v>
      </c>
      <c r="K91" s="59">
        <f>IF([2]道具信息!K91="","",[2]道具信息!K91)</f>
        <v>144</v>
      </c>
      <c r="L91" s="59" t="str">
        <f>IF([2]道具信息!L91="","",[2]道具信息!L91)</f>
        <v/>
      </c>
      <c r="M91" s="59" t="str">
        <f>IF([2]道具信息!M91="","",[2]道具信息!M91)</f>
        <v/>
      </c>
      <c r="N91" s="59" t="str">
        <f>IF([2]道具信息!N91="","",[2]道具信息!N91)</f>
        <v/>
      </c>
      <c r="O91" s="59" t="str">
        <f>IF([2]道具信息!O91="","",[2]道具信息!O91)</f>
        <v/>
      </c>
      <c r="P91" s="59" t="str">
        <f>IF([2]道具信息!P91="","",[2]道具信息!P91)</f>
        <v/>
      </c>
      <c r="Q91" s="59" t="str">
        <f>IF([2]道具信息!Q91="","",[2]道具信息!Q91)</f>
        <v/>
      </c>
      <c r="R91" s="59" t="str">
        <f>IF([2]道具信息!R91="","",[2]道具信息!R91)</f>
        <v/>
      </c>
      <c r="S91" s="59" t="str">
        <f>IF([2]道具信息!S91="","",[2]道具信息!S91)</f>
        <v/>
      </c>
      <c r="T91" s="59" t="str">
        <f>IF([2]道具信息!T91="","",[2]道具信息!T91)</f>
        <v/>
      </c>
      <c r="U91" s="59" t="str">
        <f>IF([2]道具信息!U91="","",[2]道具信息!U91)</f>
        <v/>
      </c>
      <c r="V91" s="59" t="str">
        <f>IF([2]道具信息!V91="","",[2]道具信息!V91)</f>
        <v/>
      </c>
      <c r="W91" s="59" t="str">
        <f>IF([2]道具信息!W91="","",[2]道具信息!W91)</f>
        <v/>
      </c>
      <c r="X91" s="59" t="str">
        <f>IF([2]道具信息!X91="","",[2]道具信息!X91)</f>
        <v/>
      </c>
      <c r="Y91" s="59" t="str">
        <f>IF([2]道具信息!Y91="","",[2]道具信息!Y91)</f>
        <v/>
      </c>
      <c r="Z91" s="59" t="str">
        <f>IF([2]道具信息!Z91="","",[2]道具信息!Z91)</f>
        <v/>
      </c>
    </row>
    <row r="92" spans="1:26" x14ac:dyDescent="0.15">
      <c r="A92" s="59" t="str">
        <f>IF([2]道具信息!A92="","",[2]道具信息!A92)</f>
        <v/>
      </c>
      <c r="B92" s="59" t="str">
        <f>IF([2]道具信息!B92="","",[2]道具信息!B92)</f>
        <v/>
      </c>
      <c r="C92" s="59" t="str">
        <f>IF([2]道具信息!C92="","",[2]道具信息!C92)</f>
        <v/>
      </c>
      <c r="D92" s="59" t="str">
        <f>IF([2]道具信息!D92="","",[2]道具信息!D92)</f>
        <v>红+装备自选碎片</v>
      </c>
      <c r="E92" s="59">
        <f>IF([2]道具信息!E92="","",[2]道具信息!E92)</f>
        <v>288</v>
      </c>
      <c r="F92" s="59">
        <f>IF([2]道具信息!F92="","",[2]道具信息!F92)</f>
        <v>1.56</v>
      </c>
      <c r="G92" s="59">
        <f>IF([2]道具信息!G92="","",[2]道具信息!G92)</f>
        <v>1.56</v>
      </c>
      <c r="H92" s="59">
        <f>IF([2]道具信息!H92="","",[2]道具信息!H92)</f>
        <v>1.56</v>
      </c>
      <c r="I92" s="59">
        <f>IF([2]道具信息!I92="","",[2]道具信息!I92)</f>
        <v>449.28000000000003</v>
      </c>
      <c r="J92" s="59">
        <f>IF([2]道具信息!J92="","",[2]道具信息!J92)</f>
        <v>449.28000000000003</v>
      </c>
      <c r="K92" s="59">
        <f>IF([2]道具信息!K92="","",[2]道具信息!K92)</f>
        <v>449.28000000000003</v>
      </c>
      <c r="L92" s="59" t="str">
        <f>IF([2]道具信息!L92="","",[2]道具信息!L92)</f>
        <v/>
      </c>
      <c r="M92" s="59" t="str">
        <f>IF([2]道具信息!M92="","",[2]道具信息!M92)</f>
        <v/>
      </c>
      <c r="N92" s="59" t="str">
        <f>IF([2]道具信息!N92="","",[2]道具信息!N92)</f>
        <v/>
      </c>
      <c r="O92" s="59" t="str">
        <f>IF([2]道具信息!O92="","",[2]道具信息!O92)</f>
        <v/>
      </c>
      <c r="P92" s="59" t="str">
        <f>IF([2]道具信息!P92="","",[2]道具信息!P92)</f>
        <v/>
      </c>
      <c r="Q92" s="59" t="str">
        <f>IF([2]道具信息!Q92="","",[2]道具信息!Q92)</f>
        <v/>
      </c>
      <c r="R92" s="59" t="str">
        <f>IF([2]道具信息!R92="","",[2]道具信息!R92)</f>
        <v/>
      </c>
      <c r="S92" s="59" t="str">
        <f>IF([2]道具信息!S92="","",[2]道具信息!S92)</f>
        <v/>
      </c>
      <c r="T92" s="59" t="str">
        <f>IF([2]道具信息!T92="","",[2]道具信息!T92)</f>
        <v/>
      </c>
      <c r="U92" s="59" t="str">
        <f>IF([2]道具信息!U92="","",[2]道具信息!U92)</f>
        <v/>
      </c>
      <c r="V92" s="59" t="str">
        <f>IF([2]道具信息!V92="","",[2]道具信息!V92)</f>
        <v/>
      </c>
      <c r="W92" s="59" t="str">
        <f>IF([2]道具信息!W92="","",[2]道具信息!W92)</f>
        <v/>
      </c>
      <c r="X92" s="59" t="str">
        <f>IF([2]道具信息!X92="","",[2]道具信息!X92)</f>
        <v/>
      </c>
      <c r="Y92" s="59" t="str">
        <f>IF([2]道具信息!Y92="","",[2]道具信息!Y92)</f>
        <v/>
      </c>
      <c r="Z92" s="59" t="str">
        <f>IF([2]道具信息!Z92="","",[2]道具信息!Z92)</f>
        <v/>
      </c>
    </row>
    <row r="93" spans="1:26" x14ac:dyDescent="0.15">
      <c r="A93" s="59" t="str">
        <f>IF([2]道具信息!A93="","",[2]道具信息!A93)</f>
        <v/>
      </c>
      <c r="B93" s="59" t="str">
        <f>IF([2]道具信息!B93="","",[2]道具信息!B93)</f>
        <v/>
      </c>
      <c r="C93" s="59" t="str">
        <f>IF([2]道具信息!C93="","",[2]道具信息!C93)</f>
        <v/>
      </c>
      <c r="D93" s="59" t="str">
        <f>IF([2]道具信息!D93="","",[2]道具信息!D93)</f>
        <v/>
      </c>
      <c r="E93" s="59" t="str">
        <f>IF([2]道具信息!E93="","",[2]道具信息!E93)</f>
        <v/>
      </c>
      <c r="F93" s="59" t="str">
        <f>IF([2]道具信息!F93="","",[2]道具信息!F93)</f>
        <v/>
      </c>
      <c r="G93" s="59" t="str">
        <f>IF([2]道具信息!G93="","",[2]道具信息!G93)</f>
        <v/>
      </c>
      <c r="H93" s="59" t="str">
        <f>IF([2]道具信息!H93="","",[2]道具信息!H93)</f>
        <v/>
      </c>
      <c r="I93" s="59" t="str">
        <f>IF([2]道具信息!I93="","",[2]道具信息!I93)</f>
        <v/>
      </c>
      <c r="J93" s="59" t="str">
        <f>IF([2]道具信息!J93="","",[2]道具信息!J93)</f>
        <v/>
      </c>
      <c r="K93" s="59" t="str">
        <f>IF([2]道具信息!K93="","",[2]道具信息!K93)</f>
        <v/>
      </c>
      <c r="L93" s="59" t="str">
        <f>IF([2]道具信息!L93="","",[2]道具信息!L93)</f>
        <v/>
      </c>
      <c r="M93" s="59" t="str">
        <f>IF([2]道具信息!M93="","",[2]道具信息!M93)</f>
        <v/>
      </c>
      <c r="N93" s="59" t="str">
        <f>IF([2]道具信息!N93="","",[2]道具信息!N93)</f>
        <v/>
      </c>
      <c r="O93" s="59" t="str">
        <f>IF([2]道具信息!O93="","",[2]道具信息!O93)</f>
        <v/>
      </c>
      <c r="P93" s="59" t="str">
        <f>IF([2]道具信息!P93="","",[2]道具信息!P93)</f>
        <v/>
      </c>
      <c r="Q93" s="59" t="str">
        <f>IF([2]道具信息!Q93="","",[2]道具信息!Q93)</f>
        <v/>
      </c>
      <c r="R93" s="59" t="str">
        <f>IF([2]道具信息!R93="","",[2]道具信息!R93)</f>
        <v/>
      </c>
      <c r="S93" s="59" t="str">
        <f>IF([2]道具信息!S93="","",[2]道具信息!S93)</f>
        <v/>
      </c>
      <c r="T93" s="59" t="str">
        <f>IF([2]道具信息!T93="","",[2]道具信息!T93)</f>
        <v/>
      </c>
      <c r="U93" s="59" t="str">
        <f>IF([2]道具信息!U93="","",[2]道具信息!U93)</f>
        <v/>
      </c>
      <c r="V93" s="59" t="str">
        <f>IF([2]道具信息!V93="","",[2]道具信息!V93)</f>
        <v/>
      </c>
      <c r="W93" s="59" t="str">
        <f>IF([2]道具信息!W93="","",[2]道具信息!W93)</f>
        <v/>
      </c>
      <c r="X93" s="59" t="str">
        <f>IF([2]道具信息!X93="","",[2]道具信息!X93)</f>
        <v/>
      </c>
      <c r="Y93" s="59" t="str">
        <f>IF([2]道具信息!Y93="","",[2]道具信息!Y93)</f>
        <v/>
      </c>
      <c r="Z93" s="59" t="str">
        <f>IF([2]道具信息!Z93="","",[2]道具信息!Z93)</f>
        <v/>
      </c>
    </row>
    <row r="94" spans="1:26" x14ac:dyDescent="0.15">
      <c r="A94" s="59" t="str">
        <f>IF([2]道具信息!A94="","",[2]道具信息!A94)</f>
        <v/>
      </c>
      <c r="B94" s="59" t="str">
        <f>IF([2]道具信息!B94="","",[2]道具信息!B94)</f>
        <v/>
      </c>
      <c r="C94" s="59" t="str">
        <f>IF([2]道具信息!C94="","",[2]道具信息!C94)</f>
        <v/>
      </c>
      <c r="D94" s="59" t="str">
        <f>IF([2]道具信息!D94="","",[2]道具信息!D94)</f>
        <v>随机蓝色阵法</v>
      </c>
      <c r="E94" s="59">
        <f>IF([2]道具信息!E94="","",[2]道具信息!E94)</f>
        <v>100</v>
      </c>
      <c r="F94" s="59">
        <f>IF([2]道具信息!F94="","",[2]道具信息!F94)</f>
        <v>1</v>
      </c>
      <c r="G94" s="59">
        <f>IF([2]道具信息!G94="","",[2]道具信息!G94)</f>
        <v>1</v>
      </c>
      <c r="H94" s="59">
        <f>IF([2]道具信息!H94="","",[2]道具信息!H94)</f>
        <v>1</v>
      </c>
      <c r="I94" s="59">
        <f>IF([2]道具信息!I94="","",[2]道具信息!I94)</f>
        <v>100</v>
      </c>
      <c r="J94" s="59">
        <f>IF([2]道具信息!J94="","",[2]道具信息!J94)</f>
        <v>100</v>
      </c>
      <c r="K94" s="59">
        <f>IF([2]道具信息!K94="","",[2]道具信息!K94)</f>
        <v>100</v>
      </c>
      <c r="L94" s="59" t="str">
        <f>IF([2]道具信息!L94="","",[2]道具信息!L94)</f>
        <v/>
      </c>
      <c r="M94" s="59" t="str">
        <f>IF([2]道具信息!M94="","",[2]道具信息!M94)</f>
        <v/>
      </c>
      <c r="N94" s="59" t="str">
        <f>IF([2]道具信息!N94="","",[2]道具信息!N94)</f>
        <v/>
      </c>
      <c r="O94" s="59" t="str">
        <f>IF([2]道具信息!O94="","",[2]道具信息!O94)</f>
        <v/>
      </c>
      <c r="P94" s="59" t="str">
        <f>IF([2]道具信息!P94="","",[2]道具信息!P94)</f>
        <v/>
      </c>
      <c r="Q94" s="59" t="str">
        <f>IF([2]道具信息!Q94="","",[2]道具信息!Q94)</f>
        <v/>
      </c>
      <c r="R94" s="59" t="str">
        <f>IF([2]道具信息!R94="","",[2]道具信息!R94)</f>
        <v/>
      </c>
      <c r="S94" s="59" t="str">
        <f>IF([2]道具信息!S94="","",[2]道具信息!S94)</f>
        <v/>
      </c>
      <c r="T94" s="59" t="str">
        <f>IF([2]道具信息!T94="","",[2]道具信息!T94)</f>
        <v/>
      </c>
      <c r="U94" s="59" t="str">
        <f>IF([2]道具信息!U94="","",[2]道具信息!U94)</f>
        <v/>
      </c>
      <c r="V94" s="59" t="str">
        <f>IF([2]道具信息!V94="","",[2]道具信息!V94)</f>
        <v/>
      </c>
      <c r="W94" s="59" t="str">
        <f>IF([2]道具信息!W94="","",[2]道具信息!W94)</f>
        <v/>
      </c>
      <c r="X94" s="59" t="str">
        <f>IF([2]道具信息!X94="","",[2]道具信息!X94)</f>
        <v/>
      </c>
      <c r="Y94" s="59" t="str">
        <f>IF([2]道具信息!Y94="","",[2]道具信息!Y94)</f>
        <v/>
      </c>
      <c r="Z94" s="59" t="str">
        <f>IF([2]道具信息!Z94="","",[2]道具信息!Z94)</f>
        <v/>
      </c>
    </row>
    <row r="95" spans="1:26" x14ac:dyDescent="0.15">
      <c r="A95" s="59" t="str">
        <f>IF([2]道具信息!A95="","",[2]道具信息!A95)</f>
        <v/>
      </c>
      <c r="B95" s="59" t="str">
        <f>IF([2]道具信息!B95="","",[2]道具信息!B95)</f>
        <v/>
      </c>
      <c r="C95" s="59" t="str">
        <f>IF([2]道具信息!C95="","",[2]道具信息!C95)</f>
        <v/>
      </c>
      <c r="D95" s="59" t="str">
        <f>IF([2]道具信息!D95="","",[2]道具信息!D95)</f>
        <v>随机紫色阵法</v>
      </c>
      <c r="E95" s="59">
        <f>IF([2]道具信息!E95="","",[2]道具信息!E95)</f>
        <v>1000</v>
      </c>
      <c r="F95" s="59">
        <f>IF([2]道具信息!F95="","",[2]道具信息!F95)</f>
        <v>1</v>
      </c>
      <c r="G95" s="59">
        <f>IF([2]道具信息!G95="","",[2]道具信息!G95)</f>
        <v>0.75</v>
      </c>
      <c r="H95" s="59">
        <f>IF([2]道具信息!H95="","",[2]道具信息!H95)</f>
        <v>0.5</v>
      </c>
      <c r="I95" s="59">
        <f>IF([2]道具信息!I95="","",[2]道具信息!I95)</f>
        <v>1000</v>
      </c>
      <c r="J95" s="59">
        <f>IF([2]道具信息!J95="","",[2]道具信息!J95)</f>
        <v>750</v>
      </c>
      <c r="K95" s="59">
        <f>IF([2]道具信息!K95="","",[2]道具信息!K95)</f>
        <v>500</v>
      </c>
      <c r="L95" s="59" t="str">
        <f>IF([2]道具信息!L95="","",[2]道具信息!L95)</f>
        <v/>
      </c>
      <c r="M95" s="59" t="str">
        <f>IF([2]道具信息!M95="","",[2]道具信息!M95)</f>
        <v/>
      </c>
      <c r="N95" s="59" t="str">
        <f>IF([2]道具信息!N95="","",[2]道具信息!N95)</f>
        <v/>
      </c>
      <c r="O95" s="59" t="str">
        <f>IF([2]道具信息!O95="","",[2]道具信息!O95)</f>
        <v/>
      </c>
      <c r="P95" s="59" t="str">
        <f>IF([2]道具信息!P95="","",[2]道具信息!P95)</f>
        <v/>
      </c>
      <c r="Q95" s="59" t="str">
        <f>IF([2]道具信息!Q95="","",[2]道具信息!Q95)</f>
        <v/>
      </c>
      <c r="R95" s="59" t="str">
        <f>IF([2]道具信息!R95="","",[2]道具信息!R95)</f>
        <v/>
      </c>
      <c r="S95" s="59" t="str">
        <f>IF([2]道具信息!S95="","",[2]道具信息!S95)</f>
        <v/>
      </c>
      <c r="T95" s="59" t="str">
        <f>IF([2]道具信息!T95="","",[2]道具信息!T95)</f>
        <v/>
      </c>
      <c r="U95" s="59" t="str">
        <f>IF([2]道具信息!U95="","",[2]道具信息!U95)</f>
        <v/>
      </c>
      <c r="V95" s="59" t="str">
        <f>IF([2]道具信息!V95="","",[2]道具信息!V95)</f>
        <v/>
      </c>
      <c r="W95" s="59" t="str">
        <f>IF([2]道具信息!W95="","",[2]道具信息!W95)</f>
        <v/>
      </c>
      <c r="X95" s="59" t="str">
        <f>IF([2]道具信息!X95="","",[2]道具信息!X95)</f>
        <v/>
      </c>
      <c r="Y95" s="59" t="str">
        <f>IF([2]道具信息!Y95="","",[2]道具信息!Y95)</f>
        <v/>
      </c>
      <c r="Z95" s="59" t="str">
        <f>IF([2]道具信息!Z95="","",[2]道具信息!Z95)</f>
        <v/>
      </c>
    </row>
    <row r="96" spans="1:26" x14ac:dyDescent="0.15">
      <c r="A96" s="59" t="str">
        <f>IF([2]道具信息!A96="","",[2]道具信息!A96)</f>
        <v/>
      </c>
      <c r="B96" s="59" t="str">
        <f>IF([2]道具信息!B96="","",[2]道具信息!B96)</f>
        <v/>
      </c>
      <c r="C96" s="59" t="str">
        <f>IF([2]道具信息!C96="","",[2]道具信息!C96)</f>
        <v/>
      </c>
      <c r="D96" s="59" t="str">
        <f>IF([2]道具信息!D96="","",[2]道具信息!D96)</f>
        <v>随机橙色阵法</v>
      </c>
      <c r="E96" s="59">
        <f>IF([2]道具信息!E96="","",[2]道具信息!E96)</f>
        <v>5000</v>
      </c>
      <c r="F96" s="59">
        <f>IF([2]道具信息!F96="","",[2]道具信息!F96)</f>
        <v>1</v>
      </c>
      <c r="G96" s="59">
        <f>IF([2]道具信息!G96="","",[2]道具信息!G96)</f>
        <v>0.8</v>
      </c>
      <c r="H96" s="59">
        <f>IF([2]道具信息!H96="","",[2]道具信息!H96)</f>
        <v>0.5</v>
      </c>
      <c r="I96" s="59">
        <f>IF([2]道具信息!I96="","",[2]道具信息!I96)</f>
        <v>5000</v>
      </c>
      <c r="J96" s="59">
        <f>IF([2]道具信息!J96="","",[2]道具信息!J96)</f>
        <v>4000</v>
      </c>
      <c r="K96" s="59">
        <f>IF([2]道具信息!K96="","",[2]道具信息!K96)</f>
        <v>2500</v>
      </c>
      <c r="L96" s="59" t="str">
        <f>IF([2]道具信息!L96="","",[2]道具信息!L96)</f>
        <v/>
      </c>
      <c r="M96" s="59" t="str">
        <f>IF([2]道具信息!M96="","",[2]道具信息!M96)</f>
        <v/>
      </c>
      <c r="N96" s="59" t="str">
        <f>IF([2]道具信息!N96="","",[2]道具信息!N96)</f>
        <v/>
      </c>
      <c r="O96" s="59" t="str">
        <f>IF([2]道具信息!O96="","",[2]道具信息!O96)</f>
        <v/>
      </c>
      <c r="P96" s="59" t="str">
        <f>IF([2]道具信息!P96="","",[2]道具信息!P96)</f>
        <v/>
      </c>
      <c r="Q96" s="59" t="str">
        <f>IF([2]道具信息!Q96="","",[2]道具信息!Q96)</f>
        <v/>
      </c>
      <c r="R96" s="59" t="str">
        <f>IF([2]道具信息!R96="","",[2]道具信息!R96)</f>
        <v/>
      </c>
      <c r="S96" s="59" t="str">
        <f>IF([2]道具信息!S96="","",[2]道具信息!S96)</f>
        <v/>
      </c>
      <c r="T96" s="59" t="str">
        <f>IF([2]道具信息!T96="","",[2]道具信息!T96)</f>
        <v/>
      </c>
      <c r="U96" s="59" t="str">
        <f>IF([2]道具信息!U96="","",[2]道具信息!U96)</f>
        <v/>
      </c>
      <c r="V96" s="59" t="str">
        <f>IF([2]道具信息!V96="","",[2]道具信息!V96)</f>
        <v/>
      </c>
      <c r="W96" s="59" t="str">
        <f>IF([2]道具信息!W96="","",[2]道具信息!W96)</f>
        <v/>
      </c>
      <c r="X96" s="59" t="str">
        <f>IF([2]道具信息!X96="","",[2]道具信息!X96)</f>
        <v/>
      </c>
      <c r="Y96" s="59" t="str">
        <f>IF([2]道具信息!Y96="","",[2]道具信息!Y96)</f>
        <v/>
      </c>
      <c r="Z96" s="59" t="str">
        <f>IF([2]道具信息!Z96="","",[2]道具信息!Z96)</f>
        <v/>
      </c>
    </row>
    <row r="97" spans="1:26" x14ac:dyDescent="0.15">
      <c r="A97" s="59" t="str">
        <f>IF([2]道具信息!A97="","",[2]道具信息!A97)</f>
        <v/>
      </c>
      <c r="B97" s="59" t="str">
        <f>IF([2]道具信息!B97="","",[2]道具信息!B97)</f>
        <v/>
      </c>
      <c r="C97" s="59" t="str">
        <f>IF([2]道具信息!C97="","",[2]道具信息!C97)</f>
        <v/>
      </c>
      <c r="D97" s="59" t="str">
        <f>IF([2]道具信息!D97="","",[2]道具信息!D97)</f>
        <v>随机红色阵法</v>
      </c>
      <c r="E97" s="59">
        <f>IF([2]道具信息!E97="","",[2]道具信息!E97)</f>
        <v>25000</v>
      </c>
      <c r="F97" s="59">
        <f>IF([2]道具信息!F97="","",[2]道具信息!F97)</f>
        <v>2</v>
      </c>
      <c r="G97" s="59">
        <f>IF([2]道具信息!G97="","",[2]道具信息!G97)</f>
        <v>1.5</v>
      </c>
      <c r="H97" s="59">
        <f>IF([2]道具信息!H97="","",[2]道具信息!H97)</f>
        <v>1</v>
      </c>
      <c r="I97" s="59">
        <f>IF([2]道具信息!I97="","",[2]道具信息!I97)</f>
        <v>50000</v>
      </c>
      <c r="J97" s="59">
        <f>IF([2]道具信息!J97="","",[2]道具信息!J97)</f>
        <v>37500</v>
      </c>
      <c r="K97" s="59">
        <f>IF([2]道具信息!K97="","",[2]道具信息!K97)</f>
        <v>25000</v>
      </c>
      <c r="L97" s="59" t="str">
        <f>IF([2]道具信息!L97="","",[2]道具信息!L97)</f>
        <v/>
      </c>
      <c r="M97" s="59" t="str">
        <f>IF([2]道具信息!M97="","",[2]道具信息!M97)</f>
        <v/>
      </c>
      <c r="N97" s="59" t="str">
        <f>IF([2]道具信息!N97="","",[2]道具信息!N97)</f>
        <v/>
      </c>
      <c r="O97" s="59" t="str">
        <f>IF([2]道具信息!O97="","",[2]道具信息!O97)</f>
        <v/>
      </c>
      <c r="P97" s="59" t="str">
        <f>IF([2]道具信息!P97="","",[2]道具信息!P97)</f>
        <v/>
      </c>
      <c r="Q97" s="59" t="str">
        <f>IF([2]道具信息!Q97="","",[2]道具信息!Q97)</f>
        <v/>
      </c>
      <c r="R97" s="59" t="str">
        <f>IF([2]道具信息!R97="","",[2]道具信息!R97)</f>
        <v/>
      </c>
      <c r="S97" s="59" t="str">
        <f>IF([2]道具信息!S97="","",[2]道具信息!S97)</f>
        <v/>
      </c>
      <c r="T97" s="59" t="str">
        <f>IF([2]道具信息!T97="","",[2]道具信息!T97)</f>
        <v/>
      </c>
      <c r="U97" s="59" t="str">
        <f>IF([2]道具信息!U97="","",[2]道具信息!U97)</f>
        <v/>
      </c>
      <c r="V97" s="59" t="str">
        <f>IF([2]道具信息!V97="","",[2]道具信息!V97)</f>
        <v/>
      </c>
      <c r="W97" s="59" t="str">
        <f>IF([2]道具信息!W97="","",[2]道具信息!W97)</f>
        <v/>
      </c>
      <c r="X97" s="59" t="str">
        <f>IF([2]道具信息!X97="","",[2]道具信息!X97)</f>
        <v/>
      </c>
      <c r="Y97" s="59" t="str">
        <f>IF([2]道具信息!Y97="","",[2]道具信息!Y97)</f>
        <v/>
      </c>
      <c r="Z97" s="59" t="str">
        <f>IF([2]道具信息!Z97="","",[2]道具信息!Z97)</f>
        <v/>
      </c>
    </row>
    <row r="98" spans="1:26" x14ac:dyDescent="0.15">
      <c r="A98" s="59" t="str">
        <f>IF([2]道具信息!A98="","",[2]道具信息!A98)</f>
        <v/>
      </c>
      <c r="B98" s="59" t="str">
        <f>IF([2]道具信息!B98="","",[2]道具信息!B98)</f>
        <v/>
      </c>
      <c r="C98" s="59" t="str">
        <f>IF([2]道具信息!C98="","",[2]道具信息!C98)</f>
        <v/>
      </c>
      <c r="D98" s="59" t="str">
        <f>IF([2]道具信息!D98="","",[2]道具信息!D98)</f>
        <v/>
      </c>
      <c r="E98" s="59" t="str">
        <f>IF([2]道具信息!E98="","",[2]道具信息!E98)</f>
        <v/>
      </c>
      <c r="F98" s="59">
        <f>IF([2]道具信息!F98="","",[2]道具信息!F98)</f>
        <v>1</v>
      </c>
      <c r="G98" s="59">
        <f>IF([2]道具信息!G98="","",[2]道具信息!G98)</f>
        <v>1</v>
      </c>
      <c r="H98" s="59">
        <f>IF([2]道具信息!H98="","",[2]道具信息!H98)</f>
        <v>1</v>
      </c>
      <c r="I98" s="59" t="str">
        <f>IF([2]道具信息!I98="","",[2]道具信息!I98)</f>
        <v/>
      </c>
      <c r="J98" s="59" t="str">
        <f>IF([2]道具信息!J98="","",[2]道具信息!J98)</f>
        <v/>
      </c>
      <c r="K98" s="59" t="str">
        <f>IF([2]道具信息!K98="","",[2]道具信息!K98)</f>
        <v/>
      </c>
      <c r="L98" s="59" t="str">
        <f>IF([2]道具信息!L98="","",[2]道具信息!L98)</f>
        <v/>
      </c>
      <c r="M98" s="59" t="str">
        <f>IF([2]道具信息!M98="","",[2]道具信息!M98)</f>
        <v/>
      </c>
      <c r="N98" s="59" t="str">
        <f>IF([2]道具信息!N98="","",[2]道具信息!N98)</f>
        <v/>
      </c>
      <c r="O98" s="59" t="str">
        <f>IF([2]道具信息!O98="","",[2]道具信息!O98)</f>
        <v/>
      </c>
      <c r="P98" s="59" t="str">
        <f>IF([2]道具信息!P98="","",[2]道具信息!P98)</f>
        <v/>
      </c>
      <c r="Q98" s="59" t="str">
        <f>IF([2]道具信息!Q98="","",[2]道具信息!Q98)</f>
        <v/>
      </c>
      <c r="R98" s="59" t="str">
        <f>IF([2]道具信息!R98="","",[2]道具信息!R98)</f>
        <v/>
      </c>
      <c r="S98" s="59" t="str">
        <f>IF([2]道具信息!S98="","",[2]道具信息!S98)</f>
        <v/>
      </c>
      <c r="T98" s="59" t="str">
        <f>IF([2]道具信息!T98="","",[2]道具信息!T98)</f>
        <v/>
      </c>
      <c r="U98" s="59" t="str">
        <f>IF([2]道具信息!U98="","",[2]道具信息!U98)</f>
        <v/>
      </c>
      <c r="V98" s="59" t="str">
        <f>IF([2]道具信息!V98="","",[2]道具信息!V98)</f>
        <v/>
      </c>
      <c r="W98" s="59" t="str">
        <f>IF([2]道具信息!W98="","",[2]道具信息!W98)</f>
        <v/>
      </c>
      <c r="X98" s="59" t="str">
        <f>IF([2]道具信息!X98="","",[2]道具信息!X98)</f>
        <v/>
      </c>
      <c r="Y98" s="59" t="str">
        <f>IF([2]道具信息!Y98="","",[2]道具信息!Y98)</f>
        <v/>
      </c>
      <c r="Z98" s="59" t="str">
        <f>IF([2]道具信息!Z98="","",[2]道具信息!Z98)</f>
        <v/>
      </c>
    </row>
    <row r="99" spans="1:26" x14ac:dyDescent="0.15">
      <c r="A99" s="59" t="str">
        <f>IF([2]道具信息!A99="","",[2]道具信息!A99)</f>
        <v/>
      </c>
      <c r="B99" s="59" t="str">
        <f>IF([2]道具信息!B99="","",[2]道具信息!B99)</f>
        <v/>
      </c>
      <c r="C99" s="59" t="str">
        <f>IF([2]道具信息!C99="","",[2]道具信息!C99)</f>
        <v/>
      </c>
      <c r="D99" s="59" t="str">
        <f>IF([2]道具信息!D99="","",[2]道具信息!D99)</f>
        <v>随机紫色阵法碎片</v>
      </c>
      <c r="E99" s="59">
        <f>IF([2]道具信息!E99="","",[2]道具信息!E99)</f>
        <v>100</v>
      </c>
      <c r="F99" s="59">
        <f>IF([2]道具信息!F99="","",[2]道具信息!F99)</f>
        <v>1</v>
      </c>
      <c r="G99" s="59">
        <f>IF([2]道具信息!G99="","",[2]道具信息!G99)</f>
        <v>0.75</v>
      </c>
      <c r="H99" s="59">
        <f>IF([2]道具信息!H99="","",[2]道具信息!H99)</f>
        <v>0.5</v>
      </c>
      <c r="I99" s="59">
        <f>IF([2]道具信息!I99="","",[2]道具信息!I99)</f>
        <v>100</v>
      </c>
      <c r="J99" s="59">
        <f>IF([2]道具信息!J99="","",[2]道具信息!J99)</f>
        <v>75</v>
      </c>
      <c r="K99" s="59">
        <f>IF([2]道具信息!K99="","",[2]道具信息!K99)</f>
        <v>50</v>
      </c>
      <c r="L99" s="59" t="str">
        <f>IF([2]道具信息!L99="","",[2]道具信息!L99)</f>
        <v/>
      </c>
      <c r="M99" s="59" t="str">
        <f>IF([2]道具信息!M99="","",[2]道具信息!M99)</f>
        <v/>
      </c>
      <c r="N99" s="59" t="str">
        <f>IF([2]道具信息!N99="","",[2]道具信息!N99)</f>
        <v/>
      </c>
      <c r="O99" s="59" t="str">
        <f>IF([2]道具信息!O99="","",[2]道具信息!O99)</f>
        <v/>
      </c>
      <c r="P99" s="59" t="str">
        <f>IF([2]道具信息!P99="","",[2]道具信息!P99)</f>
        <v/>
      </c>
      <c r="Q99" s="59" t="str">
        <f>IF([2]道具信息!Q99="","",[2]道具信息!Q99)</f>
        <v/>
      </c>
      <c r="R99" s="59" t="str">
        <f>IF([2]道具信息!R99="","",[2]道具信息!R99)</f>
        <v/>
      </c>
      <c r="S99" s="59" t="str">
        <f>IF([2]道具信息!S99="","",[2]道具信息!S99)</f>
        <v/>
      </c>
      <c r="T99" s="59" t="str">
        <f>IF([2]道具信息!T99="","",[2]道具信息!T99)</f>
        <v/>
      </c>
      <c r="U99" s="59" t="str">
        <f>IF([2]道具信息!U99="","",[2]道具信息!U99)</f>
        <v/>
      </c>
      <c r="V99" s="59" t="str">
        <f>IF([2]道具信息!V99="","",[2]道具信息!V99)</f>
        <v/>
      </c>
      <c r="W99" s="59" t="str">
        <f>IF([2]道具信息!W99="","",[2]道具信息!W99)</f>
        <v/>
      </c>
      <c r="X99" s="59" t="str">
        <f>IF([2]道具信息!X99="","",[2]道具信息!X99)</f>
        <v/>
      </c>
      <c r="Y99" s="59" t="str">
        <f>IF([2]道具信息!Y99="","",[2]道具信息!Y99)</f>
        <v/>
      </c>
      <c r="Z99" s="59" t="str">
        <f>IF([2]道具信息!Z99="","",[2]道具信息!Z99)</f>
        <v/>
      </c>
    </row>
    <row r="100" spans="1:26" x14ac:dyDescent="0.15">
      <c r="A100" s="59" t="str">
        <f>IF([2]道具信息!A100="","",[2]道具信息!A100)</f>
        <v/>
      </c>
      <c r="B100" s="59" t="str">
        <f>IF([2]道具信息!B100="","",[2]道具信息!B100)</f>
        <v/>
      </c>
      <c r="C100" s="59" t="str">
        <f>IF([2]道具信息!C100="","",[2]道具信息!C100)</f>
        <v/>
      </c>
      <c r="D100" s="59" t="str">
        <f>IF([2]道具信息!D100="","",[2]道具信息!D100)</f>
        <v>随机橙色阵法碎片</v>
      </c>
      <c r="E100" s="59">
        <f>IF([2]道具信息!E100="","",[2]道具信息!E100)</f>
        <v>166.66666666666666</v>
      </c>
      <c r="F100" s="59">
        <f>IF([2]道具信息!F100="","",[2]道具信息!F100)</f>
        <v>1</v>
      </c>
      <c r="G100" s="59">
        <f>IF([2]道具信息!G100="","",[2]道具信息!G100)</f>
        <v>0.8</v>
      </c>
      <c r="H100" s="59">
        <f>IF([2]道具信息!H100="","",[2]道具信息!H100)</f>
        <v>0.5</v>
      </c>
      <c r="I100" s="59">
        <f>IF([2]道具信息!I100="","",[2]道具信息!I100)</f>
        <v>166.66666666666666</v>
      </c>
      <c r="J100" s="59">
        <f>IF([2]道具信息!J100="","",[2]道具信息!J100)</f>
        <v>133.33333333333334</v>
      </c>
      <c r="K100" s="59">
        <f>IF([2]道具信息!K100="","",[2]道具信息!K100)</f>
        <v>83.333333333333329</v>
      </c>
      <c r="L100" s="59" t="str">
        <f>IF([2]道具信息!L100="","",[2]道具信息!L100)</f>
        <v/>
      </c>
      <c r="M100" s="59" t="str">
        <f>IF([2]道具信息!M100="","",[2]道具信息!M100)</f>
        <v/>
      </c>
      <c r="N100" s="59" t="str">
        <f>IF([2]道具信息!N100="","",[2]道具信息!N100)</f>
        <v/>
      </c>
      <c r="O100" s="59" t="str">
        <f>IF([2]道具信息!O100="","",[2]道具信息!O100)</f>
        <v/>
      </c>
      <c r="P100" s="59" t="str">
        <f>IF([2]道具信息!P100="","",[2]道具信息!P100)</f>
        <v/>
      </c>
      <c r="Q100" s="59" t="str">
        <f>IF([2]道具信息!Q100="","",[2]道具信息!Q100)</f>
        <v/>
      </c>
      <c r="R100" s="59" t="str">
        <f>IF([2]道具信息!R100="","",[2]道具信息!R100)</f>
        <v/>
      </c>
      <c r="S100" s="59" t="str">
        <f>IF([2]道具信息!S100="","",[2]道具信息!S100)</f>
        <v/>
      </c>
      <c r="T100" s="59" t="str">
        <f>IF([2]道具信息!T100="","",[2]道具信息!T100)</f>
        <v/>
      </c>
      <c r="U100" s="59" t="str">
        <f>IF([2]道具信息!U100="","",[2]道具信息!U100)</f>
        <v/>
      </c>
      <c r="V100" s="59" t="str">
        <f>IF([2]道具信息!V100="","",[2]道具信息!V100)</f>
        <v/>
      </c>
      <c r="W100" s="59" t="str">
        <f>IF([2]道具信息!W100="","",[2]道具信息!W100)</f>
        <v/>
      </c>
      <c r="X100" s="59" t="str">
        <f>IF([2]道具信息!X100="","",[2]道具信息!X100)</f>
        <v/>
      </c>
      <c r="Y100" s="59" t="str">
        <f>IF([2]道具信息!Y100="","",[2]道具信息!Y100)</f>
        <v/>
      </c>
      <c r="Z100" s="59" t="str">
        <f>IF([2]道具信息!Z100="","",[2]道具信息!Z100)</f>
        <v/>
      </c>
    </row>
    <row r="101" spans="1:26" x14ac:dyDescent="0.15">
      <c r="A101" s="59" t="str">
        <f>IF([2]道具信息!A101="","",[2]道具信息!A101)</f>
        <v/>
      </c>
      <c r="B101" s="59" t="str">
        <f>IF([2]道具信息!B101="","",[2]道具信息!B101)</f>
        <v/>
      </c>
      <c r="C101" s="59" t="str">
        <f>IF([2]道具信息!C101="","",[2]道具信息!C101)</f>
        <v/>
      </c>
      <c r="D101" s="59" t="str">
        <f>IF([2]道具信息!D101="","",[2]道具信息!D101)</f>
        <v>随机红色阵法碎片</v>
      </c>
      <c r="E101" s="59">
        <f>IF([2]道具信息!E101="","",[2]道具信息!E101)</f>
        <v>500</v>
      </c>
      <c r="F101" s="59">
        <f>IF([2]道具信息!F101="","",[2]道具信息!F101)</f>
        <v>2</v>
      </c>
      <c r="G101" s="59">
        <f>IF([2]道具信息!G101="","",[2]道具信息!G101)</f>
        <v>1.5</v>
      </c>
      <c r="H101" s="59">
        <f>IF([2]道具信息!H101="","",[2]道具信息!H101)</f>
        <v>1</v>
      </c>
      <c r="I101" s="59">
        <f>IF([2]道具信息!I101="","",[2]道具信息!I101)</f>
        <v>1000</v>
      </c>
      <c r="J101" s="59">
        <f>IF([2]道具信息!J101="","",[2]道具信息!J101)</f>
        <v>750</v>
      </c>
      <c r="K101" s="59">
        <f>IF([2]道具信息!K101="","",[2]道具信息!K101)</f>
        <v>500</v>
      </c>
      <c r="L101" s="59" t="str">
        <f>IF([2]道具信息!L101="","",[2]道具信息!L101)</f>
        <v/>
      </c>
      <c r="M101" s="59" t="str">
        <f>IF([2]道具信息!M101="","",[2]道具信息!M101)</f>
        <v/>
      </c>
      <c r="N101" s="59" t="str">
        <f>IF([2]道具信息!N101="","",[2]道具信息!N101)</f>
        <v/>
      </c>
      <c r="O101" s="59" t="str">
        <f>IF([2]道具信息!O101="","",[2]道具信息!O101)</f>
        <v/>
      </c>
      <c r="P101" s="59" t="str">
        <f>IF([2]道具信息!P101="","",[2]道具信息!P101)</f>
        <v/>
      </c>
      <c r="Q101" s="59" t="str">
        <f>IF([2]道具信息!Q101="","",[2]道具信息!Q101)</f>
        <v/>
      </c>
      <c r="R101" s="59" t="str">
        <f>IF([2]道具信息!R101="","",[2]道具信息!R101)</f>
        <v/>
      </c>
      <c r="S101" s="59" t="str">
        <f>IF([2]道具信息!S101="","",[2]道具信息!S101)</f>
        <v/>
      </c>
      <c r="T101" s="59" t="str">
        <f>IF([2]道具信息!T101="","",[2]道具信息!T101)</f>
        <v/>
      </c>
      <c r="U101" s="59" t="str">
        <f>IF([2]道具信息!U101="","",[2]道具信息!U101)</f>
        <v/>
      </c>
      <c r="V101" s="59" t="str">
        <f>IF([2]道具信息!V101="","",[2]道具信息!V101)</f>
        <v/>
      </c>
      <c r="W101" s="59" t="str">
        <f>IF([2]道具信息!W101="","",[2]道具信息!W101)</f>
        <v/>
      </c>
      <c r="X101" s="59" t="str">
        <f>IF([2]道具信息!X101="","",[2]道具信息!X101)</f>
        <v/>
      </c>
      <c r="Y101" s="59" t="str">
        <f>IF([2]道具信息!Y101="","",[2]道具信息!Y101)</f>
        <v/>
      </c>
      <c r="Z101" s="59" t="str">
        <f>IF([2]道具信息!Z101="","",[2]道具信息!Z101)</f>
        <v/>
      </c>
    </row>
    <row r="102" spans="1:26" x14ac:dyDescent="0.15">
      <c r="A102" s="59" t="str">
        <f>IF([2]道具信息!A102="","",[2]道具信息!A102)</f>
        <v/>
      </c>
      <c r="B102" s="59" t="str">
        <f>IF([2]道具信息!B102="","",[2]道具信息!B102)</f>
        <v/>
      </c>
      <c r="C102" s="59" t="str">
        <f>IF([2]道具信息!C102="","",[2]道具信息!C102)</f>
        <v/>
      </c>
      <c r="D102" s="59" t="str">
        <f>IF([2]道具信息!D102="","",[2]道具信息!D102)</f>
        <v/>
      </c>
      <c r="E102" s="59" t="str">
        <f>IF([2]道具信息!E102="","",[2]道具信息!E102)</f>
        <v/>
      </c>
      <c r="F102" s="59">
        <f>IF([2]道具信息!F102="","",[2]道具信息!F102)</f>
        <v>1</v>
      </c>
      <c r="G102" s="59">
        <f>IF([2]道具信息!G102="","",[2]道具信息!G102)</f>
        <v>1</v>
      </c>
      <c r="H102" s="59">
        <f>IF([2]道具信息!H102="","",[2]道具信息!H102)</f>
        <v>1</v>
      </c>
      <c r="I102" s="59" t="str">
        <f>IF([2]道具信息!I102="","",[2]道具信息!I102)</f>
        <v/>
      </c>
      <c r="J102" s="59" t="str">
        <f>IF([2]道具信息!J102="","",[2]道具信息!J102)</f>
        <v/>
      </c>
      <c r="K102" s="59" t="str">
        <f>IF([2]道具信息!K102="","",[2]道具信息!K102)</f>
        <v/>
      </c>
      <c r="L102" s="59" t="str">
        <f>IF([2]道具信息!L102="","",[2]道具信息!L102)</f>
        <v/>
      </c>
      <c r="M102" s="59" t="str">
        <f>IF([2]道具信息!M102="","",[2]道具信息!M102)</f>
        <v/>
      </c>
      <c r="N102" s="59" t="str">
        <f>IF([2]道具信息!N102="","",[2]道具信息!N102)</f>
        <v/>
      </c>
      <c r="O102" s="59" t="str">
        <f>IF([2]道具信息!O102="","",[2]道具信息!O102)</f>
        <v/>
      </c>
      <c r="P102" s="59" t="str">
        <f>IF([2]道具信息!P102="","",[2]道具信息!P102)</f>
        <v/>
      </c>
      <c r="Q102" s="59" t="str">
        <f>IF([2]道具信息!Q102="","",[2]道具信息!Q102)</f>
        <v/>
      </c>
      <c r="R102" s="59" t="str">
        <f>IF([2]道具信息!R102="","",[2]道具信息!R102)</f>
        <v/>
      </c>
      <c r="S102" s="59" t="str">
        <f>IF([2]道具信息!S102="","",[2]道具信息!S102)</f>
        <v/>
      </c>
      <c r="T102" s="59" t="str">
        <f>IF([2]道具信息!T102="","",[2]道具信息!T102)</f>
        <v/>
      </c>
      <c r="U102" s="59" t="str">
        <f>IF([2]道具信息!U102="","",[2]道具信息!U102)</f>
        <v/>
      </c>
      <c r="V102" s="59" t="str">
        <f>IF([2]道具信息!V102="","",[2]道具信息!V102)</f>
        <v/>
      </c>
      <c r="W102" s="59" t="str">
        <f>IF([2]道具信息!W102="","",[2]道具信息!W102)</f>
        <v/>
      </c>
      <c r="X102" s="59" t="str">
        <f>IF([2]道具信息!X102="","",[2]道具信息!X102)</f>
        <v/>
      </c>
      <c r="Y102" s="59" t="str">
        <f>IF([2]道具信息!Y102="","",[2]道具信息!Y102)</f>
        <v/>
      </c>
      <c r="Z102" s="59" t="str">
        <f>IF([2]道具信息!Z102="","",[2]道具信息!Z102)</f>
        <v/>
      </c>
    </row>
    <row r="103" spans="1:26" x14ac:dyDescent="0.15">
      <c r="A103" s="59" t="str">
        <f>IF([2]道具信息!A103="","",[2]道具信息!A103)</f>
        <v/>
      </c>
      <c r="B103" s="59" t="str">
        <f>IF([2]道具信息!B103="","",[2]道具信息!B103)</f>
        <v/>
      </c>
      <c r="C103" s="59" t="str">
        <f>IF([2]道具信息!C103="","",[2]道具信息!C103)</f>
        <v/>
      </c>
      <c r="D103" s="59" t="str">
        <f>IF([2]道具信息!D103="","",[2]道具信息!D103)</f>
        <v>指定蓝色阵法</v>
      </c>
      <c r="E103" s="59">
        <f>IF([2]道具信息!E103="","",[2]道具信息!E103)</f>
        <v>100</v>
      </c>
      <c r="F103" s="59">
        <f>IF([2]道具信息!F103="","",[2]道具信息!F103)</f>
        <v>1</v>
      </c>
      <c r="G103" s="59">
        <f>IF([2]道具信息!G103="","",[2]道具信息!G103)</f>
        <v>1</v>
      </c>
      <c r="H103" s="59">
        <f>IF([2]道具信息!H103="","",[2]道具信息!H103)</f>
        <v>1</v>
      </c>
      <c r="I103" s="59">
        <f>IF([2]道具信息!I103="","",[2]道具信息!I103)</f>
        <v>100</v>
      </c>
      <c r="J103" s="59">
        <f>IF([2]道具信息!J103="","",[2]道具信息!J103)</f>
        <v>100</v>
      </c>
      <c r="K103" s="59">
        <f>IF([2]道具信息!K103="","",[2]道具信息!K103)</f>
        <v>100</v>
      </c>
      <c r="L103" s="59" t="str">
        <f>IF([2]道具信息!L103="","",[2]道具信息!L103)</f>
        <v/>
      </c>
      <c r="M103" s="59" t="str">
        <f>IF([2]道具信息!M103="","",[2]道具信息!M103)</f>
        <v/>
      </c>
      <c r="N103" s="59" t="str">
        <f>IF([2]道具信息!N103="","",[2]道具信息!N103)</f>
        <v/>
      </c>
      <c r="O103" s="59" t="str">
        <f>IF([2]道具信息!O103="","",[2]道具信息!O103)</f>
        <v/>
      </c>
      <c r="P103" s="59" t="str">
        <f>IF([2]道具信息!P103="","",[2]道具信息!P103)</f>
        <v/>
      </c>
      <c r="Q103" s="59" t="str">
        <f>IF([2]道具信息!Q103="","",[2]道具信息!Q103)</f>
        <v/>
      </c>
      <c r="R103" s="59" t="str">
        <f>IF([2]道具信息!R103="","",[2]道具信息!R103)</f>
        <v/>
      </c>
      <c r="S103" s="59" t="str">
        <f>IF([2]道具信息!S103="","",[2]道具信息!S103)</f>
        <v/>
      </c>
      <c r="T103" s="59" t="str">
        <f>IF([2]道具信息!T103="","",[2]道具信息!T103)</f>
        <v/>
      </c>
      <c r="U103" s="59" t="str">
        <f>IF([2]道具信息!U103="","",[2]道具信息!U103)</f>
        <v/>
      </c>
      <c r="V103" s="59" t="str">
        <f>IF([2]道具信息!V103="","",[2]道具信息!V103)</f>
        <v/>
      </c>
      <c r="W103" s="59" t="str">
        <f>IF([2]道具信息!W103="","",[2]道具信息!W103)</f>
        <v/>
      </c>
      <c r="X103" s="59" t="str">
        <f>IF([2]道具信息!X103="","",[2]道具信息!X103)</f>
        <v/>
      </c>
      <c r="Y103" s="59" t="str">
        <f>IF([2]道具信息!Y103="","",[2]道具信息!Y103)</f>
        <v/>
      </c>
      <c r="Z103" s="59" t="str">
        <f>IF([2]道具信息!Z103="","",[2]道具信息!Z103)</f>
        <v/>
      </c>
    </row>
    <row r="104" spans="1:26" x14ac:dyDescent="0.15">
      <c r="A104" s="59" t="str">
        <f>IF([2]道具信息!A104="","",[2]道具信息!A104)</f>
        <v/>
      </c>
      <c r="B104" s="59" t="str">
        <f>IF([2]道具信息!B104="","",[2]道具信息!B104)</f>
        <v/>
      </c>
      <c r="C104" s="59" t="str">
        <f>IF([2]道具信息!C104="","",[2]道具信息!C104)</f>
        <v/>
      </c>
      <c r="D104" s="59" t="str">
        <f>IF([2]道具信息!D104="","",[2]道具信息!D104)</f>
        <v>指定紫色阵法</v>
      </c>
      <c r="E104" s="59">
        <f>IF([2]道具信息!E104="","",[2]道具信息!E104)</f>
        <v>1000</v>
      </c>
      <c r="F104" s="59">
        <f>IF([2]道具信息!F104="","",[2]道具信息!F104)</f>
        <v>1.5</v>
      </c>
      <c r="G104" s="59">
        <f>IF([2]道具信息!G104="","",[2]道具信息!G104)</f>
        <v>1</v>
      </c>
      <c r="H104" s="59">
        <f>IF([2]道具信息!H104="","",[2]道具信息!H104)</f>
        <v>1</v>
      </c>
      <c r="I104" s="59">
        <f>IF([2]道具信息!I104="","",[2]道具信息!I104)</f>
        <v>1500</v>
      </c>
      <c r="J104" s="59">
        <f>IF([2]道具信息!J104="","",[2]道具信息!J104)</f>
        <v>1000</v>
      </c>
      <c r="K104" s="59">
        <f>IF([2]道具信息!K104="","",[2]道具信息!K104)</f>
        <v>1000</v>
      </c>
      <c r="L104" s="59" t="str">
        <f>IF([2]道具信息!L104="","",[2]道具信息!L104)</f>
        <v/>
      </c>
      <c r="M104" s="59" t="str">
        <f>IF([2]道具信息!M104="","",[2]道具信息!M104)</f>
        <v/>
      </c>
      <c r="N104" s="59" t="str">
        <f>IF([2]道具信息!N104="","",[2]道具信息!N104)</f>
        <v/>
      </c>
      <c r="O104" s="59" t="str">
        <f>IF([2]道具信息!O104="","",[2]道具信息!O104)</f>
        <v/>
      </c>
      <c r="P104" s="59" t="str">
        <f>IF([2]道具信息!P104="","",[2]道具信息!P104)</f>
        <v/>
      </c>
      <c r="Q104" s="59" t="str">
        <f>IF([2]道具信息!Q104="","",[2]道具信息!Q104)</f>
        <v/>
      </c>
      <c r="R104" s="59" t="str">
        <f>IF([2]道具信息!R104="","",[2]道具信息!R104)</f>
        <v/>
      </c>
      <c r="S104" s="59" t="str">
        <f>IF([2]道具信息!S104="","",[2]道具信息!S104)</f>
        <v/>
      </c>
      <c r="T104" s="59" t="str">
        <f>IF([2]道具信息!T104="","",[2]道具信息!T104)</f>
        <v/>
      </c>
      <c r="U104" s="59" t="str">
        <f>IF([2]道具信息!U104="","",[2]道具信息!U104)</f>
        <v/>
      </c>
      <c r="V104" s="59" t="str">
        <f>IF([2]道具信息!V104="","",[2]道具信息!V104)</f>
        <v/>
      </c>
      <c r="W104" s="59" t="str">
        <f>IF([2]道具信息!W104="","",[2]道具信息!W104)</f>
        <v/>
      </c>
      <c r="X104" s="59" t="str">
        <f>IF([2]道具信息!X104="","",[2]道具信息!X104)</f>
        <v/>
      </c>
      <c r="Y104" s="59" t="str">
        <f>IF([2]道具信息!Y104="","",[2]道具信息!Y104)</f>
        <v/>
      </c>
      <c r="Z104" s="59" t="str">
        <f>IF([2]道具信息!Z104="","",[2]道具信息!Z104)</f>
        <v/>
      </c>
    </row>
    <row r="105" spans="1:26" x14ac:dyDescent="0.15">
      <c r="A105" s="59" t="str">
        <f>IF([2]道具信息!A105="","",[2]道具信息!A105)</f>
        <v/>
      </c>
      <c r="B105" s="59" t="str">
        <f>IF([2]道具信息!B105="","",[2]道具信息!B105)</f>
        <v/>
      </c>
      <c r="C105" s="59" t="str">
        <f>IF([2]道具信息!C105="","",[2]道具信息!C105)</f>
        <v/>
      </c>
      <c r="D105" s="59" t="str">
        <f>IF([2]道具信息!D105="","",[2]道具信息!D105)</f>
        <v>指定橙色阵法</v>
      </c>
      <c r="E105" s="59">
        <f>IF([2]道具信息!E105="","",[2]道具信息!E105)</f>
        <v>5000</v>
      </c>
      <c r="F105" s="59">
        <f>IF([2]道具信息!F105="","",[2]道具信息!F105)</f>
        <v>2</v>
      </c>
      <c r="G105" s="59">
        <f>IF([2]道具信息!G105="","",[2]道具信息!G105)</f>
        <v>1.5</v>
      </c>
      <c r="H105" s="59">
        <f>IF([2]道具信息!H105="","",[2]道具信息!H105)</f>
        <v>1</v>
      </c>
      <c r="I105" s="59">
        <f>IF([2]道具信息!I105="","",[2]道具信息!I105)</f>
        <v>10000</v>
      </c>
      <c r="J105" s="59">
        <f>IF([2]道具信息!J105="","",[2]道具信息!J105)</f>
        <v>7500</v>
      </c>
      <c r="K105" s="59">
        <f>IF([2]道具信息!K105="","",[2]道具信息!K105)</f>
        <v>5000</v>
      </c>
      <c r="L105" s="59" t="str">
        <f>IF([2]道具信息!L105="","",[2]道具信息!L105)</f>
        <v/>
      </c>
      <c r="M105" s="59" t="str">
        <f>IF([2]道具信息!M105="","",[2]道具信息!M105)</f>
        <v/>
      </c>
      <c r="N105" s="59" t="str">
        <f>IF([2]道具信息!N105="","",[2]道具信息!N105)</f>
        <v/>
      </c>
      <c r="O105" s="59" t="str">
        <f>IF([2]道具信息!O105="","",[2]道具信息!O105)</f>
        <v/>
      </c>
      <c r="P105" s="59" t="str">
        <f>IF([2]道具信息!P105="","",[2]道具信息!P105)</f>
        <v/>
      </c>
      <c r="Q105" s="59" t="str">
        <f>IF([2]道具信息!Q105="","",[2]道具信息!Q105)</f>
        <v/>
      </c>
      <c r="R105" s="59" t="str">
        <f>IF([2]道具信息!R105="","",[2]道具信息!R105)</f>
        <v/>
      </c>
      <c r="S105" s="59" t="str">
        <f>IF([2]道具信息!S105="","",[2]道具信息!S105)</f>
        <v/>
      </c>
      <c r="T105" s="59" t="str">
        <f>IF([2]道具信息!T105="","",[2]道具信息!T105)</f>
        <v/>
      </c>
      <c r="U105" s="59" t="str">
        <f>IF([2]道具信息!U105="","",[2]道具信息!U105)</f>
        <v/>
      </c>
      <c r="V105" s="59" t="str">
        <f>IF([2]道具信息!V105="","",[2]道具信息!V105)</f>
        <v/>
      </c>
      <c r="W105" s="59" t="str">
        <f>IF([2]道具信息!W105="","",[2]道具信息!W105)</f>
        <v/>
      </c>
      <c r="X105" s="59" t="str">
        <f>IF([2]道具信息!X105="","",[2]道具信息!X105)</f>
        <v/>
      </c>
      <c r="Y105" s="59" t="str">
        <f>IF([2]道具信息!Y105="","",[2]道具信息!Y105)</f>
        <v/>
      </c>
      <c r="Z105" s="59" t="str">
        <f>IF([2]道具信息!Z105="","",[2]道具信息!Z105)</f>
        <v/>
      </c>
    </row>
    <row r="106" spans="1:26" x14ac:dyDescent="0.15">
      <c r="A106" s="59" t="str">
        <f>IF([2]道具信息!A106="","",[2]道具信息!A106)</f>
        <v/>
      </c>
      <c r="B106" s="59" t="str">
        <f>IF([2]道具信息!B106="","",[2]道具信息!B106)</f>
        <v/>
      </c>
      <c r="C106" s="59" t="str">
        <f>IF([2]道具信息!C106="","",[2]道具信息!C106)</f>
        <v/>
      </c>
      <c r="D106" s="59" t="str">
        <f>IF([2]道具信息!D106="","",[2]道具信息!D106)</f>
        <v>指定红色阵法</v>
      </c>
      <c r="E106" s="59">
        <f>IF([2]道具信息!E106="","",[2]道具信息!E106)</f>
        <v>25000</v>
      </c>
      <c r="F106" s="59">
        <f>IF([2]道具信息!F106="","",[2]道具信息!F106)</f>
        <v>2</v>
      </c>
      <c r="G106" s="59">
        <f>IF([2]道具信息!G106="","",[2]道具信息!G106)</f>
        <v>1.5</v>
      </c>
      <c r="H106" s="59">
        <f>IF([2]道具信息!H106="","",[2]道具信息!H106)</f>
        <v>1</v>
      </c>
      <c r="I106" s="59">
        <f>IF([2]道具信息!I106="","",[2]道具信息!I106)</f>
        <v>50000</v>
      </c>
      <c r="J106" s="59">
        <f>IF([2]道具信息!J106="","",[2]道具信息!J106)</f>
        <v>37500</v>
      </c>
      <c r="K106" s="59">
        <f>IF([2]道具信息!K106="","",[2]道具信息!K106)</f>
        <v>25000</v>
      </c>
      <c r="L106" s="59" t="str">
        <f>IF([2]道具信息!L106="","",[2]道具信息!L106)</f>
        <v/>
      </c>
      <c r="M106" s="59" t="str">
        <f>IF([2]道具信息!M106="","",[2]道具信息!M106)</f>
        <v/>
      </c>
      <c r="N106" s="59" t="str">
        <f>IF([2]道具信息!N106="","",[2]道具信息!N106)</f>
        <v/>
      </c>
      <c r="O106" s="59" t="str">
        <f>IF([2]道具信息!O106="","",[2]道具信息!O106)</f>
        <v/>
      </c>
      <c r="P106" s="59" t="str">
        <f>IF([2]道具信息!P106="","",[2]道具信息!P106)</f>
        <v/>
      </c>
      <c r="Q106" s="59" t="str">
        <f>IF([2]道具信息!Q106="","",[2]道具信息!Q106)</f>
        <v/>
      </c>
      <c r="R106" s="59" t="str">
        <f>IF([2]道具信息!R106="","",[2]道具信息!R106)</f>
        <v/>
      </c>
      <c r="S106" s="59" t="str">
        <f>IF([2]道具信息!S106="","",[2]道具信息!S106)</f>
        <v/>
      </c>
      <c r="T106" s="59" t="str">
        <f>IF([2]道具信息!T106="","",[2]道具信息!T106)</f>
        <v/>
      </c>
      <c r="U106" s="59" t="str">
        <f>IF([2]道具信息!U106="","",[2]道具信息!U106)</f>
        <v/>
      </c>
      <c r="V106" s="59" t="str">
        <f>IF([2]道具信息!V106="","",[2]道具信息!V106)</f>
        <v/>
      </c>
      <c r="W106" s="59" t="str">
        <f>IF([2]道具信息!W106="","",[2]道具信息!W106)</f>
        <v/>
      </c>
      <c r="X106" s="59" t="str">
        <f>IF([2]道具信息!X106="","",[2]道具信息!X106)</f>
        <v/>
      </c>
      <c r="Y106" s="59" t="str">
        <f>IF([2]道具信息!Y106="","",[2]道具信息!Y106)</f>
        <v/>
      </c>
      <c r="Z106" s="59" t="str">
        <f>IF([2]道具信息!Z106="","",[2]道具信息!Z106)</f>
        <v/>
      </c>
    </row>
    <row r="107" spans="1:26" x14ac:dyDescent="0.15">
      <c r="A107" s="59" t="str">
        <f>IF([2]道具信息!A107="","",[2]道具信息!A107)</f>
        <v/>
      </c>
      <c r="B107" s="59" t="str">
        <f>IF([2]道具信息!B107="","",[2]道具信息!B107)</f>
        <v/>
      </c>
      <c r="C107" s="59" t="str">
        <f>IF([2]道具信息!C107="","",[2]道具信息!C107)</f>
        <v/>
      </c>
      <c r="D107" s="59" t="str">
        <f>IF([2]道具信息!D107="","",[2]道具信息!D107)</f>
        <v/>
      </c>
      <c r="E107" s="59" t="str">
        <f>IF([2]道具信息!E107="","",[2]道具信息!E107)</f>
        <v/>
      </c>
      <c r="F107" s="59">
        <f>IF([2]道具信息!F107="","",[2]道具信息!F107)</f>
        <v>1</v>
      </c>
      <c r="G107" s="59">
        <f>IF([2]道具信息!G107="","",[2]道具信息!G107)</f>
        <v>1</v>
      </c>
      <c r="H107" s="59">
        <f>IF([2]道具信息!H107="","",[2]道具信息!H107)</f>
        <v>1</v>
      </c>
      <c r="I107" s="59" t="str">
        <f>IF([2]道具信息!I107="","",[2]道具信息!I107)</f>
        <v/>
      </c>
      <c r="J107" s="59" t="str">
        <f>IF([2]道具信息!J107="","",[2]道具信息!J107)</f>
        <v/>
      </c>
      <c r="K107" s="59" t="str">
        <f>IF([2]道具信息!K107="","",[2]道具信息!K107)</f>
        <v/>
      </c>
      <c r="L107" s="59" t="str">
        <f>IF([2]道具信息!L107="","",[2]道具信息!L107)</f>
        <v/>
      </c>
      <c r="M107" s="59" t="str">
        <f>IF([2]道具信息!M107="","",[2]道具信息!M107)</f>
        <v/>
      </c>
      <c r="N107" s="59" t="str">
        <f>IF([2]道具信息!N107="","",[2]道具信息!N107)</f>
        <v/>
      </c>
      <c r="O107" s="59" t="str">
        <f>IF([2]道具信息!O107="","",[2]道具信息!O107)</f>
        <v/>
      </c>
      <c r="P107" s="59" t="str">
        <f>IF([2]道具信息!P107="","",[2]道具信息!P107)</f>
        <v/>
      </c>
      <c r="Q107" s="59" t="str">
        <f>IF([2]道具信息!Q107="","",[2]道具信息!Q107)</f>
        <v/>
      </c>
      <c r="R107" s="59" t="str">
        <f>IF([2]道具信息!R107="","",[2]道具信息!R107)</f>
        <v/>
      </c>
      <c r="S107" s="59" t="str">
        <f>IF([2]道具信息!S107="","",[2]道具信息!S107)</f>
        <v/>
      </c>
      <c r="T107" s="59" t="str">
        <f>IF([2]道具信息!T107="","",[2]道具信息!T107)</f>
        <v/>
      </c>
      <c r="U107" s="59" t="str">
        <f>IF([2]道具信息!U107="","",[2]道具信息!U107)</f>
        <v/>
      </c>
      <c r="V107" s="59" t="str">
        <f>IF([2]道具信息!V107="","",[2]道具信息!V107)</f>
        <v/>
      </c>
      <c r="W107" s="59" t="str">
        <f>IF([2]道具信息!W107="","",[2]道具信息!W107)</f>
        <v/>
      </c>
      <c r="X107" s="59" t="str">
        <f>IF([2]道具信息!X107="","",[2]道具信息!X107)</f>
        <v/>
      </c>
      <c r="Y107" s="59" t="str">
        <f>IF([2]道具信息!Y107="","",[2]道具信息!Y107)</f>
        <v/>
      </c>
      <c r="Z107" s="59" t="str">
        <f>IF([2]道具信息!Z107="","",[2]道具信息!Z107)</f>
        <v/>
      </c>
    </row>
    <row r="108" spans="1:26" x14ac:dyDescent="0.15">
      <c r="A108" s="59" t="str">
        <f>IF([2]道具信息!A108="","",[2]道具信息!A108)</f>
        <v/>
      </c>
      <c r="B108" s="59" t="str">
        <f>IF([2]道具信息!B108="","",[2]道具信息!B108)</f>
        <v/>
      </c>
      <c r="C108" s="59" t="str">
        <f>IF([2]道具信息!C108="","",[2]道具信息!C108)</f>
        <v/>
      </c>
      <c r="D108" s="59" t="str">
        <f>IF([2]道具信息!D108="","",[2]道具信息!D108)</f>
        <v>指定紫色阵法碎片</v>
      </c>
      <c r="E108" s="59">
        <f>IF([2]道具信息!E108="","",[2]道具信息!E108)</f>
        <v>100</v>
      </c>
      <c r="F108" s="59">
        <f>IF([2]道具信息!F108="","",[2]道具信息!F108)</f>
        <v>1.5</v>
      </c>
      <c r="G108" s="59">
        <f>IF([2]道具信息!G108="","",[2]道具信息!G108)</f>
        <v>1</v>
      </c>
      <c r="H108" s="59">
        <f>IF([2]道具信息!H108="","",[2]道具信息!H108)</f>
        <v>1</v>
      </c>
      <c r="I108" s="59">
        <f>IF([2]道具信息!I108="","",[2]道具信息!I108)</f>
        <v>150</v>
      </c>
      <c r="J108" s="59">
        <f>IF([2]道具信息!J108="","",[2]道具信息!J108)</f>
        <v>100</v>
      </c>
      <c r="K108" s="59">
        <f>IF([2]道具信息!K108="","",[2]道具信息!K108)</f>
        <v>100</v>
      </c>
      <c r="L108" s="59" t="str">
        <f>IF([2]道具信息!L108="","",[2]道具信息!L108)</f>
        <v/>
      </c>
      <c r="M108" s="59" t="str">
        <f>IF([2]道具信息!M108="","",[2]道具信息!M108)</f>
        <v/>
      </c>
      <c r="N108" s="59" t="str">
        <f>IF([2]道具信息!N108="","",[2]道具信息!N108)</f>
        <v/>
      </c>
      <c r="O108" s="59" t="str">
        <f>IF([2]道具信息!O108="","",[2]道具信息!O108)</f>
        <v/>
      </c>
      <c r="P108" s="59" t="str">
        <f>IF([2]道具信息!P108="","",[2]道具信息!P108)</f>
        <v/>
      </c>
      <c r="Q108" s="59" t="str">
        <f>IF([2]道具信息!Q108="","",[2]道具信息!Q108)</f>
        <v/>
      </c>
      <c r="R108" s="59" t="str">
        <f>IF([2]道具信息!R108="","",[2]道具信息!R108)</f>
        <v/>
      </c>
      <c r="S108" s="59" t="str">
        <f>IF([2]道具信息!S108="","",[2]道具信息!S108)</f>
        <v/>
      </c>
      <c r="T108" s="59" t="str">
        <f>IF([2]道具信息!T108="","",[2]道具信息!T108)</f>
        <v/>
      </c>
      <c r="U108" s="59" t="str">
        <f>IF([2]道具信息!U108="","",[2]道具信息!U108)</f>
        <v/>
      </c>
      <c r="V108" s="59" t="str">
        <f>IF([2]道具信息!V108="","",[2]道具信息!V108)</f>
        <v/>
      </c>
      <c r="W108" s="59" t="str">
        <f>IF([2]道具信息!W108="","",[2]道具信息!W108)</f>
        <v/>
      </c>
      <c r="X108" s="59" t="str">
        <f>IF([2]道具信息!X108="","",[2]道具信息!X108)</f>
        <v/>
      </c>
      <c r="Y108" s="59" t="str">
        <f>IF([2]道具信息!Y108="","",[2]道具信息!Y108)</f>
        <v/>
      </c>
      <c r="Z108" s="59" t="str">
        <f>IF([2]道具信息!Z108="","",[2]道具信息!Z108)</f>
        <v/>
      </c>
    </row>
    <row r="109" spans="1:26" x14ac:dyDescent="0.15">
      <c r="A109" s="59" t="str">
        <f>IF([2]道具信息!A109="","",[2]道具信息!A109)</f>
        <v/>
      </c>
      <c r="B109" s="59" t="str">
        <f>IF([2]道具信息!B109="","",[2]道具信息!B109)</f>
        <v/>
      </c>
      <c r="C109" s="59" t="str">
        <f>IF([2]道具信息!C109="","",[2]道具信息!C109)</f>
        <v/>
      </c>
      <c r="D109" s="59" t="str">
        <f>IF([2]道具信息!D109="","",[2]道具信息!D109)</f>
        <v>指定橙色阵法碎片</v>
      </c>
      <c r="E109" s="59">
        <f>IF([2]道具信息!E109="","",[2]道具信息!E109)</f>
        <v>166.66666666666666</v>
      </c>
      <c r="F109" s="59">
        <f>IF([2]道具信息!F109="","",[2]道具信息!F109)</f>
        <v>2</v>
      </c>
      <c r="G109" s="59">
        <f>IF([2]道具信息!G109="","",[2]道具信息!G109)</f>
        <v>1.5</v>
      </c>
      <c r="H109" s="59">
        <f>IF([2]道具信息!H109="","",[2]道具信息!H109)</f>
        <v>1</v>
      </c>
      <c r="I109" s="59">
        <f>IF([2]道具信息!I109="","",[2]道具信息!I109)</f>
        <v>333.33333333333331</v>
      </c>
      <c r="J109" s="59">
        <f>IF([2]道具信息!J109="","",[2]道具信息!J109)</f>
        <v>250</v>
      </c>
      <c r="K109" s="59">
        <f>IF([2]道具信息!K109="","",[2]道具信息!K109)</f>
        <v>166.66666666666666</v>
      </c>
      <c r="L109" s="59" t="str">
        <f>IF([2]道具信息!L109="","",[2]道具信息!L109)</f>
        <v/>
      </c>
      <c r="M109" s="59" t="str">
        <f>IF([2]道具信息!M109="","",[2]道具信息!M109)</f>
        <v/>
      </c>
      <c r="N109" s="59" t="str">
        <f>IF([2]道具信息!N109="","",[2]道具信息!N109)</f>
        <v/>
      </c>
      <c r="O109" s="59" t="str">
        <f>IF([2]道具信息!O109="","",[2]道具信息!O109)</f>
        <v/>
      </c>
      <c r="P109" s="59" t="str">
        <f>IF([2]道具信息!P109="","",[2]道具信息!P109)</f>
        <v/>
      </c>
      <c r="Q109" s="59" t="str">
        <f>IF([2]道具信息!Q109="","",[2]道具信息!Q109)</f>
        <v/>
      </c>
      <c r="R109" s="59" t="str">
        <f>IF([2]道具信息!R109="","",[2]道具信息!R109)</f>
        <v/>
      </c>
      <c r="S109" s="59" t="str">
        <f>IF([2]道具信息!S109="","",[2]道具信息!S109)</f>
        <v/>
      </c>
      <c r="T109" s="59" t="str">
        <f>IF([2]道具信息!T109="","",[2]道具信息!T109)</f>
        <v/>
      </c>
      <c r="U109" s="59" t="str">
        <f>IF([2]道具信息!U109="","",[2]道具信息!U109)</f>
        <v/>
      </c>
      <c r="V109" s="59" t="str">
        <f>IF([2]道具信息!V109="","",[2]道具信息!V109)</f>
        <v/>
      </c>
      <c r="W109" s="59" t="str">
        <f>IF([2]道具信息!W109="","",[2]道具信息!W109)</f>
        <v/>
      </c>
      <c r="X109" s="59" t="str">
        <f>IF([2]道具信息!X109="","",[2]道具信息!X109)</f>
        <v/>
      </c>
      <c r="Y109" s="59" t="str">
        <f>IF([2]道具信息!Y109="","",[2]道具信息!Y109)</f>
        <v/>
      </c>
      <c r="Z109" s="59" t="str">
        <f>IF([2]道具信息!Z109="","",[2]道具信息!Z109)</f>
        <v/>
      </c>
    </row>
    <row r="110" spans="1:26" x14ac:dyDescent="0.15">
      <c r="A110" s="59" t="str">
        <f>IF([2]道具信息!A110="","",[2]道具信息!A110)</f>
        <v/>
      </c>
      <c r="B110" s="59" t="str">
        <f>IF([2]道具信息!B110="","",[2]道具信息!B110)</f>
        <v/>
      </c>
      <c r="C110" s="59" t="str">
        <f>IF([2]道具信息!C110="","",[2]道具信息!C110)</f>
        <v/>
      </c>
      <c r="D110" s="59" t="str">
        <f>IF([2]道具信息!D110="","",[2]道具信息!D110)</f>
        <v>指定红色阵法碎片</v>
      </c>
      <c r="E110" s="59">
        <f>IF([2]道具信息!E110="","",[2]道具信息!E110)</f>
        <v>500</v>
      </c>
      <c r="F110" s="59">
        <f>IF([2]道具信息!F110="","",[2]道具信息!F110)</f>
        <v>2</v>
      </c>
      <c r="G110" s="59">
        <f>IF([2]道具信息!G110="","",[2]道具信息!G110)</f>
        <v>1.5</v>
      </c>
      <c r="H110" s="59">
        <f>IF([2]道具信息!H110="","",[2]道具信息!H110)</f>
        <v>1</v>
      </c>
      <c r="I110" s="59">
        <f>IF([2]道具信息!I110="","",[2]道具信息!I110)</f>
        <v>1000</v>
      </c>
      <c r="J110" s="59">
        <f>IF([2]道具信息!J110="","",[2]道具信息!J110)</f>
        <v>750</v>
      </c>
      <c r="K110" s="59">
        <f>IF([2]道具信息!K110="","",[2]道具信息!K110)</f>
        <v>500</v>
      </c>
      <c r="L110" s="59" t="str">
        <f>IF([2]道具信息!L110="","",[2]道具信息!L110)</f>
        <v/>
      </c>
      <c r="M110" s="59" t="str">
        <f>IF([2]道具信息!M110="","",[2]道具信息!M110)</f>
        <v/>
      </c>
      <c r="N110" s="59" t="str">
        <f>IF([2]道具信息!N110="","",[2]道具信息!N110)</f>
        <v/>
      </c>
      <c r="O110" s="59" t="str">
        <f>IF([2]道具信息!O110="","",[2]道具信息!O110)</f>
        <v/>
      </c>
      <c r="P110" s="59" t="str">
        <f>IF([2]道具信息!P110="","",[2]道具信息!P110)</f>
        <v/>
      </c>
      <c r="Q110" s="59" t="str">
        <f>IF([2]道具信息!Q110="","",[2]道具信息!Q110)</f>
        <v/>
      </c>
      <c r="R110" s="59" t="str">
        <f>IF([2]道具信息!R110="","",[2]道具信息!R110)</f>
        <v/>
      </c>
      <c r="S110" s="59" t="str">
        <f>IF([2]道具信息!S110="","",[2]道具信息!S110)</f>
        <v/>
      </c>
      <c r="T110" s="59" t="str">
        <f>IF([2]道具信息!T110="","",[2]道具信息!T110)</f>
        <v/>
      </c>
      <c r="U110" s="59" t="str">
        <f>IF([2]道具信息!U110="","",[2]道具信息!U110)</f>
        <v/>
      </c>
      <c r="V110" s="59" t="str">
        <f>IF([2]道具信息!V110="","",[2]道具信息!V110)</f>
        <v/>
      </c>
      <c r="W110" s="59" t="str">
        <f>IF([2]道具信息!W110="","",[2]道具信息!W110)</f>
        <v/>
      </c>
      <c r="X110" s="59" t="str">
        <f>IF([2]道具信息!X110="","",[2]道具信息!X110)</f>
        <v/>
      </c>
      <c r="Y110" s="59" t="str">
        <f>IF([2]道具信息!Y110="","",[2]道具信息!Y110)</f>
        <v/>
      </c>
      <c r="Z110" s="59" t="str">
        <f>IF([2]道具信息!Z110="","",[2]道具信息!Z110)</f>
        <v/>
      </c>
    </row>
    <row r="111" spans="1:26" x14ac:dyDescent="0.15">
      <c r="A111" s="59" t="str">
        <f>IF([2]道具信息!A111="","",[2]道具信息!A111)</f>
        <v/>
      </c>
      <c r="B111" s="59" t="str">
        <f>IF([2]道具信息!B111="","",[2]道具信息!B111)</f>
        <v/>
      </c>
      <c r="C111" s="59" t="str">
        <f>IF([2]道具信息!C111="","",[2]道具信息!C111)</f>
        <v/>
      </c>
      <c r="D111" s="59" t="str">
        <f>IF([2]道具信息!D111="","",[2]道具信息!D111)</f>
        <v/>
      </c>
      <c r="E111" s="59" t="str">
        <f>IF([2]道具信息!E111="","",[2]道具信息!E111)</f>
        <v/>
      </c>
      <c r="F111" s="59">
        <f>IF([2]道具信息!F111="","",[2]道具信息!F111)</f>
        <v>1</v>
      </c>
      <c r="G111" s="59">
        <f>IF([2]道具信息!G111="","",[2]道具信息!G111)</f>
        <v>1</v>
      </c>
      <c r="H111" s="59">
        <f>IF([2]道具信息!H111="","",[2]道具信息!H111)</f>
        <v>1</v>
      </c>
      <c r="I111" s="59" t="str">
        <f>IF([2]道具信息!I111="","",[2]道具信息!I111)</f>
        <v/>
      </c>
      <c r="J111" s="59" t="str">
        <f>IF([2]道具信息!J111="","",[2]道具信息!J111)</f>
        <v/>
      </c>
      <c r="K111" s="59" t="str">
        <f>IF([2]道具信息!K111="","",[2]道具信息!K111)</f>
        <v/>
      </c>
      <c r="L111" s="59" t="str">
        <f>IF([2]道具信息!L111="","",[2]道具信息!L111)</f>
        <v/>
      </c>
      <c r="M111" s="59" t="str">
        <f>IF([2]道具信息!M111="","",[2]道具信息!M111)</f>
        <v/>
      </c>
      <c r="N111" s="59" t="str">
        <f>IF([2]道具信息!N111="","",[2]道具信息!N111)</f>
        <v/>
      </c>
      <c r="O111" s="59" t="str">
        <f>IF([2]道具信息!O111="","",[2]道具信息!O111)</f>
        <v/>
      </c>
      <c r="P111" s="59" t="str">
        <f>IF([2]道具信息!P111="","",[2]道具信息!P111)</f>
        <v/>
      </c>
      <c r="Q111" s="59" t="str">
        <f>IF([2]道具信息!Q111="","",[2]道具信息!Q111)</f>
        <v/>
      </c>
      <c r="R111" s="59" t="str">
        <f>IF([2]道具信息!R111="","",[2]道具信息!R111)</f>
        <v/>
      </c>
      <c r="S111" s="59" t="str">
        <f>IF([2]道具信息!S111="","",[2]道具信息!S111)</f>
        <v/>
      </c>
      <c r="T111" s="59" t="str">
        <f>IF([2]道具信息!T111="","",[2]道具信息!T111)</f>
        <v/>
      </c>
      <c r="U111" s="59" t="str">
        <f>IF([2]道具信息!U111="","",[2]道具信息!U111)</f>
        <v/>
      </c>
      <c r="V111" s="59" t="str">
        <f>IF([2]道具信息!V111="","",[2]道具信息!V111)</f>
        <v/>
      </c>
      <c r="W111" s="59" t="str">
        <f>IF([2]道具信息!W111="","",[2]道具信息!W111)</f>
        <v/>
      </c>
      <c r="X111" s="59" t="str">
        <f>IF([2]道具信息!X111="","",[2]道具信息!X111)</f>
        <v/>
      </c>
      <c r="Y111" s="59" t="str">
        <f>IF([2]道具信息!Y111="","",[2]道具信息!Y111)</f>
        <v/>
      </c>
      <c r="Z111" s="59" t="str">
        <f>IF([2]道具信息!Z111="","",[2]道具信息!Z111)</f>
        <v/>
      </c>
    </row>
    <row r="112" spans="1:26" x14ac:dyDescent="0.15">
      <c r="A112" s="59" t="str">
        <f>IF([2]道具信息!A112="","",[2]道具信息!A112)</f>
        <v/>
      </c>
      <c r="B112" s="59" t="str">
        <f>IF([2]道具信息!B112="","",[2]道具信息!B112)</f>
        <v/>
      </c>
      <c r="C112" s="59" t="str">
        <f>IF([2]道具信息!C112="","",[2]道具信息!C112)</f>
        <v/>
      </c>
      <c r="D112" s="59" t="str">
        <f>IF([2]道具信息!D112="","",[2]道具信息!D112)</f>
        <v>阵意</v>
      </c>
      <c r="E112" s="59">
        <f>IF([2]道具信息!E112="","",[2]道具信息!E112)</f>
        <v>100</v>
      </c>
      <c r="F112" s="59">
        <f>IF([2]道具信息!F112="","",[2]道具信息!F112)</f>
        <v>1</v>
      </c>
      <c r="G112" s="59">
        <f>IF([2]道具信息!G112="","",[2]道具信息!G112)</f>
        <v>1</v>
      </c>
      <c r="H112" s="59">
        <f>IF([2]道具信息!H112="","",[2]道具信息!H112)</f>
        <v>1</v>
      </c>
      <c r="I112" s="59">
        <f>IF([2]道具信息!I112="","",[2]道具信息!I112)</f>
        <v>100</v>
      </c>
      <c r="J112" s="59">
        <f>IF([2]道具信息!J112="","",[2]道具信息!J112)</f>
        <v>100</v>
      </c>
      <c r="K112" s="59">
        <f>IF([2]道具信息!K112="","",[2]道具信息!K112)</f>
        <v>100</v>
      </c>
      <c r="L112" s="59" t="str">
        <f>IF([2]道具信息!L112="","",[2]道具信息!L112)</f>
        <v/>
      </c>
      <c r="M112" s="59" t="str">
        <f>IF([2]道具信息!M112="","",[2]道具信息!M112)</f>
        <v/>
      </c>
      <c r="N112" s="59" t="str">
        <f>IF([2]道具信息!N112="","",[2]道具信息!N112)</f>
        <v/>
      </c>
      <c r="O112" s="59" t="str">
        <f>IF([2]道具信息!O112="","",[2]道具信息!O112)</f>
        <v/>
      </c>
      <c r="P112" s="59" t="str">
        <f>IF([2]道具信息!P112="","",[2]道具信息!P112)</f>
        <v/>
      </c>
      <c r="Q112" s="59" t="str">
        <f>IF([2]道具信息!Q112="","",[2]道具信息!Q112)</f>
        <v/>
      </c>
      <c r="R112" s="59" t="str">
        <f>IF([2]道具信息!R112="","",[2]道具信息!R112)</f>
        <v/>
      </c>
      <c r="S112" s="59" t="str">
        <f>IF([2]道具信息!S112="","",[2]道具信息!S112)</f>
        <v/>
      </c>
      <c r="T112" s="59" t="str">
        <f>IF([2]道具信息!T112="","",[2]道具信息!T112)</f>
        <v/>
      </c>
      <c r="U112" s="59" t="str">
        <f>IF([2]道具信息!U112="","",[2]道具信息!U112)</f>
        <v/>
      </c>
      <c r="V112" s="59" t="str">
        <f>IF([2]道具信息!V112="","",[2]道具信息!V112)</f>
        <v/>
      </c>
      <c r="W112" s="59" t="str">
        <f>IF([2]道具信息!W112="","",[2]道具信息!W112)</f>
        <v/>
      </c>
      <c r="X112" s="59" t="str">
        <f>IF([2]道具信息!X112="","",[2]道具信息!X112)</f>
        <v/>
      </c>
      <c r="Y112" s="59" t="str">
        <f>IF([2]道具信息!Y112="","",[2]道具信息!Y112)</f>
        <v/>
      </c>
      <c r="Z112" s="59" t="str">
        <f>IF([2]道具信息!Z112="","",[2]道具信息!Z112)</f>
        <v/>
      </c>
    </row>
    <row r="113" spans="1:26" x14ac:dyDescent="0.15">
      <c r="A113" s="59" t="str">
        <f>IF([2]道具信息!A113="","",[2]道具信息!A113)</f>
        <v/>
      </c>
      <c r="B113" s="59" t="str">
        <f>IF([2]道具信息!B113="","",[2]道具信息!B113)</f>
        <v/>
      </c>
      <c r="C113" s="59" t="str">
        <f>IF([2]道具信息!C113="","",[2]道具信息!C113)</f>
        <v/>
      </c>
      <c r="D113" s="59" t="str">
        <f>IF([2]道具信息!D113="","",[2]道具信息!D113)</f>
        <v>阵法心得</v>
      </c>
      <c r="E113" s="59">
        <f>IF([2]道具信息!E113="","",[2]道具信息!E113)</f>
        <v>100</v>
      </c>
      <c r="F113" s="59">
        <f>IF([2]道具信息!F113="","",[2]道具信息!F113)</f>
        <v>1</v>
      </c>
      <c r="G113" s="59">
        <f>IF([2]道具信息!G113="","",[2]道具信息!G113)</f>
        <v>1</v>
      </c>
      <c r="H113" s="59">
        <f>IF([2]道具信息!H113="","",[2]道具信息!H113)</f>
        <v>1</v>
      </c>
      <c r="I113" s="59">
        <f>IF([2]道具信息!I113="","",[2]道具信息!I113)</f>
        <v>100</v>
      </c>
      <c r="J113" s="59">
        <f>IF([2]道具信息!J113="","",[2]道具信息!J113)</f>
        <v>100</v>
      </c>
      <c r="K113" s="59">
        <f>IF([2]道具信息!K113="","",[2]道具信息!K113)</f>
        <v>100</v>
      </c>
      <c r="L113" s="59" t="str">
        <f>IF([2]道具信息!L113="","",[2]道具信息!L113)</f>
        <v/>
      </c>
      <c r="M113" s="59" t="str">
        <f>IF([2]道具信息!M113="","",[2]道具信息!M113)</f>
        <v/>
      </c>
      <c r="N113" s="59" t="str">
        <f>IF([2]道具信息!N113="","",[2]道具信息!N113)</f>
        <v/>
      </c>
      <c r="O113" s="59" t="str">
        <f>IF([2]道具信息!O113="","",[2]道具信息!O113)</f>
        <v/>
      </c>
      <c r="P113" s="59" t="str">
        <f>IF([2]道具信息!P113="","",[2]道具信息!P113)</f>
        <v/>
      </c>
      <c r="Q113" s="59" t="str">
        <f>IF([2]道具信息!Q113="","",[2]道具信息!Q113)</f>
        <v/>
      </c>
      <c r="R113" s="59" t="str">
        <f>IF([2]道具信息!R113="","",[2]道具信息!R113)</f>
        <v/>
      </c>
      <c r="S113" s="59" t="str">
        <f>IF([2]道具信息!S113="","",[2]道具信息!S113)</f>
        <v/>
      </c>
      <c r="T113" s="59" t="str">
        <f>IF([2]道具信息!T113="","",[2]道具信息!T113)</f>
        <v/>
      </c>
      <c r="U113" s="59" t="str">
        <f>IF([2]道具信息!U113="","",[2]道具信息!U113)</f>
        <v/>
      </c>
      <c r="V113" s="59" t="str">
        <f>IF([2]道具信息!V113="","",[2]道具信息!V113)</f>
        <v/>
      </c>
      <c r="W113" s="59" t="str">
        <f>IF([2]道具信息!W113="","",[2]道具信息!W113)</f>
        <v/>
      </c>
      <c r="X113" s="59" t="str">
        <f>IF([2]道具信息!X113="","",[2]道具信息!X113)</f>
        <v/>
      </c>
      <c r="Y113" s="59" t="str">
        <f>IF([2]道具信息!Y113="","",[2]道具信息!Y113)</f>
        <v/>
      </c>
      <c r="Z113" s="59" t="str">
        <f>IF([2]道具信息!Z113="","",[2]道具信息!Z113)</f>
        <v/>
      </c>
    </row>
    <row r="114" spans="1:26" x14ac:dyDescent="0.15">
      <c r="A114" s="59" t="str">
        <f>IF([2]道具信息!A114="","",[2]道具信息!A114)</f>
        <v/>
      </c>
      <c r="B114" s="59" t="str">
        <f>IF([2]道具信息!B114="","",[2]道具信息!B114)</f>
        <v/>
      </c>
      <c r="C114" s="59" t="str">
        <f>IF([2]道具信息!C114="","",[2]道具信息!C114)</f>
        <v/>
      </c>
      <c r="D114" s="59" t="str">
        <f>IF([2]道具信息!D114="","",[2]道具信息!D114)</f>
        <v>1级阵旗</v>
      </c>
      <c r="E114" s="59">
        <f>IF([2]道具信息!E114="","",[2]道具信息!E114)</f>
        <v>11</v>
      </c>
      <c r="F114" s="59">
        <f>IF([2]道具信息!F114="","",[2]道具信息!F114)</f>
        <v>1</v>
      </c>
      <c r="G114" s="59">
        <f>IF([2]道具信息!G114="","",[2]道具信息!G114)</f>
        <v>1</v>
      </c>
      <c r="H114" s="59">
        <f>IF([2]道具信息!H114="","",[2]道具信息!H114)</f>
        <v>1</v>
      </c>
      <c r="I114" s="59">
        <f>IF([2]道具信息!I114="","",[2]道具信息!I114)</f>
        <v>11</v>
      </c>
      <c r="J114" s="59">
        <f>IF([2]道具信息!J114="","",[2]道具信息!J114)</f>
        <v>11</v>
      </c>
      <c r="K114" s="59">
        <f>IF([2]道具信息!K114="","",[2]道具信息!K114)</f>
        <v>11</v>
      </c>
      <c r="L114" s="59" t="str">
        <f>IF([2]道具信息!L114="","",[2]道具信息!L114)</f>
        <v/>
      </c>
      <c r="M114" s="59" t="str">
        <f>IF([2]道具信息!M114="","",[2]道具信息!M114)</f>
        <v/>
      </c>
      <c r="N114" s="59" t="str">
        <f>IF([2]道具信息!N114="","",[2]道具信息!N114)</f>
        <v/>
      </c>
      <c r="O114" s="59" t="str">
        <f>IF([2]道具信息!O114="","",[2]道具信息!O114)</f>
        <v/>
      </c>
      <c r="P114" s="59" t="str">
        <f>IF([2]道具信息!P114="","",[2]道具信息!P114)</f>
        <v/>
      </c>
      <c r="Q114" s="59" t="str">
        <f>IF([2]道具信息!Q114="","",[2]道具信息!Q114)</f>
        <v/>
      </c>
      <c r="R114" s="59" t="str">
        <f>IF([2]道具信息!R114="","",[2]道具信息!R114)</f>
        <v/>
      </c>
      <c r="S114" s="59" t="str">
        <f>IF([2]道具信息!S114="","",[2]道具信息!S114)</f>
        <v/>
      </c>
      <c r="T114" s="59" t="str">
        <f>IF([2]道具信息!T114="","",[2]道具信息!T114)</f>
        <v/>
      </c>
      <c r="U114" s="59" t="str">
        <f>IF([2]道具信息!U114="","",[2]道具信息!U114)</f>
        <v/>
      </c>
      <c r="V114" s="59" t="str">
        <f>IF([2]道具信息!V114="","",[2]道具信息!V114)</f>
        <v/>
      </c>
      <c r="W114" s="59" t="str">
        <f>IF([2]道具信息!W114="","",[2]道具信息!W114)</f>
        <v/>
      </c>
      <c r="X114" s="59" t="str">
        <f>IF([2]道具信息!X114="","",[2]道具信息!X114)</f>
        <v/>
      </c>
      <c r="Y114" s="59" t="str">
        <f>IF([2]道具信息!Y114="","",[2]道具信息!Y114)</f>
        <v/>
      </c>
      <c r="Z114" s="59" t="str">
        <f>IF([2]道具信息!Z114="","",[2]道具信息!Z114)</f>
        <v/>
      </c>
    </row>
    <row r="115" spans="1:26" x14ac:dyDescent="0.15">
      <c r="A115" s="59" t="str">
        <f>IF([2]道具信息!A115="","",[2]道具信息!A115)</f>
        <v/>
      </c>
      <c r="B115" s="59" t="str">
        <f>IF([2]道具信息!B115="","",[2]道具信息!B115)</f>
        <v/>
      </c>
      <c r="C115" s="59" t="str">
        <f>IF([2]道具信息!C115="","",[2]道具信息!C115)</f>
        <v/>
      </c>
      <c r="D115" s="59" t="str">
        <f>IF([2]道具信息!D115="","",[2]道具信息!D115)</f>
        <v>2级阵旗</v>
      </c>
      <c r="E115" s="59">
        <f>IF([2]道具信息!E115="","",[2]道具信息!E115)</f>
        <v>143</v>
      </c>
      <c r="F115" s="59">
        <f>IF([2]道具信息!F115="","",[2]道具信息!F115)</f>
        <v>1</v>
      </c>
      <c r="G115" s="59">
        <f>IF([2]道具信息!G115="","",[2]道具信息!G115)</f>
        <v>1</v>
      </c>
      <c r="H115" s="59">
        <f>IF([2]道具信息!H115="","",[2]道具信息!H115)</f>
        <v>1</v>
      </c>
      <c r="I115" s="59">
        <f>IF([2]道具信息!I115="","",[2]道具信息!I115)</f>
        <v>143</v>
      </c>
      <c r="J115" s="59">
        <f>IF([2]道具信息!J115="","",[2]道具信息!J115)</f>
        <v>143</v>
      </c>
      <c r="K115" s="59">
        <f>IF([2]道具信息!K115="","",[2]道具信息!K115)</f>
        <v>143</v>
      </c>
      <c r="L115" s="59" t="str">
        <f>IF([2]道具信息!L115="","",[2]道具信息!L115)</f>
        <v/>
      </c>
      <c r="M115" s="59" t="str">
        <f>IF([2]道具信息!M115="","",[2]道具信息!M115)</f>
        <v/>
      </c>
      <c r="N115" s="59" t="str">
        <f>IF([2]道具信息!N115="","",[2]道具信息!N115)</f>
        <v/>
      </c>
      <c r="O115" s="59" t="str">
        <f>IF([2]道具信息!O115="","",[2]道具信息!O115)</f>
        <v/>
      </c>
      <c r="P115" s="59" t="str">
        <f>IF([2]道具信息!P115="","",[2]道具信息!P115)</f>
        <v/>
      </c>
      <c r="Q115" s="59" t="str">
        <f>IF([2]道具信息!Q115="","",[2]道具信息!Q115)</f>
        <v/>
      </c>
      <c r="R115" s="59" t="str">
        <f>IF([2]道具信息!R115="","",[2]道具信息!R115)</f>
        <v/>
      </c>
      <c r="S115" s="59" t="str">
        <f>IF([2]道具信息!S115="","",[2]道具信息!S115)</f>
        <v/>
      </c>
      <c r="T115" s="59" t="str">
        <f>IF([2]道具信息!T115="","",[2]道具信息!T115)</f>
        <v/>
      </c>
      <c r="U115" s="59" t="str">
        <f>IF([2]道具信息!U115="","",[2]道具信息!U115)</f>
        <v/>
      </c>
      <c r="V115" s="59" t="str">
        <f>IF([2]道具信息!V115="","",[2]道具信息!V115)</f>
        <v/>
      </c>
      <c r="W115" s="59" t="str">
        <f>IF([2]道具信息!W115="","",[2]道具信息!W115)</f>
        <v/>
      </c>
      <c r="X115" s="59" t="str">
        <f>IF([2]道具信息!X115="","",[2]道具信息!X115)</f>
        <v/>
      </c>
      <c r="Y115" s="59" t="str">
        <f>IF([2]道具信息!Y115="","",[2]道具信息!Y115)</f>
        <v/>
      </c>
      <c r="Z115" s="59" t="str">
        <f>IF([2]道具信息!Z115="","",[2]道具信息!Z115)</f>
        <v/>
      </c>
    </row>
    <row r="116" spans="1:26" x14ac:dyDescent="0.15">
      <c r="A116" s="59" t="str">
        <f>IF([2]道具信息!A116="","",[2]道具信息!A116)</f>
        <v/>
      </c>
      <c r="B116" s="59" t="str">
        <f>IF([2]道具信息!B116="","",[2]道具信息!B116)</f>
        <v/>
      </c>
      <c r="C116" s="59" t="str">
        <f>IF([2]道具信息!C116="","",[2]道具信息!C116)</f>
        <v/>
      </c>
      <c r="D116" s="59" t="str">
        <f>IF([2]道具信息!D116="","",[2]道具信息!D116)</f>
        <v>3级阵旗</v>
      </c>
      <c r="E116" s="59">
        <f>IF([2]道具信息!E116="","",[2]道具信息!E116)</f>
        <v>935</v>
      </c>
      <c r="F116" s="59">
        <f>IF([2]道具信息!F116="","",[2]道具信息!F116)</f>
        <v>1</v>
      </c>
      <c r="G116" s="59">
        <f>IF([2]道具信息!G116="","",[2]道具信息!G116)</f>
        <v>1</v>
      </c>
      <c r="H116" s="59">
        <f>IF([2]道具信息!H116="","",[2]道具信息!H116)</f>
        <v>1</v>
      </c>
      <c r="I116" s="59">
        <f>IF([2]道具信息!I116="","",[2]道具信息!I116)</f>
        <v>935</v>
      </c>
      <c r="J116" s="59">
        <f>IF([2]道具信息!J116="","",[2]道具信息!J116)</f>
        <v>935</v>
      </c>
      <c r="K116" s="59">
        <f>IF([2]道具信息!K116="","",[2]道具信息!K116)</f>
        <v>935</v>
      </c>
      <c r="L116" s="59" t="str">
        <f>IF([2]道具信息!L116="","",[2]道具信息!L116)</f>
        <v/>
      </c>
      <c r="M116" s="59" t="str">
        <f>IF([2]道具信息!M116="","",[2]道具信息!M116)</f>
        <v/>
      </c>
      <c r="N116" s="59" t="str">
        <f>IF([2]道具信息!N116="","",[2]道具信息!N116)</f>
        <v/>
      </c>
      <c r="O116" s="59" t="str">
        <f>IF([2]道具信息!O116="","",[2]道具信息!O116)</f>
        <v/>
      </c>
      <c r="P116" s="59" t="str">
        <f>IF([2]道具信息!P116="","",[2]道具信息!P116)</f>
        <v/>
      </c>
      <c r="Q116" s="59" t="str">
        <f>IF([2]道具信息!Q116="","",[2]道具信息!Q116)</f>
        <v/>
      </c>
      <c r="R116" s="59" t="str">
        <f>IF([2]道具信息!R116="","",[2]道具信息!R116)</f>
        <v/>
      </c>
      <c r="S116" s="59" t="str">
        <f>IF([2]道具信息!S116="","",[2]道具信息!S116)</f>
        <v/>
      </c>
      <c r="T116" s="59" t="str">
        <f>IF([2]道具信息!T116="","",[2]道具信息!T116)</f>
        <v/>
      </c>
      <c r="U116" s="59" t="str">
        <f>IF([2]道具信息!U116="","",[2]道具信息!U116)</f>
        <v/>
      </c>
      <c r="V116" s="59" t="str">
        <f>IF([2]道具信息!V116="","",[2]道具信息!V116)</f>
        <v/>
      </c>
      <c r="W116" s="59" t="str">
        <f>IF([2]道具信息!W116="","",[2]道具信息!W116)</f>
        <v/>
      </c>
      <c r="X116" s="59" t="str">
        <f>IF([2]道具信息!X116="","",[2]道具信息!X116)</f>
        <v/>
      </c>
      <c r="Y116" s="59" t="str">
        <f>IF([2]道具信息!Y116="","",[2]道具信息!Y116)</f>
        <v/>
      </c>
      <c r="Z116" s="59" t="str">
        <f>IF([2]道具信息!Z116="","",[2]道具信息!Z116)</f>
        <v/>
      </c>
    </row>
    <row r="117" spans="1:26" x14ac:dyDescent="0.15">
      <c r="A117" s="59" t="str">
        <f>IF([2]道具信息!A117="","",[2]道具信息!A117)</f>
        <v/>
      </c>
      <c r="B117" s="59" t="str">
        <f>IF([2]道具信息!B117="","",[2]道具信息!B117)</f>
        <v/>
      </c>
      <c r="C117" s="59" t="str">
        <f>IF([2]道具信息!C117="","",[2]道具信息!C117)</f>
        <v/>
      </c>
      <c r="D117" s="59" t="str">
        <f>IF([2]道具信息!D117="","",[2]道具信息!D117)</f>
        <v>4级阵旗</v>
      </c>
      <c r="E117" s="59">
        <f>IF([2]道具信息!E117="","",[2]道具信息!E117)</f>
        <v>4895</v>
      </c>
      <c r="F117" s="59">
        <f>IF([2]道具信息!F117="","",[2]道具信息!F117)</f>
        <v>1</v>
      </c>
      <c r="G117" s="59">
        <f>IF([2]道具信息!G117="","",[2]道具信息!G117)</f>
        <v>1</v>
      </c>
      <c r="H117" s="59">
        <f>IF([2]道具信息!H117="","",[2]道具信息!H117)</f>
        <v>1</v>
      </c>
      <c r="I117" s="59">
        <f>IF([2]道具信息!I117="","",[2]道具信息!I117)</f>
        <v>4895</v>
      </c>
      <c r="J117" s="59">
        <f>IF([2]道具信息!J117="","",[2]道具信息!J117)</f>
        <v>4895</v>
      </c>
      <c r="K117" s="59">
        <f>IF([2]道具信息!K117="","",[2]道具信息!K117)</f>
        <v>4895</v>
      </c>
      <c r="L117" s="59" t="str">
        <f>IF([2]道具信息!L117="","",[2]道具信息!L117)</f>
        <v/>
      </c>
      <c r="M117" s="59" t="str">
        <f>IF([2]道具信息!M117="","",[2]道具信息!M117)</f>
        <v/>
      </c>
      <c r="N117" s="59" t="str">
        <f>IF([2]道具信息!N117="","",[2]道具信息!N117)</f>
        <v/>
      </c>
      <c r="O117" s="59" t="str">
        <f>IF([2]道具信息!O117="","",[2]道具信息!O117)</f>
        <v/>
      </c>
      <c r="P117" s="59" t="str">
        <f>IF([2]道具信息!P117="","",[2]道具信息!P117)</f>
        <v/>
      </c>
      <c r="Q117" s="59" t="str">
        <f>IF([2]道具信息!Q117="","",[2]道具信息!Q117)</f>
        <v/>
      </c>
      <c r="R117" s="59" t="str">
        <f>IF([2]道具信息!R117="","",[2]道具信息!R117)</f>
        <v/>
      </c>
      <c r="S117" s="59" t="str">
        <f>IF([2]道具信息!S117="","",[2]道具信息!S117)</f>
        <v/>
      </c>
      <c r="T117" s="59" t="str">
        <f>IF([2]道具信息!T117="","",[2]道具信息!T117)</f>
        <v/>
      </c>
      <c r="U117" s="59" t="str">
        <f>IF([2]道具信息!U117="","",[2]道具信息!U117)</f>
        <v/>
      </c>
      <c r="V117" s="59" t="str">
        <f>IF([2]道具信息!V117="","",[2]道具信息!V117)</f>
        <v/>
      </c>
      <c r="W117" s="59" t="str">
        <f>IF([2]道具信息!W117="","",[2]道具信息!W117)</f>
        <v/>
      </c>
      <c r="X117" s="59" t="str">
        <f>IF([2]道具信息!X117="","",[2]道具信息!X117)</f>
        <v/>
      </c>
      <c r="Y117" s="59" t="str">
        <f>IF([2]道具信息!Y117="","",[2]道具信息!Y117)</f>
        <v/>
      </c>
      <c r="Z117" s="59" t="str">
        <f>IF([2]道具信息!Z117="","",[2]道具信息!Z117)</f>
        <v/>
      </c>
    </row>
    <row r="118" spans="1:26" x14ac:dyDescent="0.15">
      <c r="A118" s="59" t="str">
        <f>IF([2]道具信息!A118="","",[2]道具信息!A118)</f>
        <v/>
      </c>
      <c r="B118" s="59" t="str">
        <f>IF([2]道具信息!B118="","",[2]道具信息!B118)</f>
        <v/>
      </c>
      <c r="C118" s="59" t="str">
        <f>IF([2]道具信息!C118="","",[2]道具信息!C118)</f>
        <v/>
      </c>
      <c r="D118" s="59" t="str">
        <f>IF([2]道具信息!D118="","",[2]道具信息!D118)</f>
        <v>5级阵旗</v>
      </c>
      <c r="E118" s="59">
        <f>IF([2]道具信息!E118="","",[2]道具信息!E118)</f>
        <v>22495</v>
      </c>
      <c r="F118" s="59">
        <f>IF([2]道具信息!F118="","",[2]道具信息!F118)</f>
        <v>1</v>
      </c>
      <c r="G118" s="59">
        <f>IF([2]道具信息!G118="","",[2]道具信息!G118)</f>
        <v>1</v>
      </c>
      <c r="H118" s="59">
        <f>IF([2]道具信息!H118="","",[2]道具信息!H118)</f>
        <v>1</v>
      </c>
      <c r="I118" s="59">
        <f>IF([2]道具信息!I118="","",[2]道具信息!I118)</f>
        <v>22495</v>
      </c>
      <c r="J118" s="59">
        <f>IF([2]道具信息!J118="","",[2]道具信息!J118)</f>
        <v>22495</v>
      </c>
      <c r="K118" s="59">
        <f>IF([2]道具信息!K118="","",[2]道具信息!K118)</f>
        <v>22495</v>
      </c>
      <c r="L118" s="59" t="str">
        <f>IF([2]道具信息!L118="","",[2]道具信息!L118)</f>
        <v/>
      </c>
      <c r="M118" s="59" t="str">
        <f>IF([2]道具信息!M118="","",[2]道具信息!M118)</f>
        <v/>
      </c>
      <c r="N118" s="59" t="str">
        <f>IF([2]道具信息!N118="","",[2]道具信息!N118)</f>
        <v/>
      </c>
      <c r="O118" s="59" t="str">
        <f>IF([2]道具信息!O118="","",[2]道具信息!O118)</f>
        <v/>
      </c>
      <c r="P118" s="59" t="str">
        <f>IF([2]道具信息!P118="","",[2]道具信息!P118)</f>
        <v/>
      </c>
      <c r="Q118" s="59" t="str">
        <f>IF([2]道具信息!Q118="","",[2]道具信息!Q118)</f>
        <v/>
      </c>
      <c r="R118" s="59" t="str">
        <f>IF([2]道具信息!R118="","",[2]道具信息!R118)</f>
        <v/>
      </c>
      <c r="S118" s="59" t="str">
        <f>IF([2]道具信息!S118="","",[2]道具信息!S118)</f>
        <v/>
      </c>
      <c r="T118" s="59" t="str">
        <f>IF([2]道具信息!T118="","",[2]道具信息!T118)</f>
        <v/>
      </c>
      <c r="U118" s="59" t="str">
        <f>IF([2]道具信息!U118="","",[2]道具信息!U118)</f>
        <v/>
      </c>
      <c r="V118" s="59" t="str">
        <f>IF([2]道具信息!V118="","",[2]道具信息!V118)</f>
        <v/>
      </c>
      <c r="W118" s="59" t="str">
        <f>IF([2]道具信息!W118="","",[2]道具信息!W118)</f>
        <v/>
      </c>
      <c r="X118" s="59" t="str">
        <f>IF([2]道具信息!X118="","",[2]道具信息!X118)</f>
        <v/>
      </c>
      <c r="Y118" s="59" t="str">
        <f>IF([2]道具信息!Y118="","",[2]道具信息!Y118)</f>
        <v/>
      </c>
      <c r="Z118" s="59" t="str">
        <f>IF([2]道具信息!Z118="","",[2]道具信息!Z118)</f>
        <v/>
      </c>
    </row>
    <row r="119" spans="1:26" x14ac:dyDescent="0.15">
      <c r="A119" s="59" t="str">
        <f>IF([2]道具信息!A119="","",[2]道具信息!A119)</f>
        <v/>
      </c>
      <c r="B119" s="59" t="str">
        <f>IF([2]道具信息!B119="","",[2]道具信息!B119)</f>
        <v/>
      </c>
      <c r="C119" s="59" t="str">
        <f>IF([2]道具信息!C119="","",[2]道具信息!C119)</f>
        <v/>
      </c>
      <c r="D119" s="59" t="str">
        <f>IF([2]道具信息!D119="","",[2]道具信息!D119)</f>
        <v>6级阵旗</v>
      </c>
      <c r="E119" s="59">
        <f>IF([2]道具信息!E119="","",[2]道具信息!E119)</f>
        <v>57695</v>
      </c>
      <c r="F119" s="59">
        <f>IF([2]道具信息!F119="","",[2]道具信息!F119)</f>
        <v>1</v>
      </c>
      <c r="G119" s="59">
        <f>IF([2]道具信息!G119="","",[2]道具信息!G119)</f>
        <v>1</v>
      </c>
      <c r="H119" s="59">
        <f>IF([2]道具信息!H119="","",[2]道具信息!H119)</f>
        <v>1</v>
      </c>
      <c r="I119" s="59">
        <f>IF([2]道具信息!I119="","",[2]道具信息!I119)</f>
        <v>57695</v>
      </c>
      <c r="J119" s="59">
        <f>IF([2]道具信息!J119="","",[2]道具信息!J119)</f>
        <v>57695</v>
      </c>
      <c r="K119" s="59">
        <f>IF([2]道具信息!K119="","",[2]道具信息!K119)</f>
        <v>57695</v>
      </c>
      <c r="L119" s="59" t="str">
        <f>IF([2]道具信息!L119="","",[2]道具信息!L119)</f>
        <v/>
      </c>
      <c r="M119" s="59" t="str">
        <f>IF([2]道具信息!M119="","",[2]道具信息!M119)</f>
        <v/>
      </c>
      <c r="N119" s="59" t="str">
        <f>IF([2]道具信息!N119="","",[2]道具信息!N119)</f>
        <v/>
      </c>
      <c r="O119" s="59" t="str">
        <f>IF([2]道具信息!O119="","",[2]道具信息!O119)</f>
        <v/>
      </c>
      <c r="P119" s="59" t="str">
        <f>IF([2]道具信息!P119="","",[2]道具信息!P119)</f>
        <v/>
      </c>
      <c r="Q119" s="59" t="str">
        <f>IF([2]道具信息!Q119="","",[2]道具信息!Q119)</f>
        <v/>
      </c>
      <c r="R119" s="59" t="str">
        <f>IF([2]道具信息!R119="","",[2]道具信息!R119)</f>
        <v/>
      </c>
      <c r="S119" s="59" t="str">
        <f>IF([2]道具信息!S119="","",[2]道具信息!S119)</f>
        <v/>
      </c>
      <c r="T119" s="59" t="str">
        <f>IF([2]道具信息!T119="","",[2]道具信息!T119)</f>
        <v/>
      </c>
      <c r="U119" s="59" t="str">
        <f>IF([2]道具信息!U119="","",[2]道具信息!U119)</f>
        <v/>
      </c>
      <c r="V119" s="59" t="str">
        <f>IF([2]道具信息!V119="","",[2]道具信息!V119)</f>
        <v/>
      </c>
      <c r="W119" s="59" t="str">
        <f>IF([2]道具信息!W119="","",[2]道具信息!W119)</f>
        <v/>
      </c>
      <c r="X119" s="59" t="str">
        <f>IF([2]道具信息!X119="","",[2]道具信息!X119)</f>
        <v/>
      </c>
      <c r="Y119" s="59" t="str">
        <f>IF([2]道具信息!Y119="","",[2]道具信息!Y119)</f>
        <v/>
      </c>
      <c r="Z119" s="59" t="str">
        <f>IF([2]道具信息!Z119="","",[2]道具信息!Z119)</f>
        <v/>
      </c>
    </row>
    <row r="120" spans="1:26" x14ac:dyDescent="0.15">
      <c r="A120" s="59" t="str">
        <f>IF([2]道具信息!A120="","",[2]道具信息!A120)</f>
        <v/>
      </c>
      <c r="B120" s="59" t="str">
        <f>IF([2]道具信息!B120="","",[2]道具信息!B120)</f>
        <v/>
      </c>
      <c r="C120" s="59" t="str">
        <f>IF([2]道具信息!C120="","",[2]道具信息!C120)</f>
        <v/>
      </c>
      <c r="D120" s="59" t="str">
        <f>IF([2]道具信息!D120="","",[2]道具信息!D120)</f>
        <v>7级阵旗</v>
      </c>
      <c r="E120" s="59">
        <f>IF([2]道具信息!E120="","",[2]道具信息!E120)</f>
        <v>114895</v>
      </c>
      <c r="F120" s="59">
        <f>IF([2]道具信息!F120="","",[2]道具信息!F120)</f>
        <v>1</v>
      </c>
      <c r="G120" s="59">
        <f>IF([2]道具信息!G120="","",[2]道具信息!G120)</f>
        <v>1</v>
      </c>
      <c r="H120" s="59">
        <f>IF([2]道具信息!H120="","",[2]道具信息!H120)</f>
        <v>1</v>
      </c>
      <c r="I120" s="59">
        <f>IF([2]道具信息!I120="","",[2]道具信息!I120)</f>
        <v>114895</v>
      </c>
      <c r="J120" s="59">
        <f>IF([2]道具信息!J120="","",[2]道具信息!J120)</f>
        <v>114895</v>
      </c>
      <c r="K120" s="59">
        <f>IF([2]道具信息!K120="","",[2]道具信息!K120)</f>
        <v>114895</v>
      </c>
      <c r="L120" s="59" t="str">
        <f>IF([2]道具信息!L120="","",[2]道具信息!L120)</f>
        <v/>
      </c>
      <c r="M120" s="59" t="str">
        <f>IF([2]道具信息!M120="","",[2]道具信息!M120)</f>
        <v/>
      </c>
      <c r="N120" s="59" t="str">
        <f>IF([2]道具信息!N120="","",[2]道具信息!N120)</f>
        <v/>
      </c>
      <c r="O120" s="59" t="str">
        <f>IF([2]道具信息!O120="","",[2]道具信息!O120)</f>
        <v/>
      </c>
      <c r="P120" s="59" t="str">
        <f>IF([2]道具信息!P120="","",[2]道具信息!P120)</f>
        <v/>
      </c>
      <c r="Q120" s="59" t="str">
        <f>IF([2]道具信息!Q120="","",[2]道具信息!Q120)</f>
        <v/>
      </c>
      <c r="R120" s="59" t="str">
        <f>IF([2]道具信息!R120="","",[2]道具信息!R120)</f>
        <v/>
      </c>
      <c r="S120" s="59" t="str">
        <f>IF([2]道具信息!S120="","",[2]道具信息!S120)</f>
        <v/>
      </c>
      <c r="T120" s="59" t="str">
        <f>IF([2]道具信息!T120="","",[2]道具信息!T120)</f>
        <v/>
      </c>
      <c r="U120" s="59" t="str">
        <f>IF([2]道具信息!U120="","",[2]道具信息!U120)</f>
        <v/>
      </c>
      <c r="V120" s="59" t="str">
        <f>IF([2]道具信息!V120="","",[2]道具信息!V120)</f>
        <v/>
      </c>
      <c r="W120" s="59" t="str">
        <f>IF([2]道具信息!W120="","",[2]道具信息!W120)</f>
        <v/>
      </c>
      <c r="X120" s="59" t="str">
        <f>IF([2]道具信息!X120="","",[2]道具信息!X120)</f>
        <v/>
      </c>
      <c r="Y120" s="59" t="str">
        <f>IF([2]道具信息!Y120="","",[2]道具信息!Y120)</f>
        <v/>
      </c>
      <c r="Z120" s="59" t="str">
        <f>IF([2]道具信息!Z120="","",[2]道具信息!Z120)</f>
        <v/>
      </c>
    </row>
    <row r="121" spans="1:26" x14ac:dyDescent="0.15">
      <c r="A121" s="59" t="str">
        <f>IF([2]道具信息!A121="","",[2]道具信息!A121)</f>
        <v/>
      </c>
      <c r="B121" s="59" t="str">
        <f>IF([2]道具信息!B121="","",[2]道具信息!B121)</f>
        <v/>
      </c>
      <c r="C121" s="59" t="str">
        <f>IF([2]道具信息!C121="","",[2]道具信息!C121)</f>
        <v/>
      </c>
      <c r="D121" s="59" t="str">
        <f>IF([2]道具信息!D121="","",[2]道具信息!D121)</f>
        <v>8级阵旗</v>
      </c>
      <c r="E121" s="59">
        <f>IF([2]道具信息!E121="","",[2]道具信息!E121)</f>
        <v>200695</v>
      </c>
      <c r="F121" s="59">
        <f>IF([2]道具信息!F121="","",[2]道具信息!F121)</f>
        <v>1</v>
      </c>
      <c r="G121" s="59">
        <f>IF([2]道具信息!G121="","",[2]道具信息!G121)</f>
        <v>1</v>
      </c>
      <c r="H121" s="59">
        <f>IF([2]道具信息!H121="","",[2]道具信息!H121)</f>
        <v>1</v>
      </c>
      <c r="I121" s="59">
        <f>IF([2]道具信息!I121="","",[2]道具信息!I121)</f>
        <v>200695</v>
      </c>
      <c r="J121" s="59">
        <f>IF([2]道具信息!J121="","",[2]道具信息!J121)</f>
        <v>200695</v>
      </c>
      <c r="K121" s="59">
        <f>IF([2]道具信息!K121="","",[2]道具信息!K121)</f>
        <v>200695</v>
      </c>
      <c r="L121" s="59" t="str">
        <f>IF([2]道具信息!L121="","",[2]道具信息!L121)</f>
        <v/>
      </c>
      <c r="M121" s="59" t="str">
        <f>IF([2]道具信息!M121="","",[2]道具信息!M121)</f>
        <v/>
      </c>
      <c r="N121" s="59" t="str">
        <f>IF([2]道具信息!N121="","",[2]道具信息!N121)</f>
        <v/>
      </c>
      <c r="O121" s="59" t="str">
        <f>IF([2]道具信息!O121="","",[2]道具信息!O121)</f>
        <v/>
      </c>
      <c r="P121" s="59" t="str">
        <f>IF([2]道具信息!P121="","",[2]道具信息!P121)</f>
        <v/>
      </c>
      <c r="Q121" s="59" t="str">
        <f>IF([2]道具信息!Q121="","",[2]道具信息!Q121)</f>
        <v/>
      </c>
      <c r="R121" s="59" t="str">
        <f>IF([2]道具信息!R121="","",[2]道具信息!R121)</f>
        <v/>
      </c>
      <c r="S121" s="59" t="str">
        <f>IF([2]道具信息!S121="","",[2]道具信息!S121)</f>
        <v/>
      </c>
      <c r="T121" s="59" t="str">
        <f>IF([2]道具信息!T121="","",[2]道具信息!T121)</f>
        <v/>
      </c>
      <c r="U121" s="59" t="str">
        <f>IF([2]道具信息!U121="","",[2]道具信息!U121)</f>
        <v/>
      </c>
      <c r="V121" s="59" t="str">
        <f>IF([2]道具信息!V121="","",[2]道具信息!V121)</f>
        <v/>
      </c>
      <c r="W121" s="59" t="str">
        <f>IF([2]道具信息!W121="","",[2]道具信息!W121)</f>
        <v/>
      </c>
      <c r="X121" s="59" t="str">
        <f>IF([2]道具信息!X121="","",[2]道具信息!X121)</f>
        <v/>
      </c>
      <c r="Y121" s="59" t="str">
        <f>IF([2]道具信息!Y121="","",[2]道具信息!Y121)</f>
        <v/>
      </c>
      <c r="Z121" s="59" t="str">
        <f>IF([2]道具信息!Z121="","",[2]道具信息!Z121)</f>
        <v/>
      </c>
    </row>
    <row r="122" spans="1:26" x14ac:dyDescent="0.15">
      <c r="A122" s="59" t="str">
        <f>IF([2]道具信息!A122="","",[2]道具信息!A122)</f>
        <v/>
      </c>
      <c r="B122" s="59" t="str">
        <f>IF([2]道具信息!B122="","",[2]道具信息!B122)</f>
        <v/>
      </c>
      <c r="C122" s="59" t="str">
        <f>IF([2]道具信息!C122="","",[2]道具信息!C122)</f>
        <v/>
      </c>
      <c r="D122" s="59" t="str">
        <f>IF([2]道具信息!D122="","",[2]道具信息!D122)</f>
        <v>9级阵旗</v>
      </c>
      <c r="E122" s="59">
        <f>IF([2]道具信息!E122="","",[2]道具信息!E122)</f>
        <v>321695</v>
      </c>
      <c r="F122" s="59">
        <f>IF([2]道具信息!F122="","",[2]道具信息!F122)</f>
        <v>1</v>
      </c>
      <c r="G122" s="59">
        <f>IF([2]道具信息!G122="","",[2]道具信息!G122)</f>
        <v>1</v>
      </c>
      <c r="H122" s="59">
        <f>IF([2]道具信息!H122="","",[2]道具信息!H122)</f>
        <v>1</v>
      </c>
      <c r="I122" s="59">
        <f>IF([2]道具信息!I122="","",[2]道具信息!I122)</f>
        <v>321695</v>
      </c>
      <c r="J122" s="59">
        <f>IF([2]道具信息!J122="","",[2]道具信息!J122)</f>
        <v>321695</v>
      </c>
      <c r="K122" s="59">
        <f>IF([2]道具信息!K122="","",[2]道具信息!K122)</f>
        <v>321695</v>
      </c>
      <c r="L122" s="59" t="str">
        <f>IF([2]道具信息!L122="","",[2]道具信息!L122)</f>
        <v/>
      </c>
      <c r="M122" s="59" t="str">
        <f>IF([2]道具信息!M122="","",[2]道具信息!M122)</f>
        <v/>
      </c>
      <c r="N122" s="59" t="str">
        <f>IF([2]道具信息!N122="","",[2]道具信息!N122)</f>
        <v/>
      </c>
      <c r="O122" s="59" t="str">
        <f>IF([2]道具信息!O122="","",[2]道具信息!O122)</f>
        <v/>
      </c>
      <c r="P122" s="59" t="str">
        <f>IF([2]道具信息!P122="","",[2]道具信息!P122)</f>
        <v/>
      </c>
      <c r="Q122" s="59" t="str">
        <f>IF([2]道具信息!Q122="","",[2]道具信息!Q122)</f>
        <v/>
      </c>
      <c r="R122" s="59" t="str">
        <f>IF([2]道具信息!R122="","",[2]道具信息!R122)</f>
        <v/>
      </c>
      <c r="S122" s="59" t="str">
        <f>IF([2]道具信息!S122="","",[2]道具信息!S122)</f>
        <v/>
      </c>
      <c r="T122" s="59" t="str">
        <f>IF([2]道具信息!T122="","",[2]道具信息!T122)</f>
        <v/>
      </c>
      <c r="U122" s="59" t="str">
        <f>IF([2]道具信息!U122="","",[2]道具信息!U122)</f>
        <v/>
      </c>
      <c r="V122" s="59" t="str">
        <f>IF([2]道具信息!V122="","",[2]道具信息!V122)</f>
        <v/>
      </c>
      <c r="W122" s="59" t="str">
        <f>IF([2]道具信息!W122="","",[2]道具信息!W122)</f>
        <v/>
      </c>
      <c r="X122" s="59" t="str">
        <f>IF([2]道具信息!X122="","",[2]道具信息!X122)</f>
        <v/>
      </c>
      <c r="Y122" s="59" t="str">
        <f>IF([2]道具信息!Y122="","",[2]道具信息!Y122)</f>
        <v/>
      </c>
      <c r="Z122" s="59" t="str">
        <f>IF([2]道具信息!Z122="","",[2]道具信息!Z122)</f>
        <v/>
      </c>
    </row>
    <row r="123" spans="1:26" x14ac:dyDescent="0.15">
      <c r="A123" s="59" t="str">
        <f>IF([2]道具信息!A123="","",[2]道具信息!A123)</f>
        <v/>
      </c>
      <c r="B123" s="59" t="str">
        <f>IF([2]道具信息!B123="","",[2]道具信息!B123)</f>
        <v/>
      </c>
      <c r="C123" s="59" t="str">
        <f>IF([2]道具信息!C123="","",[2]道具信息!C123)</f>
        <v/>
      </c>
      <c r="D123" s="59" t="str">
        <f>IF([2]道具信息!D123="","",[2]道具信息!D123)</f>
        <v/>
      </c>
      <c r="E123" s="59" t="str">
        <f>IF([2]道具信息!E123="","",[2]道具信息!E123)</f>
        <v/>
      </c>
      <c r="F123" s="59" t="str">
        <f>IF([2]道具信息!F123="","",[2]道具信息!F123)</f>
        <v/>
      </c>
      <c r="G123" s="59" t="str">
        <f>IF([2]道具信息!G123="","",[2]道具信息!G123)</f>
        <v/>
      </c>
      <c r="H123" s="59" t="str">
        <f>IF([2]道具信息!H123="","",[2]道具信息!H123)</f>
        <v/>
      </c>
      <c r="I123" s="59" t="str">
        <f>IF([2]道具信息!I123="","",[2]道具信息!I123)</f>
        <v/>
      </c>
      <c r="J123" s="59" t="str">
        <f>IF([2]道具信息!J123="","",[2]道具信息!J123)</f>
        <v/>
      </c>
      <c r="K123" s="59" t="str">
        <f>IF([2]道具信息!K123="","",[2]道具信息!K123)</f>
        <v/>
      </c>
      <c r="L123" s="59" t="str">
        <f>IF([2]道具信息!L123="","",[2]道具信息!L123)</f>
        <v/>
      </c>
      <c r="M123" s="59" t="str">
        <f>IF([2]道具信息!M123="","",[2]道具信息!M123)</f>
        <v/>
      </c>
      <c r="N123" s="59" t="str">
        <f>IF([2]道具信息!N123="","",[2]道具信息!N123)</f>
        <v/>
      </c>
      <c r="O123" s="59" t="str">
        <f>IF([2]道具信息!O123="","",[2]道具信息!O123)</f>
        <v/>
      </c>
      <c r="P123" s="59" t="str">
        <f>IF([2]道具信息!P123="","",[2]道具信息!P123)</f>
        <v/>
      </c>
      <c r="Q123" s="59" t="str">
        <f>IF([2]道具信息!Q123="","",[2]道具信息!Q123)</f>
        <v/>
      </c>
      <c r="R123" s="59" t="str">
        <f>IF([2]道具信息!R123="","",[2]道具信息!R123)</f>
        <v/>
      </c>
      <c r="S123" s="59" t="str">
        <f>IF([2]道具信息!S123="","",[2]道具信息!S123)</f>
        <v/>
      </c>
      <c r="T123" s="59" t="str">
        <f>IF([2]道具信息!T123="","",[2]道具信息!T123)</f>
        <v/>
      </c>
      <c r="U123" s="59" t="str">
        <f>IF([2]道具信息!U123="","",[2]道具信息!U123)</f>
        <v/>
      </c>
      <c r="V123" s="59" t="str">
        <f>IF([2]道具信息!V123="","",[2]道具信息!V123)</f>
        <v/>
      </c>
      <c r="W123" s="59" t="str">
        <f>IF([2]道具信息!W123="","",[2]道具信息!W123)</f>
        <v/>
      </c>
      <c r="X123" s="59" t="str">
        <f>IF([2]道具信息!X123="","",[2]道具信息!X123)</f>
        <v/>
      </c>
      <c r="Y123" s="59" t="str">
        <f>IF([2]道具信息!Y123="","",[2]道具信息!Y123)</f>
        <v/>
      </c>
      <c r="Z123" s="59" t="str">
        <f>IF([2]道具信息!Z123="","",[2]道具信息!Z123)</f>
        <v/>
      </c>
    </row>
    <row r="124" spans="1:26" x14ac:dyDescent="0.15">
      <c r="A124" s="59" t="str">
        <f>IF([2]道具信息!A124="","",[2]道具信息!A124)</f>
        <v/>
      </c>
      <c r="B124" s="59" t="str">
        <f>IF([2]道具信息!B124="","",[2]道具信息!B124)</f>
        <v/>
      </c>
      <c r="C124" s="59" t="str">
        <f>IF([2]道具信息!C124="","",[2]道具信息!C124)</f>
        <v/>
      </c>
      <c r="D124" s="59" t="str">
        <f>IF([2]道具信息!D124="","",[2]道具信息!D124)</f>
        <v/>
      </c>
      <c r="E124" s="59" t="str">
        <f>IF([2]道具信息!E124="","",[2]道具信息!E124)</f>
        <v/>
      </c>
      <c r="F124" s="59" t="str">
        <f>IF([2]道具信息!F124="","",[2]道具信息!F124)</f>
        <v/>
      </c>
      <c r="G124" s="59" t="str">
        <f>IF([2]道具信息!G124="","",[2]道具信息!G124)</f>
        <v/>
      </c>
      <c r="H124" s="59" t="str">
        <f>IF([2]道具信息!H124="","",[2]道具信息!H124)</f>
        <v/>
      </c>
      <c r="I124" s="59" t="str">
        <f>IF([2]道具信息!I124="","",[2]道具信息!I124)</f>
        <v/>
      </c>
      <c r="J124" s="59" t="str">
        <f>IF([2]道具信息!J124="","",[2]道具信息!J124)</f>
        <v/>
      </c>
      <c r="K124" s="59" t="str">
        <f>IF([2]道具信息!K124="","",[2]道具信息!K124)</f>
        <v/>
      </c>
      <c r="L124" s="59" t="str">
        <f>IF([2]道具信息!L124="","",[2]道具信息!L124)</f>
        <v/>
      </c>
      <c r="M124" s="59" t="str">
        <f>IF([2]道具信息!M124="","",[2]道具信息!M124)</f>
        <v/>
      </c>
      <c r="N124" s="59" t="str">
        <f>IF([2]道具信息!N124="","",[2]道具信息!N124)</f>
        <v/>
      </c>
      <c r="O124" s="59" t="str">
        <f>IF([2]道具信息!O124="","",[2]道具信息!O124)</f>
        <v/>
      </c>
      <c r="P124" s="59" t="str">
        <f>IF([2]道具信息!P124="","",[2]道具信息!P124)</f>
        <v/>
      </c>
      <c r="Q124" s="59" t="str">
        <f>IF([2]道具信息!Q124="","",[2]道具信息!Q124)</f>
        <v/>
      </c>
      <c r="R124" s="59" t="str">
        <f>IF([2]道具信息!R124="","",[2]道具信息!R124)</f>
        <v/>
      </c>
      <c r="S124" s="59" t="str">
        <f>IF([2]道具信息!S124="","",[2]道具信息!S124)</f>
        <v/>
      </c>
      <c r="T124" s="59" t="str">
        <f>IF([2]道具信息!T124="","",[2]道具信息!T124)</f>
        <v/>
      </c>
      <c r="U124" s="59" t="str">
        <f>IF([2]道具信息!U124="","",[2]道具信息!U124)</f>
        <v/>
      </c>
      <c r="V124" s="59" t="str">
        <f>IF([2]道具信息!V124="","",[2]道具信息!V124)</f>
        <v/>
      </c>
      <c r="W124" s="59" t="str">
        <f>IF([2]道具信息!W124="","",[2]道具信息!W124)</f>
        <v/>
      </c>
      <c r="X124" s="59" t="str">
        <f>IF([2]道具信息!X124="","",[2]道具信息!X124)</f>
        <v/>
      </c>
      <c r="Y124" s="59" t="str">
        <f>IF([2]道具信息!Y124="","",[2]道具信息!Y124)</f>
        <v/>
      </c>
      <c r="Z124" s="59" t="str">
        <f>IF([2]道具信息!Z124="","",[2]道具信息!Z124)</f>
        <v/>
      </c>
    </row>
    <row r="125" spans="1:26" x14ac:dyDescent="0.15">
      <c r="A125" s="59" t="str">
        <f>IF([2]道具信息!A125="","",[2]道具信息!A125)</f>
        <v/>
      </c>
      <c r="B125" s="59" t="str">
        <f>IF([2]道具信息!B125="","",[2]道具信息!B125)</f>
        <v/>
      </c>
      <c r="C125" s="59" t="str">
        <f>IF([2]道具信息!C125="","",[2]道具信息!C125)</f>
        <v/>
      </c>
      <c r="D125" s="59" t="str">
        <f>IF([2]道具信息!D125="","",[2]道具信息!D125)</f>
        <v>普通随机图纸</v>
      </c>
      <c r="E125" s="59">
        <f>IF([2]道具信息!E125="","",[2]道具信息!E125)</f>
        <v>50</v>
      </c>
      <c r="F125" s="59">
        <f>IF([2]道具信息!F125="","",[2]道具信息!F125)</f>
        <v>1</v>
      </c>
      <c r="G125" s="59">
        <f>IF([2]道具信息!G125="","",[2]道具信息!G125)</f>
        <v>0.2</v>
      </c>
      <c r="H125" s="59">
        <f>IF([2]道具信息!H125="","",[2]道具信息!H125)</f>
        <v>0.2</v>
      </c>
      <c r="I125" s="59">
        <f>IF([2]道具信息!I125="","",[2]道具信息!I125)</f>
        <v>50</v>
      </c>
      <c r="J125" s="59">
        <f>IF([2]道具信息!J125="","",[2]道具信息!J125)</f>
        <v>10</v>
      </c>
      <c r="K125" s="59">
        <f>IF([2]道具信息!K125="","",[2]道具信息!K125)</f>
        <v>10</v>
      </c>
      <c r="L125" s="59" t="str">
        <f>IF([2]道具信息!L125="","",[2]道具信息!L125)</f>
        <v/>
      </c>
      <c r="M125" s="59" t="str">
        <f>IF([2]道具信息!M125="","",[2]道具信息!M125)</f>
        <v/>
      </c>
      <c r="N125" s="59" t="str">
        <f>IF([2]道具信息!N125="","",[2]道具信息!N125)</f>
        <v/>
      </c>
      <c r="O125" s="59" t="str">
        <f>IF([2]道具信息!O125="","",[2]道具信息!O125)</f>
        <v/>
      </c>
      <c r="P125" s="59" t="str">
        <f>IF([2]道具信息!P125="","",[2]道具信息!P125)</f>
        <v/>
      </c>
      <c r="Q125" s="59" t="str">
        <f>IF([2]道具信息!Q125="","",[2]道具信息!Q125)</f>
        <v/>
      </c>
      <c r="R125" s="59" t="str">
        <f>IF([2]道具信息!R125="","",[2]道具信息!R125)</f>
        <v/>
      </c>
      <c r="S125" s="59" t="str">
        <f>IF([2]道具信息!S125="","",[2]道具信息!S125)</f>
        <v/>
      </c>
      <c r="T125" s="59" t="str">
        <f>IF([2]道具信息!T125="","",[2]道具信息!T125)</f>
        <v/>
      </c>
      <c r="U125" s="59" t="str">
        <f>IF([2]道具信息!U125="","",[2]道具信息!U125)</f>
        <v/>
      </c>
      <c r="V125" s="59" t="str">
        <f>IF([2]道具信息!V125="","",[2]道具信息!V125)</f>
        <v/>
      </c>
      <c r="W125" s="59" t="str">
        <f>IF([2]道具信息!W125="","",[2]道具信息!W125)</f>
        <v/>
      </c>
      <c r="X125" s="59" t="str">
        <f>IF([2]道具信息!X125="","",[2]道具信息!X125)</f>
        <v/>
      </c>
      <c r="Y125" s="59" t="str">
        <f>IF([2]道具信息!Y125="","",[2]道具信息!Y125)</f>
        <v/>
      </c>
      <c r="Z125" s="59" t="str">
        <f>IF([2]道具信息!Z125="","",[2]道具信息!Z125)</f>
        <v/>
      </c>
    </row>
    <row r="126" spans="1:26" x14ac:dyDescent="0.15">
      <c r="A126" s="59" t="str">
        <f>IF([2]道具信息!A126="","",[2]道具信息!A126)</f>
        <v/>
      </c>
      <c r="B126" s="59" t="str">
        <f>IF([2]道具信息!B126="","",[2]道具信息!B126)</f>
        <v/>
      </c>
      <c r="C126" s="59" t="str">
        <f>IF([2]道具信息!C126="","",[2]道具信息!C126)</f>
        <v/>
      </c>
      <c r="D126" s="59" t="str">
        <f>IF([2]道具信息!D126="","",[2]道具信息!D126)</f>
        <v>精良随机图纸</v>
      </c>
      <c r="E126" s="59">
        <f>IF([2]道具信息!E126="","",[2]道具信息!E126)</f>
        <v>190</v>
      </c>
      <c r="F126" s="59">
        <f>IF([2]道具信息!F126="","",[2]道具信息!F126)</f>
        <v>1</v>
      </c>
      <c r="G126" s="59">
        <f>IF([2]道具信息!G126="","",[2]道具信息!G126)</f>
        <v>0.2</v>
      </c>
      <c r="H126" s="59">
        <f>IF([2]道具信息!H126="","",[2]道具信息!H126)</f>
        <v>0.2</v>
      </c>
      <c r="I126" s="59">
        <f>IF([2]道具信息!I126="","",[2]道具信息!I126)</f>
        <v>190</v>
      </c>
      <c r="J126" s="59">
        <f>IF([2]道具信息!J126="","",[2]道具信息!J126)</f>
        <v>38</v>
      </c>
      <c r="K126" s="59">
        <f>IF([2]道具信息!K126="","",[2]道具信息!K126)</f>
        <v>38</v>
      </c>
      <c r="L126" s="59" t="str">
        <f>IF([2]道具信息!L126="","",[2]道具信息!L126)</f>
        <v/>
      </c>
      <c r="M126" s="59" t="str">
        <f>IF([2]道具信息!M126="","",[2]道具信息!M126)</f>
        <v/>
      </c>
      <c r="N126" s="59" t="str">
        <f>IF([2]道具信息!N126="","",[2]道具信息!N126)</f>
        <v/>
      </c>
      <c r="O126" s="59" t="str">
        <f>IF([2]道具信息!O126="","",[2]道具信息!O126)</f>
        <v/>
      </c>
      <c r="P126" s="59" t="str">
        <f>IF([2]道具信息!P126="","",[2]道具信息!P126)</f>
        <v/>
      </c>
      <c r="Q126" s="59" t="str">
        <f>IF([2]道具信息!Q126="","",[2]道具信息!Q126)</f>
        <v/>
      </c>
      <c r="R126" s="59" t="str">
        <f>IF([2]道具信息!R126="","",[2]道具信息!R126)</f>
        <v/>
      </c>
      <c r="S126" s="59" t="str">
        <f>IF([2]道具信息!S126="","",[2]道具信息!S126)</f>
        <v/>
      </c>
      <c r="T126" s="59" t="str">
        <f>IF([2]道具信息!T126="","",[2]道具信息!T126)</f>
        <v/>
      </c>
      <c r="U126" s="59" t="str">
        <f>IF([2]道具信息!U126="","",[2]道具信息!U126)</f>
        <v/>
      </c>
      <c r="V126" s="59" t="str">
        <f>IF([2]道具信息!V126="","",[2]道具信息!V126)</f>
        <v/>
      </c>
      <c r="W126" s="59" t="str">
        <f>IF([2]道具信息!W126="","",[2]道具信息!W126)</f>
        <v/>
      </c>
      <c r="X126" s="59" t="str">
        <f>IF([2]道具信息!X126="","",[2]道具信息!X126)</f>
        <v/>
      </c>
      <c r="Y126" s="59" t="str">
        <f>IF([2]道具信息!Y126="","",[2]道具信息!Y126)</f>
        <v/>
      </c>
      <c r="Z126" s="59" t="str">
        <f>IF([2]道具信息!Z126="","",[2]道具信息!Z126)</f>
        <v/>
      </c>
    </row>
    <row r="127" spans="1:26" x14ac:dyDescent="0.15">
      <c r="A127" s="59" t="str">
        <f>IF([2]道具信息!A127="","",[2]道具信息!A127)</f>
        <v/>
      </c>
      <c r="B127" s="59" t="str">
        <f>IF([2]道具信息!B127="","",[2]道具信息!B127)</f>
        <v/>
      </c>
      <c r="C127" s="59" t="str">
        <f>IF([2]道具信息!C127="","",[2]道具信息!C127)</f>
        <v/>
      </c>
      <c r="D127" s="59" t="str">
        <f>IF([2]道具信息!D127="","",[2]道具信息!D127)</f>
        <v>优质随机图纸</v>
      </c>
      <c r="E127" s="59">
        <f>IF([2]道具信息!E127="","",[2]道具信息!E127)</f>
        <v>675</v>
      </c>
      <c r="F127" s="59">
        <f>IF([2]道具信息!F127="","",[2]道具信息!F127)</f>
        <v>1</v>
      </c>
      <c r="G127" s="59">
        <f>IF([2]道具信息!G127="","",[2]道具信息!G127)</f>
        <v>1</v>
      </c>
      <c r="H127" s="59">
        <f>IF([2]道具信息!H127="","",[2]道具信息!H127)</f>
        <v>0.18518518518518517</v>
      </c>
      <c r="I127" s="59">
        <f>IF([2]道具信息!I127="","",[2]道具信息!I127)</f>
        <v>675</v>
      </c>
      <c r="J127" s="59">
        <f>IF([2]道具信息!J127="","",[2]道具信息!J127)</f>
        <v>675</v>
      </c>
      <c r="K127" s="59">
        <f>IF([2]道具信息!K127="","",[2]道具信息!K127)</f>
        <v>125</v>
      </c>
      <c r="L127" s="59" t="str">
        <f>IF([2]道具信息!L127="","",[2]道具信息!L127)</f>
        <v/>
      </c>
      <c r="M127" s="59" t="str">
        <f>IF([2]道具信息!M127="","",[2]道具信息!M127)</f>
        <v/>
      </c>
      <c r="N127" s="59" t="str">
        <f>IF([2]道具信息!N127="","",[2]道具信息!N127)</f>
        <v/>
      </c>
      <c r="O127" s="59" t="str">
        <f>IF([2]道具信息!O127="","",[2]道具信息!O127)</f>
        <v/>
      </c>
      <c r="P127" s="59" t="str">
        <f>IF([2]道具信息!P127="","",[2]道具信息!P127)</f>
        <v/>
      </c>
      <c r="Q127" s="59" t="str">
        <f>IF([2]道具信息!Q127="","",[2]道具信息!Q127)</f>
        <v/>
      </c>
      <c r="R127" s="59" t="str">
        <f>IF([2]道具信息!R127="","",[2]道具信息!R127)</f>
        <v/>
      </c>
      <c r="S127" s="59" t="str">
        <f>IF([2]道具信息!S127="","",[2]道具信息!S127)</f>
        <v/>
      </c>
      <c r="T127" s="59" t="str">
        <f>IF([2]道具信息!T127="","",[2]道具信息!T127)</f>
        <v/>
      </c>
      <c r="U127" s="59" t="str">
        <f>IF([2]道具信息!U127="","",[2]道具信息!U127)</f>
        <v/>
      </c>
      <c r="V127" s="59" t="str">
        <f>IF([2]道具信息!V127="","",[2]道具信息!V127)</f>
        <v/>
      </c>
      <c r="W127" s="59" t="str">
        <f>IF([2]道具信息!W127="","",[2]道具信息!W127)</f>
        <v/>
      </c>
      <c r="X127" s="59" t="str">
        <f>IF([2]道具信息!X127="","",[2]道具信息!X127)</f>
        <v/>
      </c>
      <c r="Y127" s="59" t="str">
        <f>IF([2]道具信息!Y127="","",[2]道具信息!Y127)</f>
        <v/>
      </c>
      <c r="Z127" s="59" t="str">
        <f>IF([2]道具信息!Z127="","",[2]道具信息!Z127)</f>
        <v/>
      </c>
    </row>
    <row r="128" spans="1:26" x14ac:dyDescent="0.15">
      <c r="A128" s="59" t="str">
        <f>IF([2]道具信息!A128="","",[2]道具信息!A128)</f>
        <v/>
      </c>
      <c r="B128" s="59" t="str">
        <f>IF([2]道具信息!B128="","",[2]道具信息!B128)</f>
        <v/>
      </c>
      <c r="C128" s="59" t="str">
        <f>IF([2]道具信息!C128="","",[2]道具信息!C128)</f>
        <v/>
      </c>
      <c r="D128" s="59" t="str">
        <f>IF([2]道具信息!D128="","",[2]道具信息!D128)</f>
        <v>珍稀随机图纸</v>
      </c>
      <c r="E128" s="59">
        <f>IF([2]道具信息!E128="","",[2]道具信息!E128)</f>
        <v>975</v>
      </c>
      <c r="F128" s="59">
        <f>IF([2]道具信息!F128="","",[2]道具信息!F128)</f>
        <v>1</v>
      </c>
      <c r="G128" s="59">
        <f>IF([2]道具信息!G128="","",[2]道具信息!G128)</f>
        <v>1</v>
      </c>
      <c r="H128" s="59">
        <f>IF([2]道具信息!H128="","",[2]道具信息!H128)</f>
        <v>1</v>
      </c>
      <c r="I128" s="59">
        <f>IF([2]道具信息!I128="","",[2]道具信息!I128)</f>
        <v>975</v>
      </c>
      <c r="J128" s="59">
        <f>IF([2]道具信息!J128="","",[2]道具信息!J128)</f>
        <v>975</v>
      </c>
      <c r="K128" s="59">
        <f>IF([2]道具信息!K128="","",[2]道具信息!K128)</f>
        <v>975</v>
      </c>
      <c r="L128" s="59" t="str">
        <f>IF([2]道具信息!L128="","",[2]道具信息!L128)</f>
        <v/>
      </c>
      <c r="M128" s="59" t="str">
        <f>IF([2]道具信息!M128="","",[2]道具信息!M128)</f>
        <v/>
      </c>
      <c r="N128" s="59" t="str">
        <f>IF([2]道具信息!N128="","",[2]道具信息!N128)</f>
        <v/>
      </c>
      <c r="O128" s="59" t="str">
        <f>IF([2]道具信息!O128="","",[2]道具信息!O128)</f>
        <v/>
      </c>
      <c r="P128" s="59" t="str">
        <f>IF([2]道具信息!P128="","",[2]道具信息!P128)</f>
        <v/>
      </c>
      <c r="Q128" s="59" t="str">
        <f>IF([2]道具信息!Q128="","",[2]道具信息!Q128)</f>
        <v/>
      </c>
      <c r="R128" s="59" t="str">
        <f>IF([2]道具信息!R128="","",[2]道具信息!R128)</f>
        <v/>
      </c>
      <c r="S128" s="59" t="str">
        <f>IF([2]道具信息!S128="","",[2]道具信息!S128)</f>
        <v/>
      </c>
      <c r="T128" s="59" t="str">
        <f>IF([2]道具信息!T128="","",[2]道具信息!T128)</f>
        <v/>
      </c>
      <c r="U128" s="59" t="str">
        <f>IF([2]道具信息!U128="","",[2]道具信息!U128)</f>
        <v/>
      </c>
      <c r="V128" s="59" t="str">
        <f>IF([2]道具信息!V128="","",[2]道具信息!V128)</f>
        <v/>
      </c>
      <c r="W128" s="59" t="str">
        <f>IF([2]道具信息!W128="","",[2]道具信息!W128)</f>
        <v/>
      </c>
      <c r="X128" s="59" t="str">
        <f>IF([2]道具信息!X128="","",[2]道具信息!X128)</f>
        <v/>
      </c>
      <c r="Y128" s="59" t="str">
        <f>IF([2]道具信息!Y128="","",[2]道具信息!Y128)</f>
        <v/>
      </c>
      <c r="Z128" s="59" t="str">
        <f>IF([2]道具信息!Z128="","",[2]道具信息!Z128)</f>
        <v/>
      </c>
    </row>
    <row r="129" spans="1:26" x14ac:dyDescent="0.15">
      <c r="A129" s="59" t="str">
        <f>IF([2]道具信息!A129="","",[2]道具信息!A129)</f>
        <v/>
      </c>
      <c r="B129" s="59" t="str">
        <f>IF([2]道具信息!B129="","",[2]道具信息!B129)</f>
        <v/>
      </c>
      <c r="C129" s="59" t="str">
        <f>IF([2]道具信息!C129="","",[2]道具信息!C129)</f>
        <v/>
      </c>
      <c r="D129" s="59" t="str">
        <f>IF([2]道具信息!D129="","",[2]道具信息!D129)</f>
        <v>传世随机图纸</v>
      </c>
      <c r="E129" s="59">
        <f>IF([2]道具信息!E129="","",[2]道具信息!E129)</f>
        <v>2800</v>
      </c>
      <c r="F129" s="59">
        <f>IF([2]道具信息!F129="","",[2]道具信息!F129)</f>
        <v>1</v>
      </c>
      <c r="G129" s="59">
        <f>IF([2]道具信息!G129="","",[2]道具信息!G129)</f>
        <v>1</v>
      </c>
      <c r="H129" s="59">
        <f>IF([2]道具信息!H129="","",[2]道具信息!H129)</f>
        <v>1</v>
      </c>
      <c r="I129" s="59">
        <f>IF([2]道具信息!I129="","",[2]道具信息!I129)</f>
        <v>2800</v>
      </c>
      <c r="J129" s="59">
        <f>IF([2]道具信息!J129="","",[2]道具信息!J129)</f>
        <v>2800</v>
      </c>
      <c r="K129" s="59">
        <f>IF([2]道具信息!K129="","",[2]道具信息!K129)</f>
        <v>2800</v>
      </c>
      <c r="L129" s="59" t="str">
        <f>IF([2]道具信息!L129="","",[2]道具信息!L129)</f>
        <v/>
      </c>
      <c r="M129" s="59" t="str">
        <f>IF([2]道具信息!M129="","",[2]道具信息!M129)</f>
        <v/>
      </c>
      <c r="N129" s="59" t="str">
        <f>IF([2]道具信息!N129="","",[2]道具信息!N129)</f>
        <v/>
      </c>
      <c r="O129" s="59" t="str">
        <f>IF([2]道具信息!O129="","",[2]道具信息!O129)</f>
        <v/>
      </c>
      <c r="P129" s="59" t="str">
        <f>IF([2]道具信息!P129="","",[2]道具信息!P129)</f>
        <v/>
      </c>
      <c r="Q129" s="59" t="str">
        <f>IF([2]道具信息!Q129="","",[2]道具信息!Q129)</f>
        <v/>
      </c>
      <c r="R129" s="59" t="str">
        <f>IF([2]道具信息!R129="","",[2]道具信息!R129)</f>
        <v/>
      </c>
      <c r="S129" s="59" t="str">
        <f>IF([2]道具信息!S129="","",[2]道具信息!S129)</f>
        <v/>
      </c>
      <c r="T129" s="59" t="str">
        <f>IF([2]道具信息!T129="","",[2]道具信息!T129)</f>
        <v/>
      </c>
      <c r="U129" s="59" t="str">
        <f>IF([2]道具信息!U129="","",[2]道具信息!U129)</f>
        <v/>
      </c>
      <c r="V129" s="59" t="str">
        <f>IF([2]道具信息!V129="","",[2]道具信息!V129)</f>
        <v/>
      </c>
      <c r="W129" s="59" t="str">
        <f>IF([2]道具信息!W129="","",[2]道具信息!W129)</f>
        <v/>
      </c>
      <c r="X129" s="59" t="str">
        <f>IF([2]道具信息!X129="","",[2]道具信息!X129)</f>
        <v/>
      </c>
      <c r="Y129" s="59" t="str">
        <f>IF([2]道具信息!Y129="","",[2]道具信息!Y129)</f>
        <v/>
      </c>
      <c r="Z129" s="59" t="str">
        <f>IF([2]道具信息!Z129="","",[2]道具信息!Z129)</f>
        <v/>
      </c>
    </row>
    <row r="130" spans="1:26" x14ac:dyDescent="0.15">
      <c r="A130" s="59" t="str">
        <f>IF([2]道具信息!A130="","",[2]道具信息!A130)</f>
        <v/>
      </c>
      <c r="B130" s="59" t="str">
        <f>IF([2]道具信息!B130="","",[2]道具信息!B130)</f>
        <v/>
      </c>
      <c r="C130" s="59" t="str">
        <f>IF([2]道具信息!C130="","",[2]道具信息!C130)</f>
        <v/>
      </c>
      <c r="D130" s="59" t="str">
        <f>IF([2]道具信息!D130="","",[2]道具信息!D130)</f>
        <v>传奇随机图纸</v>
      </c>
      <c r="E130" s="59">
        <f>IF([2]道具信息!E130="","",[2]道具信息!E130)</f>
        <v>4000</v>
      </c>
      <c r="F130" s="59">
        <f>IF([2]道具信息!F130="","",[2]道具信息!F130)</f>
        <v>1</v>
      </c>
      <c r="G130" s="59">
        <f>IF([2]道具信息!G130="","",[2]道具信息!G130)</f>
        <v>1</v>
      </c>
      <c r="H130" s="59">
        <f>IF([2]道具信息!H130="","",[2]道具信息!H130)</f>
        <v>1</v>
      </c>
      <c r="I130" s="59">
        <f>IF([2]道具信息!I130="","",[2]道具信息!I130)</f>
        <v>4000</v>
      </c>
      <c r="J130" s="59">
        <f>IF([2]道具信息!J130="","",[2]道具信息!J130)</f>
        <v>4000</v>
      </c>
      <c r="K130" s="59">
        <f>IF([2]道具信息!K130="","",[2]道具信息!K130)</f>
        <v>4000</v>
      </c>
      <c r="L130" s="59" t="str">
        <f>IF([2]道具信息!L130="","",[2]道具信息!L130)</f>
        <v/>
      </c>
      <c r="M130" s="59" t="str">
        <f>IF([2]道具信息!M130="","",[2]道具信息!M130)</f>
        <v/>
      </c>
      <c r="N130" s="59" t="str">
        <f>IF([2]道具信息!N130="","",[2]道具信息!N130)</f>
        <v/>
      </c>
      <c r="O130" s="59" t="str">
        <f>IF([2]道具信息!O130="","",[2]道具信息!O130)</f>
        <v/>
      </c>
      <c r="P130" s="59" t="str">
        <f>IF([2]道具信息!P130="","",[2]道具信息!P130)</f>
        <v/>
      </c>
      <c r="Q130" s="59" t="str">
        <f>IF([2]道具信息!Q130="","",[2]道具信息!Q130)</f>
        <v/>
      </c>
      <c r="R130" s="59" t="str">
        <f>IF([2]道具信息!R130="","",[2]道具信息!R130)</f>
        <v/>
      </c>
      <c r="S130" s="59" t="str">
        <f>IF([2]道具信息!S130="","",[2]道具信息!S130)</f>
        <v/>
      </c>
      <c r="T130" s="59" t="str">
        <f>IF([2]道具信息!T130="","",[2]道具信息!T130)</f>
        <v/>
      </c>
      <c r="U130" s="59" t="str">
        <f>IF([2]道具信息!U130="","",[2]道具信息!U130)</f>
        <v/>
      </c>
      <c r="V130" s="59" t="str">
        <f>IF([2]道具信息!V130="","",[2]道具信息!V130)</f>
        <v/>
      </c>
      <c r="W130" s="59" t="str">
        <f>IF([2]道具信息!W130="","",[2]道具信息!W130)</f>
        <v/>
      </c>
      <c r="X130" s="59" t="str">
        <f>IF([2]道具信息!X130="","",[2]道具信息!X130)</f>
        <v/>
      </c>
      <c r="Y130" s="59" t="str">
        <f>IF([2]道具信息!Y130="","",[2]道具信息!Y130)</f>
        <v/>
      </c>
      <c r="Z130" s="59" t="str">
        <f>IF([2]道具信息!Z130="","",[2]道具信息!Z130)</f>
        <v/>
      </c>
    </row>
    <row r="131" spans="1:26" x14ac:dyDescent="0.15">
      <c r="A131" s="59" t="str">
        <f>IF([2]道具信息!A131="","",[2]道具信息!A131)</f>
        <v/>
      </c>
      <c r="B131" s="59" t="str">
        <f>IF([2]道具信息!B131="","",[2]道具信息!B131)</f>
        <v/>
      </c>
      <c r="C131" s="59" t="str">
        <f>IF([2]道具信息!C131="","",[2]道具信息!C131)</f>
        <v/>
      </c>
      <c r="D131" s="59" t="str">
        <f>IF([2]道具信息!D131="","",[2]道具信息!D131)</f>
        <v>普通装备图纸</v>
      </c>
      <c r="E131" s="59">
        <f>IF([2]道具信息!E131="","",[2]道具信息!E131)</f>
        <v>50</v>
      </c>
      <c r="F131" s="59">
        <f>IF([2]道具信息!F131="","",[2]道具信息!F131)</f>
        <v>1</v>
      </c>
      <c r="G131" s="59">
        <f>IF([2]道具信息!G131="","",[2]道具信息!G131)</f>
        <v>0.2</v>
      </c>
      <c r="H131" s="59">
        <f>IF([2]道具信息!H131="","",[2]道具信息!H131)</f>
        <v>0.2</v>
      </c>
      <c r="I131" s="59">
        <f>IF([2]道具信息!I131="","",[2]道具信息!I131)</f>
        <v>50</v>
      </c>
      <c r="J131" s="59">
        <f>IF([2]道具信息!J131="","",[2]道具信息!J131)</f>
        <v>10</v>
      </c>
      <c r="K131" s="59">
        <f>IF([2]道具信息!K131="","",[2]道具信息!K131)</f>
        <v>10</v>
      </c>
      <c r="L131" s="59" t="str">
        <f>IF([2]道具信息!L131="","",[2]道具信息!L131)</f>
        <v/>
      </c>
      <c r="M131" s="59" t="str">
        <f>IF([2]道具信息!M131="","",[2]道具信息!M131)</f>
        <v/>
      </c>
      <c r="N131" s="59" t="str">
        <f>IF([2]道具信息!N131="","",[2]道具信息!N131)</f>
        <v/>
      </c>
      <c r="O131" s="59" t="str">
        <f>IF([2]道具信息!O131="","",[2]道具信息!O131)</f>
        <v/>
      </c>
      <c r="P131" s="59" t="str">
        <f>IF([2]道具信息!P131="","",[2]道具信息!P131)</f>
        <v/>
      </c>
      <c r="Q131" s="59" t="str">
        <f>IF([2]道具信息!Q131="","",[2]道具信息!Q131)</f>
        <v/>
      </c>
      <c r="R131" s="59" t="str">
        <f>IF([2]道具信息!R131="","",[2]道具信息!R131)</f>
        <v/>
      </c>
      <c r="S131" s="59" t="str">
        <f>IF([2]道具信息!S131="","",[2]道具信息!S131)</f>
        <v/>
      </c>
      <c r="T131" s="59" t="str">
        <f>IF([2]道具信息!T131="","",[2]道具信息!T131)</f>
        <v/>
      </c>
      <c r="U131" s="59" t="str">
        <f>IF([2]道具信息!U131="","",[2]道具信息!U131)</f>
        <v/>
      </c>
      <c r="V131" s="59" t="str">
        <f>IF([2]道具信息!V131="","",[2]道具信息!V131)</f>
        <v/>
      </c>
      <c r="W131" s="59" t="str">
        <f>IF([2]道具信息!W131="","",[2]道具信息!W131)</f>
        <v/>
      </c>
      <c r="X131" s="59" t="str">
        <f>IF([2]道具信息!X131="","",[2]道具信息!X131)</f>
        <v/>
      </c>
      <c r="Y131" s="59" t="str">
        <f>IF([2]道具信息!Y131="","",[2]道具信息!Y131)</f>
        <v/>
      </c>
      <c r="Z131" s="59" t="str">
        <f>IF([2]道具信息!Z131="","",[2]道具信息!Z131)</f>
        <v/>
      </c>
    </row>
    <row r="132" spans="1:26" x14ac:dyDescent="0.15">
      <c r="A132" s="59" t="str">
        <f>IF([2]道具信息!A132="","",[2]道具信息!A132)</f>
        <v/>
      </c>
      <c r="B132" s="59" t="str">
        <f>IF([2]道具信息!B132="","",[2]道具信息!B132)</f>
        <v/>
      </c>
      <c r="C132" s="59" t="str">
        <f>IF([2]道具信息!C132="","",[2]道具信息!C132)</f>
        <v/>
      </c>
      <c r="D132" s="59" t="str">
        <f>IF([2]道具信息!D132="","",[2]道具信息!D132)</f>
        <v>精良装备图纸</v>
      </c>
      <c r="E132" s="59">
        <f>IF([2]道具信息!E132="","",[2]道具信息!E132)</f>
        <v>310</v>
      </c>
      <c r="F132" s="59">
        <f>IF([2]道具信息!F132="","",[2]道具信息!F132)</f>
        <v>1</v>
      </c>
      <c r="G132" s="59">
        <f>IF([2]道具信息!G132="","",[2]道具信息!G132)</f>
        <v>0.2</v>
      </c>
      <c r="H132" s="59">
        <f>IF([2]道具信息!H132="","",[2]道具信息!H132)</f>
        <v>0.2</v>
      </c>
      <c r="I132" s="59">
        <f>IF([2]道具信息!I132="","",[2]道具信息!I132)</f>
        <v>310</v>
      </c>
      <c r="J132" s="59">
        <f>IF([2]道具信息!J132="","",[2]道具信息!J132)</f>
        <v>62</v>
      </c>
      <c r="K132" s="59">
        <f>IF([2]道具信息!K132="","",[2]道具信息!K132)</f>
        <v>62</v>
      </c>
      <c r="L132" s="59" t="str">
        <f>IF([2]道具信息!L132="","",[2]道具信息!L132)</f>
        <v/>
      </c>
      <c r="M132" s="59" t="str">
        <f>IF([2]道具信息!M132="","",[2]道具信息!M132)</f>
        <v/>
      </c>
      <c r="N132" s="59" t="str">
        <f>IF([2]道具信息!N132="","",[2]道具信息!N132)</f>
        <v/>
      </c>
      <c r="O132" s="59" t="str">
        <f>IF([2]道具信息!O132="","",[2]道具信息!O132)</f>
        <v/>
      </c>
      <c r="P132" s="59" t="str">
        <f>IF([2]道具信息!P132="","",[2]道具信息!P132)</f>
        <v/>
      </c>
      <c r="Q132" s="59" t="str">
        <f>IF([2]道具信息!Q132="","",[2]道具信息!Q132)</f>
        <v/>
      </c>
      <c r="R132" s="59" t="str">
        <f>IF([2]道具信息!R132="","",[2]道具信息!R132)</f>
        <v/>
      </c>
      <c r="S132" s="59" t="str">
        <f>IF([2]道具信息!S132="","",[2]道具信息!S132)</f>
        <v/>
      </c>
      <c r="T132" s="59" t="str">
        <f>IF([2]道具信息!T132="","",[2]道具信息!T132)</f>
        <v/>
      </c>
      <c r="U132" s="59" t="str">
        <f>IF([2]道具信息!U132="","",[2]道具信息!U132)</f>
        <v/>
      </c>
      <c r="V132" s="59" t="str">
        <f>IF([2]道具信息!V132="","",[2]道具信息!V132)</f>
        <v/>
      </c>
      <c r="W132" s="59" t="str">
        <f>IF([2]道具信息!W132="","",[2]道具信息!W132)</f>
        <v/>
      </c>
      <c r="X132" s="59" t="str">
        <f>IF([2]道具信息!X132="","",[2]道具信息!X132)</f>
        <v/>
      </c>
      <c r="Y132" s="59" t="str">
        <f>IF([2]道具信息!Y132="","",[2]道具信息!Y132)</f>
        <v/>
      </c>
      <c r="Z132" s="59" t="str">
        <f>IF([2]道具信息!Z132="","",[2]道具信息!Z132)</f>
        <v/>
      </c>
    </row>
    <row r="133" spans="1:26" x14ac:dyDescent="0.15">
      <c r="A133" s="59" t="str">
        <f>IF([2]道具信息!A133="","",[2]道具信息!A133)</f>
        <v/>
      </c>
      <c r="B133" s="59" t="str">
        <f>IF([2]道具信息!B133="","",[2]道具信息!B133)</f>
        <v/>
      </c>
      <c r="C133" s="59" t="str">
        <f>IF([2]道具信息!C133="","",[2]道具信息!C133)</f>
        <v/>
      </c>
      <c r="D133" s="59" t="str">
        <f>IF([2]道具信息!D133="","",[2]道具信息!D133)</f>
        <v>优质装备图纸</v>
      </c>
      <c r="E133" s="59">
        <f>IF([2]道具信息!E133="","",[2]道具信息!E133)</f>
        <v>1525</v>
      </c>
      <c r="F133" s="59">
        <f>IF([2]道具信息!F133="","",[2]道具信息!F133)</f>
        <v>1</v>
      </c>
      <c r="G133" s="59">
        <f>IF([2]道具信息!G133="","",[2]道具信息!G133)</f>
        <v>1</v>
      </c>
      <c r="H133" s="59">
        <f>IF([2]道具信息!H133="","",[2]道具信息!H133)</f>
        <v>0.18032786885245902</v>
      </c>
      <c r="I133" s="59">
        <f>IF([2]道具信息!I133="","",[2]道具信息!I133)</f>
        <v>1525</v>
      </c>
      <c r="J133" s="59">
        <f>IF([2]道具信息!J133="","",[2]道具信息!J133)</f>
        <v>1525</v>
      </c>
      <c r="K133" s="59">
        <f>IF([2]道具信息!K133="","",[2]道具信息!K133)</f>
        <v>275</v>
      </c>
      <c r="L133" s="59" t="str">
        <f>IF([2]道具信息!L133="","",[2]道具信息!L133)</f>
        <v/>
      </c>
      <c r="M133" s="59" t="str">
        <f>IF([2]道具信息!M133="","",[2]道具信息!M133)</f>
        <v/>
      </c>
      <c r="N133" s="59" t="str">
        <f>IF([2]道具信息!N133="","",[2]道具信息!N133)</f>
        <v/>
      </c>
      <c r="O133" s="59" t="str">
        <f>IF([2]道具信息!O133="","",[2]道具信息!O133)</f>
        <v/>
      </c>
      <c r="P133" s="59" t="str">
        <f>IF([2]道具信息!P133="","",[2]道具信息!P133)</f>
        <v/>
      </c>
      <c r="Q133" s="59" t="str">
        <f>IF([2]道具信息!Q133="","",[2]道具信息!Q133)</f>
        <v/>
      </c>
      <c r="R133" s="59" t="str">
        <f>IF([2]道具信息!R133="","",[2]道具信息!R133)</f>
        <v/>
      </c>
      <c r="S133" s="59" t="str">
        <f>IF([2]道具信息!S133="","",[2]道具信息!S133)</f>
        <v/>
      </c>
      <c r="T133" s="59" t="str">
        <f>IF([2]道具信息!T133="","",[2]道具信息!T133)</f>
        <v/>
      </c>
      <c r="U133" s="59" t="str">
        <f>IF([2]道具信息!U133="","",[2]道具信息!U133)</f>
        <v/>
      </c>
      <c r="V133" s="59" t="str">
        <f>IF([2]道具信息!V133="","",[2]道具信息!V133)</f>
        <v/>
      </c>
      <c r="W133" s="59" t="str">
        <f>IF([2]道具信息!W133="","",[2]道具信息!W133)</f>
        <v/>
      </c>
      <c r="X133" s="59" t="str">
        <f>IF([2]道具信息!X133="","",[2]道具信息!X133)</f>
        <v/>
      </c>
      <c r="Y133" s="59" t="str">
        <f>IF([2]道具信息!Y133="","",[2]道具信息!Y133)</f>
        <v/>
      </c>
      <c r="Z133" s="59" t="str">
        <f>IF([2]道具信息!Z133="","",[2]道具信息!Z133)</f>
        <v/>
      </c>
    </row>
    <row r="134" spans="1:26" x14ac:dyDescent="0.15">
      <c r="A134" s="59" t="str">
        <f>IF([2]道具信息!A134="","",[2]道具信息!A134)</f>
        <v/>
      </c>
      <c r="B134" s="59" t="str">
        <f>IF([2]道具信息!B134="","",[2]道具信息!B134)</f>
        <v/>
      </c>
      <c r="C134" s="59" t="str">
        <f>IF([2]道具信息!C134="","",[2]道具信息!C134)</f>
        <v/>
      </c>
      <c r="D134" s="59" t="str">
        <f>IF([2]道具信息!D134="","",[2]道具信息!D134)</f>
        <v>珍稀装备图纸</v>
      </c>
      <c r="E134" s="59">
        <f>IF([2]道具信息!E134="","",[2]道具信息!E134)</f>
        <v>2325</v>
      </c>
      <c r="F134" s="59">
        <f>IF([2]道具信息!F134="","",[2]道具信息!F134)</f>
        <v>1</v>
      </c>
      <c r="G134" s="59">
        <f>IF([2]道具信息!G134="","",[2]道具信息!G134)</f>
        <v>1</v>
      </c>
      <c r="H134" s="59">
        <f>IF([2]道具信息!H134="","",[2]道具信息!H134)</f>
        <v>1</v>
      </c>
      <c r="I134" s="59">
        <f>IF([2]道具信息!I134="","",[2]道具信息!I134)</f>
        <v>2325</v>
      </c>
      <c r="J134" s="59">
        <f>IF([2]道具信息!J134="","",[2]道具信息!J134)</f>
        <v>2325</v>
      </c>
      <c r="K134" s="59">
        <f>IF([2]道具信息!K134="","",[2]道具信息!K134)</f>
        <v>2325</v>
      </c>
      <c r="L134" s="59" t="str">
        <f>IF([2]道具信息!L134="","",[2]道具信息!L134)</f>
        <v/>
      </c>
      <c r="M134" s="59" t="str">
        <f>IF([2]道具信息!M134="","",[2]道具信息!M134)</f>
        <v/>
      </c>
      <c r="N134" s="59" t="str">
        <f>IF([2]道具信息!N134="","",[2]道具信息!N134)</f>
        <v/>
      </c>
      <c r="O134" s="59" t="str">
        <f>IF([2]道具信息!O134="","",[2]道具信息!O134)</f>
        <v/>
      </c>
      <c r="P134" s="59" t="str">
        <f>IF([2]道具信息!P134="","",[2]道具信息!P134)</f>
        <v/>
      </c>
      <c r="Q134" s="59" t="str">
        <f>IF([2]道具信息!Q134="","",[2]道具信息!Q134)</f>
        <v/>
      </c>
      <c r="R134" s="59" t="str">
        <f>IF([2]道具信息!R134="","",[2]道具信息!R134)</f>
        <v/>
      </c>
      <c r="S134" s="59" t="str">
        <f>IF([2]道具信息!S134="","",[2]道具信息!S134)</f>
        <v/>
      </c>
      <c r="T134" s="59" t="str">
        <f>IF([2]道具信息!T134="","",[2]道具信息!T134)</f>
        <v/>
      </c>
      <c r="U134" s="59" t="str">
        <f>IF([2]道具信息!U134="","",[2]道具信息!U134)</f>
        <v/>
      </c>
      <c r="V134" s="59" t="str">
        <f>IF([2]道具信息!V134="","",[2]道具信息!V134)</f>
        <v/>
      </c>
      <c r="W134" s="59" t="str">
        <f>IF([2]道具信息!W134="","",[2]道具信息!W134)</f>
        <v/>
      </c>
      <c r="X134" s="59" t="str">
        <f>IF([2]道具信息!X134="","",[2]道具信息!X134)</f>
        <v/>
      </c>
      <c r="Y134" s="59" t="str">
        <f>IF([2]道具信息!Y134="","",[2]道具信息!Y134)</f>
        <v/>
      </c>
      <c r="Z134" s="59" t="str">
        <f>IF([2]道具信息!Z134="","",[2]道具信息!Z134)</f>
        <v/>
      </c>
    </row>
    <row r="135" spans="1:26" x14ac:dyDescent="0.15">
      <c r="A135" s="59" t="str">
        <f>IF([2]道具信息!A135="","",[2]道具信息!A135)</f>
        <v/>
      </c>
      <c r="B135" s="59" t="str">
        <f>IF([2]道具信息!B135="","",[2]道具信息!B135)</f>
        <v/>
      </c>
      <c r="C135" s="59" t="str">
        <f>IF([2]道具信息!C135="","",[2]道具信息!C135)</f>
        <v/>
      </c>
      <c r="D135" s="59" t="str">
        <f>IF([2]道具信息!D135="","",[2]道具信息!D135)</f>
        <v>传世装备图纸</v>
      </c>
      <c r="E135" s="59">
        <f>IF([2]道具信息!E135="","",[2]道具信息!E135)</f>
        <v>5600</v>
      </c>
      <c r="F135" s="59">
        <f>IF([2]道具信息!F135="","",[2]道具信息!F135)</f>
        <v>1</v>
      </c>
      <c r="G135" s="59">
        <f>IF([2]道具信息!G135="","",[2]道具信息!G135)</f>
        <v>1</v>
      </c>
      <c r="H135" s="59">
        <f>IF([2]道具信息!H135="","",[2]道具信息!H135)</f>
        <v>1</v>
      </c>
      <c r="I135" s="59">
        <f>IF([2]道具信息!I135="","",[2]道具信息!I135)</f>
        <v>5600</v>
      </c>
      <c r="J135" s="59">
        <f>IF([2]道具信息!J135="","",[2]道具信息!J135)</f>
        <v>5600</v>
      </c>
      <c r="K135" s="59">
        <f>IF([2]道具信息!K135="","",[2]道具信息!K135)</f>
        <v>5600</v>
      </c>
      <c r="L135" s="59" t="str">
        <f>IF([2]道具信息!L135="","",[2]道具信息!L135)</f>
        <v/>
      </c>
      <c r="M135" s="59" t="str">
        <f>IF([2]道具信息!M135="","",[2]道具信息!M135)</f>
        <v/>
      </c>
      <c r="N135" s="59" t="str">
        <f>IF([2]道具信息!N135="","",[2]道具信息!N135)</f>
        <v/>
      </c>
      <c r="O135" s="59" t="str">
        <f>IF([2]道具信息!O135="","",[2]道具信息!O135)</f>
        <v/>
      </c>
      <c r="P135" s="59" t="str">
        <f>IF([2]道具信息!P135="","",[2]道具信息!P135)</f>
        <v/>
      </c>
      <c r="Q135" s="59" t="str">
        <f>IF([2]道具信息!Q135="","",[2]道具信息!Q135)</f>
        <v/>
      </c>
      <c r="R135" s="59" t="str">
        <f>IF([2]道具信息!R135="","",[2]道具信息!R135)</f>
        <v/>
      </c>
      <c r="S135" s="59" t="str">
        <f>IF([2]道具信息!S135="","",[2]道具信息!S135)</f>
        <v/>
      </c>
      <c r="T135" s="59" t="str">
        <f>IF([2]道具信息!T135="","",[2]道具信息!T135)</f>
        <v/>
      </c>
      <c r="U135" s="59" t="str">
        <f>IF([2]道具信息!U135="","",[2]道具信息!U135)</f>
        <v/>
      </c>
      <c r="V135" s="59" t="str">
        <f>IF([2]道具信息!V135="","",[2]道具信息!V135)</f>
        <v/>
      </c>
      <c r="W135" s="59" t="str">
        <f>IF([2]道具信息!W135="","",[2]道具信息!W135)</f>
        <v/>
      </c>
      <c r="X135" s="59" t="str">
        <f>IF([2]道具信息!X135="","",[2]道具信息!X135)</f>
        <v/>
      </c>
      <c r="Y135" s="59" t="str">
        <f>IF([2]道具信息!Y135="","",[2]道具信息!Y135)</f>
        <v/>
      </c>
      <c r="Z135" s="59" t="str">
        <f>IF([2]道具信息!Z135="","",[2]道具信息!Z135)</f>
        <v/>
      </c>
    </row>
    <row r="136" spans="1:26" x14ac:dyDescent="0.15">
      <c r="A136" s="59" t="str">
        <f>IF([2]道具信息!A136="","",[2]道具信息!A136)</f>
        <v/>
      </c>
      <c r="B136" s="59" t="str">
        <f>IF([2]道具信息!B136="","",[2]道具信息!B136)</f>
        <v/>
      </c>
      <c r="C136" s="59" t="str">
        <f>IF([2]道具信息!C136="","",[2]道具信息!C136)</f>
        <v/>
      </c>
      <c r="D136" s="59" t="str">
        <f>IF([2]道具信息!D136="","",[2]道具信息!D136)</f>
        <v>传奇装备图纸</v>
      </c>
      <c r="E136" s="59">
        <f>IF([2]道具信息!E136="","",[2]道具信息!E136)</f>
        <v>10400</v>
      </c>
      <c r="F136" s="59">
        <f>IF([2]道具信息!F136="","",[2]道具信息!F136)</f>
        <v>1</v>
      </c>
      <c r="G136" s="59">
        <f>IF([2]道具信息!G136="","",[2]道具信息!G136)</f>
        <v>1</v>
      </c>
      <c r="H136" s="59">
        <f>IF([2]道具信息!H136="","",[2]道具信息!H136)</f>
        <v>1</v>
      </c>
      <c r="I136" s="59">
        <f>IF([2]道具信息!I136="","",[2]道具信息!I136)</f>
        <v>10400</v>
      </c>
      <c r="J136" s="59">
        <f>IF([2]道具信息!J136="","",[2]道具信息!J136)</f>
        <v>10400</v>
      </c>
      <c r="K136" s="59">
        <f>IF([2]道具信息!K136="","",[2]道具信息!K136)</f>
        <v>10400</v>
      </c>
      <c r="L136" s="59" t="str">
        <f>IF([2]道具信息!L136="","",[2]道具信息!L136)</f>
        <v/>
      </c>
      <c r="M136" s="59" t="str">
        <f>IF([2]道具信息!M136="","",[2]道具信息!M136)</f>
        <v/>
      </c>
      <c r="N136" s="59" t="str">
        <f>IF([2]道具信息!N136="","",[2]道具信息!N136)</f>
        <v/>
      </c>
      <c r="O136" s="59" t="str">
        <f>IF([2]道具信息!O136="","",[2]道具信息!O136)</f>
        <v/>
      </c>
      <c r="P136" s="59" t="str">
        <f>IF([2]道具信息!P136="","",[2]道具信息!P136)</f>
        <v/>
      </c>
      <c r="Q136" s="59" t="str">
        <f>IF([2]道具信息!Q136="","",[2]道具信息!Q136)</f>
        <v/>
      </c>
      <c r="R136" s="59" t="str">
        <f>IF([2]道具信息!R136="","",[2]道具信息!R136)</f>
        <v/>
      </c>
      <c r="S136" s="59" t="str">
        <f>IF([2]道具信息!S136="","",[2]道具信息!S136)</f>
        <v/>
      </c>
      <c r="T136" s="59" t="str">
        <f>IF([2]道具信息!T136="","",[2]道具信息!T136)</f>
        <v/>
      </c>
      <c r="U136" s="59" t="str">
        <f>IF([2]道具信息!U136="","",[2]道具信息!U136)</f>
        <v/>
      </c>
      <c r="V136" s="59" t="str">
        <f>IF([2]道具信息!V136="","",[2]道具信息!V136)</f>
        <v/>
      </c>
      <c r="W136" s="59" t="str">
        <f>IF([2]道具信息!W136="","",[2]道具信息!W136)</f>
        <v/>
      </c>
      <c r="X136" s="59" t="str">
        <f>IF([2]道具信息!X136="","",[2]道具信息!X136)</f>
        <v/>
      </c>
      <c r="Y136" s="59" t="str">
        <f>IF([2]道具信息!Y136="","",[2]道具信息!Y136)</f>
        <v/>
      </c>
      <c r="Z136" s="59" t="str">
        <f>IF([2]道具信息!Z136="","",[2]道具信息!Z136)</f>
        <v/>
      </c>
    </row>
    <row r="137" spans="1:26" x14ac:dyDescent="0.15">
      <c r="A137" s="59" t="str">
        <f>IF([2]道具信息!A137="","",[2]道具信息!A137)</f>
        <v/>
      </c>
      <c r="B137" s="59" t="str">
        <f>IF([2]道具信息!B137="","",[2]道具信息!B137)</f>
        <v/>
      </c>
      <c r="C137" s="59" t="str">
        <f>IF([2]道具信息!C137="","",[2]道具信息!C137)</f>
        <v/>
      </c>
      <c r="D137" s="59" t="str">
        <f>IF([2]道具信息!D137="","",[2]道具信息!D137)</f>
        <v/>
      </c>
      <c r="E137" s="59" t="str">
        <f>IF([2]道具信息!E137="","",[2]道具信息!E137)</f>
        <v/>
      </c>
      <c r="F137" s="59" t="str">
        <f>IF([2]道具信息!F137="","",[2]道具信息!F137)</f>
        <v/>
      </c>
      <c r="G137" s="59" t="str">
        <f>IF([2]道具信息!G137="","",[2]道具信息!G137)</f>
        <v/>
      </c>
      <c r="H137" s="59" t="str">
        <f>IF([2]道具信息!H137="","",[2]道具信息!H137)</f>
        <v/>
      </c>
      <c r="I137" s="59" t="str">
        <f>IF([2]道具信息!I137="","",[2]道具信息!I137)</f>
        <v/>
      </c>
      <c r="J137" s="59" t="str">
        <f>IF([2]道具信息!J137="","",[2]道具信息!J137)</f>
        <v/>
      </c>
      <c r="K137" s="59" t="str">
        <f>IF([2]道具信息!K137="","",[2]道具信息!K137)</f>
        <v/>
      </c>
      <c r="L137" s="59" t="str">
        <f>IF([2]道具信息!L137="","",[2]道具信息!L137)</f>
        <v/>
      </c>
      <c r="M137" s="59" t="str">
        <f>IF([2]道具信息!M137="","",[2]道具信息!M137)</f>
        <v/>
      </c>
      <c r="N137" s="59" t="str">
        <f>IF([2]道具信息!N137="","",[2]道具信息!N137)</f>
        <v/>
      </c>
      <c r="O137" s="59" t="str">
        <f>IF([2]道具信息!O137="","",[2]道具信息!O137)</f>
        <v/>
      </c>
      <c r="P137" s="59" t="str">
        <f>IF([2]道具信息!P137="","",[2]道具信息!P137)</f>
        <v/>
      </c>
      <c r="Q137" s="59" t="str">
        <f>IF([2]道具信息!Q137="","",[2]道具信息!Q137)</f>
        <v/>
      </c>
      <c r="R137" s="59" t="str">
        <f>IF([2]道具信息!R137="","",[2]道具信息!R137)</f>
        <v/>
      </c>
      <c r="S137" s="59" t="str">
        <f>IF([2]道具信息!S137="","",[2]道具信息!S137)</f>
        <v/>
      </c>
      <c r="T137" s="59" t="str">
        <f>IF([2]道具信息!T137="","",[2]道具信息!T137)</f>
        <v/>
      </c>
      <c r="U137" s="59" t="str">
        <f>IF([2]道具信息!U137="","",[2]道具信息!U137)</f>
        <v/>
      </c>
      <c r="V137" s="59" t="str">
        <f>IF([2]道具信息!V137="","",[2]道具信息!V137)</f>
        <v/>
      </c>
      <c r="W137" s="59" t="str">
        <f>IF([2]道具信息!W137="","",[2]道具信息!W137)</f>
        <v/>
      </c>
      <c r="X137" s="59" t="str">
        <f>IF([2]道具信息!X137="","",[2]道具信息!X137)</f>
        <v/>
      </c>
      <c r="Y137" s="59" t="str">
        <f>IF([2]道具信息!Y137="","",[2]道具信息!Y137)</f>
        <v/>
      </c>
      <c r="Z137" s="59" t="str">
        <f>IF([2]道具信息!Z137="","",[2]道具信息!Z137)</f>
        <v/>
      </c>
    </row>
    <row r="138" spans="1:26" x14ac:dyDescent="0.15">
      <c r="A138" s="59" t="str">
        <f>IF([2]道具信息!A138="","",[2]道具信息!A138)</f>
        <v/>
      </c>
      <c r="B138" s="59" t="str">
        <f>IF([2]道具信息!B138="","",[2]道具信息!B138)</f>
        <v/>
      </c>
      <c r="C138" s="59" t="str">
        <f>IF([2]道具信息!C138="","",[2]道具信息!C138)</f>
        <v/>
      </c>
      <c r="D138" s="59" t="str">
        <f>IF([2]道具信息!D138="","",[2]道具信息!D138)</f>
        <v>残破磨石</v>
      </c>
      <c r="E138" s="59">
        <f>IF([2]道具信息!E138="","",[2]道具信息!E138)</f>
        <v>10</v>
      </c>
      <c r="F138" s="59">
        <f>IF([2]道具信息!F138="","",[2]道具信息!F138)</f>
        <v>1</v>
      </c>
      <c r="G138" s="59">
        <f>IF([2]道具信息!G138="","",[2]道具信息!G138)</f>
        <v>1</v>
      </c>
      <c r="H138" s="59">
        <f>IF([2]道具信息!H138="","",[2]道具信息!H138)</f>
        <v>1</v>
      </c>
      <c r="I138" s="59">
        <f>IF([2]道具信息!I138="","",[2]道具信息!I138)</f>
        <v>10</v>
      </c>
      <c r="J138" s="59">
        <f>IF([2]道具信息!J138="","",[2]道具信息!J138)</f>
        <v>10</v>
      </c>
      <c r="K138" s="59">
        <f>IF([2]道具信息!K138="","",[2]道具信息!K138)</f>
        <v>10</v>
      </c>
      <c r="L138" s="59" t="str">
        <f>IF([2]道具信息!L138="","",[2]道具信息!L138)</f>
        <v/>
      </c>
      <c r="M138" s="59" t="str">
        <f>IF([2]道具信息!M138="","",[2]道具信息!M138)</f>
        <v/>
      </c>
      <c r="N138" s="59" t="str">
        <f>IF([2]道具信息!N138="","",[2]道具信息!N138)</f>
        <v/>
      </c>
      <c r="O138" s="59" t="str">
        <f>IF([2]道具信息!O138="","",[2]道具信息!O138)</f>
        <v/>
      </c>
      <c r="P138" s="59" t="str">
        <f>IF([2]道具信息!P138="","",[2]道具信息!P138)</f>
        <v/>
      </c>
      <c r="Q138" s="59" t="str">
        <f>IF([2]道具信息!Q138="","",[2]道具信息!Q138)</f>
        <v/>
      </c>
      <c r="R138" s="59" t="str">
        <f>IF([2]道具信息!R138="","",[2]道具信息!R138)</f>
        <v/>
      </c>
      <c r="S138" s="59" t="str">
        <f>IF([2]道具信息!S138="","",[2]道具信息!S138)</f>
        <v/>
      </c>
      <c r="T138" s="59" t="str">
        <f>IF([2]道具信息!T138="","",[2]道具信息!T138)</f>
        <v/>
      </c>
      <c r="U138" s="59" t="str">
        <f>IF([2]道具信息!U138="","",[2]道具信息!U138)</f>
        <v/>
      </c>
      <c r="V138" s="59" t="str">
        <f>IF([2]道具信息!V138="","",[2]道具信息!V138)</f>
        <v/>
      </c>
      <c r="W138" s="59" t="str">
        <f>IF([2]道具信息!W138="","",[2]道具信息!W138)</f>
        <v/>
      </c>
      <c r="X138" s="59" t="str">
        <f>IF([2]道具信息!X138="","",[2]道具信息!X138)</f>
        <v/>
      </c>
      <c r="Y138" s="59" t="str">
        <f>IF([2]道具信息!Y138="","",[2]道具信息!Y138)</f>
        <v/>
      </c>
      <c r="Z138" s="59" t="str">
        <f>IF([2]道具信息!Z138="","",[2]道具信息!Z138)</f>
        <v/>
      </c>
    </row>
    <row r="139" spans="1:26" x14ac:dyDescent="0.15">
      <c r="A139" s="59" t="str">
        <f>IF([2]道具信息!A139="","",[2]道具信息!A139)</f>
        <v/>
      </c>
      <c r="B139" s="59" t="str">
        <f>IF([2]道具信息!B139="","",[2]道具信息!B139)</f>
        <v/>
      </c>
      <c r="C139" s="59" t="str">
        <f>IF([2]道具信息!C139="","",[2]道具信息!C139)</f>
        <v/>
      </c>
      <c r="D139" s="59" t="str">
        <f>IF([2]道具信息!D139="","",[2]道具信息!D139)</f>
        <v>普通磨石</v>
      </c>
      <c r="E139" s="59">
        <f>IF([2]道具信息!E139="","",[2]道具信息!E139)</f>
        <v>50</v>
      </c>
      <c r="F139" s="59">
        <f>IF([2]道具信息!F139="","",[2]道具信息!F139)</f>
        <v>1</v>
      </c>
      <c r="G139" s="59">
        <f>IF([2]道具信息!G139="","",[2]道具信息!G139)</f>
        <v>1</v>
      </c>
      <c r="H139" s="59">
        <f>IF([2]道具信息!H139="","",[2]道具信息!H139)</f>
        <v>1</v>
      </c>
      <c r="I139" s="59">
        <f>IF([2]道具信息!I139="","",[2]道具信息!I139)</f>
        <v>50</v>
      </c>
      <c r="J139" s="59">
        <f>IF([2]道具信息!J139="","",[2]道具信息!J139)</f>
        <v>50</v>
      </c>
      <c r="K139" s="59">
        <f>IF([2]道具信息!K139="","",[2]道具信息!K139)</f>
        <v>50</v>
      </c>
      <c r="L139" s="59" t="str">
        <f>IF([2]道具信息!L139="","",[2]道具信息!L139)</f>
        <v/>
      </c>
      <c r="M139" s="59" t="str">
        <f>IF([2]道具信息!M139="","",[2]道具信息!M139)</f>
        <v/>
      </c>
      <c r="N139" s="59" t="str">
        <f>IF([2]道具信息!N139="","",[2]道具信息!N139)</f>
        <v/>
      </c>
      <c r="O139" s="59" t="str">
        <f>IF([2]道具信息!O139="","",[2]道具信息!O139)</f>
        <v/>
      </c>
      <c r="P139" s="59" t="str">
        <f>IF([2]道具信息!P139="","",[2]道具信息!P139)</f>
        <v/>
      </c>
      <c r="Q139" s="59" t="str">
        <f>IF([2]道具信息!Q139="","",[2]道具信息!Q139)</f>
        <v/>
      </c>
      <c r="R139" s="59" t="str">
        <f>IF([2]道具信息!R139="","",[2]道具信息!R139)</f>
        <v/>
      </c>
      <c r="S139" s="59" t="str">
        <f>IF([2]道具信息!S139="","",[2]道具信息!S139)</f>
        <v/>
      </c>
      <c r="T139" s="59" t="str">
        <f>IF([2]道具信息!T139="","",[2]道具信息!T139)</f>
        <v/>
      </c>
      <c r="U139" s="59" t="str">
        <f>IF([2]道具信息!U139="","",[2]道具信息!U139)</f>
        <v/>
      </c>
      <c r="V139" s="59" t="str">
        <f>IF([2]道具信息!V139="","",[2]道具信息!V139)</f>
        <v/>
      </c>
      <c r="W139" s="59" t="str">
        <f>IF([2]道具信息!W139="","",[2]道具信息!W139)</f>
        <v/>
      </c>
      <c r="X139" s="59" t="str">
        <f>IF([2]道具信息!X139="","",[2]道具信息!X139)</f>
        <v/>
      </c>
      <c r="Y139" s="59" t="str">
        <f>IF([2]道具信息!Y139="","",[2]道具信息!Y139)</f>
        <v/>
      </c>
      <c r="Z139" s="59" t="str">
        <f>IF([2]道具信息!Z139="","",[2]道具信息!Z139)</f>
        <v/>
      </c>
    </row>
    <row r="140" spans="1:26" x14ac:dyDescent="0.15">
      <c r="A140" s="59" t="str">
        <f>IF([2]道具信息!A140="","",[2]道具信息!A140)</f>
        <v/>
      </c>
      <c r="B140" s="59" t="str">
        <f>IF([2]道具信息!B140="","",[2]道具信息!B140)</f>
        <v/>
      </c>
      <c r="C140" s="59" t="str">
        <f>IF([2]道具信息!C140="","",[2]道具信息!C140)</f>
        <v/>
      </c>
      <c r="D140" s="59" t="str">
        <f>IF([2]道具信息!D140="","",[2]道具信息!D140)</f>
        <v>精良磨石</v>
      </c>
      <c r="E140" s="59">
        <f>IF([2]道具信息!E140="","",[2]道具信息!E140)</f>
        <v>100</v>
      </c>
      <c r="F140" s="59">
        <f>IF([2]道具信息!F140="","",[2]道具信息!F140)</f>
        <v>1</v>
      </c>
      <c r="G140" s="59">
        <f>IF([2]道具信息!G140="","",[2]道具信息!G140)</f>
        <v>1</v>
      </c>
      <c r="H140" s="59">
        <f>IF([2]道具信息!H140="","",[2]道具信息!H140)</f>
        <v>1</v>
      </c>
      <c r="I140" s="59">
        <f>IF([2]道具信息!I140="","",[2]道具信息!I140)</f>
        <v>100</v>
      </c>
      <c r="J140" s="59">
        <f>IF([2]道具信息!J140="","",[2]道具信息!J140)</f>
        <v>100</v>
      </c>
      <c r="K140" s="59">
        <f>IF([2]道具信息!K140="","",[2]道具信息!K140)</f>
        <v>100</v>
      </c>
      <c r="L140" s="59" t="str">
        <f>IF([2]道具信息!L140="","",[2]道具信息!L140)</f>
        <v/>
      </c>
      <c r="M140" s="59" t="str">
        <f>IF([2]道具信息!M140="","",[2]道具信息!M140)</f>
        <v/>
      </c>
      <c r="N140" s="59" t="str">
        <f>IF([2]道具信息!N140="","",[2]道具信息!N140)</f>
        <v/>
      </c>
      <c r="O140" s="59" t="str">
        <f>IF([2]道具信息!O140="","",[2]道具信息!O140)</f>
        <v/>
      </c>
      <c r="P140" s="59" t="str">
        <f>IF([2]道具信息!P140="","",[2]道具信息!P140)</f>
        <v/>
      </c>
      <c r="Q140" s="59" t="str">
        <f>IF([2]道具信息!Q140="","",[2]道具信息!Q140)</f>
        <v/>
      </c>
      <c r="R140" s="59" t="str">
        <f>IF([2]道具信息!R140="","",[2]道具信息!R140)</f>
        <v/>
      </c>
      <c r="S140" s="59" t="str">
        <f>IF([2]道具信息!S140="","",[2]道具信息!S140)</f>
        <v/>
      </c>
      <c r="T140" s="59" t="str">
        <f>IF([2]道具信息!T140="","",[2]道具信息!T140)</f>
        <v/>
      </c>
      <c r="U140" s="59" t="str">
        <f>IF([2]道具信息!U140="","",[2]道具信息!U140)</f>
        <v/>
      </c>
      <c r="V140" s="59" t="str">
        <f>IF([2]道具信息!V140="","",[2]道具信息!V140)</f>
        <v/>
      </c>
      <c r="W140" s="59" t="str">
        <f>IF([2]道具信息!W140="","",[2]道具信息!W140)</f>
        <v/>
      </c>
      <c r="X140" s="59" t="str">
        <f>IF([2]道具信息!X140="","",[2]道具信息!X140)</f>
        <v/>
      </c>
      <c r="Y140" s="59" t="str">
        <f>IF([2]道具信息!Y140="","",[2]道具信息!Y140)</f>
        <v/>
      </c>
      <c r="Z140" s="59" t="str">
        <f>IF([2]道具信息!Z140="","",[2]道具信息!Z140)</f>
        <v/>
      </c>
    </row>
    <row r="141" spans="1:26" x14ac:dyDescent="0.15">
      <c r="A141" s="59" t="str">
        <f>IF([2]道具信息!A141="","",[2]道具信息!A141)</f>
        <v/>
      </c>
      <c r="B141" s="59" t="str">
        <f>IF([2]道具信息!B141="","",[2]道具信息!B141)</f>
        <v/>
      </c>
      <c r="C141" s="59" t="str">
        <f>IF([2]道具信息!C141="","",[2]道具信息!C141)</f>
        <v/>
      </c>
      <c r="D141" s="59" t="str">
        <f>IF([2]道具信息!D141="","",[2]道具信息!D141)</f>
        <v>优质磨石</v>
      </c>
      <c r="E141" s="59">
        <f>IF([2]道具信息!E141="","",[2]道具信息!E141)</f>
        <v>200</v>
      </c>
      <c r="F141" s="59">
        <f>IF([2]道具信息!F141="","",[2]道具信息!F141)</f>
        <v>1</v>
      </c>
      <c r="G141" s="59">
        <f>IF([2]道具信息!G141="","",[2]道具信息!G141)</f>
        <v>1</v>
      </c>
      <c r="H141" s="59">
        <f>IF([2]道具信息!H141="","",[2]道具信息!H141)</f>
        <v>1</v>
      </c>
      <c r="I141" s="59">
        <f>IF([2]道具信息!I141="","",[2]道具信息!I141)</f>
        <v>200</v>
      </c>
      <c r="J141" s="59">
        <f>IF([2]道具信息!J141="","",[2]道具信息!J141)</f>
        <v>200</v>
      </c>
      <c r="K141" s="59">
        <f>IF([2]道具信息!K141="","",[2]道具信息!K141)</f>
        <v>200</v>
      </c>
      <c r="L141" s="59" t="str">
        <f>IF([2]道具信息!L141="","",[2]道具信息!L141)</f>
        <v/>
      </c>
      <c r="M141" s="59" t="str">
        <f>IF([2]道具信息!M141="","",[2]道具信息!M141)</f>
        <v/>
      </c>
      <c r="N141" s="59" t="str">
        <f>IF([2]道具信息!N141="","",[2]道具信息!N141)</f>
        <v/>
      </c>
      <c r="O141" s="59" t="str">
        <f>IF([2]道具信息!O141="","",[2]道具信息!O141)</f>
        <v/>
      </c>
      <c r="P141" s="59" t="str">
        <f>IF([2]道具信息!P141="","",[2]道具信息!P141)</f>
        <v/>
      </c>
      <c r="Q141" s="59" t="str">
        <f>IF([2]道具信息!Q141="","",[2]道具信息!Q141)</f>
        <v/>
      </c>
      <c r="R141" s="59" t="str">
        <f>IF([2]道具信息!R141="","",[2]道具信息!R141)</f>
        <v/>
      </c>
      <c r="S141" s="59" t="str">
        <f>IF([2]道具信息!S141="","",[2]道具信息!S141)</f>
        <v/>
      </c>
      <c r="T141" s="59" t="str">
        <f>IF([2]道具信息!T141="","",[2]道具信息!T141)</f>
        <v/>
      </c>
      <c r="U141" s="59" t="str">
        <f>IF([2]道具信息!U141="","",[2]道具信息!U141)</f>
        <v/>
      </c>
      <c r="V141" s="59" t="str">
        <f>IF([2]道具信息!V141="","",[2]道具信息!V141)</f>
        <v/>
      </c>
      <c r="W141" s="59" t="str">
        <f>IF([2]道具信息!W141="","",[2]道具信息!W141)</f>
        <v/>
      </c>
      <c r="X141" s="59" t="str">
        <f>IF([2]道具信息!X141="","",[2]道具信息!X141)</f>
        <v/>
      </c>
      <c r="Y141" s="59" t="str">
        <f>IF([2]道具信息!Y141="","",[2]道具信息!Y141)</f>
        <v/>
      </c>
      <c r="Z141" s="59" t="str">
        <f>IF([2]道具信息!Z141="","",[2]道具信息!Z141)</f>
        <v/>
      </c>
    </row>
    <row r="142" spans="1:26" x14ac:dyDescent="0.15">
      <c r="A142" s="59" t="str">
        <f>IF([2]道具信息!A142="","",[2]道具信息!A142)</f>
        <v/>
      </c>
      <c r="B142" s="59" t="str">
        <f>IF([2]道具信息!B142="","",[2]道具信息!B142)</f>
        <v/>
      </c>
      <c r="C142" s="59" t="str">
        <f>IF([2]道具信息!C142="","",[2]道具信息!C142)</f>
        <v/>
      </c>
      <c r="D142" s="59" t="str">
        <f>IF([2]道具信息!D142="","",[2]道具信息!D142)</f>
        <v>传世磨石</v>
      </c>
      <c r="E142" s="59">
        <f>IF([2]道具信息!E142="","",[2]道具信息!E142)</f>
        <v>400</v>
      </c>
      <c r="F142" s="59">
        <f>IF([2]道具信息!F142="","",[2]道具信息!F142)</f>
        <v>1</v>
      </c>
      <c r="G142" s="59">
        <f>IF([2]道具信息!G142="","",[2]道具信息!G142)</f>
        <v>1</v>
      </c>
      <c r="H142" s="59">
        <f>IF([2]道具信息!H142="","",[2]道具信息!H142)</f>
        <v>1</v>
      </c>
      <c r="I142" s="59">
        <f>IF([2]道具信息!I142="","",[2]道具信息!I142)</f>
        <v>400</v>
      </c>
      <c r="J142" s="59">
        <f>IF([2]道具信息!J142="","",[2]道具信息!J142)</f>
        <v>400</v>
      </c>
      <c r="K142" s="59">
        <f>IF([2]道具信息!K142="","",[2]道具信息!K142)</f>
        <v>400</v>
      </c>
      <c r="L142" s="59" t="str">
        <f>IF([2]道具信息!L142="","",[2]道具信息!L142)</f>
        <v/>
      </c>
      <c r="M142" s="59" t="str">
        <f>IF([2]道具信息!M142="","",[2]道具信息!M142)</f>
        <v/>
      </c>
      <c r="N142" s="59" t="str">
        <f>IF([2]道具信息!N142="","",[2]道具信息!N142)</f>
        <v/>
      </c>
      <c r="O142" s="59" t="str">
        <f>IF([2]道具信息!O142="","",[2]道具信息!O142)</f>
        <v/>
      </c>
      <c r="P142" s="59" t="str">
        <f>IF([2]道具信息!P142="","",[2]道具信息!P142)</f>
        <v/>
      </c>
      <c r="Q142" s="59" t="str">
        <f>IF([2]道具信息!Q142="","",[2]道具信息!Q142)</f>
        <v/>
      </c>
      <c r="R142" s="59" t="str">
        <f>IF([2]道具信息!R142="","",[2]道具信息!R142)</f>
        <v/>
      </c>
      <c r="S142" s="59" t="str">
        <f>IF([2]道具信息!S142="","",[2]道具信息!S142)</f>
        <v/>
      </c>
      <c r="T142" s="59" t="str">
        <f>IF([2]道具信息!T142="","",[2]道具信息!T142)</f>
        <v/>
      </c>
      <c r="U142" s="59" t="str">
        <f>IF([2]道具信息!U142="","",[2]道具信息!U142)</f>
        <v/>
      </c>
      <c r="V142" s="59" t="str">
        <f>IF([2]道具信息!V142="","",[2]道具信息!V142)</f>
        <v/>
      </c>
      <c r="W142" s="59" t="str">
        <f>IF([2]道具信息!W142="","",[2]道具信息!W142)</f>
        <v/>
      </c>
      <c r="X142" s="59" t="str">
        <f>IF([2]道具信息!X142="","",[2]道具信息!X142)</f>
        <v/>
      </c>
      <c r="Y142" s="59" t="str">
        <f>IF([2]道具信息!Y142="","",[2]道具信息!Y142)</f>
        <v/>
      </c>
      <c r="Z142" s="59" t="str">
        <f>IF([2]道具信息!Z142="","",[2]道具信息!Z142)</f>
        <v/>
      </c>
    </row>
    <row r="143" spans="1:26" x14ac:dyDescent="0.15">
      <c r="A143" s="59" t="str">
        <f>IF([2]道具信息!A143="","",[2]道具信息!A143)</f>
        <v/>
      </c>
      <c r="B143" s="59" t="str">
        <f>IF([2]道具信息!B143="","",[2]道具信息!B143)</f>
        <v/>
      </c>
      <c r="C143" s="59" t="str">
        <f>IF([2]道具信息!C143="","",[2]道具信息!C143)</f>
        <v/>
      </c>
      <c r="D143" s="59" t="str">
        <f>IF([2]道具信息!D143="","",[2]道具信息!D143)</f>
        <v/>
      </c>
      <c r="E143" s="59" t="str">
        <f>IF([2]道具信息!E143="","",[2]道具信息!E143)</f>
        <v/>
      </c>
      <c r="F143" s="59" t="str">
        <f>IF([2]道具信息!F143="","",[2]道具信息!F143)</f>
        <v/>
      </c>
      <c r="G143" s="59" t="str">
        <f>IF([2]道具信息!G143="","",[2]道具信息!G143)</f>
        <v/>
      </c>
      <c r="H143" s="59" t="str">
        <f>IF([2]道具信息!H143="","",[2]道具信息!H143)</f>
        <v/>
      </c>
      <c r="I143" s="59" t="str">
        <f>IF([2]道具信息!I143="","",[2]道具信息!I143)</f>
        <v/>
      </c>
      <c r="J143" s="59" t="str">
        <f>IF([2]道具信息!J143="","",[2]道具信息!J143)</f>
        <v/>
      </c>
      <c r="K143" s="59" t="str">
        <f>IF([2]道具信息!K143="","",[2]道具信息!K143)</f>
        <v/>
      </c>
      <c r="L143" s="59" t="str">
        <f>IF([2]道具信息!L143="","",[2]道具信息!L143)</f>
        <v/>
      </c>
      <c r="M143" s="59" t="str">
        <f>IF([2]道具信息!M143="","",[2]道具信息!M143)</f>
        <v/>
      </c>
      <c r="N143" s="59" t="str">
        <f>IF([2]道具信息!N143="","",[2]道具信息!N143)</f>
        <v/>
      </c>
      <c r="O143" s="59" t="str">
        <f>IF([2]道具信息!O143="","",[2]道具信息!O143)</f>
        <v/>
      </c>
      <c r="P143" s="59" t="str">
        <f>IF([2]道具信息!P143="","",[2]道具信息!P143)</f>
        <v/>
      </c>
      <c r="Q143" s="59" t="str">
        <f>IF([2]道具信息!Q143="","",[2]道具信息!Q143)</f>
        <v/>
      </c>
      <c r="R143" s="59" t="str">
        <f>IF([2]道具信息!R143="","",[2]道具信息!R143)</f>
        <v/>
      </c>
      <c r="S143" s="59" t="str">
        <f>IF([2]道具信息!S143="","",[2]道具信息!S143)</f>
        <v/>
      </c>
      <c r="T143" s="59" t="str">
        <f>IF([2]道具信息!T143="","",[2]道具信息!T143)</f>
        <v/>
      </c>
      <c r="U143" s="59" t="str">
        <f>IF([2]道具信息!U143="","",[2]道具信息!U143)</f>
        <v/>
      </c>
      <c r="V143" s="59" t="str">
        <f>IF([2]道具信息!V143="","",[2]道具信息!V143)</f>
        <v/>
      </c>
      <c r="W143" s="59" t="str">
        <f>IF([2]道具信息!W143="","",[2]道具信息!W143)</f>
        <v/>
      </c>
      <c r="X143" s="59" t="str">
        <f>IF([2]道具信息!X143="","",[2]道具信息!X143)</f>
        <v/>
      </c>
      <c r="Y143" s="59" t="str">
        <f>IF([2]道具信息!Y143="","",[2]道具信息!Y143)</f>
        <v/>
      </c>
      <c r="Z143" s="59" t="str">
        <f>IF([2]道具信息!Z143="","",[2]道具信息!Z143)</f>
        <v/>
      </c>
    </row>
    <row r="144" spans="1:26" x14ac:dyDescent="0.15">
      <c r="A144" s="59" t="str">
        <f>IF([2]道具信息!A144="","",[2]道具信息!A144)</f>
        <v/>
      </c>
      <c r="B144" s="59" t="str">
        <f>IF([2]道具信息!B144="","",[2]道具信息!B144)</f>
        <v/>
      </c>
      <c r="C144" s="59" t="str">
        <f>IF([2]道具信息!C144="","",[2]道具信息!C144)</f>
        <v/>
      </c>
      <c r="D144" s="59" t="str">
        <f>IF([2]道具信息!D144="","",[2]道具信息!D144)</f>
        <v>普通兵装材料</v>
      </c>
      <c r="E144" s="59">
        <f>IF([2]道具信息!E144="","",[2]道具信息!E144)</f>
        <v>10</v>
      </c>
      <c r="F144" s="59">
        <f>IF([2]道具信息!F144="","",[2]道具信息!F144)</f>
        <v>1</v>
      </c>
      <c r="G144" s="59">
        <f>IF([2]道具信息!G144="","",[2]道具信息!G144)</f>
        <v>0.2</v>
      </c>
      <c r="H144" s="59">
        <f>IF([2]道具信息!H144="","",[2]道具信息!H144)</f>
        <v>0.2</v>
      </c>
      <c r="I144" s="59">
        <f>IF([2]道具信息!I144="","",[2]道具信息!I144)</f>
        <v>10</v>
      </c>
      <c r="J144" s="59">
        <f>IF([2]道具信息!J144="","",[2]道具信息!J144)</f>
        <v>2</v>
      </c>
      <c r="K144" s="59">
        <f>IF([2]道具信息!K144="","",[2]道具信息!K144)</f>
        <v>2</v>
      </c>
      <c r="L144" s="59" t="str">
        <f>IF([2]道具信息!L144="","",[2]道具信息!L144)</f>
        <v/>
      </c>
      <c r="M144" s="59" t="str">
        <f>IF([2]道具信息!M144="","",[2]道具信息!M144)</f>
        <v/>
      </c>
      <c r="N144" s="59" t="str">
        <f>IF([2]道具信息!N144="","",[2]道具信息!N144)</f>
        <v/>
      </c>
      <c r="O144" s="59" t="str">
        <f>IF([2]道具信息!O144="","",[2]道具信息!O144)</f>
        <v/>
      </c>
      <c r="P144" s="59" t="str">
        <f>IF([2]道具信息!P144="","",[2]道具信息!P144)</f>
        <v/>
      </c>
      <c r="Q144" s="59" t="str">
        <f>IF([2]道具信息!Q144="","",[2]道具信息!Q144)</f>
        <v/>
      </c>
      <c r="R144" s="59" t="str">
        <f>IF([2]道具信息!R144="","",[2]道具信息!R144)</f>
        <v/>
      </c>
      <c r="S144" s="59" t="str">
        <f>IF([2]道具信息!S144="","",[2]道具信息!S144)</f>
        <v/>
      </c>
      <c r="T144" s="59" t="str">
        <f>IF([2]道具信息!T144="","",[2]道具信息!T144)</f>
        <v/>
      </c>
      <c r="U144" s="59" t="str">
        <f>IF([2]道具信息!U144="","",[2]道具信息!U144)</f>
        <v/>
      </c>
      <c r="V144" s="59" t="str">
        <f>IF([2]道具信息!V144="","",[2]道具信息!V144)</f>
        <v/>
      </c>
      <c r="W144" s="59" t="str">
        <f>IF([2]道具信息!W144="","",[2]道具信息!W144)</f>
        <v/>
      </c>
      <c r="X144" s="59" t="str">
        <f>IF([2]道具信息!X144="","",[2]道具信息!X144)</f>
        <v/>
      </c>
      <c r="Y144" s="59" t="str">
        <f>IF([2]道具信息!Y144="","",[2]道具信息!Y144)</f>
        <v/>
      </c>
      <c r="Z144" s="59" t="str">
        <f>IF([2]道具信息!Z144="","",[2]道具信息!Z144)</f>
        <v/>
      </c>
    </row>
    <row r="145" spans="1:26" x14ac:dyDescent="0.15">
      <c r="A145" s="59" t="str">
        <f>IF([2]道具信息!A145="","",[2]道具信息!A145)</f>
        <v/>
      </c>
      <c r="B145" s="59" t="str">
        <f>IF([2]道具信息!B145="","",[2]道具信息!B145)</f>
        <v/>
      </c>
      <c r="C145" s="59" t="str">
        <f>IF([2]道具信息!C145="","",[2]道具信息!C145)</f>
        <v/>
      </c>
      <c r="D145" s="59" t="str">
        <f>IF([2]道具信息!D145="","",[2]道具信息!D145)</f>
        <v>精良兵装材料</v>
      </c>
      <c r="E145" s="59">
        <f>IF([2]道具信息!E145="","",[2]道具信息!E145)</f>
        <v>19</v>
      </c>
      <c r="F145" s="59">
        <f>IF([2]道具信息!F145="","",[2]道具信息!F145)</f>
        <v>1</v>
      </c>
      <c r="G145" s="59">
        <f>IF([2]道具信息!G145="","",[2]道具信息!G145)</f>
        <v>0.19999999999999998</v>
      </c>
      <c r="H145" s="59">
        <f>IF([2]道具信息!H145="","",[2]道具信息!H145)</f>
        <v>0.19999999999999998</v>
      </c>
      <c r="I145" s="59">
        <f>IF([2]道具信息!I145="","",[2]道具信息!I145)</f>
        <v>19</v>
      </c>
      <c r="J145" s="59">
        <f>IF([2]道具信息!J145="","",[2]道具信息!J145)</f>
        <v>3.8</v>
      </c>
      <c r="K145" s="59">
        <f>IF([2]道具信息!K145="","",[2]道具信息!K145)</f>
        <v>3.8</v>
      </c>
      <c r="L145" s="59" t="str">
        <f>IF([2]道具信息!L145="","",[2]道具信息!L145)</f>
        <v/>
      </c>
      <c r="M145" s="59" t="str">
        <f>IF([2]道具信息!M145="","",[2]道具信息!M145)</f>
        <v/>
      </c>
      <c r="N145" s="59" t="str">
        <f>IF([2]道具信息!N145="","",[2]道具信息!N145)</f>
        <v/>
      </c>
      <c r="O145" s="59" t="str">
        <f>IF([2]道具信息!O145="","",[2]道具信息!O145)</f>
        <v/>
      </c>
      <c r="P145" s="59" t="str">
        <f>IF([2]道具信息!P145="","",[2]道具信息!P145)</f>
        <v/>
      </c>
      <c r="Q145" s="59" t="str">
        <f>IF([2]道具信息!Q145="","",[2]道具信息!Q145)</f>
        <v/>
      </c>
      <c r="R145" s="59" t="str">
        <f>IF([2]道具信息!R145="","",[2]道具信息!R145)</f>
        <v/>
      </c>
      <c r="S145" s="59" t="str">
        <f>IF([2]道具信息!S145="","",[2]道具信息!S145)</f>
        <v/>
      </c>
      <c r="T145" s="59" t="str">
        <f>IF([2]道具信息!T145="","",[2]道具信息!T145)</f>
        <v/>
      </c>
      <c r="U145" s="59" t="str">
        <f>IF([2]道具信息!U145="","",[2]道具信息!U145)</f>
        <v/>
      </c>
      <c r="V145" s="59" t="str">
        <f>IF([2]道具信息!V145="","",[2]道具信息!V145)</f>
        <v/>
      </c>
      <c r="W145" s="59" t="str">
        <f>IF([2]道具信息!W145="","",[2]道具信息!W145)</f>
        <v/>
      </c>
      <c r="X145" s="59" t="str">
        <f>IF([2]道具信息!X145="","",[2]道具信息!X145)</f>
        <v/>
      </c>
      <c r="Y145" s="59" t="str">
        <f>IF([2]道具信息!Y145="","",[2]道具信息!Y145)</f>
        <v/>
      </c>
      <c r="Z145" s="59" t="str">
        <f>IF([2]道具信息!Z145="","",[2]道具信息!Z145)</f>
        <v/>
      </c>
    </row>
    <row r="146" spans="1:26" x14ac:dyDescent="0.15">
      <c r="A146" s="59" t="str">
        <f>IF([2]道具信息!A146="","",[2]道具信息!A146)</f>
        <v/>
      </c>
      <c r="B146" s="59" t="str">
        <f>IF([2]道具信息!B146="","",[2]道具信息!B146)</f>
        <v/>
      </c>
      <c r="C146" s="59" t="str">
        <f>IF([2]道具信息!C146="","",[2]道具信息!C146)</f>
        <v/>
      </c>
      <c r="D146" s="59" t="str">
        <f>IF([2]道具信息!D146="","",[2]道具信息!D146)</f>
        <v>优质兵装材料</v>
      </c>
      <c r="E146" s="59">
        <f>IF([2]道具信息!E146="","",[2]道具信息!E146)</f>
        <v>22.5</v>
      </c>
      <c r="F146" s="59">
        <f>IF([2]道具信息!F146="","",[2]道具信息!F146)</f>
        <v>1</v>
      </c>
      <c r="G146" s="59">
        <f>IF([2]道具信息!G146="","",[2]道具信息!G146)</f>
        <v>1</v>
      </c>
      <c r="H146" s="59">
        <f>IF([2]道具信息!H146="","",[2]道具信息!H146)</f>
        <v>0.18533333333333332</v>
      </c>
      <c r="I146" s="59">
        <f>IF([2]道具信息!I146="","",[2]道具信息!I146)</f>
        <v>22.5</v>
      </c>
      <c r="J146" s="59">
        <f>IF([2]道具信息!J146="","",[2]道具信息!J146)</f>
        <v>22.5</v>
      </c>
      <c r="K146" s="59">
        <f>IF([2]道具信息!K146="","",[2]道具信息!K146)</f>
        <v>4.17</v>
      </c>
      <c r="L146" s="59" t="str">
        <f>IF([2]道具信息!L146="","",[2]道具信息!L146)</f>
        <v/>
      </c>
      <c r="M146" s="59" t="str">
        <f>IF([2]道具信息!M146="","",[2]道具信息!M146)</f>
        <v/>
      </c>
      <c r="N146" s="59" t="str">
        <f>IF([2]道具信息!N146="","",[2]道具信息!N146)</f>
        <v/>
      </c>
      <c r="O146" s="59" t="str">
        <f>IF([2]道具信息!O146="","",[2]道具信息!O146)</f>
        <v/>
      </c>
      <c r="P146" s="59" t="str">
        <f>IF([2]道具信息!P146="","",[2]道具信息!P146)</f>
        <v/>
      </c>
      <c r="Q146" s="59" t="str">
        <f>IF([2]道具信息!Q146="","",[2]道具信息!Q146)</f>
        <v/>
      </c>
      <c r="R146" s="59" t="str">
        <f>IF([2]道具信息!R146="","",[2]道具信息!R146)</f>
        <v/>
      </c>
      <c r="S146" s="59" t="str">
        <f>IF([2]道具信息!S146="","",[2]道具信息!S146)</f>
        <v/>
      </c>
      <c r="T146" s="59" t="str">
        <f>IF([2]道具信息!T146="","",[2]道具信息!T146)</f>
        <v/>
      </c>
      <c r="U146" s="59" t="str">
        <f>IF([2]道具信息!U146="","",[2]道具信息!U146)</f>
        <v/>
      </c>
      <c r="V146" s="59" t="str">
        <f>IF([2]道具信息!V146="","",[2]道具信息!V146)</f>
        <v/>
      </c>
      <c r="W146" s="59" t="str">
        <f>IF([2]道具信息!W146="","",[2]道具信息!W146)</f>
        <v/>
      </c>
      <c r="X146" s="59" t="str">
        <f>IF([2]道具信息!X146="","",[2]道具信息!X146)</f>
        <v/>
      </c>
      <c r="Y146" s="59" t="str">
        <f>IF([2]道具信息!Y146="","",[2]道具信息!Y146)</f>
        <v/>
      </c>
      <c r="Z146" s="59" t="str">
        <f>IF([2]道具信息!Z146="","",[2]道具信息!Z146)</f>
        <v/>
      </c>
    </row>
    <row r="147" spans="1:26" x14ac:dyDescent="0.15">
      <c r="A147" s="59" t="str">
        <f>IF([2]道具信息!A147="","",[2]道具信息!A147)</f>
        <v/>
      </c>
      <c r="B147" s="59" t="str">
        <f>IF([2]道具信息!B147="","",[2]道具信息!B147)</f>
        <v/>
      </c>
      <c r="C147" s="59" t="str">
        <f>IF([2]道具信息!C147="","",[2]道具信息!C147)</f>
        <v/>
      </c>
      <c r="D147" s="59" t="str">
        <f>IF([2]道具信息!D147="","",[2]道具信息!D147)</f>
        <v>传世兵装材料</v>
      </c>
      <c r="E147" s="59">
        <f>IF([2]道具信息!E147="","",[2]道具信息!E147)</f>
        <v>56</v>
      </c>
      <c r="F147" s="59">
        <f>IF([2]道具信息!F147="","",[2]道具信息!F147)</f>
        <v>1</v>
      </c>
      <c r="G147" s="59">
        <f>IF([2]道具信息!G147="","",[2]道具信息!G147)</f>
        <v>1</v>
      </c>
      <c r="H147" s="59">
        <f>IF([2]道具信息!H147="","",[2]道具信息!H147)</f>
        <v>1</v>
      </c>
      <c r="I147" s="59">
        <f>IF([2]道具信息!I147="","",[2]道具信息!I147)</f>
        <v>56</v>
      </c>
      <c r="J147" s="59">
        <f>IF([2]道具信息!J147="","",[2]道具信息!J147)</f>
        <v>56</v>
      </c>
      <c r="K147" s="59">
        <f>IF([2]道具信息!K147="","",[2]道具信息!K147)</f>
        <v>56</v>
      </c>
      <c r="L147" s="59" t="str">
        <f>IF([2]道具信息!L147="","",[2]道具信息!L147)</f>
        <v/>
      </c>
      <c r="M147" s="59" t="str">
        <f>IF([2]道具信息!M147="","",[2]道具信息!M147)</f>
        <v/>
      </c>
      <c r="N147" s="59" t="str">
        <f>IF([2]道具信息!N147="","",[2]道具信息!N147)</f>
        <v/>
      </c>
      <c r="O147" s="59" t="str">
        <f>IF([2]道具信息!O147="","",[2]道具信息!O147)</f>
        <v/>
      </c>
      <c r="P147" s="59" t="str">
        <f>IF([2]道具信息!P147="","",[2]道具信息!P147)</f>
        <v/>
      </c>
      <c r="Q147" s="59" t="str">
        <f>IF([2]道具信息!Q147="","",[2]道具信息!Q147)</f>
        <v/>
      </c>
      <c r="R147" s="59" t="str">
        <f>IF([2]道具信息!R147="","",[2]道具信息!R147)</f>
        <v/>
      </c>
      <c r="S147" s="59" t="str">
        <f>IF([2]道具信息!S147="","",[2]道具信息!S147)</f>
        <v/>
      </c>
      <c r="T147" s="59" t="str">
        <f>IF([2]道具信息!T147="","",[2]道具信息!T147)</f>
        <v/>
      </c>
      <c r="U147" s="59" t="str">
        <f>IF([2]道具信息!U147="","",[2]道具信息!U147)</f>
        <v/>
      </c>
      <c r="V147" s="59" t="str">
        <f>IF([2]道具信息!V147="","",[2]道具信息!V147)</f>
        <v/>
      </c>
      <c r="W147" s="59" t="str">
        <f>IF([2]道具信息!W147="","",[2]道具信息!W147)</f>
        <v/>
      </c>
      <c r="X147" s="59" t="str">
        <f>IF([2]道具信息!X147="","",[2]道具信息!X147)</f>
        <v/>
      </c>
      <c r="Y147" s="59" t="str">
        <f>IF([2]道具信息!Y147="","",[2]道具信息!Y147)</f>
        <v/>
      </c>
      <c r="Z147" s="59" t="str">
        <f>IF([2]道具信息!Z147="","",[2]道具信息!Z147)</f>
        <v/>
      </c>
    </row>
    <row r="148" spans="1:26" x14ac:dyDescent="0.15">
      <c r="A148" s="59" t="str">
        <f>IF([2]道具信息!A148="","",[2]道具信息!A148)</f>
        <v/>
      </c>
      <c r="B148" s="59" t="str">
        <f>IF([2]道具信息!B148="","",[2]道具信息!B148)</f>
        <v/>
      </c>
      <c r="C148" s="59" t="str">
        <f>IF([2]道具信息!C148="","",[2]道具信息!C148)</f>
        <v/>
      </c>
      <c r="D148" s="59" t="str">
        <f>IF([2]道具信息!D148="","",[2]道具信息!D148)</f>
        <v/>
      </c>
      <c r="E148" s="59" t="str">
        <f>IF([2]道具信息!E148="","",[2]道具信息!E148)</f>
        <v/>
      </c>
      <c r="F148" s="59" t="str">
        <f>IF([2]道具信息!F148="","",[2]道具信息!F148)</f>
        <v/>
      </c>
      <c r="G148" s="59" t="str">
        <f>IF([2]道具信息!G148="","",[2]道具信息!G148)</f>
        <v/>
      </c>
      <c r="H148" s="59" t="str">
        <f>IF([2]道具信息!H148="","",[2]道具信息!H148)</f>
        <v/>
      </c>
      <c r="I148" s="59" t="str">
        <f>IF([2]道具信息!I148="","",[2]道具信息!I148)</f>
        <v/>
      </c>
      <c r="J148" s="59" t="str">
        <f>IF([2]道具信息!J148="","",[2]道具信息!J148)</f>
        <v/>
      </c>
      <c r="K148" s="59" t="str">
        <f>IF([2]道具信息!K148="","",[2]道具信息!K148)</f>
        <v/>
      </c>
      <c r="L148" s="59" t="str">
        <f>IF([2]道具信息!L148="","",[2]道具信息!L148)</f>
        <v/>
      </c>
      <c r="M148" s="59" t="str">
        <f>IF([2]道具信息!M148="","",[2]道具信息!M148)</f>
        <v/>
      </c>
      <c r="N148" s="59" t="str">
        <f>IF([2]道具信息!N148="","",[2]道具信息!N148)</f>
        <v/>
      </c>
      <c r="O148" s="59" t="str">
        <f>IF([2]道具信息!O148="","",[2]道具信息!O148)</f>
        <v/>
      </c>
      <c r="P148" s="59" t="str">
        <f>IF([2]道具信息!P148="","",[2]道具信息!P148)</f>
        <v/>
      </c>
      <c r="Q148" s="59" t="str">
        <f>IF([2]道具信息!Q148="","",[2]道具信息!Q148)</f>
        <v/>
      </c>
      <c r="R148" s="59" t="str">
        <f>IF([2]道具信息!R148="","",[2]道具信息!R148)</f>
        <v/>
      </c>
      <c r="S148" s="59" t="str">
        <f>IF([2]道具信息!S148="","",[2]道具信息!S148)</f>
        <v/>
      </c>
      <c r="T148" s="59" t="str">
        <f>IF([2]道具信息!T148="","",[2]道具信息!T148)</f>
        <v/>
      </c>
      <c r="U148" s="59" t="str">
        <f>IF([2]道具信息!U148="","",[2]道具信息!U148)</f>
        <v/>
      </c>
      <c r="V148" s="59" t="str">
        <f>IF([2]道具信息!V148="","",[2]道具信息!V148)</f>
        <v/>
      </c>
      <c r="W148" s="59" t="str">
        <f>IF([2]道具信息!W148="","",[2]道具信息!W148)</f>
        <v/>
      </c>
      <c r="X148" s="59" t="str">
        <f>IF([2]道具信息!X148="","",[2]道具信息!X148)</f>
        <v/>
      </c>
      <c r="Y148" s="59" t="str">
        <f>IF([2]道具信息!Y148="","",[2]道具信息!Y148)</f>
        <v/>
      </c>
      <c r="Z148" s="59" t="str">
        <f>IF([2]道具信息!Z148="","",[2]道具信息!Z148)</f>
        <v/>
      </c>
    </row>
    <row r="149" spans="1:26" x14ac:dyDescent="0.15">
      <c r="A149" s="59" t="str">
        <f>IF([2]道具信息!A149="","",[2]道具信息!A149)</f>
        <v/>
      </c>
      <c r="B149" s="59" t="str">
        <f>IF([2]道具信息!B149="","",[2]道具信息!B149)</f>
        <v/>
      </c>
      <c r="C149" s="59" t="str">
        <f>IF([2]道具信息!C149="","",[2]道具信息!C149)</f>
        <v/>
      </c>
      <c r="D149" s="59" t="str">
        <f>IF([2]道具信息!D149="","",[2]道具信息!D149)</f>
        <v>普通兵装</v>
      </c>
      <c r="E149" s="59">
        <f>IF([2]道具信息!E149="","",[2]道具信息!E149)</f>
        <v>100</v>
      </c>
      <c r="F149" s="59">
        <f>IF([2]道具信息!F149="","",[2]道具信息!F149)</f>
        <v>1</v>
      </c>
      <c r="G149" s="59">
        <f>IF([2]道具信息!G149="","",[2]道具信息!G149)</f>
        <v>0.2</v>
      </c>
      <c r="H149" s="59">
        <f>IF([2]道具信息!H149="","",[2]道具信息!H149)</f>
        <v>0.2</v>
      </c>
      <c r="I149" s="59">
        <f>IF([2]道具信息!I149="","",[2]道具信息!I149)</f>
        <v>100</v>
      </c>
      <c r="J149" s="59">
        <f>IF([2]道具信息!J149="","",[2]道具信息!J149)</f>
        <v>20</v>
      </c>
      <c r="K149" s="59">
        <f>IF([2]道具信息!K149="","",[2]道具信息!K149)</f>
        <v>20</v>
      </c>
      <c r="L149" s="59" t="str">
        <f>IF([2]道具信息!L149="","",[2]道具信息!L149)</f>
        <v/>
      </c>
      <c r="M149" s="59" t="str">
        <f>IF([2]道具信息!M149="","",[2]道具信息!M149)</f>
        <v/>
      </c>
      <c r="N149" s="59" t="str">
        <f>IF([2]道具信息!N149="","",[2]道具信息!N149)</f>
        <v/>
      </c>
      <c r="O149" s="59" t="str">
        <f>IF([2]道具信息!O149="","",[2]道具信息!O149)</f>
        <v/>
      </c>
      <c r="P149" s="59" t="str">
        <f>IF([2]道具信息!P149="","",[2]道具信息!P149)</f>
        <v/>
      </c>
      <c r="Q149" s="59" t="str">
        <f>IF([2]道具信息!Q149="","",[2]道具信息!Q149)</f>
        <v/>
      </c>
      <c r="R149" s="59" t="str">
        <f>IF([2]道具信息!R149="","",[2]道具信息!R149)</f>
        <v/>
      </c>
      <c r="S149" s="59" t="str">
        <f>IF([2]道具信息!S149="","",[2]道具信息!S149)</f>
        <v/>
      </c>
      <c r="T149" s="59" t="str">
        <f>IF([2]道具信息!T149="","",[2]道具信息!T149)</f>
        <v/>
      </c>
      <c r="U149" s="59" t="str">
        <f>IF([2]道具信息!U149="","",[2]道具信息!U149)</f>
        <v/>
      </c>
      <c r="V149" s="59" t="str">
        <f>IF([2]道具信息!V149="","",[2]道具信息!V149)</f>
        <v/>
      </c>
      <c r="W149" s="59" t="str">
        <f>IF([2]道具信息!W149="","",[2]道具信息!W149)</f>
        <v/>
      </c>
      <c r="X149" s="59" t="str">
        <f>IF([2]道具信息!X149="","",[2]道具信息!X149)</f>
        <v/>
      </c>
      <c r="Y149" s="59" t="str">
        <f>IF([2]道具信息!Y149="","",[2]道具信息!Y149)</f>
        <v/>
      </c>
      <c r="Z149" s="59" t="str">
        <f>IF([2]道具信息!Z149="","",[2]道具信息!Z149)</f>
        <v/>
      </c>
    </row>
    <row r="150" spans="1:26" x14ac:dyDescent="0.15">
      <c r="A150" s="59" t="str">
        <f>IF([2]道具信息!A150="","",[2]道具信息!A150)</f>
        <v/>
      </c>
      <c r="B150" s="59" t="str">
        <f>IF([2]道具信息!B150="","",[2]道具信息!B150)</f>
        <v/>
      </c>
      <c r="C150" s="59" t="str">
        <f>IF([2]道具信息!C150="","",[2]道具信息!C150)</f>
        <v/>
      </c>
      <c r="D150" s="59" t="str">
        <f>IF([2]道具信息!D150="","",[2]道具信息!D150)</f>
        <v>精良兵装</v>
      </c>
      <c r="E150" s="59">
        <f>IF([2]道具信息!E150="","",[2]道具信息!E150)</f>
        <v>500</v>
      </c>
      <c r="F150" s="59">
        <f>IF([2]道具信息!F150="","",[2]道具信息!F150)</f>
        <v>1</v>
      </c>
      <c r="G150" s="59">
        <f>IF([2]道具信息!G150="","",[2]道具信息!G150)</f>
        <v>0.2</v>
      </c>
      <c r="H150" s="59">
        <f>IF([2]道具信息!H150="","",[2]道具信息!H150)</f>
        <v>0.2</v>
      </c>
      <c r="I150" s="59">
        <f>IF([2]道具信息!I150="","",[2]道具信息!I150)</f>
        <v>500</v>
      </c>
      <c r="J150" s="59">
        <f>IF([2]道具信息!J150="","",[2]道具信息!J150)</f>
        <v>100</v>
      </c>
      <c r="K150" s="59">
        <f>IF([2]道具信息!K150="","",[2]道具信息!K150)</f>
        <v>100</v>
      </c>
      <c r="L150" s="59" t="str">
        <f>IF([2]道具信息!L150="","",[2]道具信息!L150)</f>
        <v/>
      </c>
      <c r="M150" s="59" t="str">
        <f>IF([2]道具信息!M150="","",[2]道具信息!M150)</f>
        <v/>
      </c>
      <c r="N150" s="59" t="str">
        <f>IF([2]道具信息!N150="","",[2]道具信息!N150)</f>
        <v/>
      </c>
      <c r="O150" s="59" t="str">
        <f>IF([2]道具信息!O150="","",[2]道具信息!O150)</f>
        <v/>
      </c>
      <c r="P150" s="59" t="str">
        <f>IF([2]道具信息!P150="","",[2]道具信息!P150)</f>
        <v/>
      </c>
      <c r="Q150" s="59" t="str">
        <f>IF([2]道具信息!Q150="","",[2]道具信息!Q150)</f>
        <v/>
      </c>
      <c r="R150" s="59" t="str">
        <f>IF([2]道具信息!R150="","",[2]道具信息!R150)</f>
        <v/>
      </c>
      <c r="S150" s="59" t="str">
        <f>IF([2]道具信息!S150="","",[2]道具信息!S150)</f>
        <v/>
      </c>
      <c r="T150" s="59" t="str">
        <f>IF([2]道具信息!T150="","",[2]道具信息!T150)</f>
        <v/>
      </c>
      <c r="U150" s="59" t="str">
        <f>IF([2]道具信息!U150="","",[2]道具信息!U150)</f>
        <v/>
      </c>
      <c r="V150" s="59" t="str">
        <f>IF([2]道具信息!V150="","",[2]道具信息!V150)</f>
        <v/>
      </c>
      <c r="W150" s="59" t="str">
        <f>IF([2]道具信息!W150="","",[2]道具信息!W150)</f>
        <v/>
      </c>
      <c r="X150" s="59" t="str">
        <f>IF([2]道具信息!X150="","",[2]道具信息!X150)</f>
        <v/>
      </c>
      <c r="Y150" s="59" t="str">
        <f>IF([2]道具信息!Y150="","",[2]道具信息!Y150)</f>
        <v/>
      </c>
      <c r="Z150" s="59" t="str">
        <f>IF([2]道具信息!Z150="","",[2]道具信息!Z150)</f>
        <v/>
      </c>
    </row>
    <row r="151" spans="1:26" x14ac:dyDescent="0.15">
      <c r="A151" s="59" t="str">
        <f>IF([2]道具信息!A151="","",[2]道具信息!A151)</f>
        <v/>
      </c>
      <c r="B151" s="59" t="str">
        <f>IF([2]道具信息!B151="","",[2]道具信息!B151)</f>
        <v/>
      </c>
      <c r="C151" s="59" t="str">
        <f>IF([2]道具信息!C151="","",[2]道具信息!C151)</f>
        <v/>
      </c>
      <c r="D151" s="59" t="str">
        <f>IF([2]道具信息!D151="","",[2]道具信息!D151)</f>
        <v>优质兵装</v>
      </c>
      <c r="E151" s="59">
        <f>IF([2]道具信息!E151="","",[2]道具信息!E151)</f>
        <v>2000</v>
      </c>
      <c r="F151" s="59">
        <f>IF([2]道具信息!F151="","",[2]道具信息!F151)</f>
        <v>1</v>
      </c>
      <c r="G151" s="59">
        <f>IF([2]道具信息!G151="","",[2]道具信息!G151)</f>
        <v>1</v>
      </c>
      <c r="H151" s="59">
        <f>IF([2]道具信息!H151="","",[2]道具信息!H151)</f>
        <v>0.2</v>
      </c>
      <c r="I151" s="59">
        <f>IF([2]道具信息!I151="","",[2]道具信息!I151)</f>
        <v>2000</v>
      </c>
      <c r="J151" s="59">
        <f>IF([2]道具信息!J151="","",[2]道具信息!J151)</f>
        <v>2000</v>
      </c>
      <c r="K151" s="59">
        <f>IF([2]道具信息!K151="","",[2]道具信息!K151)</f>
        <v>400</v>
      </c>
      <c r="L151" s="59" t="str">
        <f>IF([2]道具信息!L151="","",[2]道具信息!L151)</f>
        <v/>
      </c>
      <c r="M151" s="59" t="str">
        <f>IF([2]道具信息!M151="","",[2]道具信息!M151)</f>
        <v/>
      </c>
      <c r="N151" s="59" t="str">
        <f>IF([2]道具信息!N151="","",[2]道具信息!N151)</f>
        <v/>
      </c>
      <c r="O151" s="59" t="str">
        <f>IF([2]道具信息!O151="","",[2]道具信息!O151)</f>
        <v/>
      </c>
      <c r="P151" s="59" t="str">
        <f>IF([2]道具信息!P151="","",[2]道具信息!P151)</f>
        <v/>
      </c>
      <c r="Q151" s="59" t="str">
        <f>IF([2]道具信息!Q151="","",[2]道具信息!Q151)</f>
        <v/>
      </c>
      <c r="R151" s="59" t="str">
        <f>IF([2]道具信息!R151="","",[2]道具信息!R151)</f>
        <v/>
      </c>
      <c r="S151" s="59" t="str">
        <f>IF([2]道具信息!S151="","",[2]道具信息!S151)</f>
        <v/>
      </c>
      <c r="T151" s="59" t="str">
        <f>IF([2]道具信息!T151="","",[2]道具信息!T151)</f>
        <v/>
      </c>
      <c r="U151" s="59" t="str">
        <f>IF([2]道具信息!U151="","",[2]道具信息!U151)</f>
        <v/>
      </c>
      <c r="V151" s="59" t="str">
        <f>IF([2]道具信息!V151="","",[2]道具信息!V151)</f>
        <v/>
      </c>
      <c r="W151" s="59" t="str">
        <f>IF([2]道具信息!W151="","",[2]道具信息!W151)</f>
        <v/>
      </c>
      <c r="X151" s="59" t="str">
        <f>IF([2]道具信息!X151="","",[2]道具信息!X151)</f>
        <v/>
      </c>
      <c r="Y151" s="59" t="str">
        <f>IF([2]道具信息!Y151="","",[2]道具信息!Y151)</f>
        <v/>
      </c>
      <c r="Z151" s="59" t="str">
        <f>IF([2]道具信息!Z151="","",[2]道具信息!Z151)</f>
        <v/>
      </c>
    </row>
    <row r="152" spans="1:26" x14ac:dyDescent="0.15">
      <c r="A152" s="59" t="str">
        <f>IF([2]道具信息!A152="","",[2]道具信息!A152)</f>
        <v/>
      </c>
      <c r="B152" s="59" t="str">
        <f>IF([2]道具信息!B152="","",[2]道具信息!B152)</f>
        <v/>
      </c>
      <c r="C152" s="59" t="str">
        <f>IF([2]道具信息!C152="","",[2]道具信息!C152)</f>
        <v/>
      </c>
      <c r="D152" s="59" t="str">
        <f>IF([2]道具信息!D152="","",[2]道具信息!D152)</f>
        <v>传奇优质兵装</v>
      </c>
      <c r="E152" s="59">
        <f>IF([2]道具信息!E152="","",[2]道具信息!E152)</f>
        <v>4000</v>
      </c>
      <c r="F152" s="59">
        <f>IF([2]道具信息!F152="","",[2]道具信息!F152)</f>
        <v>1</v>
      </c>
      <c r="G152" s="59">
        <f>IF([2]道具信息!G152="","",[2]道具信息!G152)</f>
        <v>1</v>
      </c>
      <c r="H152" s="59">
        <f>IF([2]道具信息!H152="","",[2]道具信息!H152)</f>
        <v>1</v>
      </c>
      <c r="I152" s="59">
        <f>IF([2]道具信息!I152="","",[2]道具信息!I152)</f>
        <v>4000</v>
      </c>
      <c r="J152" s="59">
        <f>IF([2]道具信息!J152="","",[2]道具信息!J152)</f>
        <v>4000</v>
      </c>
      <c r="K152" s="59">
        <f>IF([2]道具信息!K152="","",[2]道具信息!K152)</f>
        <v>4000</v>
      </c>
      <c r="L152" s="59" t="str">
        <f>IF([2]道具信息!L152="","",[2]道具信息!L152)</f>
        <v/>
      </c>
      <c r="M152" s="59" t="str">
        <f>IF([2]道具信息!M152="","",[2]道具信息!M152)</f>
        <v/>
      </c>
      <c r="N152" s="59" t="str">
        <f>IF([2]道具信息!N152="","",[2]道具信息!N152)</f>
        <v/>
      </c>
      <c r="O152" s="59" t="str">
        <f>IF([2]道具信息!O152="","",[2]道具信息!O152)</f>
        <v/>
      </c>
      <c r="P152" s="59" t="str">
        <f>IF([2]道具信息!P152="","",[2]道具信息!P152)</f>
        <v/>
      </c>
      <c r="Q152" s="59" t="str">
        <f>IF([2]道具信息!Q152="","",[2]道具信息!Q152)</f>
        <v/>
      </c>
      <c r="R152" s="59" t="str">
        <f>IF([2]道具信息!R152="","",[2]道具信息!R152)</f>
        <v/>
      </c>
      <c r="S152" s="59" t="str">
        <f>IF([2]道具信息!S152="","",[2]道具信息!S152)</f>
        <v/>
      </c>
      <c r="T152" s="59" t="str">
        <f>IF([2]道具信息!T152="","",[2]道具信息!T152)</f>
        <v/>
      </c>
      <c r="U152" s="59" t="str">
        <f>IF([2]道具信息!U152="","",[2]道具信息!U152)</f>
        <v/>
      </c>
      <c r="V152" s="59" t="str">
        <f>IF([2]道具信息!V152="","",[2]道具信息!V152)</f>
        <v/>
      </c>
      <c r="W152" s="59" t="str">
        <f>IF([2]道具信息!W152="","",[2]道具信息!W152)</f>
        <v/>
      </c>
      <c r="X152" s="59" t="str">
        <f>IF([2]道具信息!X152="","",[2]道具信息!X152)</f>
        <v/>
      </c>
      <c r="Y152" s="59" t="str">
        <f>IF([2]道具信息!Y152="","",[2]道具信息!Y152)</f>
        <v/>
      </c>
      <c r="Z152" s="59" t="str">
        <f>IF([2]道具信息!Z152="","",[2]道具信息!Z152)</f>
        <v/>
      </c>
    </row>
    <row r="153" spans="1:26" x14ac:dyDescent="0.15">
      <c r="A153" s="59" t="str">
        <f>IF([2]道具信息!A153="","",[2]道具信息!A153)</f>
        <v/>
      </c>
      <c r="B153" s="59" t="str">
        <f>IF([2]道具信息!B153="","",[2]道具信息!B153)</f>
        <v/>
      </c>
      <c r="C153" s="59" t="str">
        <f>IF([2]道具信息!C153="","",[2]道具信息!C153)</f>
        <v/>
      </c>
      <c r="D153" s="59" t="str">
        <f>IF([2]道具信息!D153="","",[2]道具信息!D153)</f>
        <v>传世兵装</v>
      </c>
      <c r="E153" s="59">
        <f>IF([2]道具信息!E153="","",[2]道具信息!E153)</f>
        <v>6000</v>
      </c>
      <c r="F153" s="59">
        <f>IF([2]道具信息!F153="","",[2]道具信息!F153)</f>
        <v>1</v>
      </c>
      <c r="G153" s="59">
        <f>IF([2]道具信息!G153="","",[2]道具信息!G153)</f>
        <v>1</v>
      </c>
      <c r="H153" s="59">
        <f>IF([2]道具信息!H153="","",[2]道具信息!H153)</f>
        <v>1</v>
      </c>
      <c r="I153" s="59">
        <f>IF([2]道具信息!I153="","",[2]道具信息!I153)</f>
        <v>6000</v>
      </c>
      <c r="J153" s="59">
        <f>IF([2]道具信息!J153="","",[2]道具信息!J153)</f>
        <v>6000</v>
      </c>
      <c r="K153" s="59">
        <f>IF([2]道具信息!K153="","",[2]道具信息!K153)</f>
        <v>6000</v>
      </c>
      <c r="L153" s="59" t="str">
        <f>IF([2]道具信息!L153="","",[2]道具信息!L153)</f>
        <v/>
      </c>
      <c r="M153" s="59" t="str">
        <f>IF([2]道具信息!M153="","",[2]道具信息!M153)</f>
        <v/>
      </c>
      <c r="N153" s="59" t="str">
        <f>IF([2]道具信息!N153="","",[2]道具信息!N153)</f>
        <v/>
      </c>
      <c r="O153" s="59" t="str">
        <f>IF([2]道具信息!O153="","",[2]道具信息!O153)</f>
        <v/>
      </c>
      <c r="P153" s="59" t="str">
        <f>IF([2]道具信息!P153="","",[2]道具信息!P153)</f>
        <v/>
      </c>
      <c r="Q153" s="59" t="str">
        <f>IF([2]道具信息!Q153="","",[2]道具信息!Q153)</f>
        <v/>
      </c>
      <c r="R153" s="59" t="str">
        <f>IF([2]道具信息!R153="","",[2]道具信息!R153)</f>
        <v/>
      </c>
      <c r="S153" s="59" t="str">
        <f>IF([2]道具信息!S153="","",[2]道具信息!S153)</f>
        <v/>
      </c>
      <c r="T153" s="59" t="str">
        <f>IF([2]道具信息!T153="","",[2]道具信息!T153)</f>
        <v/>
      </c>
      <c r="U153" s="59" t="str">
        <f>IF([2]道具信息!U153="","",[2]道具信息!U153)</f>
        <v/>
      </c>
      <c r="V153" s="59" t="str">
        <f>IF([2]道具信息!V153="","",[2]道具信息!V153)</f>
        <v/>
      </c>
      <c r="W153" s="59" t="str">
        <f>IF([2]道具信息!W153="","",[2]道具信息!W153)</f>
        <v/>
      </c>
      <c r="X153" s="59" t="str">
        <f>IF([2]道具信息!X153="","",[2]道具信息!X153)</f>
        <v/>
      </c>
      <c r="Y153" s="59" t="str">
        <f>IF([2]道具信息!Y153="","",[2]道具信息!Y153)</f>
        <v/>
      </c>
      <c r="Z153" s="59" t="str">
        <f>IF([2]道具信息!Z153="","",[2]道具信息!Z153)</f>
        <v/>
      </c>
    </row>
    <row r="154" spans="1:26" x14ac:dyDescent="0.15">
      <c r="A154" s="59" t="str">
        <f>IF([2]道具信息!A154="","",[2]道具信息!A154)</f>
        <v/>
      </c>
      <c r="B154" s="59" t="str">
        <f>IF([2]道具信息!B154="","",[2]道具信息!B154)</f>
        <v/>
      </c>
      <c r="C154" s="59" t="str">
        <f>IF([2]道具信息!C154="","",[2]道具信息!C154)</f>
        <v/>
      </c>
      <c r="D154" s="59" t="str">
        <f>IF([2]道具信息!D154="","",[2]道具信息!D154)</f>
        <v>传奇传世兵装</v>
      </c>
      <c r="E154" s="59">
        <f>IF([2]道具信息!E154="","",[2]道具信息!E154)</f>
        <v>30000</v>
      </c>
      <c r="F154" s="59">
        <f>IF([2]道具信息!F154="","",[2]道具信息!F154)</f>
        <v>1</v>
      </c>
      <c r="G154" s="59">
        <f>IF([2]道具信息!G154="","",[2]道具信息!G154)</f>
        <v>1</v>
      </c>
      <c r="H154" s="59">
        <f>IF([2]道具信息!H154="","",[2]道具信息!H154)</f>
        <v>1</v>
      </c>
      <c r="I154" s="59">
        <f>IF([2]道具信息!I154="","",[2]道具信息!I154)</f>
        <v>30000</v>
      </c>
      <c r="J154" s="59">
        <f>IF([2]道具信息!J154="","",[2]道具信息!J154)</f>
        <v>30000</v>
      </c>
      <c r="K154" s="59">
        <f>IF([2]道具信息!K154="","",[2]道具信息!K154)</f>
        <v>30000</v>
      </c>
      <c r="L154" s="59" t="str">
        <f>IF([2]道具信息!L154="","",[2]道具信息!L154)</f>
        <v/>
      </c>
      <c r="M154" s="59" t="str">
        <f>IF([2]道具信息!M154="","",[2]道具信息!M154)</f>
        <v/>
      </c>
      <c r="N154" s="59" t="str">
        <f>IF([2]道具信息!N154="","",[2]道具信息!N154)</f>
        <v/>
      </c>
      <c r="O154" s="59" t="str">
        <f>IF([2]道具信息!O154="","",[2]道具信息!O154)</f>
        <v/>
      </c>
      <c r="P154" s="59" t="str">
        <f>IF([2]道具信息!P154="","",[2]道具信息!P154)</f>
        <v/>
      </c>
      <c r="Q154" s="59" t="str">
        <f>IF([2]道具信息!Q154="","",[2]道具信息!Q154)</f>
        <v/>
      </c>
      <c r="R154" s="59" t="str">
        <f>IF([2]道具信息!R154="","",[2]道具信息!R154)</f>
        <v/>
      </c>
      <c r="S154" s="59" t="str">
        <f>IF([2]道具信息!S154="","",[2]道具信息!S154)</f>
        <v/>
      </c>
      <c r="T154" s="59" t="str">
        <f>IF([2]道具信息!T154="","",[2]道具信息!T154)</f>
        <v/>
      </c>
      <c r="U154" s="59" t="str">
        <f>IF([2]道具信息!U154="","",[2]道具信息!U154)</f>
        <v/>
      </c>
      <c r="V154" s="59" t="str">
        <f>IF([2]道具信息!V154="","",[2]道具信息!V154)</f>
        <v/>
      </c>
      <c r="W154" s="59" t="str">
        <f>IF([2]道具信息!W154="","",[2]道具信息!W154)</f>
        <v/>
      </c>
      <c r="X154" s="59" t="str">
        <f>IF([2]道具信息!X154="","",[2]道具信息!X154)</f>
        <v/>
      </c>
      <c r="Y154" s="59" t="str">
        <f>IF([2]道具信息!Y154="","",[2]道具信息!Y154)</f>
        <v/>
      </c>
      <c r="Z154" s="59" t="str">
        <f>IF([2]道具信息!Z154="","",[2]道具信息!Z154)</f>
        <v/>
      </c>
    </row>
    <row r="155" spans="1:26" x14ac:dyDescent="0.15">
      <c r="A155" s="59" t="str">
        <f>IF([2]道具信息!A155="","",[2]道具信息!A155)</f>
        <v/>
      </c>
      <c r="B155" s="59" t="str">
        <f>IF([2]道具信息!B155="","",[2]道具信息!B155)</f>
        <v/>
      </c>
      <c r="C155" s="59" t="str">
        <f>IF([2]道具信息!C155="","",[2]道具信息!C155)</f>
        <v/>
      </c>
      <c r="D155" s="59" t="str">
        <f>IF([2]道具信息!D155="","",[2]道具信息!D155)</f>
        <v/>
      </c>
      <c r="E155" s="59" t="str">
        <f>IF([2]道具信息!E155="","",[2]道具信息!E155)</f>
        <v/>
      </c>
      <c r="F155" s="59" t="str">
        <f>IF([2]道具信息!F155="","",[2]道具信息!F155)</f>
        <v/>
      </c>
      <c r="G155" s="59" t="str">
        <f>IF([2]道具信息!G155="","",[2]道具信息!G155)</f>
        <v/>
      </c>
      <c r="H155" s="59" t="str">
        <f>IF([2]道具信息!H155="","",[2]道具信息!H155)</f>
        <v/>
      </c>
      <c r="I155" s="59" t="str">
        <f>IF([2]道具信息!I155="","",[2]道具信息!I155)</f>
        <v/>
      </c>
      <c r="J155" s="59" t="str">
        <f>IF([2]道具信息!J155="","",[2]道具信息!J155)</f>
        <v/>
      </c>
      <c r="K155" s="59" t="str">
        <f>IF([2]道具信息!K155="","",[2]道具信息!K155)</f>
        <v/>
      </c>
      <c r="L155" s="59" t="str">
        <f>IF([2]道具信息!L155="","",[2]道具信息!L155)</f>
        <v/>
      </c>
      <c r="M155" s="59" t="str">
        <f>IF([2]道具信息!M155="","",[2]道具信息!M155)</f>
        <v/>
      </c>
      <c r="N155" s="59" t="str">
        <f>IF([2]道具信息!N155="","",[2]道具信息!N155)</f>
        <v/>
      </c>
      <c r="O155" s="59" t="str">
        <f>IF([2]道具信息!O155="","",[2]道具信息!O155)</f>
        <v/>
      </c>
      <c r="P155" s="59" t="str">
        <f>IF([2]道具信息!P155="","",[2]道具信息!P155)</f>
        <v/>
      </c>
      <c r="Q155" s="59" t="str">
        <f>IF([2]道具信息!Q155="","",[2]道具信息!Q155)</f>
        <v/>
      </c>
      <c r="R155" s="59" t="str">
        <f>IF([2]道具信息!R155="","",[2]道具信息!R155)</f>
        <v/>
      </c>
      <c r="S155" s="59" t="str">
        <f>IF([2]道具信息!S155="","",[2]道具信息!S155)</f>
        <v/>
      </c>
      <c r="T155" s="59" t="str">
        <f>IF([2]道具信息!T155="","",[2]道具信息!T155)</f>
        <v/>
      </c>
      <c r="U155" s="59" t="str">
        <f>IF([2]道具信息!U155="","",[2]道具信息!U155)</f>
        <v/>
      </c>
      <c r="V155" s="59" t="str">
        <f>IF([2]道具信息!V155="","",[2]道具信息!V155)</f>
        <v/>
      </c>
      <c r="W155" s="59" t="str">
        <f>IF([2]道具信息!W155="","",[2]道具信息!W155)</f>
        <v/>
      </c>
      <c r="X155" s="59" t="str">
        <f>IF([2]道具信息!X155="","",[2]道具信息!X155)</f>
        <v/>
      </c>
      <c r="Y155" s="59" t="str">
        <f>IF([2]道具信息!Y155="","",[2]道具信息!Y155)</f>
        <v/>
      </c>
      <c r="Z155" s="59" t="str">
        <f>IF([2]道具信息!Z155="","",[2]道具信息!Z155)</f>
        <v/>
      </c>
    </row>
    <row r="156" spans="1:26" x14ac:dyDescent="0.15">
      <c r="A156" s="59" t="str">
        <f>IF([2]道具信息!A156="","",[2]道具信息!A156)</f>
        <v/>
      </c>
      <c r="B156" s="59" t="str">
        <f>IF([2]道具信息!B156="","",[2]道具信息!B156)</f>
        <v/>
      </c>
      <c r="C156" s="59" t="str">
        <f>IF([2]道具信息!C156="","",[2]道具信息!C156)</f>
        <v/>
      </c>
      <c r="D156" s="59" t="str">
        <f>IF([2]道具信息!D156="","",[2]道具信息!D156)</f>
        <v/>
      </c>
      <c r="E156" s="59" t="str">
        <f>IF([2]道具信息!E156="","",[2]道具信息!E156)</f>
        <v/>
      </c>
      <c r="F156" s="59" t="str">
        <f>IF([2]道具信息!F156="","",[2]道具信息!F156)</f>
        <v/>
      </c>
      <c r="G156" s="59" t="str">
        <f>IF([2]道具信息!G156="","",[2]道具信息!G156)</f>
        <v/>
      </c>
      <c r="H156" s="59" t="str">
        <f>IF([2]道具信息!H156="","",[2]道具信息!H156)</f>
        <v/>
      </c>
      <c r="I156" s="59" t="str">
        <f>IF([2]道具信息!I156="","",[2]道具信息!I156)</f>
        <v/>
      </c>
      <c r="J156" s="59" t="str">
        <f>IF([2]道具信息!J156="","",[2]道具信息!J156)</f>
        <v/>
      </c>
      <c r="K156" s="59" t="str">
        <f>IF([2]道具信息!K156="","",[2]道具信息!K156)</f>
        <v/>
      </c>
      <c r="L156" s="59" t="str">
        <f>IF([2]道具信息!L156="","",[2]道具信息!L156)</f>
        <v/>
      </c>
      <c r="M156" s="59" t="str">
        <f>IF([2]道具信息!M156="","",[2]道具信息!M156)</f>
        <v/>
      </c>
      <c r="N156" s="59" t="str">
        <f>IF([2]道具信息!N156="","",[2]道具信息!N156)</f>
        <v/>
      </c>
      <c r="O156" s="59" t="str">
        <f>IF([2]道具信息!O156="","",[2]道具信息!O156)</f>
        <v/>
      </c>
      <c r="P156" s="59" t="str">
        <f>IF([2]道具信息!P156="","",[2]道具信息!P156)</f>
        <v/>
      </c>
      <c r="Q156" s="59" t="str">
        <f>IF([2]道具信息!Q156="","",[2]道具信息!Q156)</f>
        <v/>
      </c>
      <c r="R156" s="59" t="str">
        <f>IF([2]道具信息!R156="","",[2]道具信息!R156)</f>
        <v/>
      </c>
      <c r="S156" s="59" t="str">
        <f>IF([2]道具信息!S156="","",[2]道具信息!S156)</f>
        <v/>
      </c>
      <c r="T156" s="59" t="str">
        <f>IF([2]道具信息!T156="","",[2]道具信息!T156)</f>
        <v/>
      </c>
      <c r="U156" s="59" t="str">
        <f>IF([2]道具信息!U156="","",[2]道具信息!U156)</f>
        <v/>
      </c>
      <c r="V156" s="59" t="str">
        <f>IF([2]道具信息!V156="","",[2]道具信息!V156)</f>
        <v/>
      </c>
      <c r="W156" s="59" t="str">
        <f>IF([2]道具信息!W156="","",[2]道具信息!W156)</f>
        <v/>
      </c>
      <c r="X156" s="59" t="str">
        <f>IF([2]道具信息!X156="","",[2]道具信息!X156)</f>
        <v/>
      </c>
      <c r="Y156" s="59" t="str">
        <f>IF([2]道具信息!Y156="","",[2]道具信息!Y156)</f>
        <v/>
      </c>
      <c r="Z156" s="59" t="str">
        <f>IF([2]道具信息!Z156="","",[2]道具信息!Z156)</f>
        <v/>
      </c>
    </row>
    <row r="157" spans="1:26" x14ac:dyDescent="0.15">
      <c r="A157" s="59" t="str">
        <f>IF([2]道具信息!A157="","",[2]道具信息!A157)</f>
        <v/>
      </c>
      <c r="B157" s="59" t="str">
        <f>IF([2]道具信息!B157="","",[2]道具信息!B157)</f>
        <v/>
      </c>
      <c r="C157" s="59" t="str">
        <f>IF([2]道具信息!C157="","",[2]道具信息!C157)</f>
        <v/>
      </c>
      <c r="D157" s="59" t="str">
        <f>IF([2]道具信息!D157="","",[2]道具信息!D157)</f>
        <v/>
      </c>
      <c r="E157" s="59" t="str">
        <f>IF([2]道具信息!E157="","",[2]道具信息!E157)</f>
        <v/>
      </c>
      <c r="F157" s="59" t="str">
        <f>IF([2]道具信息!F157="","",[2]道具信息!F157)</f>
        <v/>
      </c>
      <c r="G157" s="59" t="str">
        <f>IF([2]道具信息!G157="","",[2]道具信息!G157)</f>
        <v/>
      </c>
      <c r="H157" s="59" t="str">
        <f>IF([2]道具信息!H157="","",[2]道具信息!H157)</f>
        <v/>
      </c>
      <c r="I157" s="59" t="str">
        <f>IF([2]道具信息!I157="","",[2]道具信息!I157)</f>
        <v/>
      </c>
      <c r="J157" s="59" t="str">
        <f>IF([2]道具信息!J157="","",[2]道具信息!J157)</f>
        <v/>
      </c>
      <c r="K157" s="59" t="str">
        <f>IF([2]道具信息!K157="","",[2]道具信息!K157)</f>
        <v/>
      </c>
      <c r="L157" s="59" t="str">
        <f>IF([2]道具信息!L157="","",[2]道具信息!L157)</f>
        <v/>
      </c>
      <c r="M157" s="59" t="str">
        <f>IF([2]道具信息!M157="","",[2]道具信息!M157)</f>
        <v/>
      </c>
      <c r="N157" s="59" t="str">
        <f>IF([2]道具信息!N157="","",[2]道具信息!N157)</f>
        <v/>
      </c>
      <c r="O157" s="59" t="str">
        <f>IF([2]道具信息!O157="","",[2]道具信息!O157)</f>
        <v/>
      </c>
      <c r="P157" s="59" t="str">
        <f>IF([2]道具信息!P157="","",[2]道具信息!P157)</f>
        <v/>
      </c>
      <c r="Q157" s="59" t="str">
        <f>IF([2]道具信息!Q157="","",[2]道具信息!Q157)</f>
        <v/>
      </c>
      <c r="R157" s="59" t="str">
        <f>IF([2]道具信息!R157="","",[2]道具信息!R157)</f>
        <v/>
      </c>
      <c r="S157" s="59" t="str">
        <f>IF([2]道具信息!S157="","",[2]道具信息!S157)</f>
        <v/>
      </c>
      <c r="T157" s="59" t="str">
        <f>IF([2]道具信息!T157="","",[2]道具信息!T157)</f>
        <v/>
      </c>
      <c r="U157" s="59" t="str">
        <f>IF([2]道具信息!U157="","",[2]道具信息!U157)</f>
        <v/>
      </c>
      <c r="V157" s="59" t="str">
        <f>IF([2]道具信息!V157="","",[2]道具信息!V157)</f>
        <v/>
      </c>
      <c r="W157" s="59" t="str">
        <f>IF([2]道具信息!W157="","",[2]道具信息!W157)</f>
        <v/>
      </c>
      <c r="X157" s="59" t="str">
        <f>IF([2]道具信息!X157="","",[2]道具信息!X157)</f>
        <v/>
      </c>
      <c r="Y157" s="59" t="str">
        <f>IF([2]道具信息!Y157="","",[2]道具信息!Y157)</f>
        <v/>
      </c>
      <c r="Z157" s="59" t="str">
        <f>IF([2]道具信息!Z157="","",[2]道具信息!Z157)</f>
        <v/>
      </c>
    </row>
    <row r="158" spans="1:26" x14ac:dyDescent="0.15">
      <c r="A158" s="59" t="str">
        <f>IF([2]道具信息!A158="","",[2]道具信息!A158)</f>
        <v/>
      </c>
      <c r="B158" s="59" t="str">
        <f>IF([2]道具信息!B158="","",[2]道具信息!B158)</f>
        <v/>
      </c>
      <c r="C158" s="59" t="str">
        <f>IF([2]道具信息!C158="","",[2]道具信息!C158)</f>
        <v/>
      </c>
      <c r="D158" s="59" t="str">
        <f>IF([2]道具信息!D158="","",[2]道具信息!D158)</f>
        <v/>
      </c>
      <c r="E158" s="59" t="str">
        <f>IF([2]道具信息!E158="","",[2]道具信息!E158)</f>
        <v/>
      </c>
      <c r="F158" s="59" t="str">
        <f>IF([2]道具信息!F158="","",[2]道具信息!F158)</f>
        <v/>
      </c>
      <c r="G158" s="59" t="str">
        <f>IF([2]道具信息!G158="","",[2]道具信息!G158)</f>
        <v/>
      </c>
      <c r="H158" s="59" t="str">
        <f>IF([2]道具信息!H158="","",[2]道具信息!H158)</f>
        <v/>
      </c>
      <c r="I158" s="59" t="str">
        <f>IF([2]道具信息!I158="","",[2]道具信息!I158)</f>
        <v/>
      </c>
      <c r="J158" s="59" t="str">
        <f>IF([2]道具信息!J158="","",[2]道具信息!J158)</f>
        <v/>
      </c>
      <c r="K158" s="59" t="str">
        <f>IF([2]道具信息!K158="","",[2]道具信息!K158)</f>
        <v/>
      </c>
      <c r="L158" s="59" t="str">
        <f>IF([2]道具信息!L158="","",[2]道具信息!L158)</f>
        <v/>
      </c>
      <c r="M158" s="59" t="str">
        <f>IF([2]道具信息!M158="","",[2]道具信息!M158)</f>
        <v/>
      </c>
      <c r="N158" s="59" t="str">
        <f>IF([2]道具信息!N158="","",[2]道具信息!N158)</f>
        <v/>
      </c>
      <c r="O158" s="59" t="str">
        <f>IF([2]道具信息!O158="","",[2]道具信息!O158)</f>
        <v/>
      </c>
      <c r="P158" s="59" t="str">
        <f>IF([2]道具信息!P158="","",[2]道具信息!P158)</f>
        <v/>
      </c>
      <c r="Q158" s="59" t="str">
        <f>IF([2]道具信息!Q158="","",[2]道具信息!Q158)</f>
        <v/>
      </c>
      <c r="R158" s="59" t="str">
        <f>IF([2]道具信息!R158="","",[2]道具信息!R158)</f>
        <v/>
      </c>
      <c r="S158" s="59" t="str">
        <f>IF([2]道具信息!S158="","",[2]道具信息!S158)</f>
        <v/>
      </c>
      <c r="T158" s="59" t="str">
        <f>IF([2]道具信息!T158="","",[2]道具信息!T158)</f>
        <v/>
      </c>
      <c r="U158" s="59" t="str">
        <f>IF([2]道具信息!U158="","",[2]道具信息!U158)</f>
        <v/>
      </c>
      <c r="V158" s="59" t="str">
        <f>IF([2]道具信息!V158="","",[2]道具信息!V158)</f>
        <v/>
      </c>
      <c r="W158" s="59" t="str">
        <f>IF([2]道具信息!W158="","",[2]道具信息!W158)</f>
        <v/>
      </c>
      <c r="X158" s="59" t="str">
        <f>IF([2]道具信息!X158="","",[2]道具信息!X158)</f>
        <v/>
      </c>
      <c r="Y158" s="59" t="str">
        <f>IF([2]道具信息!Y158="","",[2]道具信息!Y158)</f>
        <v/>
      </c>
      <c r="Z158" s="59" t="str">
        <f>IF([2]道具信息!Z158="","",[2]道具信息!Z158)</f>
        <v/>
      </c>
    </row>
    <row r="159" spans="1:26" x14ac:dyDescent="0.15">
      <c r="A159" s="59" t="str">
        <f>IF([2]道具信息!A159="","",[2]道具信息!A159)</f>
        <v/>
      </c>
      <c r="B159" s="59" t="str">
        <f>IF([2]道具信息!B159="","",[2]道具信息!B159)</f>
        <v/>
      </c>
      <c r="C159" s="59">
        <f>IF([2]道具信息!C159="","",[2]道具信息!C159)</f>
        <v>21001</v>
      </c>
      <c r="D159" s="59" t="str">
        <f>IF([2]道具信息!D159="","",[2]道具信息!D159)</f>
        <v>一担粮食</v>
      </c>
      <c r="E159" s="59">
        <f>IF([2]道具信息!E159="","",[2]道具信息!E159)</f>
        <v>6</v>
      </c>
      <c r="F159" s="59">
        <f>IF([2]道具信息!F159="","",[2]道具信息!F159)</f>
        <v>1</v>
      </c>
      <c r="G159" s="59">
        <f>IF([2]道具信息!G159="","",[2]道具信息!G159)</f>
        <v>1</v>
      </c>
      <c r="H159" s="59">
        <f>IF([2]道具信息!H159="","",[2]道具信息!H159)</f>
        <v>0.3</v>
      </c>
      <c r="I159" s="59">
        <f>IF([2]道具信息!I159="","",[2]道具信息!I159)</f>
        <v>6</v>
      </c>
      <c r="J159" s="59">
        <f>IF([2]道具信息!J159="","",[2]道具信息!J159)</f>
        <v>6</v>
      </c>
      <c r="K159" s="59">
        <f>IF([2]道具信息!K159="","",[2]道具信息!K159)</f>
        <v>1.7999999999999998</v>
      </c>
      <c r="L159" s="59" t="str">
        <f>IF([2]道具信息!L159="","",[2]道具信息!L159)</f>
        <v>使用后获得10000安全粮食</v>
      </c>
      <c r="M159" s="59" t="str">
        <f>IF([2]道具信息!M159="","",[2]道具信息!M159)</f>
        <v/>
      </c>
      <c r="N159" s="59" t="str">
        <f>IF([2]道具信息!N159="","",[2]道具信息!N159)</f>
        <v/>
      </c>
      <c r="O159" s="59" t="str">
        <f>IF([2]道具信息!O159="","",[2]道具信息!O159)</f>
        <v/>
      </c>
      <c r="P159" s="59" t="str">
        <f>IF([2]道具信息!P159="","",[2]道具信息!P159)</f>
        <v/>
      </c>
      <c r="Q159" s="59" t="str">
        <f>IF([2]道具信息!Q159="","",[2]道具信息!Q159)</f>
        <v/>
      </c>
      <c r="R159" s="59" t="str">
        <f>IF([2]道具信息!R159="","",[2]道具信息!R159)</f>
        <v/>
      </c>
      <c r="S159" s="59" t="str">
        <f>IF([2]道具信息!S159="","",[2]道具信息!S159)</f>
        <v/>
      </c>
      <c r="T159" s="59" t="str">
        <f>IF([2]道具信息!T159="","",[2]道具信息!T159)</f>
        <v/>
      </c>
      <c r="U159" s="59" t="str">
        <f>IF([2]道具信息!U159="","",[2]道具信息!U159)</f>
        <v/>
      </c>
      <c r="V159" s="59" t="str">
        <f>IF([2]道具信息!V159="","",[2]道具信息!V159)</f>
        <v/>
      </c>
      <c r="W159" s="59" t="str">
        <f>IF([2]道具信息!W159="","",[2]道具信息!W159)</f>
        <v/>
      </c>
      <c r="X159" s="59" t="str">
        <f>IF([2]道具信息!X159="","",[2]道具信息!X159)</f>
        <v/>
      </c>
      <c r="Y159" s="59" t="str">
        <f>IF([2]道具信息!Y159="","",[2]道具信息!Y159)</f>
        <v/>
      </c>
      <c r="Z159" s="59" t="str">
        <f>IF([2]道具信息!Z159="","",[2]道具信息!Z159)</f>
        <v/>
      </c>
    </row>
    <row r="160" spans="1:26" x14ac:dyDescent="0.15">
      <c r="A160" s="59" t="str">
        <f>IF([2]道具信息!A160="","",[2]道具信息!A160)</f>
        <v/>
      </c>
      <c r="B160" s="59" t="str">
        <f>IF([2]道具信息!B160="","",[2]道具信息!B160)</f>
        <v/>
      </c>
      <c r="C160" s="59">
        <f>IF([2]道具信息!C160="","",[2]道具信息!C160)</f>
        <v>21002</v>
      </c>
      <c r="D160" s="59" t="str">
        <f>IF([2]道具信息!D160="","",[2]道具信息!D160)</f>
        <v>一堆粮食</v>
      </c>
      <c r="E160" s="59">
        <f>IF([2]道具信息!E160="","",[2]道具信息!E160)</f>
        <v>20</v>
      </c>
      <c r="F160" s="59">
        <f>IF([2]道具信息!F160="","",[2]道具信息!F160)</f>
        <v>1</v>
      </c>
      <c r="G160" s="59">
        <f>IF([2]道具信息!G160="","",[2]道具信息!G160)</f>
        <v>1</v>
      </c>
      <c r="H160" s="59">
        <f>IF([2]道具信息!H160="","",[2]道具信息!H160)</f>
        <v>0.3</v>
      </c>
      <c r="I160" s="59">
        <f>IF([2]道具信息!I160="","",[2]道具信息!I160)</f>
        <v>20</v>
      </c>
      <c r="J160" s="59">
        <f>IF([2]道具信息!J160="","",[2]道具信息!J160)</f>
        <v>20</v>
      </c>
      <c r="K160" s="59">
        <f>IF([2]道具信息!K160="","",[2]道具信息!K160)</f>
        <v>6</v>
      </c>
      <c r="L160" s="59" t="str">
        <f>IF([2]道具信息!L160="","",[2]道具信息!L160)</f>
        <v>使用后获得50000安全粮食</v>
      </c>
      <c r="M160" s="59" t="str">
        <f>IF([2]道具信息!M160="","",[2]道具信息!M160)</f>
        <v/>
      </c>
      <c r="N160" s="59" t="str">
        <f>IF([2]道具信息!N160="","",[2]道具信息!N160)</f>
        <v/>
      </c>
      <c r="O160" s="59" t="str">
        <f>IF([2]道具信息!O160="","",[2]道具信息!O160)</f>
        <v/>
      </c>
      <c r="P160" s="59" t="str">
        <f>IF([2]道具信息!P160="","",[2]道具信息!P160)</f>
        <v/>
      </c>
      <c r="Q160" s="59" t="str">
        <f>IF([2]道具信息!Q160="","",[2]道具信息!Q160)</f>
        <v/>
      </c>
      <c r="R160" s="59" t="str">
        <f>IF([2]道具信息!R160="","",[2]道具信息!R160)</f>
        <v/>
      </c>
      <c r="S160" s="59" t="str">
        <f>IF([2]道具信息!S160="","",[2]道具信息!S160)</f>
        <v/>
      </c>
      <c r="T160" s="59" t="str">
        <f>IF([2]道具信息!T160="","",[2]道具信息!T160)</f>
        <v/>
      </c>
      <c r="U160" s="59" t="str">
        <f>IF([2]道具信息!U160="","",[2]道具信息!U160)</f>
        <v/>
      </c>
      <c r="V160" s="59" t="str">
        <f>IF([2]道具信息!V160="","",[2]道具信息!V160)</f>
        <v/>
      </c>
      <c r="W160" s="59" t="str">
        <f>IF([2]道具信息!W160="","",[2]道具信息!W160)</f>
        <v/>
      </c>
      <c r="X160" s="59" t="str">
        <f>IF([2]道具信息!X160="","",[2]道具信息!X160)</f>
        <v/>
      </c>
      <c r="Y160" s="59" t="str">
        <f>IF([2]道具信息!Y160="","",[2]道具信息!Y160)</f>
        <v/>
      </c>
      <c r="Z160" s="59" t="str">
        <f>IF([2]道具信息!Z160="","",[2]道具信息!Z160)</f>
        <v/>
      </c>
    </row>
    <row r="161" spans="1:26" x14ac:dyDescent="0.15">
      <c r="A161" s="59" t="str">
        <f>IF([2]道具信息!A161="","",[2]道具信息!A161)</f>
        <v/>
      </c>
      <c r="B161" s="59" t="str">
        <f>IF([2]道具信息!B161="","",[2]道具信息!B161)</f>
        <v/>
      </c>
      <c r="C161" s="59">
        <f>IF([2]道具信息!C161="","",[2]道具信息!C161)</f>
        <v>21003</v>
      </c>
      <c r="D161" s="59" t="str">
        <f>IF([2]道具信息!D161="","",[2]道具信息!D161)</f>
        <v>一箱粮食</v>
      </c>
      <c r="E161" s="59">
        <f>IF([2]道具信息!E161="","",[2]道具信息!E161)</f>
        <v>45</v>
      </c>
      <c r="F161" s="59">
        <f>IF([2]道具信息!F161="","",[2]道具信息!F161)</f>
        <v>1.333</v>
      </c>
      <c r="G161" s="59">
        <f>IF([2]道具信息!G161="","",[2]道具信息!G161)</f>
        <v>1</v>
      </c>
      <c r="H161" s="59">
        <f>IF([2]道具信息!H161="","",[2]道具信息!H161)</f>
        <v>0.3</v>
      </c>
      <c r="I161" s="59">
        <f>IF([2]道具信息!I161="","",[2]道具信息!I161)</f>
        <v>59.984999999999999</v>
      </c>
      <c r="J161" s="59">
        <f>IF([2]道具信息!J161="","",[2]道具信息!J161)</f>
        <v>45</v>
      </c>
      <c r="K161" s="59">
        <f>IF([2]道具信息!K161="","",[2]道具信息!K161)</f>
        <v>13.5</v>
      </c>
      <c r="L161" s="59" t="str">
        <f>IF([2]道具信息!L161="","",[2]道具信息!L161)</f>
        <v>使用后获得150000安全粮食</v>
      </c>
      <c r="M161" s="59" t="str">
        <f>IF([2]道具信息!M161="","",[2]道具信息!M161)</f>
        <v/>
      </c>
      <c r="N161" s="59" t="str">
        <f>IF([2]道具信息!N161="","",[2]道具信息!N161)</f>
        <v/>
      </c>
      <c r="O161" s="59" t="str">
        <f>IF([2]道具信息!O161="","",[2]道具信息!O161)</f>
        <v/>
      </c>
      <c r="P161" s="59" t="str">
        <f>IF([2]道具信息!P161="","",[2]道具信息!P161)</f>
        <v/>
      </c>
      <c r="Q161" s="59" t="str">
        <f>IF([2]道具信息!Q161="","",[2]道具信息!Q161)</f>
        <v/>
      </c>
      <c r="R161" s="59" t="str">
        <f>IF([2]道具信息!R161="","",[2]道具信息!R161)</f>
        <v/>
      </c>
      <c r="S161" s="59" t="str">
        <f>IF([2]道具信息!S161="","",[2]道具信息!S161)</f>
        <v/>
      </c>
      <c r="T161" s="59" t="str">
        <f>IF([2]道具信息!T161="","",[2]道具信息!T161)</f>
        <v/>
      </c>
      <c r="U161" s="59" t="str">
        <f>IF([2]道具信息!U161="","",[2]道具信息!U161)</f>
        <v/>
      </c>
      <c r="V161" s="59" t="str">
        <f>IF([2]道具信息!V161="","",[2]道具信息!V161)</f>
        <v/>
      </c>
      <c r="W161" s="59" t="str">
        <f>IF([2]道具信息!W161="","",[2]道具信息!W161)</f>
        <v/>
      </c>
      <c r="X161" s="59" t="str">
        <f>IF([2]道具信息!X161="","",[2]道具信息!X161)</f>
        <v/>
      </c>
      <c r="Y161" s="59" t="str">
        <f>IF([2]道具信息!Y161="","",[2]道具信息!Y161)</f>
        <v/>
      </c>
      <c r="Z161" s="59" t="str">
        <f>IF([2]道具信息!Z161="","",[2]道具信息!Z161)</f>
        <v/>
      </c>
    </row>
    <row r="162" spans="1:26" x14ac:dyDescent="0.15">
      <c r="A162" s="59" t="str">
        <f>IF([2]道具信息!A162="","",[2]道具信息!A162)</f>
        <v/>
      </c>
      <c r="B162" s="59" t="str">
        <f>IF([2]道具信息!B162="","",[2]道具信息!B162)</f>
        <v/>
      </c>
      <c r="C162" s="59">
        <f>IF([2]道具信息!C162="","",[2]道具信息!C162)</f>
        <v>21004</v>
      </c>
      <c r="D162" s="59" t="str">
        <f>IF([2]道具信息!D162="","",[2]道具信息!D162)</f>
        <v>一车粮食</v>
      </c>
      <c r="E162" s="59">
        <f>IF([2]道具信息!E162="","",[2]道具信息!E162)</f>
        <v>100</v>
      </c>
      <c r="F162" s="59">
        <f>IF([2]道具信息!F162="","",[2]道具信息!F162)</f>
        <v>2</v>
      </c>
      <c r="G162" s="59">
        <f>IF([2]道具信息!G162="","",[2]道具信息!G162)</f>
        <v>1</v>
      </c>
      <c r="H162" s="59">
        <f>IF([2]道具信息!H162="","",[2]道具信息!H162)</f>
        <v>0.3</v>
      </c>
      <c r="I162" s="59">
        <f>IF([2]道具信息!I162="","",[2]道具信息!I162)</f>
        <v>200</v>
      </c>
      <c r="J162" s="59">
        <f>IF([2]道具信息!J162="","",[2]道具信息!J162)</f>
        <v>100</v>
      </c>
      <c r="K162" s="59">
        <f>IF([2]道具信息!K162="","",[2]道具信息!K162)</f>
        <v>30</v>
      </c>
      <c r="L162" s="59" t="str">
        <f>IF([2]道具信息!L162="","",[2]道具信息!L162)</f>
        <v>使用后获得500000安全粮食</v>
      </c>
      <c r="M162" s="59" t="str">
        <f>IF([2]道具信息!M162="","",[2]道具信息!M162)</f>
        <v/>
      </c>
      <c r="N162" s="59" t="str">
        <f>IF([2]道具信息!N162="","",[2]道具信息!N162)</f>
        <v/>
      </c>
      <c r="O162" s="59" t="str">
        <f>IF([2]道具信息!O162="","",[2]道具信息!O162)</f>
        <v/>
      </c>
      <c r="P162" s="59" t="str">
        <f>IF([2]道具信息!P162="","",[2]道具信息!P162)</f>
        <v/>
      </c>
      <c r="Q162" s="59" t="str">
        <f>IF([2]道具信息!Q162="","",[2]道具信息!Q162)</f>
        <v/>
      </c>
      <c r="R162" s="59" t="str">
        <f>IF([2]道具信息!R162="","",[2]道具信息!R162)</f>
        <v/>
      </c>
      <c r="S162" s="59" t="str">
        <f>IF([2]道具信息!S162="","",[2]道具信息!S162)</f>
        <v/>
      </c>
      <c r="T162" s="59" t="str">
        <f>IF([2]道具信息!T162="","",[2]道具信息!T162)</f>
        <v/>
      </c>
      <c r="U162" s="59" t="str">
        <f>IF([2]道具信息!U162="","",[2]道具信息!U162)</f>
        <v/>
      </c>
      <c r="V162" s="59" t="str">
        <f>IF([2]道具信息!V162="","",[2]道具信息!V162)</f>
        <v/>
      </c>
      <c r="W162" s="59" t="str">
        <f>IF([2]道具信息!W162="","",[2]道具信息!W162)</f>
        <v/>
      </c>
      <c r="X162" s="59" t="str">
        <f>IF([2]道具信息!X162="","",[2]道具信息!X162)</f>
        <v/>
      </c>
      <c r="Y162" s="59" t="str">
        <f>IF([2]道具信息!Y162="","",[2]道具信息!Y162)</f>
        <v/>
      </c>
      <c r="Z162" s="59" t="str">
        <f>IF([2]道具信息!Z162="","",[2]道具信息!Z162)</f>
        <v/>
      </c>
    </row>
    <row r="163" spans="1:26" x14ac:dyDescent="0.15">
      <c r="A163" s="59" t="str">
        <f>IF([2]道具信息!A163="","",[2]道具信息!A163)</f>
        <v/>
      </c>
      <c r="B163" s="59" t="str">
        <f>IF([2]道具信息!B163="","",[2]道具信息!B163)</f>
        <v/>
      </c>
      <c r="C163" s="59">
        <f>IF([2]道具信息!C163="","",[2]道具信息!C163)</f>
        <v>21005</v>
      </c>
      <c r="D163" s="59" t="str">
        <f>IF([2]道具信息!D163="","",[2]道具信息!D163)</f>
        <v>一担木材</v>
      </c>
      <c r="E163" s="59">
        <f>IF([2]道具信息!E163="","",[2]道具信息!E163)</f>
        <v>6</v>
      </c>
      <c r="F163" s="59">
        <f>IF([2]道具信息!F163="","",[2]道具信息!F163)</f>
        <v>1</v>
      </c>
      <c r="G163" s="59">
        <f>IF([2]道具信息!G163="","",[2]道具信息!G163)</f>
        <v>1</v>
      </c>
      <c r="H163" s="59">
        <f>IF([2]道具信息!H163="","",[2]道具信息!H163)</f>
        <v>0.3</v>
      </c>
      <c r="I163" s="59">
        <f>IF([2]道具信息!I163="","",[2]道具信息!I163)</f>
        <v>6</v>
      </c>
      <c r="J163" s="59">
        <f>IF([2]道具信息!J163="","",[2]道具信息!J163)</f>
        <v>6</v>
      </c>
      <c r="K163" s="59">
        <f>IF([2]道具信息!K163="","",[2]道具信息!K163)</f>
        <v>1.7999999999999998</v>
      </c>
      <c r="L163" s="59" t="str">
        <f>IF([2]道具信息!L163="","",[2]道具信息!L163)</f>
        <v>使用后获得10000安全木材</v>
      </c>
      <c r="M163" s="59" t="str">
        <f>IF([2]道具信息!M163="","",[2]道具信息!M163)</f>
        <v/>
      </c>
      <c r="N163" s="59" t="str">
        <f>IF([2]道具信息!N163="","",[2]道具信息!N163)</f>
        <v/>
      </c>
      <c r="O163" s="59" t="str">
        <f>IF([2]道具信息!O163="","",[2]道具信息!O163)</f>
        <v/>
      </c>
      <c r="P163" s="59" t="str">
        <f>IF([2]道具信息!P163="","",[2]道具信息!P163)</f>
        <v/>
      </c>
      <c r="Q163" s="59" t="str">
        <f>IF([2]道具信息!Q163="","",[2]道具信息!Q163)</f>
        <v/>
      </c>
      <c r="R163" s="59" t="str">
        <f>IF([2]道具信息!R163="","",[2]道具信息!R163)</f>
        <v/>
      </c>
      <c r="S163" s="59" t="str">
        <f>IF([2]道具信息!S163="","",[2]道具信息!S163)</f>
        <v/>
      </c>
      <c r="T163" s="59" t="str">
        <f>IF([2]道具信息!T163="","",[2]道具信息!T163)</f>
        <v/>
      </c>
      <c r="U163" s="59" t="str">
        <f>IF([2]道具信息!U163="","",[2]道具信息!U163)</f>
        <v/>
      </c>
      <c r="V163" s="59" t="str">
        <f>IF([2]道具信息!V163="","",[2]道具信息!V163)</f>
        <v/>
      </c>
      <c r="W163" s="59" t="str">
        <f>IF([2]道具信息!W163="","",[2]道具信息!W163)</f>
        <v/>
      </c>
      <c r="X163" s="59" t="str">
        <f>IF([2]道具信息!X163="","",[2]道具信息!X163)</f>
        <v/>
      </c>
      <c r="Y163" s="59" t="str">
        <f>IF([2]道具信息!Y163="","",[2]道具信息!Y163)</f>
        <v/>
      </c>
      <c r="Z163" s="59" t="str">
        <f>IF([2]道具信息!Z163="","",[2]道具信息!Z163)</f>
        <v/>
      </c>
    </row>
    <row r="164" spans="1:26" x14ac:dyDescent="0.15">
      <c r="A164" s="59" t="str">
        <f>IF([2]道具信息!A164="","",[2]道具信息!A164)</f>
        <v/>
      </c>
      <c r="B164" s="59" t="str">
        <f>IF([2]道具信息!B164="","",[2]道具信息!B164)</f>
        <v/>
      </c>
      <c r="C164" s="59">
        <f>IF([2]道具信息!C164="","",[2]道具信息!C164)</f>
        <v>21006</v>
      </c>
      <c r="D164" s="59" t="str">
        <f>IF([2]道具信息!D164="","",[2]道具信息!D164)</f>
        <v>一堆木材</v>
      </c>
      <c r="E164" s="59">
        <f>IF([2]道具信息!E164="","",[2]道具信息!E164)</f>
        <v>20</v>
      </c>
      <c r="F164" s="59">
        <f>IF([2]道具信息!F164="","",[2]道具信息!F164)</f>
        <v>1</v>
      </c>
      <c r="G164" s="59">
        <f>IF([2]道具信息!G164="","",[2]道具信息!G164)</f>
        <v>1</v>
      </c>
      <c r="H164" s="59">
        <f>IF([2]道具信息!H164="","",[2]道具信息!H164)</f>
        <v>0.3</v>
      </c>
      <c r="I164" s="59">
        <f>IF([2]道具信息!I164="","",[2]道具信息!I164)</f>
        <v>20</v>
      </c>
      <c r="J164" s="59">
        <f>IF([2]道具信息!J164="","",[2]道具信息!J164)</f>
        <v>20</v>
      </c>
      <c r="K164" s="59">
        <f>IF([2]道具信息!K164="","",[2]道具信息!K164)</f>
        <v>6</v>
      </c>
      <c r="L164" s="59" t="str">
        <f>IF([2]道具信息!L164="","",[2]道具信息!L164)</f>
        <v>使用后获得50000安全木材</v>
      </c>
      <c r="M164" s="59" t="str">
        <f>IF([2]道具信息!M164="","",[2]道具信息!M164)</f>
        <v/>
      </c>
      <c r="N164" s="59" t="str">
        <f>IF([2]道具信息!N164="","",[2]道具信息!N164)</f>
        <v/>
      </c>
      <c r="O164" s="59" t="str">
        <f>IF([2]道具信息!O164="","",[2]道具信息!O164)</f>
        <v/>
      </c>
      <c r="P164" s="59" t="str">
        <f>IF([2]道具信息!P164="","",[2]道具信息!P164)</f>
        <v/>
      </c>
      <c r="Q164" s="59" t="str">
        <f>IF([2]道具信息!Q164="","",[2]道具信息!Q164)</f>
        <v/>
      </c>
      <c r="R164" s="59" t="str">
        <f>IF([2]道具信息!R164="","",[2]道具信息!R164)</f>
        <v/>
      </c>
      <c r="S164" s="59" t="str">
        <f>IF([2]道具信息!S164="","",[2]道具信息!S164)</f>
        <v/>
      </c>
      <c r="T164" s="59" t="str">
        <f>IF([2]道具信息!T164="","",[2]道具信息!T164)</f>
        <v/>
      </c>
      <c r="U164" s="59" t="str">
        <f>IF([2]道具信息!U164="","",[2]道具信息!U164)</f>
        <v/>
      </c>
      <c r="V164" s="59" t="str">
        <f>IF([2]道具信息!V164="","",[2]道具信息!V164)</f>
        <v/>
      </c>
      <c r="W164" s="59" t="str">
        <f>IF([2]道具信息!W164="","",[2]道具信息!W164)</f>
        <v/>
      </c>
      <c r="X164" s="59" t="str">
        <f>IF([2]道具信息!X164="","",[2]道具信息!X164)</f>
        <v/>
      </c>
      <c r="Y164" s="59" t="str">
        <f>IF([2]道具信息!Y164="","",[2]道具信息!Y164)</f>
        <v/>
      </c>
      <c r="Z164" s="59" t="str">
        <f>IF([2]道具信息!Z164="","",[2]道具信息!Z164)</f>
        <v/>
      </c>
    </row>
    <row r="165" spans="1:26" x14ac:dyDescent="0.15">
      <c r="A165" s="59" t="str">
        <f>IF([2]道具信息!A165="","",[2]道具信息!A165)</f>
        <v/>
      </c>
      <c r="B165" s="59" t="str">
        <f>IF([2]道具信息!B165="","",[2]道具信息!B165)</f>
        <v/>
      </c>
      <c r="C165" s="59">
        <f>IF([2]道具信息!C165="","",[2]道具信息!C165)</f>
        <v>21007</v>
      </c>
      <c r="D165" s="59" t="str">
        <f>IF([2]道具信息!D165="","",[2]道具信息!D165)</f>
        <v>一箱木材</v>
      </c>
      <c r="E165" s="59">
        <f>IF([2]道具信息!E165="","",[2]道具信息!E165)</f>
        <v>45</v>
      </c>
      <c r="F165" s="59">
        <f>IF([2]道具信息!F165="","",[2]道具信息!F165)</f>
        <v>1.333</v>
      </c>
      <c r="G165" s="59">
        <f>IF([2]道具信息!G165="","",[2]道具信息!G165)</f>
        <v>1</v>
      </c>
      <c r="H165" s="59">
        <f>IF([2]道具信息!H165="","",[2]道具信息!H165)</f>
        <v>0.3</v>
      </c>
      <c r="I165" s="59">
        <f>IF([2]道具信息!I165="","",[2]道具信息!I165)</f>
        <v>59.984999999999999</v>
      </c>
      <c r="J165" s="59">
        <f>IF([2]道具信息!J165="","",[2]道具信息!J165)</f>
        <v>45</v>
      </c>
      <c r="K165" s="59">
        <f>IF([2]道具信息!K165="","",[2]道具信息!K165)</f>
        <v>13.5</v>
      </c>
      <c r="L165" s="59" t="str">
        <f>IF([2]道具信息!L165="","",[2]道具信息!L165)</f>
        <v>使用后获得150000安全木材</v>
      </c>
      <c r="M165" s="59" t="str">
        <f>IF([2]道具信息!M165="","",[2]道具信息!M165)</f>
        <v/>
      </c>
      <c r="N165" s="59" t="str">
        <f>IF([2]道具信息!N165="","",[2]道具信息!N165)</f>
        <v/>
      </c>
      <c r="O165" s="59" t="str">
        <f>IF([2]道具信息!O165="","",[2]道具信息!O165)</f>
        <v/>
      </c>
      <c r="P165" s="59" t="str">
        <f>IF([2]道具信息!P165="","",[2]道具信息!P165)</f>
        <v/>
      </c>
      <c r="Q165" s="59" t="str">
        <f>IF([2]道具信息!Q165="","",[2]道具信息!Q165)</f>
        <v/>
      </c>
      <c r="R165" s="59" t="str">
        <f>IF([2]道具信息!R165="","",[2]道具信息!R165)</f>
        <v/>
      </c>
      <c r="S165" s="59" t="str">
        <f>IF([2]道具信息!S165="","",[2]道具信息!S165)</f>
        <v/>
      </c>
      <c r="T165" s="59" t="str">
        <f>IF([2]道具信息!T165="","",[2]道具信息!T165)</f>
        <v/>
      </c>
      <c r="U165" s="59" t="str">
        <f>IF([2]道具信息!U165="","",[2]道具信息!U165)</f>
        <v/>
      </c>
      <c r="V165" s="59" t="str">
        <f>IF([2]道具信息!V165="","",[2]道具信息!V165)</f>
        <v/>
      </c>
      <c r="W165" s="59" t="str">
        <f>IF([2]道具信息!W165="","",[2]道具信息!W165)</f>
        <v/>
      </c>
      <c r="X165" s="59" t="str">
        <f>IF([2]道具信息!X165="","",[2]道具信息!X165)</f>
        <v/>
      </c>
      <c r="Y165" s="59" t="str">
        <f>IF([2]道具信息!Y165="","",[2]道具信息!Y165)</f>
        <v/>
      </c>
      <c r="Z165" s="59" t="str">
        <f>IF([2]道具信息!Z165="","",[2]道具信息!Z165)</f>
        <v/>
      </c>
    </row>
    <row r="166" spans="1:26" x14ac:dyDescent="0.15">
      <c r="A166" s="59" t="str">
        <f>IF([2]道具信息!A166="","",[2]道具信息!A166)</f>
        <v/>
      </c>
      <c r="B166" s="59" t="str">
        <f>IF([2]道具信息!B166="","",[2]道具信息!B166)</f>
        <v/>
      </c>
      <c r="C166" s="59">
        <f>IF([2]道具信息!C166="","",[2]道具信息!C166)</f>
        <v>21008</v>
      </c>
      <c r="D166" s="59" t="str">
        <f>IF([2]道具信息!D166="","",[2]道具信息!D166)</f>
        <v>一车木材</v>
      </c>
      <c r="E166" s="59">
        <f>IF([2]道具信息!E166="","",[2]道具信息!E166)</f>
        <v>100</v>
      </c>
      <c r="F166" s="59">
        <f>IF([2]道具信息!F166="","",[2]道具信息!F166)</f>
        <v>2</v>
      </c>
      <c r="G166" s="59">
        <f>IF([2]道具信息!G166="","",[2]道具信息!G166)</f>
        <v>1</v>
      </c>
      <c r="H166" s="59">
        <f>IF([2]道具信息!H166="","",[2]道具信息!H166)</f>
        <v>0.3</v>
      </c>
      <c r="I166" s="59">
        <f>IF([2]道具信息!I166="","",[2]道具信息!I166)</f>
        <v>200</v>
      </c>
      <c r="J166" s="59">
        <f>IF([2]道具信息!J166="","",[2]道具信息!J166)</f>
        <v>100</v>
      </c>
      <c r="K166" s="59">
        <f>IF([2]道具信息!K166="","",[2]道具信息!K166)</f>
        <v>30</v>
      </c>
      <c r="L166" s="59" t="str">
        <f>IF([2]道具信息!L166="","",[2]道具信息!L166)</f>
        <v>使用后获得500000安全木材</v>
      </c>
      <c r="M166" s="59" t="str">
        <f>IF([2]道具信息!M166="","",[2]道具信息!M166)</f>
        <v/>
      </c>
      <c r="N166" s="59" t="str">
        <f>IF([2]道具信息!N166="","",[2]道具信息!N166)</f>
        <v/>
      </c>
      <c r="O166" s="59" t="str">
        <f>IF([2]道具信息!O166="","",[2]道具信息!O166)</f>
        <v/>
      </c>
      <c r="P166" s="59" t="str">
        <f>IF([2]道具信息!P166="","",[2]道具信息!P166)</f>
        <v/>
      </c>
      <c r="Q166" s="59" t="str">
        <f>IF([2]道具信息!Q166="","",[2]道具信息!Q166)</f>
        <v/>
      </c>
      <c r="R166" s="59" t="str">
        <f>IF([2]道具信息!R166="","",[2]道具信息!R166)</f>
        <v/>
      </c>
      <c r="S166" s="59" t="str">
        <f>IF([2]道具信息!S166="","",[2]道具信息!S166)</f>
        <v/>
      </c>
      <c r="T166" s="59" t="str">
        <f>IF([2]道具信息!T166="","",[2]道具信息!T166)</f>
        <v/>
      </c>
      <c r="U166" s="59" t="str">
        <f>IF([2]道具信息!U166="","",[2]道具信息!U166)</f>
        <v/>
      </c>
      <c r="V166" s="59" t="str">
        <f>IF([2]道具信息!V166="","",[2]道具信息!V166)</f>
        <v/>
      </c>
      <c r="W166" s="59" t="str">
        <f>IF([2]道具信息!W166="","",[2]道具信息!W166)</f>
        <v/>
      </c>
      <c r="X166" s="59" t="str">
        <f>IF([2]道具信息!X166="","",[2]道具信息!X166)</f>
        <v/>
      </c>
      <c r="Y166" s="59" t="str">
        <f>IF([2]道具信息!Y166="","",[2]道具信息!Y166)</f>
        <v/>
      </c>
      <c r="Z166" s="59" t="str">
        <f>IF([2]道具信息!Z166="","",[2]道具信息!Z166)</f>
        <v/>
      </c>
    </row>
    <row r="167" spans="1:26" x14ac:dyDescent="0.15">
      <c r="A167" s="59" t="str">
        <f>IF([2]道具信息!A167="","",[2]道具信息!A167)</f>
        <v/>
      </c>
      <c r="B167" s="59" t="str">
        <f>IF([2]道具信息!B167="","",[2]道具信息!B167)</f>
        <v/>
      </c>
      <c r="C167" s="59">
        <f>IF([2]道具信息!C167="","",[2]道具信息!C167)</f>
        <v>21009</v>
      </c>
      <c r="D167" s="59" t="str">
        <f>IF([2]道具信息!D167="","",[2]道具信息!D167)</f>
        <v>一担石料</v>
      </c>
      <c r="E167" s="59">
        <f>IF([2]道具信息!E167="","",[2]道具信息!E167)</f>
        <v>6</v>
      </c>
      <c r="F167" s="59">
        <f>IF([2]道具信息!F167="","",[2]道具信息!F167)</f>
        <v>1</v>
      </c>
      <c r="G167" s="59">
        <f>IF([2]道具信息!G167="","",[2]道具信息!G167)</f>
        <v>1</v>
      </c>
      <c r="H167" s="59">
        <f>IF([2]道具信息!H167="","",[2]道具信息!H167)</f>
        <v>0.3</v>
      </c>
      <c r="I167" s="59">
        <f>IF([2]道具信息!I167="","",[2]道具信息!I167)</f>
        <v>6</v>
      </c>
      <c r="J167" s="59">
        <f>IF([2]道具信息!J167="","",[2]道具信息!J167)</f>
        <v>6</v>
      </c>
      <c r="K167" s="59">
        <f>IF([2]道具信息!K167="","",[2]道具信息!K167)</f>
        <v>1.7999999999999998</v>
      </c>
      <c r="L167" s="59" t="str">
        <f>IF([2]道具信息!L167="","",[2]道具信息!L167)</f>
        <v>使用后获得10000安全石料</v>
      </c>
      <c r="M167" s="59" t="str">
        <f>IF([2]道具信息!M167="","",[2]道具信息!M167)</f>
        <v/>
      </c>
      <c r="N167" s="59" t="str">
        <f>IF([2]道具信息!N167="","",[2]道具信息!N167)</f>
        <v/>
      </c>
      <c r="O167" s="59" t="str">
        <f>IF([2]道具信息!O167="","",[2]道具信息!O167)</f>
        <v/>
      </c>
      <c r="P167" s="59" t="str">
        <f>IF([2]道具信息!P167="","",[2]道具信息!P167)</f>
        <v/>
      </c>
      <c r="Q167" s="59" t="str">
        <f>IF([2]道具信息!Q167="","",[2]道具信息!Q167)</f>
        <v/>
      </c>
      <c r="R167" s="59" t="str">
        <f>IF([2]道具信息!R167="","",[2]道具信息!R167)</f>
        <v/>
      </c>
      <c r="S167" s="59" t="str">
        <f>IF([2]道具信息!S167="","",[2]道具信息!S167)</f>
        <v/>
      </c>
      <c r="T167" s="59" t="str">
        <f>IF([2]道具信息!T167="","",[2]道具信息!T167)</f>
        <v/>
      </c>
      <c r="U167" s="59" t="str">
        <f>IF([2]道具信息!U167="","",[2]道具信息!U167)</f>
        <v/>
      </c>
      <c r="V167" s="59" t="str">
        <f>IF([2]道具信息!V167="","",[2]道具信息!V167)</f>
        <v/>
      </c>
      <c r="W167" s="59" t="str">
        <f>IF([2]道具信息!W167="","",[2]道具信息!W167)</f>
        <v/>
      </c>
      <c r="X167" s="59" t="str">
        <f>IF([2]道具信息!X167="","",[2]道具信息!X167)</f>
        <v/>
      </c>
      <c r="Y167" s="59" t="str">
        <f>IF([2]道具信息!Y167="","",[2]道具信息!Y167)</f>
        <v/>
      </c>
      <c r="Z167" s="59" t="str">
        <f>IF([2]道具信息!Z167="","",[2]道具信息!Z167)</f>
        <v/>
      </c>
    </row>
    <row r="168" spans="1:26" x14ac:dyDescent="0.15">
      <c r="A168" s="59" t="str">
        <f>IF([2]道具信息!A168="","",[2]道具信息!A168)</f>
        <v/>
      </c>
      <c r="B168" s="59" t="str">
        <f>IF([2]道具信息!B168="","",[2]道具信息!B168)</f>
        <v/>
      </c>
      <c r="C168" s="59">
        <f>IF([2]道具信息!C168="","",[2]道具信息!C168)</f>
        <v>21010</v>
      </c>
      <c r="D168" s="59" t="str">
        <f>IF([2]道具信息!D168="","",[2]道具信息!D168)</f>
        <v>一堆石料</v>
      </c>
      <c r="E168" s="59">
        <f>IF([2]道具信息!E168="","",[2]道具信息!E168)</f>
        <v>20</v>
      </c>
      <c r="F168" s="59">
        <f>IF([2]道具信息!F168="","",[2]道具信息!F168)</f>
        <v>1</v>
      </c>
      <c r="G168" s="59">
        <f>IF([2]道具信息!G168="","",[2]道具信息!G168)</f>
        <v>1</v>
      </c>
      <c r="H168" s="59">
        <f>IF([2]道具信息!H168="","",[2]道具信息!H168)</f>
        <v>0.3</v>
      </c>
      <c r="I168" s="59">
        <f>IF([2]道具信息!I168="","",[2]道具信息!I168)</f>
        <v>20</v>
      </c>
      <c r="J168" s="59">
        <f>IF([2]道具信息!J168="","",[2]道具信息!J168)</f>
        <v>20</v>
      </c>
      <c r="K168" s="59">
        <f>IF([2]道具信息!K168="","",[2]道具信息!K168)</f>
        <v>6</v>
      </c>
      <c r="L168" s="59" t="str">
        <f>IF([2]道具信息!L168="","",[2]道具信息!L168)</f>
        <v>使用后获得50000安全石料</v>
      </c>
      <c r="M168" s="59" t="str">
        <f>IF([2]道具信息!M168="","",[2]道具信息!M168)</f>
        <v/>
      </c>
      <c r="N168" s="59" t="str">
        <f>IF([2]道具信息!N168="","",[2]道具信息!N168)</f>
        <v/>
      </c>
      <c r="O168" s="59" t="str">
        <f>IF([2]道具信息!O168="","",[2]道具信息!O168)</f>
        <v/>
      </c>
      <c r="P168" s="59" t="str">
        <f>IF([2]道具信息!P168="","",[2]道具信息!P168)</f>
        <v/>
      </c>
      <c r="Q168" s="59" t="str">
        <f>IF([2]道具信息!Q168="","",[2]道具信息!Q168)</f>
        <v/>
      </c>
      <c r="R168" s="59" t="str">
        <f>IF([2]道具信息!R168="","",[2]道具信息!R168)</f>
        <v/>
      </c>
      <c r="S168" s="59" t="str">
        <f>IF([2]道具信息!S168="","",[2]道具信息!S168)</f>
        <v/>
      </c>
      <c r="T168" s="59" t="str">
        <f>IF([2]道具信息!T168="","",[2]道具信息!T168)</f>
        <v/>
      </c>
      <c r="U168" s="59" t="str">
        <f>IF([2]道具信息!U168="","",[2]道具信息!U168)</f>
        <v/>
      </c>
      <c r="V168" s="59" t="str">
        <f>IF([2]道具信息!V168="","",[2]道具信息!V168)</f>
        <v/>
      </c>
      <c r="W168" s="59" t="str">
        <f>IF([2]道具信息!W168="","",[2]道具信息!W168)</f>
        <v/>
      </c>
      <c r="X168" s="59" t="str">
        <f>IF([2]道具信息!X168="","",[2]道具信息!X168)</f>
        <v/>
      </c>
      <c r="Y168" s="59" t="str">
        <f>IF([2]道具信息!Y168="","",[2]道具信息!Y168)</f>
        <v/>
      </c>
      <c r="Z168" s="59" t="str">
        <f>IF([2]道具信息!Z168="","",[2]道具信息!Z168)</f>
        <v/>
      </c>
    </row>
    <row r="169" spans="1:26" x14ac:dyDescent="0.15">
      <c r="A169" s="59" t="str">
        <f>IF([2]道具信息!A169="","",[2]道具信息!A169)</f>
        <v/>
      </c>
      <c r="B169" s="59" t="str">
        <f>IF([2]道具信息!B169="","",[2]道具信息!B169)</f>
        <v/>
      </c>
      <c r="C169" s="59">
        <f>IF([2]道具信息!C169="","",[2]道具信息!C169)</f>
        <v>21011</v>
      </c>
      <c r="D169" s="59" t="str">
        <f>IF([2]道具信息!D169="","",[2]道具信息!D169)</f>
        <v>一箱石料</v>
      </c>
      <c r="E169" s="59">
        <f>IF([2]道具信息!E169="","",[2]道具信息!E169)</f>
        <v>45</v>
      </c>
      <c r="F169" s="59">
        <f>IF([2]道具信息!F169="","",[2]道具信息!F169)</f>
        <v>1.333</v>
      </c>
      <c r="G169" s="59">
        <f>IF([2]道具信息!G169="","",[2]道具信息!G169)</f>
        <v>1</v>
      </c>
      <c r="H169" s="59">
        <f>IF([2]道具信息!H169="","",[2]道具信息!H169)</f>
        <v>0.3</v>
      </c>
      <c r="I169" s="59">
        <f>IF([2]道具信息!I169="","",[2]道具信息!I169)</f>
        <v>59.984999999999999</v>
      </c>
      <c r="J169" s="59">
        <f>IF([2]道具信息!J169="","",[2]道具信息!J169)</f>
        <v>45</v>
      </c>
      <c r="K169" s="59">
        <f>IF([2]道具信息!K169="","",[2]道具信息!K169)</f>
        <v>13.5</v>
      </c>
      <c r="L169" s="59" t="str">
        <f>IF([2]道具信息!L169="","",[2]道具信息!L169)</f>
        <v>使用后获得150000安全石料</v>
      </c>
      <c r="M169" s="59" t="str">
        <f>IF([2]道具信息!M169="","",[2]道具信息!M169)</f>
        <v/>
      </c>
      <c r="N169" s="59" t="str">
        <f>IF([2]道具信息!N169="","",[2]道具信息!N169)</f>
        <v/>
      </c>
      <c r="O169" s="59" t="str">
        <f>IF([2]道具信息!O169="","",[2]道具信息!O169)</f>
        <v/>
      </c>
      <c r="P169" s="59" t="str">
        <f>IF([2]道具信息!P169="","",[2]道具信息!P169)</f>
        <v/>
      </c>
      <c r="Q169" s="59" t="str">
        <f>IF([2]道具信息!Q169="","",[2]道具信息!Q169)</f>
        <v/>
      </c>
      <c r="R169" s="59" t="str">
        <f>IF([2]道具信息!R169="","",[2]道具信息!R169)</f>
        <v/>
      </c>
      <c r="S169" s="59" t="str">
        <f>IF([2]道具信息!S169="","",[2]道具信息!S169)</f>
        <v/>
      </c>
      <c r="T169" s="59" t="str">
        <f>IF([2]道具信息!T169="","",[2]道具信息!T169)</f>
        <v/>
      </c>
      <c r="U169" s="59" t="str">
        <f>IF([2]道具信息!U169="","",[2]道具信息!U169)</f>
        <v/>
      </c>
      <c r="V169" s="59" t="str">
        <f>IF([2]道具信息!V169="","",[2]道具信息!V169)</f>
        <v/>
      </c>
      <c r="W169" s="59" t="str">
        <f>IF([2]道具信息!W169="","",[2]道具信息!W169)</f>
        <v/>
      </c>
      <c r="X169" s="59" t="str">
        <f>IF([2]道具信息!X169="","",[2]道具信息!X169)</f>
        <v/>
      </c>
      <c r="Y169" s="59" t="str">
        <f>IF([2]道具信息!Y169="","",[2]道具信息!Y169)</f>
        <v/>
      </c>
      <c r="Z169" s="59" t="str">
        <f>IF([2]道具信息!Z169="","",[2]道具信息!Z169)</f>
        <v/>
      </c>
    </row>
    <row r="170" spans="1:26" x14ac:dyDescent="0.15">
      <c r="A170" s="59" t="str">
        <f>IF([2]道具信息!A170="","",[2]道具信息!A170)</f>
        <v/>
      </c>
      <c r="B170" s="59" t="str">
        <f>IF([2]道具信息!B170="","",[2]道具信息!B170)</f>
        <v/>
      </c>
      <c r="C170" s="59">
        <f>IF([2]道具信息!C170="","",[2]道具信息!C170)</f>
        <v>21012</v>
      </c>
      <c r="D170" s="59" t="str">
        <f>IF([2]道具信息!D170="","",[2]道具信息!D170)</f>
        <v>一车石料</v>
      </c>
      <c r="E170" s="59">
        <f>IF([2]道具信息!E170="","",[2]道具信息!E170)</f>
        <v>100</v>
      </c>
      <c r="F170" s="59">
        <f>IF([2]道具信息!F170="","",[2]道具信息!F170)</f>
        <v>2</v>
      </c>
      <c r="G170" s="59">
        <f>IF([2]道具信息!G170="","",[2]道具信息!G170)</f>
        <v>1</v>
      </c>
      <c r="H170" s="59">
        <f>IF([2]道具信息!H170="","",[2]道具信息!H170)</f>
        <v>0.3</v>
      </c>
      <c r="I170" s="59">
        <f>IF([2]道具信息!I170="","",[2]道具信息!I170)</f>
        <v>200</v>
      </c>
      <c r="J170" s="59">
        <f>IF([2]道具信息!J170="","",[2]道具信息!J170)</f>
        <v>100</v>
      </c>
      <c r="K170" s="59">
        <f>IF([2]道具信息!K170="","",[2]道具信息!K170)</f>
        <v>30</v>
      </c>
      <c r="L170" s="59" t="str">
        <f>IF([2]道具信息!L170="","",[2]道具信息!L170)</f>
        <v>使用后获得500000安全石料</v>
      </c>
      <c r="M170" s="59" t="str">
        <f>IF([2]道具信息!M170="","",[2]道具信息!M170)</f>
        <v/>
      </c>
      <c r="N170" s="59" t="str">
        <f>IF([2]道具信息!N170="","",[2]道具信息!N170)</f>
        <v/>
      </c>
      <c r="O170" s="59" t="str">
        <f>IF([2]道具信息!O170="","",[2]道具信息!O170)</f>
        <v/>
      </c>
      <c r="P170" s="59" t="str">
        <f>IF([2]道具信息!P170="","",[2]道具信息!P170)</f>
        <v/>
      </c>
      <c r="Q170" s="59" t="str">
        <f>IF([2]道具信息!Q170="","",[2]道具信息!Q170)</f>
        <v/>
      </c>
      <c r="R170" s="59" t="str">
        <f>IF([2]道具信息!R170="","",[2]道具信息!R170)</f>
        <v/>
      </c>
      <c r="S170" s="59" t="str">
        <f>IF([2]道具信息!S170="","",[2]道具信息!S170)</f>
        <v/>
      </c>
      <c r="T170" s="59" t="str">
        <f>IF([2]道具信息!T170="","",[2]道具信息!T170)</f>
        <v/>
      </c>
      <c r="U170" s="59" t="str">
        <f>IF([2]道具信息!U170="","",[2]道具信息!U170)</f>
        <v/>
      </c>
      <c r="V170" s="59" t="str">
        <f>IF([2]道具信息!V170="","",[2]道具信息!V170)</f>
        <v/>
      </c>
      <c r="W170" s="59" t="str">
        <f>IF([2]道具信息!W170="","",[2]道具信息!W170)</f>
        <v/>
      </c>
      <c r="X170" s="59" t="str">
        <f>IF([2]道具信息!X170="","",[2]道具信息!X170)</f>
        <v/>
      </c>
      <c r="Y170" s="59" t="str">
        <f>IF([2]道具信息!Y170="","",[2]道具信息!Y170)</f>
        <v/>
      </c>
      <c r="Z170" s="59" t="str">
        <f>IF([2]道具信息!Z170="","",[2]道具信息!Z170)</f>
        <v/>
      </c>
    </row>
    <row r="171" spans="1:26" x14ac:dyDescent="0.15">
      <c r="A171" s="59" t="str">
        <f>IF([2]道具信息!A171="","",[2]道具信息!A171)</f>
        <v/>
      </c>
      <c r="B171" s="59" t="str">
        <f>IF([2]道具信息!B171="","",[2]道具信息!B171)</f>
        <v/>
      </c>
      <c r="C171" s="59">
        <f>IF([2]道具信息!C171="","",[2]道具信息!C171)</f>
        <v>21013</v>
      </c>
      <c r="D171" s="59" t="str">
        <f>IF([2]道具信息!D171="","",[2]道具信息!D171)</f>
        <v>一担铁矿</v>
      </c>
      <c r="E171" s="59">
        <f>IF([2]道具信息!E171="","",[2]道具信息!E171)</f>
        <v>12</v>
      </c>
      <c r="F171" s="59">
        <f>IF([2]道具信息!F171="","",[2]道具信息!F171)</f>
        <v>1</v>
      </c>
      <c r="G171" s="59">
        <f>IF([2]道具信息!G171="","",[2]道具信息!G171)</f>
        <v>1</v>
      </c>
      <c r="H171" s="59">
        <f>IF([2]道具信息!H171="","",[2]道具信息!H171)</f>
        <v>0.3</v>
      </c>
      <c r="I171" s="59">
        <f>IF([2]道具信息!I171="","",[2]道具信息!I171)</f>
        <v>12</v>
      </c>
      <c r="J171" s="59">
        <f>IF([2]道具信息!J171="","",[2]道具信息!J171)</f>
        <v>12</v>
      </c>
      <c r="K171" s="59">
        <f>IF([2]道具信息!K171="","",[2]道具信息!K171)</f>
        <v>3.5999999999999996</v>
      </c>
      <c r="L171" s="59" t="str">
        <f>IF([2]道具信息!L171="","",[2]道具信息!L171)</f>
        <v>使用后获得10000安全铁矿</v>
      </c>
      <c r="M171" s="59" t="str">
        <f>IF([2]道具信息!M171="","",[2]道具信息!M171)</f>
        <v/>
      </c>
      <c r="N171" s="59" t="str">
        <f>IF([2]道具信息!N171="","",[2]道具信息!N171)</f>
        <v/>
      </c>
      <c r="O171" s="59" t="str">
        <f>IF([2]道具信息!O171="","",[2]道具信息!O171)</f>
        <v/>
      </c>
      <c r="P171" s="59" t="str">
        <f>IF([2]道具信息!P171="","",[2]道具信息!P171)</f>
        <v/>
      </c>
      <c r="Q171" s="59" t="str">
        <f>IF([2]道具信息!Q171="","",[2]道具信息!Q171)</f>
        <v/>
      </c>
      <c r="R171" s="59" t="str">
        <f>IF([2]道具信息!R171="","",[2]道具信息!R171)</f>
        <v/>
      </c>
      <c r="S171" s="59" t="str">
        <f>IF([2]道具信息!S171="","",[2]道具信息!S171)</f>
        <v/>
      </c>
      <c r="T171" s="59" t="str">
        <f>IF([2]道具信息!T171="","",[2]道具信息!T171)</f>
        <v/>
      </c>
      <c r="U171" s="59" t="str">
        <f>IF([2]道具信息!U171="","",[2]道具信息!U171)</f>
        <v/>
      </c>
      <c r="V171" s="59" t="str">
        <f>IF([2]道具信息!V171="","",[2]道具信息!V171)</f>
        <v/>
      </c>
      <c r="W171" s="59" t="str">
        <f>IF([2]道具信息!W171="","",[2]道具信息!W171)</f>
        <v/>
      </c>
      <c r="X171" s="59" t="str">
        <f>IF([2]道具信息!X171="","",[2]道具信息!X171)</f>
        <v/>
      </c>
      <c r="Y171" s="59" t="str">
        <f>IF([2]道具信息!Y171="","",[2]道具信息!Y171)</f>
        <v/>
      </c>
      <c r="Z171" s="59" t="str">
        <f>IF([2]道具信息!Z171="","",[2]道具信息!Z171)</f>
        <v/>
      </c>
    </row>
    <row r="172" spans="1:26" x14ac:dyDescent="0.15">
      <c r="A172" s="59" t="str">
        <f>IF([2]道具信息!A172="","",[2]道具信息!A172)</f>
        <v/>
      </c>
      <c r="B172" s="59" t="str">
        <f>IF([2]道具信息!B172="","",[2]道具信息!B172)</f>
        <v/>
      </c>
      <c r="C172" s="59">
        <f>IF([2]道具信息!C172="","",[2]道具信息!C172)</f>
        <v>21014</v>
      </c>
      <c r="D172" s="59" t="str">
        <f>IF([2]道具信息!D172="","",[2]道具信息!D172)</f>
        <v>一堆铁矿</v>
      </c>
      <c r="E172" s="59">
        <f>IF([2]道具信息!E172="","",[2]道具信息!E172)</f>
        <v>40</v>
      </c>
      <c r="F172" s="59">
        <f>IF([2]道具信息!F172="","",[2]道具信息!F172)</f>
        <v>1</v>
      </c>
      <c r="G172" s="59">
        <f>IF([2]道具信息!G172="","",[2]道具信息!G172)</f>
        <v>1</v>
      </c>
      <c r="H172" s="59">
        <f>IF([2]道具信息!H172="","",[2]道具信息!H172)</f>
        <v>0.3</v>
      </c>
      <c r="I172" s="59">
        <f>IF([2]道具信息!I172="","",[2]道具信息!I172)</f>
        <v>40</v>
      </c>
      <c r="J172" s="59">
        <f>IF([2]道具信息!J172="","",[2]道具信息!J172)</f>
        <v>40</v>
      </c>
      <c r="K172" s="59">
        <f>IF([2]道具信息!K172="","",[2]道具信息!K172)</f>
        <v>12</v>
      </c>
      <c r="L172" s="59" t="str">
        <f>IF([2]道具信息!L172="","",[2]道具信息!L172)</f>
        <v>使用后获得50000安全铁矿</v>
      </c>
      <c r="M172" s="59" t="str">
        <f>IF([2]道具信息!M172="","",[2]道具信息!M172)</f>
        <v/>
      </c>
      <c r="N172" s="59" t="str">
        <f>IF([2]道具信息!N172="","",[2]道具信息!N172)</f>
        <v/>
      </c>
      <c r="O172" s="59" t="str">
        <f>IF([2]道具信息!O172="","",[2]道具信息!O172)</f>
        <v/>
      </c>
      <c r="P172" s="59" t="str">
        <f>IF([2]道具信息!P172="","",[2]道具信息!P172)</f>
        <v/>
      </c>
      <c r="Q172" s="59" t="str">
        <f>IF([2]道具信息!Q172="","",[2]道具信息!Q172)</f>
        <v/>
      </c>
      <c r="R172" s="59" t="str">
        <f>IF([2]道具信息!R172="","",[2]道具信息!R172)</f>
        <v/>
      </c>
      <c r="S172" s="59" t="str">
        <f>IF([2]道具信息!S172="","",[2]道具信息!S172)</f>
        <v/>
      </c>
      <c r="T172" s="59" t="str">
        <f>IF([2]道具信息!T172="","",[2]道具信息!T172)</f>
        <v/>
      </c>
      <c r="U172" s="59" t="str">
        <f>IF([2]道具信息!U172="","",[2]道具信息!U172)</f>
        <v/>
      </c>
      <c r="V172" s="59" t="str">
        <f>IF([2]道具信息!V172="","",[2]道具信息!V172)</f>
        <v/>
      </c>
      <c r="W172" s="59" t="str">
        <f>IF([2]道具信息!W172="","",[2]道具信息!W172)</f>
        <v/>
      </c>
      <c r="X172" s="59" t="str">
        <f>IF([2]道具信息!X172="","",[2]道具信息!X172)</f>
        <v/>
      </c>
      <c r="Y172" s="59" t="str">
        <f>IF([2]道具信息!Y172="","",[2]道具信息!Y172)</f>
        <v/>
      </c>
      <c r="Z172" s="59" t="str">
        <f>IF([2]道具信息!Z172="","",[2]道具信息!Z172)</f>
        <v/>
      </c>
    </row>
    <row r="173" spans="1:26" x14ac:dyDescent="0.15">
      <c r="A173" s="59" t="str">
        <f>IF([2]道具信息!A173="","",[2]道具信息!A173)</f>
        <v/>
      </c>
      <c r="B173" s="59" t="str">
        <f>IF([2]道具信息!B173="","",[2]道具信息!B173)</f>
        <v/>
      </c>
      <c r="C173" s="59">
        <f>IF([2]道具信息!C173="","",[2]道具信息!C173)</f>
        <v>21015</v>
      </c>
      <c r="D173" s="59" t="str">
        <f>IF([2]道具信息!D173="","",[2]道具信息!D173)</f>
        <v>一箱铁矿</v>
      </c>
      <c r="E173" s="59">
        <f>IF([2]道具信息!E173="","",[2]道具信息!E173)</f>
        <v>90</v>
      </c>
      <c r="F173" s="59">
        <f>IF([2]道具信息!F173="","",[2]道具信息!F173)</f>
        <v>1.333</v>
      </c>
      <c r="G173" s="59">
        <f>IF([2]道具信息!G173="","",[2]道具信息!G173)</f>
        <v>1</v>
      </c>
      <c r="H173" s="59">
        <f>IF([2]道具信息!H173="","",[2]道具信息!H173)</f>
        <v>0.3</v>
      </c>
      <c r="I173" s="59">
        <f>IF([2]道具信息!I173="","",[2]道具信息!I173)</f>
        <v>119.97</v>
      </c>
      <c r="J173" s="59">
        <f>IF([2]道具信息!J173="","",[2]道具信息!J173)</f>
        <v>90</v>
      </c>
      <c r="K173" s="59">
        <f>IF([2]道具信息!K173="","",[2]道具信息!K173)</f>
        <v>27</v>
      </c>
      <c r="L173" s="59" t="str">
        <f>IF([2]道具信息!L173="","",[2]道具信息!L173)</f>
        <v>使用后获得150000安全铁矿</v>
      </c>
      <c r="M173" s="59" t="str">
        <f>IF([2]道具信息!M173="","",[2]道具信息!M173)</f>
        <v/>
      </c>
      <c r="N173" s="59" t="str">
        <f>IF([2]道具信息!N173="","",[2]道具信息!N173)</f>
        <v/>
      </c>
      <c r="O173" s="59" t="str">
        <f>IF([2]道具信息!O173="","",[2]道具信息!O173)</f>
        <v/>
      </c>
      <c r="P173" s="59" t="str">
        <f>IF([2]道具信息!P173="","",[2]道具信息!P173)</f>
        <v/>
      </c>
      <c r="Q173" s="59" t="str">
        <f>IF([2]道具信息!Q173="","",[2]道具信息!Q173)</f>
        <v/>
      </c>
      <c r="R173" s="59" t="str">
        <f>IF([2]道具信息!R173="","",[2]道具信息!R173)</f>
        <v/>
      </c>
      <c r="S173" s="59" t="str">
        <f>IF([2]道具信息!S173="","",[2]道具信息!S173)</f>
        <v/>
      </c>
      <c r="T173" s="59" t="str">
        <f>IF([2]道具信息!T173="","",[2]道具信息!T173)</f>
        <v/>
      </c>
      <c r="U173" s="59" t="str">
        <f>IF([2]道具信息!U173="","",[2]道具信息!U173)</f>
        <v/>
      </c>
      <c r="V173" s="59" t="str">
        <f>IF([2]道具信息!V173="","",[2]道具信息!V173)</f>
        <v/>
      </c>
      <c r="W173" s="59" t="str">
        <f>IF([2]道具信息!W173="","",[2]道具信息!W173)</f>
        <v/>
      </c>
      <c r="X173" s="59" t="str">
        <f>IF([2]道具信息!X173="","",[2]道具信息!X173)</f>
        <v/>
      </c>
      <c r="Y173" s="59" t="str">
        <f>IF([2]道具信息!Y173="","",[2]道具信息!Y173)</f>
        <v/>
      </c>
      <c r="Z173" s="59" t="str">
        <f>IF([2]道具信息!Z173="","",[2]道具信息!Z173)</f>
        <v/>
      </c>
    </row>
    <row r="174" spans="1:26" x14ac:dyDescent="0.15">
      <c r="A174" s="59" t="str">
        <f>IF([2]道具信息!A174="","",[2]道具信息!A174)</f>
        <v/>
      </c>
      <c r="B174" s="59" t="str">
        <f>IF([2]道具信息!B174="","",[2]道具信息!B174)</f>
        <v/>
      </c>
      <c r="C174" s="59">
        <f>IF([2]道具信息!C174="","",[2]道具信息!C174)</f>
        <v>21016</v>
      </c>
      <c r="D174" s="59" t="str">
        <f>IF([2]道具信息!D174="","",[2]道具信息!D174)</f>
        <v>一车铁矿</v>
      </c>
      <c r="E174" s="59">
        <f>IF([2]道具信息!E174="","",[2]道具信息!E174)</f>
        <v>200</v>
      </c>
      <c r="F174" s="59">
        <f>IF([2]道具信息!F174="","",[2]道具信息!F174)</f>
        <v>2</v>
      </c>
      <c r="G174" s="59">
        <f>IF([2]道具信息!G174="","",[2]道具信息!G174)</f>
        <v>1</v>
      </c>
      <c r="H174" s="59">
        <f>IF([2]道具信息!H174="","",[2]道具信息!H174)</f>
        <v>0.3</v>
      </c>
      <c r="I174" s="59">
        <f>IF([2]道具信息!I174="","",[2]道具信息!I174)</f>
        <v>400</v>
      </c>
      <c r="J174" s="59">
        <f>IF([2]道具信息!J174="","",[2]道具信息!J174)</f>
        <v>200</v>
      </c>
      <c r="K174" s="59">
        <f>IF([2]道具信息!K174="","",[2]道具信息!K174)</f>
        <v>60</v>
      </c>
      <c r="L174" s="59" t="str">
        <f>IF([2]道具信息!L174="","",[2]道具信息!L174)</f>
        <v>使用后获得500000安全铁矿</v>
      </c>
      <c r="M174" s="59" t="str">
        <f>IF([2]道具信息!M174="","",[2]道具信息!M174)</f>
        <v/>
      </c>
      <c r="N174" s="59" t="str">
        <f>IF([2]道具信息!N174="","",[2]道具信息!N174)</f>
        <v/>
      </c>
      <c r="O174" s="59" t="str">
        <f>IF([2]道具信息!O174="","",[2]道具信息!O174)</f>
        <v/>
      </c>
      <c r="P174" s="59" t="str">
        <f>IF([2]道具信息!P174="","",[2]道具信息!P174)</f>
        <v/>
      </c>
      <c r="Q174" s="59" t="str">
        <f>IF([2]道具信息!Q174="","",[2]道具信息!Q174)</f>
        <v/>
      </c>
      <c r="R174" s="59" t="str">
        <f>IF([2]道具信息!R174="","",[2]道具信息!R174)</f>
        <v/>
      </c>
      <c r="S174" s="59" t="str">
        <f>IF([2]道具信息!S174="","",[2]道具信息!S174)</f>
        <v/>
      </c>
      <c r="T174" s="59" t="str">
        <f>IF([2]道具信息!T174="","",[2]道具信息!T174)</f>
        <v/>
      </c>
      <c r="U174" s="59" t="str">
        <f>IF([2]道具信息!U174="","",[2]道具信息!U174)</f>
        <v/>
      </c>
      <c r="V174" s="59" t="str">
        <f>IF([2]道具信息!V174="","",[2]道具信息!V174)</f>
        <v/>
      </c>
      <c r="W174" s="59" t="str">
        <f>IF([2]道具信息!W174="","",[2]道具信息!W174)</f>
        <v/>
      </c>
      <c r="X174" s="59" t="str">
        <f>IF([2]道具信息!X174="","",[2]道具信息!X174)</f>
        <v/>
      </c>
      <c r="Y174" s="59" t="str">
        <f>IF([2]道具信息!Y174="","",[2]道具信息!Y174)</f>
        <v/>
      </c>
      <c r="Z174" s="59" t="str">
        <f>IF([2]道具信息!Z174="","",[2]道具信息!Z174)</f>
        <v/>
      </c>
    </row>
    <row r="175" spans="1:26" x14ac:dyDescent="0.15">
      <c r="A175" s="59" t="str">
        <f>IF([2]道具信息!A175="","",[2]道具信息!A175)</f>
        <v/>
      </c>
      <c r="B175" s="59" t="str">
        <f>IF([2]道具信息!B175="","",[2]道具信息!B175)</f>
        <v/>
      </c>
      <c r="C175" s="59">
        <f>IF([2]道具信息!C175="","",[2]道具信息!C175)</f>
        <v>21017</v>
      </c>
      <c r="D175" s="59" t="str">
        <f>IF([2]道具信息!D175="","",[2]道具信息!D175)</f>
        <v>一担铜矿</v>
      </c>
      <c r="E175" s="59">
        <f>IF([2]道具信息!E175="","",[2]道具信息!E175)</f>
        <v>6</v>
      </c>
      <c r="F175" s="59">
        <f>IF([2]道具信息!F175="","",[2]道具信息!F175)</f>
        <v>1</v>
      </c>
      <c r="G175" s="59">
        <f>IF([2]道具信息!G175="","",[2]道具信息!G175)</f>
        <v>1</v>
      </c>
      <c r="H175" s="59">
        <f>IF([2]道具信息!H175="","",[2]道具信息!H175)</f>
        <v>0.3</v>
      </c>
      <c r="I175" s="59">
        <f>IF([2]道具信息!I175="","",[2]道具信息!I175)</f>
        <v>6</v>
      </c>
      <c r="J175" s="59">
        <f>IF([2]道具信息!J175="","",[2]道具信息!J175)</f>
        <v>6</v>
      </c>
      <c r="K175" s="59">
        <f>IF([2]道具信息!K175="","",[2]道具信息!K175)</f>
        <v>1.7999999999999998</v>
      </c>
      <c r="L175" s="59" t="str">
        <f>IF([2]道具信息!L175="","",[2]道具信息!L175)</f>
        <v>使用后获得10000安全铜矿</v>
      </c>
      <c r="M175" s="59" t="str">
        <f>IF([2]道具信息!M175="","",[2]道具信息!M175)</f>
        <v/>
      </c>
      <c r="N175" s="59" t="str">
        <f>IF([2]道具信息!N175="","",[2]道具信息!N175)</f>
        <v/>
      </c>
      <c r="O175" s="59" t="str">
        <f>IF([2]道具信息!O175="","",[2]道具信息!O175)</f>
        <v/>
      </c>
      <c r="P175" s="59" t="str">
        <f>IF([2]道具信息!P175="","",[2]道具信息!P175)</f>
        <v/>
      </c>
      <c r="Q175" s="59" t="str">
        <f>IF([2]道具信息!Q175="","",[2]道具信息!Q175)</f>
        <v/>
      </c>
      <c r="R175" s="59" t="str">
        <f>IF([2]道具信息!R175="","",[2]道具信息!R175)</f>
        <v/>
      </c>
      <c r="S175" s="59" t="str">
        <f>IF([2]道具信息!S175="","",[2]道具信息!S175)</f>
        <v/>
      </c>
      <c r="T175" s="59" t="str">
        <f>IF([2]道具信息!T175="","",[2]道具信息!T175)</f>
        <v/>
      </c>
      <c r="U175" s="59" t="str">
        <f>IF([2]道具信息!U175="","",[2]道具信息!U175)</f>
        <v/>
      </c>
      <c r="V175" s="59" t="str">
        <f>IF([2]道具信息!V175="","",[2]道具信息!V175)</f>
        <v/>
      </c>
      <c r="W175" s="59" t="str">
        <f>IF([2]道具信息!W175="","",[2]道具信息!W175)</f>
        <v/>
      </c>
      <c r="X175" s="59" t="str">
        <f>IF([2]道具信息!X175="","",[2]道具信息!X175)</f>
        <v/>
      </c>
      <c r="Y175" s="59" t="str">
        <f>IF([2]道具信息!Y175="","",[2]道具信息!Y175)</f>
        <v/>
      </c>
      <c r="Z175" s="59" t="str">
        <f>IF([2]道具信息!Z175="","",[2]道具信息!Z175)</f>
        <v/>
      </c>
    </row>
    <row r="176" spans="1:26" x14ac:dyDescent="0.15">
      <c r="A176" s="59" t="str">
        <f>IF([2]道具信息!A176="","",[2]道具信息!A176)</f>
        <v/>
      </c>
      <c r="B176" s="59" t="str">
        <f>IF([2]道具信息!B176="","",[2]道具信息!B176)</f>
        <v/>
      </c>
      <c r="C176" s="59">
        <f>IF([2]道具信息!C176="","",[2]道具信息!C176)</f>
        <v>21018</v>
      </c>
      <c r="D176" s="59" t="str">
        <f>IF([2]道具信息!D176="","",[2]道具信息!D176)</f>
        <v>一堆铜矿</v>
      </c>
      <c r="E176" s="59">
        <f>IF([2]道具信息!E176="","",[2]道具信息!E176)</f>
        <v>20</v>
      </c>
      <c r="F176" s="59">
        <f>IF([2]道具信息!F176="","",[2]道具信息!F176)</f>
        <v>1</v>
      </c>
      <c r="G176" s="59">
        <f>IF([2]道具信息!G176="","",[2]道具信息!G176)</f>
        <v>1</v>
      </c>
      <c r="H176" s="59">
        <f>IF([2]道具信息!H176="","",[2]道具信息!H176)</f>
        <v>0.3</v>
      </c>
      <c r="I176" s="59">
        <f>IF([2]道具信息!I176="","",[2]道具信息!I176)</f>
        <v>20</v>
      </c>
      <c r="J176" s="59">
        <f>IF([2]道具信息!J176="","",[2]道具信息!J176)</f>
        <v>20</v>
      </c>
      <c r="K176" s="59">
        <f>IF([2]道具信息!K176="","",[2]道具信息!K176)</f>
        <v>6</v>
      </c>
      <c r="L176" s="59" t="str">
        <f>IF([2]道具信息!L176="","",[2]道具信息!L176)</f>
        <v>使用后获得50000安全铜矿</v>
      </c>
      <c r="M176" s="59" t="str">
        <f>IF([2]道具信息!M176="","",[2]道具信息!M176)</f>
        <v/>
      </c>
      <c r="N176" s="59" t="str">
        <f>IF([2]道具信息!N176="","",[2]道具信息!N176)</f>
        <v/>
      </c>
      <c r="O176" s="59" t="str">
        <f>IF([2]道具信息!O176="","",[2]道具信息!O176)</f>
        <v/>
      </c>
      <c r="P176" s="59" t="str">
        <f>IF([2]道具信息!P176="","",[2]道具信息!P176)</f>
        <v/>
      </c>
      <c r="Q176" s="59" t="str">
        <f>IF([2]道具信息!Q176="","",[2]道具信息!Q176)</f>
        <v/>
      </c>
      <c r="R176" s="59" t="str">
        <f>IF([2]道具信息!R176="","",[2]道具信息!R176)</f>
        <v/>
      </c>
      <c r="S176" s="59" t="str">
        <f>IF([2]道具信息!S176="","",[2]道具信息!S176)</f>
        <v/>
      </c>
      <c r="T176" s="59" t="str">
        <f>IF([2]道具信息!T176="","",[2]道具信息!T176)</f>
        <v/>
      </c>
      <c r="U176" s="59" t="str">
        <f>IF([2]道具信息!U176="","",[2]道具信息!U176)</f>
        <v/>
      </c>
      <c r="V176" s="59" t="str">
        <f>IF([2]道具信息!V176="","",[2]道具信息!V176)</f>
        <v/>
      </c>
      <c r="W176" s="59" t="str">
        <f>IF([2]道具信息!W176="","",[2]道具信息!W176)</f>
        <v/>
      </c>
      <c r="X176" s="59" t="str">
        <f>IF([2]道具信息!X176="","",[2]道具信息!X176)</f>
        <v/>
      </c>
      <c r="Y176" s="59" t="str">
        <f>IF([2]道具信息!Y176="","",[2]道具信息!Y176)</f>
        <v/>
      </c>
      <c r="Z176" s="59" t="str">
        <f>IF([2]道具信息!Z176="","",[2]道具信息!Z176)</f>
        <v/>
      </c>
    </row>
    <row r="177" spans="1:26" x14ac:dyDescent="0.15">
      <c r="A177" s="59" t="str">
        <f>IF([2]道具信息!A177="","",[2]道具信息!A177)</f>
        <v/>
      </c>
      <c r="B177" s="59" t="str">
        <f>IF([2]道具信息!B177="","",[2]道具信息!B177)</f>
        <v/>
      </c>
      <c r="C177" s="59">
        <f>IF([2]道具信息!C177="","",[2]道具信息!C177)</f>
        <v>21019</v>
      </c>
      <c r="D177" s="59" t="str">
        <f>IF([2]道具信息!D177="","",[2]道具信息!D177)</f>
        <v>一箱铜矿</v>
      </c>
      <c r="E177" s="59">
        <f>IF([2]道具信息!E177="","",[2]道具信息!E177)</f>
        <v>45</v>
      </c>
      <c r="F177" s="59">
        <f>IF([2]道具信息!F177="","",[2]道具信息!F177)</f>
        <v>1.333</v>
      </c>
      <c r="G177" s="59">
        <f>IF([2]道具信息!G177="","",[2]道具信息!G177)</f>
        <v>1</v>
      </c>
      <c r="H177" s="59">
        <f>IF([2]道具信息!H177="","",[2]道具信息!H177)</f>
        <v>0.3</v>
      </c>
      <c r="I177" s="59">
        <f>IF([2]道具信息!I177="","",[2]道具信息!I177)</f>
        <v>59.984999999999999</v>
      </c>
      <c r="J177" s="59">
        <f>IF([2]道具信息!J177="","",[2]道具信息!J177)</f>
        <v>45</v>
      </c>
      <c r="K177" s="59">
        <f>IF([2]道具信息!K177="","",[2]道具信息!K177)</f>
        <v>13.5</v>
      </c>
      <c r="L177" s="59" t="str">
        <f>IF([2]道具信息!L177="","",[2]道具信息!L177)</f>
        <v>使用后获得150000安全铜矿</v>
      </c>
      <c r="M177" s="59" t="str">
        <f>IF([2]道具信息!M177="","",[2]道具信息!M177)</f>
        <v/>
      </c>
      <c r="N177" s="59" t="str">
        <f>IF([2]道具信息!N177="","",[2]道具信息!N177)</f>
        <v/>
      </c>
      <c r="O177" s="59" t="str">
        <f>IF([2]道具信息!O177="","",[2]道具信息!O177)</f>
        <v/>
      </c>
      <c r="P177" s="59" t="str">
        <f>IF([2]道具信息!P177="","",[2]道具信息!P177)</f>
        <v/>
      </c>
      <c r="Q177" s="59" t="str">
        <f>IF([2]道具信息!Q177="","",[2]道具信息!Q177)</f>
        <v/>
      </c>
      <c r="R177" s="59" t="str">
        <f>IF([2]道具信息!R177="","",[2]道具信息!R177)</f>
        <v/>
      </c>
      <c r="S177" s="59" t="str">
        <f>IF([2]道具信息!S177="","",[2]道具信息!S177)</f>
        <v/>
      </c>
      <c r="T177" s="59" t="str">
        <f>IF([2]道具信息!T177="","",[2]道具信息!T177)</f>
        <v/>
      </c>
      <c r="U177" s="59" t="str">
        <f>IF([2]道具信息!U177="","",[2]道具信息!U177)</f>
        <v/>
      </c>
      <c r="V177" s="59" t="str">
        <f>IF([2]道具信息!V177="","",[2]道具信息!V177)</f>
        <v/>
      </c>
      <c r="W177" s="59" t="str">
        <f>IF([2]道具信息!W177="","",[2]道具信息!W177)</f>
        <v/>
      </c>
      <c r="X177" s="59" t="str">
        <f>IF([2]道具信息!X177="","",[2]道具信息!X177)</f>
        <v/>
      </c>
      <c r="Y177" s="59" t="str">
        <f>IF([2]道具信息!Y177="","",[2]道具信息!Y177)</f>
        <v/>
      </c>
      <c r="Z177" s="59" t="str">
        <f>IF([2]道具信息!Z177="","",[2]道具信息!Z177)</f>
        <v/>
      </c>
    </row>
    <row r="178" spans="1:26" x14ac:dyDescent="0.15">
      <c r="A178" s="59" t="str">
        <f>IF([2]道具信息!A178="","",[2]道具信息!A178)</f>
        <v/>
      </c>
      <c r="B178" s="59" t="str">
        <f>IF([2]道具信息!B178="","",[2]道具信息!B178)</f>
        <v/>
      </c>
      <c r="C178" s="59">
        <f>IF([2]道具信息!C178="","",[2]道具信息!C178)</f>
        <v>21020</v>
      </c>
      <c r="D178" s="59" t="str">
        <f>IF([2]道具信息!D178="","",[2]道具信息!D178)</f>
        <v>一车铜矿</v>
      </c>
      <c r="E178" s="59">
        <f>IF([2]道具信息!E178="","",[2]道具信息!E178)</f>
        <v>100</v>
      </c>
      <c r="F178" s="59">
        <f>IF([2]道具信息!F178="","",[2]道具信息!F178)</f>
        <v>2</v>
      </c>
      <c r="G178" s="59">
        <f>IF([2]道具信息!G178="","",[2]道具信息!G178)</f>
        <v>1</v>
      </c>
      <c r="H178" s="59">
        <f>IF([2]道具信息!H178="","",[2]道具信息!H178)</f>
        <v>0.3</v>
      </c>
      <c r="I178" s="59">
        <f>IF([2]道具信息!I178="","",[2]道具信息!I178)</f>
        <v>200</v>
      </c>
      <c r="J178" s="59">
        <f>IF([2]道具信息!J178="","",[2]道具信息!J178)</f>
        <v>100</v>
      </c>
      <c r="K178" s="59">
        <f>IF([2]道具信息!K178="","",[2]道具信息!K178)</f>
        <v>30</v>
      </c>
      <c r="L178" s="59" t="str">
        <f>IF([2]道具信息!L178="","",[2]道具信息!L178)</f>
        <v>使用后获得500000安全铜矿</v>
      </c>
      <c r="M178" s="59" t="str">
        <f>IF([2]道具信息!M178="","",[2]道具信息!M178)</f>
        <v/>
      </c>
      <c r="N178" s="59" t="str">
        <f>IF([2]道具信息!N178="","",[2]道具信息!N178)</f>
        <v/>
      </c>
      <c r="O178" s="59" t="str">
        <f>IF([2]道具信息!O178="","",[2]道具信息!O178)</f>
        <v/>
      </c>
      <c r="P178" s="59" t="str">
        <f>IF([2]道具信息!P178="","",[2]道具信息!P178)</f>
        <v/>
      </c>
      <c r="Q178" s="59" t="str">
        <f>IF([2]道具信息!Q178="","",[2]道具信息!Q178)</f>
        <v/>
      </c>
      <c r="R178" s="59" t="str">
        <f>IF([2]道具信息!R178="","",[2]道具信息!R178)</f>
        <v/>
      </c>
      <c r="S178" s="59" t="str">
        <f>IF([2]道具信息!S178="","",[2]道具信息!S178)</f>
        <v/>
      </c>
      <c r="T178" s="59" t="str">
        <f>IF([2]道具信息!T178="","",[2]道具信息!T178)</f>
        <v/>
      </c>
      <c r="U178" s="59" t="str">
        <f>IF([2]道具信息!U178="","",[2]道具信息!U178)</f>
        <v/>
      </c>
      <c r="V178" s="59" t="str">
        <f>IF([2]道具信息!V178="","",[2]道具信息!V178)</f>
        <v/>
      </c>
      <c r="W178" s="59" t="str">
        <f>IF([2]道具信息!W178="","",[2]道具信息!W178)</f>
        <v/>
      </c>
      <c r="X178" s="59" t="str">
        <f>IF([2]道具信息!X178="","",[2]道具信息!X178)</f>
        <v/>
      </c>
      <c r="Y178" s="59" t="str">
        <f>IF([2]道具信息!Y178="","",[2]道具信息!Y178)</f>
        <v/>
      </c>
      <c r="Z178" s="59" t="str">
        <f>IF([2]道具信息!Z178="","",[2]道具信息!Z178)</f>
        <v/>
      </c>
    </row>
    <row r="179" spans="1:26" x14ac:dyDescent="0.15">
      <c r="A179" s="59" t="str">
        <f>IF([2]道具信息!A179="","",[2]道具信息!A179)</f>
        <v/>
      </c>
      <c r="B179" s="59" t="str">
        <f>IF([2]道具信息!B179="","",[2]道具信息!B179)</f>
        <v/>
      </c>
      <c r="C179" s="59">
        <f>IF([2]道具信息!C179="","",[2]道具信息!C179)</f>
        <v>21021</v>
      </c>
      <c r="D179" s="59" t="str">
        <f>IF([2]道具信息!D179="","",[2]道具信息!D179)</f>
        <v>一吊刀币</v>
      </c>
      <c r="E179" s="59">
        <f>IF([2]道具信息!E179="","",[2]道具信息!E179)</f>
        <v>50</v>
      </c>
      <c r="F179" s="59">
        <f>IF([2]道具信息!F179="","",[2]道具信息!F179)</f>
        <v>1</v>
      </c>
      <c r="G179" s="59">
        <f>IF([2]道具信息!G179="","",[2]道具信息!G179)</f>
        <v>1</v>
      </c>
      <c r="H179" s="59">
        <f>IF([2]道具信息!H179="","",[2]道具信息!H179)</f>
        <v>0.5</v>
      </c>
      <c r="I179" s="59">
        <f>IF([2]道具信息!I179="","",[2]道具信息!I179)</f>
        <v>50</v>
      </c>
      <c r="J179" s="59">
        <f>IF([2]道具信息!J179="","",[2]道具信息!J179)</f>
        <v>50</v>
      </c>
      <c r="K179" s="59">
        <f>IF([2]道具信息!K179="","",[2]道具信息!K179)</f>
        <v>25</v>
      </c>
      <c r="L179" s="59" t="str">
        <f>IF([2]道具信息!L179="","",[2]道具信息!L179)</f>
        <v>使用后获得10000刀币</v>
      </c>
      <c r="M179" s="59" t="str">
        <f>IF([2]道具信息!M179="","",[2]道具信息!M179)</f>
        <v/>
      </c>
      <c r="N179" s="59" t="str">
        <f>IF([2]道具信息!N179="","",[2]道具信息!N179)</f>
        <v/>
      </c>
      <c r="O179" s="59" t="str">
        <f>IF([2]道具信息!O179="","",[2]道具信息!O179)</f>
        <v/>
      </c>
      <c r="P179" s="59" t="str">
        <f>IF([2]道具信息!P179="","",[2]道具信息!P179)</f>
        <v/>
      </c>
      <c r="Q179" s="59" t="str">
        <f>IF([2]道具信息!Q179="","",[2]道具信息!Q179)</f>
        <v/>
      </c>
      <c r="R179" s="59" t="str">
        <f>IF([2]道具信息!R179="","",[2]道具信息!R179)</f>
        <v/>
      </c>
      <c r="S179" s="59" t="str">
        <f>IF([2]道具信息!S179="","",[2]道具信息!S179)</f>
        <v/>
      </c>
      <c r="T179" s="59" t="str">
        <f>IF([2]道具信息!T179="","",[2]道具信息!T179)</f>
        <v/>
      </c>
      <c r="U179" s="59" t="str">
        <f>IF([2]道具信息!U179="","",[2]道具信息!U179)</f>
        <v/>
      </c>
      <c r="V179" s="59" t="str">
        <f>IF([2]道具信息!V179="","",[2]道具信息!V179)</f>
        <v/>
      </c>
      <c r="W179" s="59" t="str">
        <f>IF([2]道具信息!W179="","",[2]道具信息!W179)</f>
        <v/>
      </c>
      <c r="X179" s="59" t="str">
        <f>IF([2]道具信息!X179="","",[2]道具信息!X179)</f>
        <v/>
      </c>
      <c r="Y179" s="59" t="str">
        <f>IF([2]道具信息!Y179="","",[2]道具信息!Y179)</f>
        <v/>
      </c>
      <c r="Z179" s="59" t="str">
        <f>IF([2]道具信息!Z179="","",[2]道具信息!Z179)</f>
        <v/>
      </c>
    </row>
    <row r="180" spans="1:26" x14ac:dyDescent="0.15">
      <c r="A180" s="59" t="str">
        <f>IF([2]道具信息!A180="","",[2]道具信息!A180)</f>
        <v/>
      </c>
      <c r="B180" s="59" t="str">
        <f>IF([2]道具信息!B180="","",[2]道具信息!B180)</f>
        <v/>
      </c>
      <c r="C180" s="59">
        <f>IF([2]道具信息!C180="","",[2]道具信息!C180)</f>
        <v>21022</v>
      </c>
      <c r="D180" s="59" t="str">
        <f>IF([2]道具信息!D180="","",[2]道具信息!D180)</f>
        <v>一贯刀币</v>
      </c>
      <c r="E180" s="59">
        <f>IF([2]道具信息!E180="","",[2]道具信息!E180)</f>
        <v>150</v>
      </c>
      <c r="F180" s="59">
        <f>IF([2]道具信息!F180="","",[2]道具信息!F180)</f>
        <v>1</v>
      </c>
      <c r="G180" s="59">
        <f>IF([2]道具信息!G180="","",[2]道具信息!G180)</f>
        <v>1</v>
      </c>
      <c r="H180" s="59">
        <f>IF([2]道具信息!H180="","",[2]道具信息!H180)</f>
        <v>0.5</v>
      </c>
      <c r="I180" s="59">
        <f>IF([2]道具信息!I180="","",[2]道具信息!I180)</f>
        <v>150</v>
      </c>
      <c r="J180" s="59">
        <f>IF([2]道具信息!J180="","",[2]道具信息!J180)</f>
        <v>150</v>
      </c>
      <c r="K180" s="59">
        <f>IF([2]道具信息!K180="","",[2]道具信息!K180)</f>
        <v>75</v>
      </c>
      <c r="L180" s="59" t="str">
        <f>IF([2]道具信息!L180="","",[2]道具信息!L180)</f>
        <v>使用后获得50000刀币</v>
      </c>
      <c r="M180" s="59" t="str">
        <f>IF([2]道具信息!M180="","",[2]道具信息!M180)</f>
        <v/>
      </c>
      <c r="N180" s="59" t="str">
        <f>IF([2]道具信息!N180="","",[2]道具信息!N180)</f>
        <v/>
      </c>
      <c r="O180" s="59" t="str">
        <f>IF([2]道具信息!O180="","",[2]道具信息!O180)</f>
        <v/>
      </c>
      <c r="P180" s="59" t="str">
        <f>IF([2]道具信息!P180="","",[2]道具信息!P180)</f>
        <v/>
      </c>
      <c r="Q180" s="59" t="str">
        <f>IF([2]道具信息!Q180="","",[2]道具信息!Q180)</f>
        <v/>
      </c>
      <c r="R180" s="59" t="str">
        <f>IF([2]道具信息!R180="","",[2]道具信息!R180)</f>
        <v/>
      </c>
      <c r="S180" s="59" t="str">
        <f>IF([2]道具信息!S180="","",[2]道具信息!S180)</f>
        <v/>
      </c>
      <c r="T180" s="59" t="str">
        <f>IF([2]道具信息!T180="","",[2]道具信息!T180)</f>
        <v/>
      </c>
      <c r="U180" s="59" t="str">
        <f>IF([2]道具信息!U180="","",[2]道具信息!U180)</f>
        <v/>
      </c>
      <c r="V180" s="59" t="str">
        <f>IF([2]道具信息!V180="","",[2]道具信息!V180)</f>
        <v/>
      </c>
      <c r="W180" s="59" t="str">
        <f>IF([2]道具信息!W180="","",[2]道具信息!W180)</f>
        <v/>
      </c>
      <c r="X180" s="59" t="str">
        <f>IF([2]道具信息!X180="","",[2]道具信息!X180)</f>
        <v/>
      </c>
      <c r="Y180" s="59" t="str">
        <f>IF([2]道具信息!Y180="","",[2]道具信息!Y180)</f>
        <v/>
      </c>
      <c r="Z180" s="59" t="str">
        <f>IF([2]道具信息!Z180="","",[2]道具信息!Z180)</f>
        <v/>
      </c>
    </row>
    <row r="181" spans="1:26" x14ac:dyDescent="0.15">
      <c r="A181" s="59" t="str">
        <f>IF([2]道具信息!A181="","",[2]道具信息!A181)</f>
        <v/>
      </c>
      <c r="B181" s="59" t="str">
        <f>IF([2]道具信息!B181="","",[2]道具信息!B181)</f>
        <v/>
      </c>
      <c r="C181" s="59">
        <f>IF([2]道具信息!C181="","",[2]道具信息!C181)</f>
        <v>21023</v>
      </c>
      <c r="D181" s="59" t="str">
        <f>IF([2]道具信息!D181="","",[2]道具信息!D181)</f>
        <v>一袋刀币</v>
      </c>
      <c r="E181" s="59">
        <f>IF([2]道具信息!E181="","",[2]道具信息!E181)</f>
        <v>300</v>
      </c>
      <c r="F181" s="59">
        <f>IF([2]道具信息!F181="","",[2]道具信息!F181)</f>
        <v>1.5</v>
      </c>
      <c r="G181" s="59">
        <f>IF([2]道具信息!G181="","",[2]道具信息!G181)</f>
        <v>1</v>
      </c>
      <c r="H181" s="59">
        <f>IF([2]道具信息!H181="","",[2]道具信息!H181)</f>
        <v>0.5</v>
      </c>
      <c r="I181" s="59">
        <f>IF([2]道具信息!I181="","",[2]道具信息!I181)</f>
        <v>450</v>
      </c>
      <c r="J181" s="59">
        <f>IF([2]道具信息!J181="","",[2]道具信息!J181)</f>
        <v>300</v>
      </c>
      <c r="K181" s="59">
        <f>IF([2]道具信息!K181="","",[2]道具信息!K181)</f>
        <v>150</v>
      </c>
      <c r="L181" s="59" t="str">
        <f>IF([2]道具信息!L181="","",[2]道具信息!L181)</f>
        <v>使用后获得150000刀币</v>
      </c>
      <c r="M181" s="59" t="str">
        <f>IF([2]道具信息!M181="","",[2]道具信息!M181)</f>
        <v/>
      </c>
      <c r="N181" s="59" t="str">
        <f>IF([2]道具信息!N181="","",[2]道具信息!N181)</f>
        <v/>
      </c>
      <c r="O181" s="59" t="str">
        <f>IF([2]道具信息!O181="","",[2]道具信息!O181)</f>
        <v/>
      </c>
      <c r="P181" s="59" t="str">
        <f>IF([2]道具信息!P181="","",[2]道具信息!P181)</f>
        <v/>
      </c>
      <c r="Q181" s="59" t="str">
        <f>IF([2]道具信息!Q181="","",[2]道具信息!Q181)</f>
        <v/>
      </c>
      <c r="R181" s="59" t="str">
        <f>IF([2]道具信息!R181="","",[2]道具信息!R181)</f>
        <v/>
      </c>
      <c r="S181" s="59" t="str">
        <f>IF([2]道具信息!S181="","",[2]道具信息!S181)</f>
        <v/>
      </c>
      <c r="T181" s="59" t="str">
        <f>IF([2]道具信息!T181="","",[2]道具信息!T181)</f>
        <v/>
      </c>
      <c r="U181" s="59" t="str">
        <f>IF([2]道具信息!U181="","",[2]道具信息!U181)</f>
        <v/>
      </c>
      <c r="V181" s="59" t="str">
        <f>IF([2]道具信息!V181="","",[2]道具信息!V181)</f>
        <v/>
      </c>
      <c r="W181" s="59" t="str">
        <f>IF([2]道具信息!W181="","",[2]道具信息!W181)</f>
        <v/>
      </c>
      <c r="X181" s="59" t="str">
        <f>IF([2]道具信息!X181="","",[2]道具信息!X181)</f>
        <v/>
      </c>
      <c r="Y181" s="59" t="str">
        <f>IF([2]道具信息!Y181="","",[2]道具信息!Y181)</f>
        <v/>
      </c>
      <c r="Z181" s="59" t="str">
        <f>IF([2]道具信息!Z181="","",[2]道具信息!Z181)</f>
        <v/>
      </c>
    </row>
    <row r="182" spans="1:26" x14ac:dyDescent="0.15">
      <c r="A182" s="59" t="str">
        <f>IF([2]道具信息!A182="","",[2]道具信息!A182)</f>
        <v/>
      </c>
      <c r="B182" s="59" t="str">
        <f>IF([2]道具信息!B182="","",[2]道具信息!B182)</f>
        <v/>
      </c>
      <c r="C182" s="59" t="str">
        <f>IF([2]道具信息!C182="","",[2]道具信息!C182)</f>
        <v/>
      </c>
      <c r="D182" s="59" t="str">
        <f>IF([2]道具信息!D182="","",[2]道具信息!D182)</f>
        <v/>
      </c>
      <c r="E182" s="59">
        <f>IF([2]道具信息!E182="","",[2]道具信息!E182)</f>
        <v>800</v>
      </c>
      <c r="F182" s="59">
        <f>IF([2]道具信息!F182="","",[2]道具信息!F182)</f>
        <v>1.875</v>
      </c>
      <c r="G182" s="59">
        <f>IF([2]道具信息!G182="","",[2]道具信息!G182)</f>
        <v>1</v>
      </c>
      <c r="H182" s="59">
        <f>IF([2]道具信息!H182="","",[2]道具信息!H182)</f>
        <v>1</v>
      </c>
      <c r="I182" s="59">
        <f>IF([2]道具信息!I182="","",[2]道具信息!I182)</f>
        <v>1500</v>
      </c>
      <c r="J182" s="59">
        <f>IF([2]道具信息!J182="","",[2]道具信息!J182)</f>
        <v>800</v>
      </c>
      <c r="K182" s="59">
        <f>IF([2]道具信息!K182="","",[2]道具信息!K182)</f>
        <v>800</v>
      </c>
      <c r="L182" s="59" t="str">
        <f>IF([2]道具信息!L182="","",[2]道具信息!L182)</f>
        <v>使用后获得500000刀币</v>
      </c>
      <c r="M182" s="59" t="str">
        <f>IF([2]道具信息!M182="","",[2]道具信息!M182)</f>
        <v/>
      </c>
      <c r="N182" s="59" t="str">
        <f>IF([2]道具信息!N182="","",[2]道具信息!N182)</f>
        <v/>
      </c>
      <c r="O182" s="59" t="str">
        <f>IF([2]道具信息!O182="","",[2]道具信息!O182)</f>
        <v/>
      </c>
      <c r="P182" s="59" t="str">
        <f>IF([2]道具信息!P182="","",[2]道具信息!P182)</f>
        <v/>
      </c>
      <c r="Q182" s="59" t="str">
        <f>IF([2]道具信息!Q182="","",[2]道具信息!Q182)</f>
        <v/>
      </c>
      <c r="R182" s="59" t="str">
        <f>IF([2]道具信息!R182="","",[2]道具信息!R182)</f>
        <v/>
      </c>
      <c r="S182" s="59" t="str">
        <f>IF([2]道具信息!S182="","",[2]道具信息!S182)</f>
        <v/>
      </c>
      <c r="T182" s="59" t="str">
        <f>IF([2]道具信息!T182="","",[2]道具信息!T182)</f>
        <v/>
      </c>
      <c r="U182" s="59" t="str">
        <f>IF([2]道具信息!U182="","",[2]道具信息!U182)</f>
        <v/>
      </c>
      <c r="V182" s="59" t="str">
        <f>IF([2]道具信息!V182="","",[2]道具信息!V182)</f>
        <v/>
      </c>
      <c r="W182" s="59" t="str">
        <f>IF([2]道具信息!W182="","",[2]道具信息!W182)</f>
        <v/>
      </c>
      <c r="X182" s="59" t="str">
        <f>IF([2]道具信息!X182="","",[2]道具信息!X182)</f>
        <v/>
      </c>
      <c r="Y182" s="59" t="str">
        <f>IF([2]道具信息!Y182="","",[2]道具信息!Y182)</f>
        <v/>
      </c>
      <c r="Z182" s="59" t="str">
        <f>IF([2]道具信息!Z182="","",[2]道具信息!Z182)</f>
        <v/>
      </c>
    </row>
    <row r="183" spans="1:26" x14ac:dyDescent="0.15">
      <c r="A183" s="59" t="str">
        <f>IF([2]道具信息!A183="","",[2]道具信息!A183)</f>
        <v/>
      </c>
      <c r="B183" s="59" t="str">
        <f>IF([2]道具信息!B183="","",[2]道具信息!B183)</f>
        <v/>
      </c>
      <c r="C183" s="59">
        <f>IF([2]道具信息!C183="","",[2]道具信息!C183)</f>
        <v>21024</v>
      </c>
      <c r="D183" s="59" t="str">
        <f>IF([2]道具信息!D183="","",[2]道具信息!D183)</f>
        <v>普通资源自选宝箱</v>
      </c>
      <c r="E183" s="59">
        <f>IF([2]道具信息!E183="","",[2]道具信息!E183)</f>
        <v>6</v>
      </c>
      <c r="F183" s="59">
        <f>IF([2]道具信息!F183="","",[2]道具信息!F183)</f>
        <v>1</v>
      </c>
      <c r="G183" s="59">
        <f>IF([2]道具信息!G183="","",[2]道具信息!G183)</f>
        <v>1</v>
      </c>
      <c r="H183" s="59">
        <f>IF([2]道具信息!H183="","",[2]道具信息!H183)</f>
        <v>0.3</v>
      </c>
      <c r="I183" s="59">
        <f>IF([2]道具信息!I183="","",[2]道具信息!I183)</f>
        <v>6</v>
      </c>
      <c r="J183" s="59">
        <f>IF([2]道具信息!J183="","",[2]道具信息!J183)</f>
        <v>6</v>
      </c>
      <c r="K183" s="59">
        <f>IF([2]道具信息!K183="","",[2]道具信息!K183)</f>
        <v>1.7999999999999998</v>
      </c>
      <c r="L183" s="59" t="str">
        <f>IF([2]道具信息!L183="","",[2]道具信息!L183)</f>
        <v>使用后可选择获得10000资源(可选择资源类型：粮食、木材、石料和铜矿)</v>
      </c>
      <c r="M183" s="59" t="str">
        <f>IF([2]道具信息!M183="","",[2]道具信息!M183)</f>
        <v/>
      </c>
      <c r="N183" s="59" t="str">
        <f>IF([2]道具信息!N183="","",[2]道具信息!N183)</f>
        <v/>
      </c>
      <c r="O183" s="59" t="str">
        <f>IF([2]道具信息!O183="","",[2]道具信息!O183)</f>
        <v/>
      </c>
      <c r="P183" s="59" t="str">
        <f>IF([2]道具信息!P183="","",[2]道具信息!P183)</f>
        <v/>
      </c>
      <c r="Q183" s="59" t="str">
        <f>IF([2]道具信息!Q183="","",[2]道具信息!Q183)</f>
        <v/>
      </c>
      <c r="R183" s="59" t="str">
        <f>IF([2]道具信息!R183="","",[2]道具信息!R183)</f>
        <v/>
      </c>
      <c r="S183" s="59" t="str">
        <f>IF([2]道具信息!S183="","",[2]道具信息!S183)</f>
        <v/>
      </c>
      <c r="T183" s="59" t="str">
        <f>IF([2]道具信息!T183="","",[2]道具信息!T183)</f>
        <v/>
      </c>
      <c r="U183" s="59" t="str">
        <f>IF([2]道具信息!U183="","",[2]道具信息!U183)</f>
        <v/>
      </c>
      <c r="V183" s="59" t="str">
        <f>IF([2]道具信息!V183="","",[2]道具信息!V183)</f>
        <v/>
      </c>
      <c r="W183" s="59" t="str">
        <f>IF([2]道具信息!W183="","",[2]道具信息!W183)</f>
        <v/>
      </c>
      <c r="X183" s="59" t="str">
        <f>IF([2]道具信息!X183="","",[2]道具信息!X183)</f>
        <v/>
      </c>
      <c r="Y183" s="59" t="str">
        <f>IF([2]道具信息!Y183="","",[2]道具信息!Y183)</f>
        <v/>
      </c>
      <c r="Z183" s="59" t="str">
        <f>IF([2]道具信息!Z183="","",[2]道具信息!Z183)</f>
        <v/>
      </c>
    </row>
    <row r="184" spans="1:26" x14ac:dyDescent="0.15">
      <c r="A184" s="59" t="str">
        <f>IF([2]道具信息!A184="","",[2]道具信息!A184)</f>
        <v/>
      </c>
      <c r="B184" s="59" t="str">
        <f>IF([2]道具信息!B184="","",[2]道具信息!B184)</f>
        <v/>
      </c>
      <c r="C184" s="59">
        <f>IF([2]道具信息!C184="","",[2]道具信息!C184)</f>
        <v>21025</v>
      </c>
      <c r="D184" s="59" t="str">
        <f>IF([2]道具信息!D184="","",[2]道具信息!D184)</f>
        <v>初级资源自选宝箱</v>
      </c>
      <c r="E184" s="59">
        <f>IF([2]道具信息!E184="","",[2]道具信息!E184)</f>
        <v>20</v>
      </c>
      <c r="F184" s="59">
        <f>IF([2]道具信息!F184="","",[2]道具信息!F184)</f>
        <v>1</v>
      </c>
      <c r="G184" s="59">
        <f>IF([2]道具信息!G184="","",[2]道具信息!G184)</f>
        <v>1</v>
      </c>
      <c r="H184" s="59">
        <f>IF([2]道具信息!H184="","",[2]道具信息!H184)</f>
        <v>0.3</v>
      </c>
      <c r="I184" s="59">
        <f>IF([2]道具信息!I184="","",[2]道具信息!I184)</f>
        <v>20</v>
      </c>
      <c r="J184" s="59">
        <f>IF([2]道具信息!J184="","",[2]道具信息!J184)</f>
        <v>20</v>
      </c>
      <c r="K184" s="59">
        <f>IF([2]道具信息!K184="","",[2]道具信息!K184)</f>
        <v>6</v>
      </c>
      <c r="L184" s="59" t="str">
        <f>IF([2]道具信息!L184="","",[2]道具信息!L184)</f>
        <v>使用后可选择获得50000资源(可选择资源类型：粮食、木材、石料和铜矿)</v>
      </c>
      <c r="M184" s="59" t="str">
        <f>IF([2]道具信息!M184="","",[2]道具信息!M184)</f>
        <v/>
      </c>
      <c r="N184" s="59" t="str">
        <f>IF([2]道具信息!N184="","",[2]道具信息!N184)</f>
        <v/>
      </c>
      <c r="O184" s="59" t="str">
        <f>IF([2]道具信息!O184="","",[2]道具信息!O184)</f>
        <v/>
      </c>
      <c r="P184" s="59" t="str">
        <f>IF([2]道具信息!P184="","",[2]道具信息!P184)</f>
        <v/>
      </c>
      <c r="Q184" s="59" t="str">
        <f>IF([2]道具信息!Q184="","",[2]道具信息!Q184)</f>
        <v/>
      </c>
      <c r="R184" s="59" t="str">
        <f>IF([2]道具信息!R184="","",[2]道具信息!R184)</f>
        <v/>
      </c>
      <c r="S184" s="59" t="str">
        <f>IF([2]道具信息!S184="","",[2]道具信息!S184)</f>
        <v/>
      </c>
      <c r="T184" s="59" t="str">
        <f>IF([2]道具信息!T184="","",[2]道具信息!T184)</f>
        <v/>
      </c>
      <c r="U184" s="59" t="str">
        <f>IF([2]道具信息!U184="","",[2]道具信息!U184)</f>
        <v/>
      </c>
      <c r="V184" s="59" t="str">
        <f>IF([2]道具信息!V184="","",[2]道具信息!V184)</f>
        <v/>
      </c>
      <c r="W184" s="59" t="str">
        <f>IF([2]道具信息!W184="","",[2]道具信息!W184)</f>
        <v/>
      </c>
      <c r="X184" s="59" t="str">
        <f>IF([2]道具信息!X184="","",[2]道具信息!X184)</f>
        <v/>
      </c>
      <c r="Y184" s="59" t="str">
        <f>IF([2]道具信息!Y184="","",[2]道具信息!Y184)</f>
        <v/>
      </c>
      <c r="Z184" s="59" t="str">
        <f>IF([2]道具信息!Z184="","",[2]道具信息!Z184)</f>
        <v/>
      </c>
    </row>
    <row r="185" spans="1:26" x14ac:dyDescent="0.15">
      <c r="A185" s="59" t="str">
        <f>IF([2]道具信息!A185="","",[2]道具信息!A185)</f>
        <v/>
      </c>
      <c r="B185" s="59" t="str">
        <f>IF([2]道具信息!B185="","",[2]道具信息!B185)</f>
        <v/>
      </c>
      <c r="C185" s="59">
        <f>IF([2]道具信息!C185="","",[2]道具信息!C185)</f>
        <v>21026</v>
      </c>
      <c r="D185" s="59" t="str">
        <f>IF([2]道具信息!D185="","",[2]道具信息!D185)</f>
        <v>中级资源自选宝箱</v>
      </c>
      <c r="E185" s="59">
        <f>IF([2]道具信息!E185="","",[2]道具信息!E185)</f>
        <v>45</v>
      </c>
      <c r="F185" s="59">
        <f>IF([2]道具信息!F185="","",[2]道具信息!F185)</f>
        <v>1.333</v>
      </c>
      <c r="G185" s="59">
        <f>IF([2]道具信息!G185="","",[2]道具信息!G185)</f>
        <v>1</v>
      </c>
      <c r="H185" s="59">
        <f>IF([2]道具信息!H185="","",[2]道具信息!H185)</f>
        <v>0.3</v>
      </c>
      <c r="I185" s="59">
        <f>IF([2]道具信息!I185="","",[2]道具信息!I185)</f>
        <v>59.984999999999999</v>
      </c>
      <c r="J185" s="59">
        <f>IF([2]道具信息!J185="","",[2]道具信息!J185)</f>
        <v>45</v>
      </c>
      <c r="K185" s="59">
        <f>IF([2]道具信息!K185="","",[2]道具信息!K185)</f>
        <v>13.5</v>
      </c>
      <c r="L185" s="59" t="str">
        <f>IF([2]道具信息!L185="","",[2]道具信息!L185)</f>
        <v>使用后可选择获得150000资源(可选择资源类型：粮食、木材、石料和铜矿)</v>
      </c>
      <c r="M185" s="59" t="str">
        <f>IF([2]道具信息!M185="","",[2]道具信息!M185)</f>
        <v/>
      </c>
      <c r="N185" s="59" t="str">
        <f>IF([2]道具信息!N185="","",[2]道具信息!N185)</f>
        <v/>
      </c>
      <c r="O185" s="59" t="str">
        <f>IF([2]道具信息!O185="","",[2]道具信息!O185)</f>
        <v/>
      </c>
      <c r="P185" s="59" t="str">
        <f>IF([2]道具信息!P185="","",[2]道具信息!P185)</f>
        <v/>
      </c>
      <c r="Q185" s="59" t="str">
        <f>IF([2]道具信息!Q185="","",[2]道具信息!Q185)</f>
        <v/>
      </c>
      <c r="R185" s="59" t="str">
        <f>IF([2]道具信息!R185="","",[2]道具信息!R185)</f>
        <v/>
      </c>
      <c r="S185" s="59" t="str">
        <f>IF([2]道具信息!S185="","",[2]道具信息!S185)</f>
        <v/>
      </c>
      <c r="T185" s="59" t="str">
        <f>IF([2]道具信息!T185="","",[2]道具信息!T185)</f>
        <v/>
      </c>
      <c r="U185" s="59" t="str">
        <f>IF([2]道具信息!U185="","",[2]道具信息!U185)</f>
        <v/>
      </c>
      <c r="V185" s="59" t="str">
        <f>IF([2]道具信息!V185="","",[2]道具信息!V185)</f>
        <v/>
      </c>
      <c r="W185" s="59" t="str">
        <f>IF([2]道具信息!W185="","",[2]道具信息!W185)</f>
        <v/>
      </c>
      <c r="X185" s="59" t="str">
        <f>IF([2]道具信息!X185="","",[2]道具信息!X185)</f>
        <v/>
      </c>
      <c r="Y185" s="59" t="str">
        <f>IF([2]道具信息!Y185="","",[2]道具信息!Y185)</f>
        <v/>
      </c>
      <c r="Z185" s="59" t="str">
        <f>IF([2]道具信息!Z185="","",[2]道具信息!Z185)</f>
        <v/>
      </c>
    </row>
    <row r="186" spans="1:26" x14ac:dyDescent="0.15">
      <c r="A186" s="59" t="str">
        <f>IF([2]道具信息!A186="","",[2]道具信息!A186)</f>
        <v/>
      </c>
      <c r="B186" s="59" t="str">
        <f>IF([2]道具信息!B186="","",[2]道具信息!B186)</f>
        <v/>
      </c>
      <c r="C186" s="59">
        <f>IF([2]道具信息!C186="","",[2]道具信息!C186)</f>
        <v>21027</v>
      </c>
      <c r="D186" s="59" t="str">
        <f>IF([2]道具信息!D186="","",[2]道具信息!D186)</f>
        <v>高级资源自选宝箱</v>
      </c>
      <c r="E186" s="59">
        <f>IF([2]道具信息!E186="","",[2]道具信息!E186)</f>
        <v>100</v>
      </c>
      <c r="F186" s="59">
        <f>IF([2]道具信息!F186="","",[2]道具信息!F186)</f>
        <v>2</v>
      </c>
      <c r="G186" s="59">
        <f>IF([2]道具信息!G186="","",[2]道具信息!G186)</f>
        <v>1</v>
      </c>
      <c r="H186" s="59">
        <f>IF([2]道具信息!H186="","",[2]道具信息!H186)</f>
        <v>0.3</v>
      </c>
      <c r="I186" s="59">
        <f>IF([2]道具信息!I186="","",[2]道具信息!I186)</f>
        <v>200</v>
      </c>
      <c r="J186" s="59">
        <f>IF([2]道具信息!J186="","",[2]道具信息!J186)</f>
        <v>100</v>
      </c>
      <c r="K186" s="59">
        <f>IF([2]道具信息!K186="","",[2]道具信息!K186)</f>
        <v>30</v>
      </c>
      <c r="L186" s="59" t="str">
        <f>IF([2]道具信息!L186="","",[2]道具信息!L186)</f>
        <v>使用后可选择获得500000资源(可选择资源类型：粮食、木材、石料和铜矿)</v>
      </c>
      <c r="M186" s="59" t="str">
        <f>IF([2]道具信息!M186="","",[2]道具信息!M186)</f>
        <v/>
      </c>
      <c r="N186" s="59" t="str">
        <f>IF([2]道具信息!N186="","",[2]道具信息!N186)</f>
        <v/>
      </c>
      <c r="O186" s="59" t="str">
        <f>IF([2]道具信息!O186="","",[2]道具信息!O186)</f>
        <v/>
      </c>
      <c r="P186" s="59" t="str">
        <f>IF([2]道具信息!P186="","",[2]道具信息!P186)</f>
        <v/>
      </c>
      <c r="Q186" s="59" t="str">
        <f>IF([2]道具信息!Q186="","",[2]道具信息!Q186)</f>
        <v/>
      </c>
      <c r="R186" s="59" t="str">
        <f>IF([2]道具信息!R186="","",[2]道具信息!R186)</f>
        <v/>
      </c>
      <c r="S186" s="59" t="str">
        <f>IF([2]道具信息!S186="","",[2]道具信息!S186)</f>
        <v/>
      </c>
      <c r="T186" s="59" t="str">
        <f>IF([2]道具信息!T186="","",[2]道具信息!T186)</f>
        <v/>
      </c>
      <c r="U186" s="59" t="str">
        <f>IF([2]道具信息!U186="","",[2]道具信息!U186)</f>
        <v/>
      </c>
      <c r="V186" s="59" t="str">
        <f>IF([2]道具信息!V186="","",[2]道具信息!V186)</f>
        <v/>
      </c>
      <c r="W186" s="59" t="str">
        <f>IF([2]道具信息!W186="","",[2]道具信息!W186)</f>
        <v/>
      </c>
      <c r="X186" s="59" t="str">
        <f>IF([2]道具信息!X186="","",[2]道具信息!X186)</f>
        <v/>
      </c>
      <c r="Y186" s="59" t="str">
        <f>IF([2]道具信息!Y186="","",[2]道具信息!Y186)</f>
        <v/>
      </c>
      <c r="Z186" s="59" t="str">
        <f>IF([2]道具信息!Z186="","",[2]道具信息!Z186)</f>
        <v/>
      </c>
    </row>
    <row r="187" spans="1:26" x14ac:dyDescent="0.15">
      <c r="A187" s="59" t="str">
        <f>IF([2]道具信息!A187="","",[2]道具信息!A187)</f>
        <v/>
      </c>
      <c r="B187" s="59" t="str">
        <f>IF([2]道具信息!B187="","",[2]道具信息!B187)</f>
        <v/>
      </c>
      <c r="C187" s="59">
        <f>IF([2]道具信息!C187="","",[2]道具信息!C187)</f>
        <v>21031</v>
      </c>
      <c r="D187" s="59" t="str">
        <f>IF([2]道具信息!D187="","",[2]道具信息!D187)</f>
        <v>普通资源宝箱</v>
      </c>
      <c r="E187" s="59">
        <f>IF([2]道具信息!E187="","",[2]道具信息!E187)</f>
        <v>30</v>
      </c>
      <c r="F187" s="59">
        <f>IF([2]道具信息!F187="","",[2]道具信息!F187)</f>
        <v>1</v>
      </c>
      <c r="G187" s="59">
        <f>IF([2]道具信息!G187="","",[2]道具信息!G187)</f>
        <v>1</v>
      </c>
      <c r="H187" s="59">
        <f>IF([2]道具信息!H187="","",[2]道具信息!H187)</f>
        <v>0.3</v>
      </c>
      <c r="I187" s="59">
        <f>IF([2]道具信息!I187="","",[2]道具信息!I187)</f>
        <v>30</v>
      </c>
      <c r="J187" s="59">
        <f>IF([2]道具信息!J187="","",[2]道具信息!J187)</f>
        <v>30</v>
      </c>
      <c r="K187" s="59">
        <f>IF([2]道具信息!K187="","",[2]道具信息!K187)</f>
        <v>9</v>
      </c>
      <c r="L187" s="59" t="str">
        <f>IF([2]道具信息!L187="","",[2]道具信息!L187)</f>
        <v>使用后直接获得10000粮食、木材、石料和铜矿</v>
      </c>
      <c r="M187" s="59" t="str">
        <f>IF([2]道具信息!M187="","",[2]道具信息!M187)</f>
        <v/>
      </c>
      <c r="N187" s="59" t="str">
        <f>IF([2]道具信息!N187="","",[2]道具信息!N187)</f>
        <v/>
      </c>
      <c r="O187" s="59" t="str">
        <f>IF([2]道具信息!O187="","",[2]道具信息!O187)</f>
        <v/>
      </c>
      <c r="P187" s="59" t="str">
        <f>IF([2]道具信息!P187="","",[2]道具信息!P187)</f>
        <v/>
      </c>
      <c r="Q187" s="59" t="str">
        <f>IF([2]道具信息!Q187="","",[2]道具信息!Q187)</f>
        <v/>
      </c>
      <c r="R187" s="59" t="str">
        <f>IF([2]道具信息!R187="","",[2]道具信息!R187)</f>
        <v/>
      </c>
      <c r="S187" s="59" t="str">
        <f>IF([2]道具信息!S187="","",[2]道具信息!S187)</f>
        <v/>
      </c>
      <c r="T187" s="59" t="str">
        <f>IF([2]道具信息!T187="","",[2]道具信息!T187)</f>
        <v/>
      </c>
      <c r="U187" s="59" t="str">
        <f>IF([2]道具信息!U187="","",[2]道具信息!U187)</f>
        <v/>
      </c>
      <c r="V187" s="59" t="str">
        <f>IF([2]道具信息!V187="","",[2]道具信息!V187)</f>
        <v/>
      </c>
      <c r="W187" s="59" t="str">
        <f>IF([2]道具信息!W187="","",[2]道具信息!W187)</f>
        <v/>
      </c>
      <c r="X187" s="59" t="str">
        <f>IF([2]道具信息!X187="","",[2]道具信息!X187)</f>
        <v/>
      </c>
      <c r="Y187" s="59" t="str">
        <f>IF([2]道具信息!Y187="","",[2]道具信息!Y187)</f>
        <v/>
      </c>
      <c r="Z187" s="59" t="str">
        <f>IF([2]道具信息!Z187="","",[2]道具信息!Z187)</f>
        <v/>
      </c>
    </row>
    <row r="188" spans="1:26" x14ac:dyDescent="0.15">
      <c r="A188" s="59" t="str">
        <f>IF([2]道具信息!A188="","",[2]道具信息!A188)</f>
        <v/>
      </c>
      <c r="B188" s="59" t="str">
        <f>IF([2]道具信息!B188="","",[2]道具信息!B188)</f>
        <v/>
      </c>
      <c r="C188" s="59">
        <f>IF([2]道具信息!C188="","",[2]道具信息!C188)</f>
        <v>21032</v>
      </c>
      <c r="D188" s="59" t="str">
        <f>IF([2]道具信息!D188="","",[2]道具信息!D188)</f>
        <v>初级资源宝箱</v>
      </c>
      <c r="E188" s="59">
        <f>IF([2]道具信息!E188="","",[2]道具信息!E188)</f>
        <v>80</v>
      </c>
      <c r="F188" s="59">
        <f>IF([2]道具信息!F188="","",[2]道具信息!F188)</f>
        <v>1</v>
      </c>
      <c r="G188" s="59">
        <f>IF([2]道具信息!G188="","",[2]道具信息!G188)</f>
        <v>1</v>
      </c>
      <c r="H188" s="59">
        <f>IF([2]道具信息!H188="","",[2]道具信息!H188)</f>
        <v>0.3</v>
      </c>
      <c r="I188" s="59">
        <f>IF([2]道具信息!I188="","",[2]道具信息!I188)</f>
        <v>80</v>
      </c>
      <c r="J188" s="59">
        <f>IF([2]道具信息!J188="","",[2]道具信息!J188)</f>
        <v>80</v>
      </c>
      <c r="K188" s="59">
        <f>IF([2]道具信息!K188="","",[2]道具信息!K188)</f>
        <v>24</v>
      </c>
      <c r="L188" s="59" t="str">
        <f>IF([2]道具信息!L188="","",[2]道具信息!L188)</f>
        <v>使用后直接获得50000粮食、木材、石料和铜矿</v>
      </c>
      <c r="M188" s="59" t="str">
        <f>IF([2]道具信息!M188="","",[2]道具信息!M188)</f>
        <v/>
      </c>
      <c r="N188" s="59" t="str">
        <f>IF([2]道具信息!N188="","",[2]道具信息!N188)</f>
        <v/>
      </c>
      <c r="O188" s="59" t="str">
        <f>IF([2]道具信息!O188="","",[2]道具信息!O188)</f>
        <v/>
      </c>
      <c r="P188" s="59" t="str">
        <f>IF([2]道具信息!P188="","",[2]道具信息!P188)</f>
        <v/>
      </c>
      <c r="Q188" s="59" t="str">
        <f>IF([2]道具信息!Q188="","",[2]道具信息!Q188)</f>
        <v/>
      </c>
      <c r="R188" s="59" t="str">
        <f>IF([2]道具信息!R188="","",[2]道具信息!R188)</f>
        <v/>
      </c>
      <c r="S188" s="59" t="str">
        <f>IF([2]道具信息!S188="","",[2]道具信息!S188)</f>
        <v/>
      </c>
      <c r="T188" s="59" t="str">
        <f>IF([2]道具信息!T188="","",[2]道具信息!T188)</f>
        <v/>
      </c>
      <c r="U188" s="59" t="str">
        <f>IF([2]道具信息!U188="","",[2]道具信息!U188)</f>
        <v/>
      </c>
      <c r="V188" s="59" t="str">
        <f>IF([2]道具信息!V188="","",[2]道具信息!V188)</f>
        <v/>
      </c>
      <c r="W188" s="59" t="str">
        <f>IF([2]道具信息!W188="","",[2]道具信息!W188)</f>
        <v/>
      </c>
      <c r="X188" s="59" t="str">
        <f>IF([2]道具信息!X188="","",[2]道具信息!X188)</f>
        <v/>
      </c>
      <c r="Y188" s="59" t="str">
        <f>IF([2]道具信息!Y188="","",[2]道具信息!Y188)</f>
        <v/>
      </c>
      <c r="Z188" s="59" t="str">
        <f>IF([2]道具信息!Z188="","",[2]道具信息!Z188)</f>
        <v/>
      </c>
    </row>
    <row r="189" spans="1:26" x14ac:dyDescent="0.15">
      <c r="A189" s="59" t="str">
        <f>IF([2]道具信息!A189="","",[2]道具信息!A189)</f>
        <v/>
      </c>
      <c r="B189" s="59" t="str">
        <f>IF([2]道具信息!B189="","",[2]道具信息!B189)</f>
        <v/>
      </c>
      <c r="C189" s="59">
        <f>IF([2]道具信息!C189="","",[2]道具信息!C189)</f>
        <v>21033</v>
      </c>
      <c r="D189" s="59" t="str">
        <f>IF([2]道具信息!D189="","",[2]道具信息!D189)</f>
        <v>中级资源宝箱</v>
      </c>
      <c r="E189" s="59">
        <f>IF([2]道具信息!E189="","",[2]道具信息!E189)</f>
        <v>180</v>
      </c>
      <c r="F189" s="59">
        <f>IF([2]道具信息!F189="","",[2]道具信息!F189)</f>
        <v>1.333</v>
      </c>
      <c r="G189" s="59">
        <f>IF([2]道具信息!G189="","",[2]道具信息!G189)</f>
        <v>1</v>
      </c>
      <c r="H189" s="59">
        <f>IF([2]道具信息!H189="","",[2]道具信息!H189)</f>
        <v>0.3</v>
      </c>
      <c r="I189" s="59">
        <f>IF([2]道具信息!I189="","",[2]道具信息!I189)</f>
        <v>239.94</v>
      </c>
      <c r="J189" s="59">
        <f>IF([2]道具信息!J189="","",[2]道具信息!J189)</f>
        <v>180</v>
      </c>
      <c r="K189" s="59">
        <f>IF([2]道具信息!K189="","",[2]道具信息!K189)</f>
        <v>54</v>
      </c>
      <c r="L189" s="59" t="str">
        <f>IF([2]道具信息!L189="","",[2]道具信息!L189)</f>
        <v>使用后直接获得150000粮食、木材、石料和铜矿</v>
      </c>
      <c r="M189" s="59" t="str">
        <f>IF([2]道具信息!M189="","",[2]道具信息!M189)</f>
        <v/>
      </c>
      <c r="N189" s="59" t="str">
        <f>IF([2]道具信息!N189="","",[2]道具信息!N189)</f>
        <v/>
      </c>
      <c r="O189" s="59" t="str">
        <f>IF([2]道具信息!O189="","",[2]道具信息!O189)</f>
        <v/>
      </c>
      <c r="P189" s="59" t="str">
        <f>IF([2]道具信息!P189="","",[2]道具信息!P189)</f>
        <v/>
      </c>
      <c r="Q189" s="59" t="str">
        <f>IF([2]道具信息!Q189="","",[2]道具信息!Q189)</f>
        <v/>
      </c>
      <c r="R189" s="59" t="str">
        <f>IF([2]道具信息!R189="","",[2]道具信息!R189)</f>
        <v/>
      </c>
      <c r="S189" s="59" t="str">
        <f>IF([2]道具信息!S189="","",[2]道具信息!S189)</f>
        <v/>
      </c>
      <c r="T189" s="59" t="str">
        <f>IF([2]道具信息!T189="","",[2]道具信息!T189)</f>
        <v/>
      </c>
      <c r="U189" s="59" t="str">
        <f>IF([2]道具信息!U189="","",[2]道具信息!U189)</f>
        <v/>
      </c>
      <c r="V189" s="59" t="str">
        <f>IF([2]道具信息!V189="","",[2]道具信息!V189)</f>
        <v/>
      </c>
      <c r="W189" s="59" t="str">
        <f>IF([2]道具信息!W189="","",[2]道具信息!W189)</f>
        <v/>
      </c>
      <c r="X189" s="59" t="str">
        <f>IF([2]道具信息!X189="","",[2]道具信息!X189)</f>
        <v/>
      </c>
      <c r="Y189" s="59" t="str">
        <f>IF([2]道具信息!Y189="","",[2]道具信息!Y189)</f>
        <v/>
      </c>
      <c r="Z189" s="59" t="str">
        <f>IF([2]道具信息!Z189="","",[2]道具信息!Z189)</f>
        <v/>
      </c>
    </row>
    <row r="190" spans="1:26" x14ac:dyDescent="0.15">
      <c r="A190" s="59" t="str">
        <f>IF([2]道具信息!A190="","",[2]道具信息!A190)</f>
        <v/>
      </c>
      <c r="B190" s="59" t="str">
        <f>IF([2]道具信息!B190="","",[2]道具信息!B190)</f>
        <v/>
      </c>
      <c r="C190" s="59">
        <f>IF([2]道具信息!C190="","",[2]道具信息!C190)</f>
        <v>21034</v>
      </c>
      <c r="D190" s="59" t="str">
        <f>IF([2]道具信息!D190="","",[2]道具信息!D190)</f>
        <v>高级资源宝箱</v>
      </c>
      <c r="E190" s="59">
        <f>IF([2]道具信息!E190="","",[2]道具信息!E190)</f>
        <v>400</v>
      </c>
      <c r="F190" s="59">
        <f>IF([2]道具信息!F190="","",[2]道具信息!F190)</f>
        <v>2</v>
      </c>
      <c r="G190" s="59">
        <f>IF([2]道具信息!G190="","",[2]道具信息!G190)</f>
        <v>1</v>
      </c>
      <c r="H190" s="59">
        <f>IF([2]道具信息!H190="","",[2]道具信息!H190)</f>
        <v>0.3</v>
      </c>
      <c r="I190" s="59">
        <f>IF([2]道具信息!I190="","",[2]道具信息!I190)</f>
        <v>800</v>
      </c>
      <c r="J190" s="59">
        <f>IF([2]道具信息!J190="","",[2]道具信息!J190)</f>
        <v>400</v>
      </c>
      <c r="K190" s="59">
        <f>IF([2]道具信息!K190="","",[2]道具信息!K190)</f>
        <v>120</v>
      </c>
      <c r="L190" s="59" t="str">
        <f>IF([2]道具信息!L190="","",[2]道具信息!L190)</f>
        <v>使用后直接获得500000粮食、木材、石料和铜矿</v>
      </c>
      <c r="M190" s="59" t="str">
        <f>IF([2]道具信息!M190="","",[2]道具信息!M190)</f>
        <v/>
      </c>
      <c r="N190" s="59" t="str">
        <f>IF([2]道具信息!N190="","",[2]道具信息!N190)</f>
        <v/>
      </c>
      <c r="O190" s="59" t="str">
        <f>IF([2]道具信息!O190="","",[2]道具信息!O190)</f>
        <v/>
      </c>
      <c r="P190" s="59" t="str">
        <f>IF([2]道具信息!P190="","",[2]道具信息!P190)</f>
        <v/>
      </c>
      <c r="Q190" s="59" t="str">
        <f>IF([2]道具信息!Q190="","",[2]道具信息!Q190)</f>
        <v/>
      </c>
      <c r="R190" s="59" t="str">
        <f>IF([2]道具信息!R190="","",[2]道具信息!R190)</f>
        <v/>
      </c>
      <c r="S190" s="59" t="str">
        <f>IF([2]道具信息!S190="","",[2]道具信息!S190)</f>
        <v/>
      </c>
      <c r="T190" s="59" t="str">
        <f>IF([2]道具信息!T190="","",[2]道具信息!T190)</f>
        <v/>
      </c>
      <c r="U190" s="59" t="str">
        <f>IF([2]道具信息!U190="","",[2]道具信息!U190)</f>
        <v/>
      </c>
      <c r="V190" s="59" t="str">
        <f>IF([2]道具信息!V190="","",[2]道具信息!V190)</f>
        <v/>
      </c>
      <c r="W190" s="59" t="str">
        <f>IF([2]道具信息!W190="","",[2]道具信息!W190)</f>
        <v/>
      </c>
      <c r="X190" s="59" t="str">
        <f>IF([2]道具信息!X190="","",[2]道具信息!X190)</f>
        <v/>
      </c>
      <c r="Y190" s="59" t="str">
        <f>IF([2]道具信息!Y190="","",[2]道具信息!Y190)</f>
        <v/>
      </c>
      <c r="Z190" s="59" t="str">
        <f>IF([2]道具信息!Z190="","",[2]道具信息!Z190)</f>
        <v/>
      </c>
    </row>
    <row r="191" spans="1:26" x14ac:dyDescent="0.15">
      <c r="A191" s="59" t="str">
        <f>IF([2]道具信息!A191="","",[2]道具信息!A191)</f>
        <v/>
      </c>
      <c r="B191" s="59" t="str">
        <f>IF([2]道具信息!B191="","",[2]道具信息!B191)</f>
        <v/>
      </c>
      <c r="C191" s="59" t="str">
        <f>IF([2]道具信息!C191="","",[2]道具信息!C191)</f>
        <v/>
      </c>
      <c r="D191" s="59" t="str">
        <f>IF([2]道具信息!D191="","",[2]道具信息!D191)</f>
        <v/>
      </c>
      <c r="E191" s="59" t="str">
        <f>IF([2]道具信息!E191="","",[2]道具信息!E191)</f>
        <v/>
      </c>
      <c r="F191" s="59" t="str">
        <f>IF([2]道具信息!F191="","",[2]道具信息!F191)</f>
        <v/>
      </c>
      <c r="G191" s="59" t="str">
        <f>IF([2]道具信息!G191="","",[2]道具信息!G191)</f>
        <v/>
      </c>
      <c r="H191" s="59" t="str">
        <f>IF([2]道具信息!H191="","",[2]道具信息!H191)</f>
        <v/>
      </c>
      <c r="I191" s="59" t="str">
        <f>IF([2]道具信息!I191="","",[2]道具信息!I191)</f>
        <v/>
      </c>
      <c r="J191" s="59" t="str">
        <f>IF([2]道具信息!J191="","",[2]道具信息!J191)</f>
        <v/>
      </c>
      <c r="K191" s="59" t="str">
        <f>IF([2]道具信息!K191="","",[2]道具信息!K191)</f>
        <v/>
      </c>
      <c r="L191" s="59" t="str">
        <f>IF([2]道具信息!L191="","",[2]道具信息!L191)</f>
        <v/>
      </c>
      <c r="M191" s="59" t="str">
        <f>IF([2]道具信息!M191="","",[2]道具信息!M191)</f>
        <v/>
      </c>
      <c r="N191" s="59" t="str">
        <f>IF([2]道具信息!N191="","",[2]道具信息!N191)</f>
        <v/>
      </c>
      <c r="O191" s="59" t="str">
        <f>IF([2]道具信息!O191="","",[2]道具信息!O191)</f>
        <v/>
      </c>
      <c r="P191" s="59" t="str">
        <f>IF([2]道具信息!P191="","",[2]道具信息!P191)</f>
        <v/>
      </c>
      <c r="Q191" s="59" t="str">
        <f>IF([2]道具信息!Q191="","",[2]道具信息!Q191)</f>
        <v/>
      </c>
      <c r="R191" s="59" t="str">
        <f>IF([2]道具信息!R191="","",[2]道具信息!R191)</f>
        <v/>
      </c>
      <c r="S191" s="59" t="str">
        <f>IF([2]道具信息!S191="","",[2]道具信息!S191)</f>
        <v/>
      </c>
      <c r="T191" s="59" t="str">
        <f>IF([2]道具信息!T191="","",[2]道具信息!T191)</f>
        <v/>
      </c>
      <c r="U191" s="59" t="str">
        <f>IF([2]道具信息!U191="","",[2]道具信息!U191)</f>
        <v/>
      </c>
      <c r="V191" s="59" t="str">
        <f>IF([2]道具信息!V191="","",[2]道具信息!V191)</f>
        <v/>
      </c>
      <c r="W191" s="59" t="str">
        <f>IF([2]道具信息!W191="","",[2]道具信息!W191)</f>
        <v/>
      </c>
      <c r="X191" s="59" t="str">
        <f>IF([2]道具信息!X191="","",[2]道具信息!X191)</f>
        <v/>
      </c>
      <c r="Y191" s="59" t="str">
        <f>IF([2]道具信息!Y191="","",[2]道具信息!Y191)</f>
        <v/>
      </c>
      <c r="Z191" s="59" t="str">
        <f>IF([2]道具信息!Z191="","",[2]道具信息!Z191)</f>
        <v/>
      </c>
    </row>
    <row r="192" spans="1:26" x14ac:dyDescent="0.15">
      <c r="A192" s="59" t="str">
        <f>IF([2]道具信息!A192="","",[2]道具信息!A192)</f>
        <v/>
      </c>
      <c r="B192" s="59" t="str">
        <f>IF([2]道具信息!B192="","",[2]道具信息!B192)</f>
        <v/>
      </c>
      <c r="C192" s="59">
        <f>IF([2]道具信息!C192="","",[2]道具信息!C192)</f>
        <v>21061</v>
      </c>
      <c r="D192" s="59" t="str">
        <f>IF([2]道具信息!D192="","",[2]道具信息!D192)</f>
        <v>初级经验书</v>
      </c>
      <c r="E192" s="59">
        <f>IF([2]道具信息!E192="","",[2]道具信息!E192)</f>
        <v>2</v>
      </c>
      <c r="F192" s="59">
        <f>IF([2]道具信息!F192="","",[2]道具信息!F192)</f>
        <v>1</v>
      </c>
      <c r="G192" s="59">
        <f>IF([2]道具信息!G192="","",[2]道具信息!G192)</f>
        <v>1</v>
      </c>
      <c r="H192" s="59">
        <f>IF([2]道具信息!H192="","",[2]道具信息!H192)</f>
        <v>1</v>
      </c>
      <c r="I192" s="59">
        <f>IF([2]道具信息!I192="","",[2]道具信息!I192)</f>
        <v>2</v>
      </c>
      <c r="J192" s="59">
        <f>IF([2]道具信息!J192="","",[2]道具信息!J192)</f>
        <v>2</v>
      </c>
      <c r="K192" s="59">
        <f>IF([2]道具信息!K192="","",[2]道具信息!K192)</f>
        <v>2</v>
      </c>
      <c r="L192" s="59" t="str">
        <f>IF([2]道具信息!L192="","",[2]道具信息!L192)</f>
        <v>武将使用后获得200经验</v>
      </c>
      <c r="M192" s="59" t="str">
        <f>IF([2]道具信息!M192="","",[2]道具信息!M192)</f>
        <v/>
      </c>
      <c r="N192" s="59" t="str">
        <f>IF([2]道具信息!N192="","",[2]道具信息!N192)</f>
        <v/>
      </c>
      <c r="O192" s="59" t="str">
        <f>IF([2]道具信息!O192="","",[2]道具信息!O192)</f>
        <v/>
      </c>
      <c r="P192" s="59" t="str">
        <f>IF([2]道具信息!P192="","",[2]道具信息!P192)</f>
        <v/>
      </c>
      <c r="Q192" s="59" t="str">
        <f>IF([2]道具信息!Q192="","",[2]道具信息!Q192)</f>
        <v/>
      </c>
      <c r="R192" s="59" t="str">
        <f>IF([2]道具信息!R192="","",[2]道具信息!R192)</f>
        <v/>
      </c>
      <c r="S192" s="59" t="str">
        <f>IF([2]道具信息!S192="","",[2]道具信息!S192)</f>
        <v/>
      </c>
      <c r="T192" s="59" t="str">
        <f>IF([2]道具信息!T192="","",[2]道具信息!T192)</f>
        <v/>
      </c>
      <c r="U192" s="59" t="str">
        <f>IF([2]道具信息!U192="","",[2]道具信息!U192)</f>
        <v/>
      </c>
      <c r="V192" s="59" t="str">
        <f>IF([2]道具信息!V192="","",[2]道具信息!V192)</f>
        <v/>
      </c>
      <c r="W192" s="59" t="str">
        <f>IF([2]道具信息!W192="","",[2]道具信息!W192)</f>
        <v/>
      </c>
      <c r="X192" s="59" t="str">
        <f>IF([2]道具信息!X192="","",[2]道具信息!X192)</f>
        <v/>
      </c>
      <c r="Y192" s="59" t="str">
        <f>IF([2]道具信息!Y192="","",[2]道具信息!Y192)</f>
        <v/>
      </c>
      <c r="Z192" s="59" t="str">
        <f>IF([2]道具信息!Z192="","",[2]道具信息!Z192)</f>
        <v/>
      </c>
    </row>
    <row r="193" spans="1:26" x14ac:dyDescent="0.15">
      <c r="A193" s="59" t="str">
        <f>IF([2]道具信息!A193="","",[2]道具信息!A193)</f>
        <v/>
      </c>
      <c r="B193" s="59" t="str">
        <f>IF([2]道具信息!B193="","",[2]道具信息!B193)</f>
        <v/>
      </c>
      <c r="C193" s="59">
        <f>IF([2]道具信息!C193="","",[2]道具信息!C193)</f>
        <v>21062</v>
      </c>
      <c r="D193" s="59" t="str">
        <f>IF([2]道具信息!D193="","",[2]道具信息!D193)</f>
        <v>中级经验书</v>
      </c>
      <c r="E193" s="59">
        <f>IF([2]道具信息!E193="","",[2]道具信息!E193)</f>
        <v>5</v>
      </c>
      <c r="F193" s="59">
        <f>IF([2]道具信息!F193="","",[2]道具信息!F193)</f>
        <v>1</v>
      </c>
      <c r="G193" s="59">
        <f>IF([2]道具信息!G193="","",[2]道具信息!G193)</f>
        <v>1</v>
      </c>
      <c r="H193" s="59">
        <f>IF([2]道具信息!H193="","",[2]道具信息!H193)</f>
        <v>1</v>
      </c>
      <c r="I193" s="59">
        <f>IF([2]道具信息!I193="","",[2]道具信息!I193)</f>
        <v>5</v>
      </c>
      <c r="J193" s="59">
        <f>IF([2]道具信息!J193="","",[2]道具信息!J193)</f>
        <v>5</v>
      </c>
      <c r="K193" s="59">
        <f>IF([2]道具信息!K193="","",[2]道具信息!K193)</f>
        <v>5</v>
      </c>
      <c r="L193" s="59" t="str">
        <f>IF([2]道具信息!L193="","",[2]道具信息!L193)</f>
        <v>武将使用后获得1000经验</v>
      </c>
      <c r="M193" s="59" t="str">
        <f>IF([2]道具信息!M193="","",[2]道具信息!M193)</f>
        <v/>
      </c>
      <c r="N193" s="59" t="str">
        <f>IF([2]道具信息!N193="","",[2]道具信息!N193)</f>
        <v/>
      </c>
      <c r="O193" s="59" t="str">
        <f>IF([2]道具信息!O193="","",[2]道具信息!O193)</f>
        <v/>
      </c>
      <c r="P193" s="59" t="str">
        <f>IF([2]道具信息!P193="","",[2]道具信息!P193)</f>
        <v/>
      </c>
      <c r="Q193" s="59" t="str">
        <f>IF([2]道具信息!Q193="","",[2]道具信息!Q193)</f>
        <v/>
      </c>
      <c r="R193" s="59" t="str">
        <f>IF([2]道具信息!R193="","",[2]道具信息!R193)</f>
        <v/>
      </c>
      <c r="S193" s="59" t="str">
        <f>IF([2]道具信息!S193="","",[2]道具信息!S193)</f>
        <v/>
      </c>
      <c r="T193" s="59" t="str">
        <f>IF([2]道具信息!T193="","",[2]道具信息!T193)</f>
        <v/>
      </c>
      <c r="U193" s="59" t="str">
        <f>IF([2]道具信息!U193="","",[2]道具信息!U193)</f>
        <v/>
      </c>
      <c r="V193" s="59" t="str">
        <f>IF([2]道具信息!V193="","",[2]道具信息!V193)</f>
        <v/>
      </c>
      <c r="W193" s="59" t="str">
        <f>IF([2]道具信息!W193="","",[2]道具信息!W193)</f>
        <v/>
      </c>
      <c r="X193" s="59" t="str">
        <f>IF([2]道具信息!X193="","",[2]道具信息!X193)</f>
        <v/>
      </c>
      <c r="Y193" s="59" t="str">
        <f>IF([2]道具信息!Y193="","",[2]道具信息!Y193)</f>
        <v/>
      </c>
      <c r="Z193" s="59" t="str">
        <f>IF([2]道具信息!Z193="","",[2]道具信息!Z193)</f>
        <v/>
      </c>
    </row>
    <row r="194" spans="1:26" x14ac:dyDescent="0.15">
      <c r="A194" s="59" t="str">
        <f>IF([2]道具信息!A194="","",[2]道具信息!A194)</f>
        <v/>
      </c>
      <c r="B194" s="59" t="str">
        <f>IF([2]道具信息!B194="","",[2]道具信息!B194)</f>
        <v/>
      </c>
      <c r="C194" s="59">
        <f>IF([2]道具信息!C194="","",[2]道具信息!C194)</f>
        <v>21063</v>
      </c>
      <c r="D194" s="59" t="str">
        <f>IF([2]道具信息!D194="","",[2]道具信息!D194)</f>
        <v>高级经验书</v>
      </c>
      <c r="E194" s="59">
        <f>IF([2]道具信息!E194="","",[2]道具信息!E194)</f>
        <v>10</v>
      </c>
      <c r="F194" s="59">
        <f>IF([2]道具信息!F194="","",[2]道具信息!F194)</f>
        <v>1</v>
      </c>
      <c r="G194" s="59">
        <f>IF([2]道具信息!G194="","",[2]道具信息!G194)</f>
        <v>1</v>
      </c>
      <c r="H194" s="59">
        <f>IF([2]道具信息!H194="","",[2]道具信息!H194)</f>
        <v>1</v>
      </c>
      <c r="I194" s="59">
        <f>IF([2]道具信息!I194="","",[2]道具信息!I194)</f>
        <v>10</v>
      </c>
      <c r="J194" s="59">
        <f>IF([2]道具信息!J194="","",[2]道具信息!J194)</f>
        <v>10</v>
      </c>
      <c r="K194" s="59">
        <f>IF([2]道具信息!K194="","",[2]道具信息!K194)</f>
        <v>10</v>
      </c>
      <c r="L194" s="59" t="str">
        <f>IF([2]道具信息!L194="","",[2]道具信息!L194)</f>
        <v>武将使用后获得5000经验</v>
      </c>
      <c r="M194" s="59" t="str">
        <f>IF([2]道具信息!M194="","",[2]道具信息!M194)</f>
        <v/>
      </c>
      <c r="N194" s="59" t="str">
        <f>IF([2]道具信息!N194="","",[2]道具信息!N194)</f>
        <v/>
      </c>
      <c r="O194" s="59" t="str">
        <f>IF([2]道具信息!O194="","",[2]道具信息!O194)</f>
        <v/>
      </c>
      <c r="P194" s="59" t="str">
        <f>IF([2]道具信息!P194="","",[2]道具信息!P194)</f>
        <v/>
      </c>
      <c r="Q194" s="59" t="str">
        <f>IF([2]道具信息!Q194="","",[2]道具信息!Q194)</f>
        <v/>
      </c>
      <c r="R194" s="59" t="str">
        <f>IF([2]道具信息!R194="","",[2]道具信息!R194)</f>
        <v/>
      </c>
      <c r="S194" s="59" t="str">
        <f>IF([2]道具信息!S194="","",[2]道具信息!S194)</f>
        <v/>
      </c>
      <c r="T194" s="59" t="str">
        <f>IF([2]道具信息!T194="","",[2]道具信息!T194)</f>
        <v/>
      </c>
      <c r="U194" s="59" t="str">
        <f>IF([2]道具信息!U194="","",[2]道具信息!U194)</f>
        <v/>
      </c>
      <c r="V194" s="59" t="str">
        <f>IF([2]道具信息!V194="","",[2]道具信息!V194)</f>
        <v/>
      </c>
      <c r="W194" s="59" t="str">
        <f>IF([2]道具信息!W194="","",[2]道具信息!W194)</f>
        <v/>
      </c>
      <c r="X194" s="59" t="str">
        <f>IF([2]道具信息!X194="","",[2]道具信息!X194)</f>
        <v/>
      </c>
      <c r="Y194" s="59" t="str">
        <f>IF([2]道具信息!Y194="","",[2]道具信息!Y194)</f>
        <v/>
      </c>
      <c r="Z194" s="59" t="str">
        <f>IF([2]道具信息!Z194="","",[2]道具信息!Z194)</f>
        <v/>
      </c>
    </row>
    <row r="195" spans="1:26" x14ac:dyDescent="0.15">
      <c r="A195" s="59" t="str">
        <f>IF([2]道具信息!A195="","",[2]道具信息!A195)</f>
        <v/>
      </c>
      <c r="B195" s="59" t="str">
        <f>IF([2]道具信息!B195="","",[2]道具信息!B195)</f>
        <v/>
      </c>
      <c r="C195" s="59">
        <f>IF([2]道具信息!C195="","",[2]道具信息!C195)</f>
        <v>21064</v>
      </c>
      <c r="D195" s="59" t="str">
        <f>IF([2]道具信息!D195="","",[2]道具信息!D195)</f>
        <v>特级经验书</v>
      </c>
      <c r="E195" s="59">
        <f>IF([2]道具信息!E195="","",[2]道具信息!E195)</f>
        <v>20</v>
      </c>
      <c r="F195" s="59">
        <f>IF([2]道具信息!F195="","",[2]道具信息!F195)</f>
        <v>2</v>
      </c>
      <c r="G195" s="59">
        <f>IF([2]道具信息!G195="","",[2]道具信息!G195)</f>
        <v>1</v>
      </c>
      <c r="H195" s="59">
        <f>IF([2]道具信息!H195="","",[2]道具信息!H195)</f>
        <v>1</v>
      </c>
      <c r="I195" s="59">
        <f>IF([2]道具信息!I195="","",[2]道具信息!I195)</f>
        <v>40</v>
      </c>
      <c r="J195" s="59">
        <f>IF([2]道具信息!J195="","",[2]道具信息!J195)</f>
        <v>20</v>
      </c>
      <c r="K195" s="59">
        <f>IF([2]道具信息!K195="","",[2]道具信息!K195)</f>
        <v>20</v>
      </c>
      <c r="L195" s="59" t="str">
        <f>IF([2]道具信息!L195="","",[2]道具信息!L195)</f>
        <v>武将使用后获得20000经验</v>
      </c>
      <c r="M195" s="59" t="str">
        <f>IF([2]道具信息!M195="","",[2]道具信息!M195)</f>
        <v/>
      </c>
      <c r="N195" s="59" t="str">
        <f>IF([2]道具信息!N195="","",[2]道具信息!N195)</f>
        <v/>
      </c>
      <c r="O195" s="59" t="str">
        <f>IF([2]道具信息!O195="","",[2]道具信息!O195)</f>
        <v/>
      </c>
      <c r="P195" s="59" t="str">
        <f>IF([2]道具信息!P195="","",[2]道具信息!P195)</f>
        <v/>
      </c>
      <c r="Q195" s="59" t="str">
        <f>IF([2]道具信息!Q195="","",[2]道具信息!Q195)</f>
        <v/>
      </c>
      <c r="R195" s="59" t="str">
        <f>IF([2]道具信息!R195="","",[2]道具信息!R195)</f>
        <v/>
      </c>
      <c r="S195" s="59" t="str">
        <f>IF([2]道具信息!S195="","",[2]道具信息!S195)</f>
        <v/>
      </c>
      <c r="T195" s="59" t="str">
        <f>IF([2]道具信息!T195="","",[2]道具信息!T195)</f>
        <v/>
      </c>
      <c r="U195" s="59" t="str">
        <f>IF([2]道具信息!U195="","",[2]道具信息!U195)</f>
        <v/>
      </c>
      <c r="V195" s="59" t="str">
        <f>IF([2]道具信息!V195="","",[2]道具信息!V195)</f>
        <v/>
      </c>
      <c r="W195" s="59" t="str">
        <f>IF([2]道具信息!W195="","",[2]道具信息!W195)</f>
        <v/>
      </c>
      <c r="X195" s="59" t="str">
        <f>IF([2]道具信息!X195="","",[2]道具信息!X195)</f>
        <v/>
      </c>
      <c r="Y195" s="59" t="str">
        <f>IF([2]道具信息!Y195="","",[2]道具信息!Y195)</f>
        <v/>
      </c>
      <c r="Z195" s="59" t="str">
        <f>IF([2]道具信息!Z195="","",[2]道具信息!Z195)</f>
        <v/>
      </c>
    </row>
    <row r="196" spans="1:26" x14ac:dyDescent="0.15">
      <c r="A196" s="59" t="str">
        <f>IF([2]道具信息!A196="","",[2]道具信息!A196)</f>
        <v/>
      </c>
      <c r="B196" s="59" t="str">
        <f>IF([2]道具信息!B196="","",[2]道具信息!B196)</f>
        <v/>
      </c>
      <c r="C196" s="59">
        <f>IF([2]道具信息!C196="","",[2]道具信息!C196)</f>
        <v>21065</v>
      </c>
      <c r="D196" s="59" t="str">
        <f>IF([2]道具信息!D196="","",[2]道具信息!D196)</f>
        <v>超级经验书</v>
      </c>
      <c r="E196" s="59">
        <f>IF([2]道具信息!E196="","",[2]道具信息!E196)</f>
        <v>40</v>
      </c>
      <c r="F196" s="59">
        <f>IF([2]道具信息!F196="","",[2]道具信息!F196)</f>
        <v>5</v>
      </c>
      <c r="G196" s="59">
        <f>IF([2]道具信息!G196="","",[2]道具信息!G196)</f>
        <v>1</v>
      </c>
      <c r="H196" s="59">
        <f>IF([2]道具信息!H196="","",[2]道具信息!H196)</f>
        <v>1</v>
      </c>
      <c r="I196" s="59">
        <f>IF([2]道具信息!I196="","",[2]道具信息!I196)</f>
        <v>200</v>
      </c>
      <c r="J196" s="59">
        <f>IF([2]道具信息!J196="","",[2]道具信息!J196)</f>
        <v>40</v>
      </c>
      <c r="K196" s="59">
        <f>IF([2]道具信息!K196="","",[2]道具信息!K196)</f>
        <v>40</v>
      </c>
      <c r="L196" s="59" t="str">
        <f>IF([2]道具信息!L196="","",[2]道具信息!L196)</f>
        <v>武将使用后获得100000经验</v>
      </c>
      <c r="M196" s="59" t="str">
        <f>IF([2]道具信息!M196="","",[2]道具信息!M196)</f>
        <v/>
      </c>
      <c r="N196" s="59" t="str">
        <f>IF([2]道具信息!N196="","",[2]道具信息!N196)</f>
        <v/>
      </c>
      <c r="O196" s="59" t="str">
        <f>IF([2]道具信息!O196="","",[2]道具信息!O196)</f>
        <v/>
      </c>
      <c r="P196" s="59" t="str">
        <f>IF([2]道具信息!P196="","",[2]道具信息!P196)</f>
        <v/>
      </c>
      <c r="Q196" s="59" t="str">
        <f>IF([2]道具信息!Q196="","",[2]道具信息!Q196)</f>
        <v/>
      </c>
      <c r="R196" s="59" t="str">
        <f>IF([2]道具信息!R196="","",[2]道具信息!R196)</f>
        <v/>
      </c>
      <c r="S196" s="59" t="str">
        <f>IF([2]道具信息!S196="","",[2]道具信息!S196)</f>
        <v/>
      </c>
      <c r="T196" s="59" t="str">
        <f>IF([2]道具信息!T196="","",[2]道具信息!T196)</f>
        <v/>
      </c>
      <c r="U196" s="59" t="str">
        <f>IF([2]道具信息!U196="","",[2]道具信息!U196)</f>
        <v/>
      </c>
      <c r="V196" s="59" t="str">
        <f>IF([2]道具信息!V196="","",[2]道具信息!V196)</f>
        <v/>
      </c>
      <c r="W196" s="59" t="str">
        <f>IF([2]道具信息!W196="","",[2]道具信息!W196)</f>
        <v/>
      </c>
      <c r="X196" s="59" t="str">
        <f>IF([2]道具信息!X196="","",[2]道具信息!X196)</f>
        <v/>
      </c>
      <c r="Y196" s="59" t="str">
        <f>IF([2]道具信息!Y196="","",[2]道具信息!Y196)</f>
        <v/>
      </c>
      <c r="Z196" s="59" t="str">
        <f>IF([2]道具信息!Z196="","",[2]道具信息!Z196)</f>
        <v/>
      </c>
    </row>
    <row r="197" spans="1:26" x14ac:dyDescent="0.15">
      <c r="A197" s="59" t="str">
        <f>IF([2]道具信息!A197="","",[2]道具信息!A197)</f>
        <v/>
      </c>
      <c r="B197" s="59" t="str">
        <f>IF([2]道具信息!B197="","",[2]道具信息!B197)</f>
        <v/>
      </c>
      <c r="C197" s="59" t="str">
        <f>IF([2]道具信息!C197="","",[2]道具信息!C197)</f>
        <v/>
      </c>
      <c r="D197" s="59" t="str">
        <f>IF([2]道具信息!D197="","",[2]道具信息!D197)</f>
        <v/>
      </c>
      <c r="E197" s="59" t="str">
        <f>IF([2]道具信息!E197="","",[2]道具信息!E197)</f>
        <v/>
      </c>
      <c r="F197" s="59" t="str">
        <f>IF([2]道具信息!F197="","",[2]道具信息!F197)</f>
        <v/>
      </c>
      <c r="G197" s="59" t="str">
        <f>IF([2]道具信息!G197="","",[2]道具信息!G197)</f>
        <v/>
      </c>
      <c r="H197" s="59" t="str">
        <f>IF([2]道具信息!H197="","",[2]道具信息!H197)</f>
        <v/>
      </c>
      <c r="I197" s="59" t="str">
        <f>IF([2]道具信息!I197="","",[2]道具信息!I197)</f>
        <v/>
      </c>
      <c r="J197" s="59" t="str">
        <f>IF([2]道具信息!J197="","",[2]道具信息!J197)</f>
        <v/>
      </c>
      <c r="K197" s="59" t="str">
        <f>IF([2]道具信息!K197="","",[2]道具信息!K197)</f>
        <v/>
      </c>
      <c r="L197" s="59" t="str">
        <f>IF([2]道具信息!L197="","",[2]道具信息!L197)</f>
        <v/>
      </c>
      <c r="M197" s="59" t="str">
        <f>IF([2]道具信息!M197="","",[2]道具信息!M197)</f>
        <v/>
      </c>
      <c r="N197" s="59" t="str">
        <f>IF([2]道具信息!N197="","",[2]道具信息!N197)</f>
        <v/>
      </c>
      <c r="O197" s="59" t="str">
        <f>IF([2]道具信息!O197="","",[2]道具信息!O197)</f>
        <v/>
      </c>
      <c r="P197" s="59" t="str">
        <f>IF([2]道具信息!P197="","",[2]道具信息!P197)</f>
        <v/>
      </c>
      <c r="Q197" s="59" t="str">
        <f>IF([2]道具信息!Q197="","",[2]道具信息!Q197)</f>
        <v/>
      </c>
      <c r="R197" s="59" t="str">
        <f>IF([2]道具信息!R197="","",[2]道具信息!R197)</f>
        <v/>
      </c>
      <c r="S197" s="59" t="str">
        <f>IF([2]道具信息!S197="","",[2]道具信息!S197)</f>
        <v/>
      </c>
      <c r="T197" s="59" t="str">
        <f>IF([2]道具信息!T197="","",[2]道具信息!T197)</f>
        <v/>
      </c>
      <c r="U197" s="59" t="str">
        <f>IF([2]道具信息!U197="","",[2]道具信息!U197)</f>
        <v/>
      </c>
      <c r="V197" s="59" t="str">
        <f>IF([2]道具信息!V197="","",[2]道具信息!V197)</f>
        <v/>
      </c>
      <c r="W197" s="59" t="str">
        <f>IF([2]道具信息!W197="","",[2]道具信息!W197)</f>
        <v/>
      </c>
      <c r="X197" s="59" t="str">
        <f>IF([2]道具信息!X197="","",[2]道具信息!X197)</f>
        <v/>
      </c>
      <c r="Y197" s="59" t="str">
        <f>IF([2]道具信息!Y197="","",[2]道具信息!Y197)</f>
        <v/>
      </c>
      <c r="Z197" s="59" t="str">
        <f>IF([2]道具信息!Z197="","",[2]道具信息!Z197)</f>
        <v/>
      </c>
    </row>
    <row r="198" spans="1:26" x14ac:dyDescent="0.15">
      <c r="A198" s="59" t="str">
        <f>IF([2]道具信息!A198="","",[2]道具信息!A198)</f>
        <v/>
      </c>
      <c r="B198" s="59" t="str">
        <f>IF([2]道具信息!B198="","",[2]道具信息!B198)</f>
        <v/>
      </c>
      <c r="C198" s="59">
        <f>IF([2]道具信息!C198="","",[2]道具信息!C198)</f>
        <v>21073</v>
      </c>
      <c r="D198" s="59" t="str">
        <f>IF([2]道具信息!D198="","",[2]道具信息!D198)</f>
        <v>1个行军令</v>
      </c>
      <c r="E198" s="59">
        <f>IF([2]道具信息!E198="","",[2]道具信息!E198)</f>
        <v>75</v>
      </c>
      <c r="F198" s="59">
        <f>IF([2]道具信息!F198="","",[2]道具信息!F198)</f>
        <v>1</v>
      </c>
      <c r="G198" s="59">
        <f>IF([2]道具信息!G198="","",[2]道具信息!G198)</f>
        <v>1</v>
      </c>
      <c r="H198" s="59">
        <f>IF([2]道具信息!H198="","",[2]道具信息!H198)</f>
        <v>1</v>
      </c>
      <c r="I198" s="59">
        <f>IF([2]道具信息!I198="","",[2]道具信息!I198)</f>
        <v>75</v>
      </c>
      <c r="J198" s="59">
        <f>IF([2]道具信息!J198="","",[2]道具信息!J198)</f>
        <v>75</v>
      </c>
      <c r="K198" s="59">
        <f>IF([2]道具信息!K198="","",[2]道具信息!K198)</f>
        <v>75</v>
      </c>
      <c r="L198" s="59" t="str">
        <f>IF([2]道具信息!L198="","",[2]道具信息!L198)</f>
        <v>使用后获得1个行军令</v>
      </c>
      <c r="M198" s="59" t="str">
        <f>IF([2]道具信息!M198="","",[2]道具信息!M198)</f>
        <v/>
      </c>
      <c r="N198" s="59" t="str">
        <f>IF([2]道具信息!N198="","",[2]道具信息!N198)</f>
        <v/>
      </c>
      <c r="O198" s="59" t="str">
        <f>IF([2]道具信息!O198="","",[2]道具信息!O198)</f>
        <v/>
      </c>
      <c r="P198" s="59" t="str">
        <f>IF([2]道具信息!P198="","",[2]道具信息!P198)</f>
        <v/>
      </c>
      <c r="Q198" s="59" t="str">
        <f>IF([2]道具信息!Q198="","",[2]道具信息!Q198)</f>
        <v/>
      </c>
      <c r="R198" s="59" t="str">
        <f>IF([2]道具信息!R198="","",[2]道具信息!R198)</f>
        <v/>
      </c>
      <c r="S198" s="59" t="str">
        <f>IF([2]道具信息!S198="","",[2]道具信息!S198)</f>
        <v/>
      </c>
      <c r="T198" s="59" t="str">
        <f>IF([2]道具信息!T198="","",[2]道具信息!T198)</f>
        <v/>
      </c>
      <c r="U198" s="59" t="str">
        <f>IF([2]道具信息!U198="","",[2]道具信息!U198)</f>
        <v/>
      </c>
      <c r="V198" s="59" t="str">
        <f>IF([2]道具信息!V198="","",[2]道具信息!V198)</f>
        <v/>
      </c>
      <c r="W198" s="59" t="str">
        <f>IF([2]道具信息!W198="","",[2]道具信息!W198)</f>
        <v/>
      </c>
      <c r="X198" s="59" t="str">
        <f>IF([2]道具信息!X198="","",[2]道具信息!X198)</f>
        <v/>
      </c>
      <c r="Y198" s="59" t="str">
        <f>IF([2]道具信息!Y198="","",[2]道具信息!Y198)</f>
        <v/>
      </c>
      <c r="Z198" s="59" t="str">
        <f>IF([2]道具信息!Z198="","",[2]道具信息!Z198)</f>
        <v/>
      </c>
    </row>
    <row r="199" spans="1:26" x14ac:dyDescent="0.15">
      <c r="A199" s="59" t="str">
        <f>IF([2]道具信息!A199="","",[2]道具信息!A199)</f>
        <v/>
      </c>
      <c r="B199" s="59" t="str">
        <f>IF([2]道具信息!B199="","",[2]道具信息!B199)</f>
        <v/>
      </c>
      <c r="C199" s="59">
        <f>IF([2]道具信息!C199="","",[2]道具信息!C199)</f>
        <v>21074</v>
      </c>
      <c r="D199" s="59" t="str">
        <f>IF([2]道具信息!D199="","",[2]道具信息!D199)</f>
        <v>大捆行军令</v>
      </c>
      <c r="E199" s="59">
        <f>IF([2]道具信息!E199="","",[2]道具信息!E199)</f>
        <v>225</v>
      </c>
      <c r="F199" s="59">
        <f>IF([2]道具信息!F199="","",[2]道具信息!F199)</f>
        <v>1</v>
      </c>
      <c r="G199" s="59">
        <f>IF([2]道具信息!G199="","",[2]道具信息!G199)</f>
        <v>1</v>
      </c>
      <c r="H199" s="59">
        <f>IF([2]道具信息!H199="","",[2]道具信息!H199)</f>
        <v>1</v>
      </c>
      <c r="I199" s="59">
        <f>IF([2]道具信息!I199="","",[2]道具信息!I199)</f>
        <v>225</v>
      </c>
      <c r="J199" s="59">
        <f>IF([2]道具信息!J199="","",[2]道具信息!J199)</f>
        <v>225</v>
      </c>
      <c r="K199" s="59">
        <f>IF([2]道具信息!K199="","",[2]道具信息!K199)</f>
        <v>225</v>
      </c>
      <c r="L199" s="59" t="str">
        <f>IF([2]道具信息!L199="","",[2]道具信息!L199)</f>
        <v>使用后获得3个行军令</v>
      </c>
      <c r="M199" s="59" t="str">
        <f>IF([2]道具信息!M199="","",[2]道具信息!M199)</f>
        <v/>
      </c>
      <c r="N199" s="59" t="str">
        <f>IF([2]道具信息!N199="","",[2]道具信息!N199)</f>
        <v/>
      </c>
      <c r="O199" s="59" t="str">
        <f>IF([2]道具信息!O199="","",[2]道具信息!O199)</f>
        <v/>
      </c>
      <c r="P199" s="59" t="str">
        <f>IF([2]道具信息!P199="","",[2]道具信息!P199)</f>
        <v/>
      </c>
      <c r="Q199" s="59" t="str">
        <f>IF([2]道具信息!Q199="","",[2]道具信息!Q199)</f>
        <v/>
      </c>
      <c r="R199" s="59" t="str">
        <f>IF([2]道具信息!R199="","",[2]道具信息!R199)</f>
        <v/>
      </c>
      <c r="S199" s="59" t="str">
        <f>IF([2]道具信息!S199="","",[2]道具信息!S199)</f>
        <v/>
      </c>
      <c r="T199" s="59" t="str">
        <f>IF([2]道具信息!T199="","",[2]道具信息!T199)</f>
        <v/>
      </c>
      <c r="U199" s="59" t="str">
        <f>IF([2]道具信息!U199="","",[2]道具信息!U199)</f>
        <v/>
      </c>
      <c r="V199" s="59" t="str">
        <f>IF([2]道具信息!V199="","",[2]道具信息!V199)</f>
        <v/>
      </c>
      <c r="W199" s="59" t="str">
        <f>IF([2]道具信息!W199="","",[2]道具信息!W199)</f>
        <v/>
      </c>
      <c r="X199" s="59" t="str">
        <f>IF([2]道具信息!X199="","",[2]道具信息!X199)</f>
        <v/>
      </c>
      <c r="Y199" s="59" t="str">
        <f>IF([2]道具信息!Y199="","",[2]道具信息!Y199)</f>
        <v/>
      </c>
      <c r="Z199" s="59" t="str">
        <f>IF([2]道具信息!Z199="","",[2]道具信息!Z199)</f>
        <v/>
      </c>
    </row>
    <row r="200" spans="1:26" x14ac:dyDescent="0.15">
      <c r="A200" s="59" t="str">
        <f>IF([2]道具信息!A200="","",[2]道具信息!A200)</f>
        <v/>
      </c>
      <c r="B200" s="59" t="str">
        <f>IF([2]道具信息!B200="","",[2]道具信息!B200)</f>
        <v/>
      </c>
      <c r="C200" s="59" t="str">
        <f>IF([2]道具信息!C200="","",[2]道具信息!C200)</f>
        <v/>
      </c>
      <c r="D200" s="59" t="str">
        <f>IF([2]道具信息!D200="","",[2]道具信息!D200)</f>
        <v/>
      </c>
      <c r="E200" s="59" t="str">
        <f>IF([2]道具信息!E200="","",[2]道具信息!E200)</f>
        <v/>
      </c>
      <c r="F200" s="59" t="str">
        <f>IF([2]道具信息!F200="","",[2]道具信息!F200)</f>
        <v/>
      </c>
      <c r="G200" s="59" t="str">
        <f>IF([2]道具信息!G200="","",[2]道具信息!G200)</f>
        <v/>
      </c>
      <c r="H200" s="59" t="str">
        <f>IF([2]道具信息!H200="","",[2]道具信息!H200)</f>
        <v/>
      </c>
      <c r="I200" s="59" t="str">
        <f>IF([2]道具信息!I200="","",[2]道具信息!I200)</f>
        <v/>
      </c>
      <c r="J200" s="59" t="str">
        <f>IF([2]道具信息!J200="","",[2]道具信息!J200)</f>
        <v/>
      </c>
      <c r="K200" s="59" t="str">
        <f>IF([2]道具信息!K200="","",[2]道具信息!K200)</f>
        <v/>
      </c>
      <c r="L200" s="59" t="str">
        <f>IF([2]道具信息!L200="","",[2]道具信息!L200)</f>
        <v/>
      </c>
      <c r="M200" s="59" t="str">
        <f>IF([2]道具信息!M200="","",[2]道具信息!M200)</f>
        <v/>
      </c>
      <c r="N200" s="59" t="str">
        <f>IF([2]道具信息!N200="","",[2]道具信息!N200)</f>
        <v/>
      </c>
      <c r="O200" s="59" t="str">
        <f>IF([2]道具信息!O200="","",[2]道具信息!O200)</f>
        <v/>
      </c>
      <c r="P200" s="59" t="str">
        <f>IF([2]道具信息!P200="","",[2]道具信息!P200)</f>
        <v/>
      </c>
      <c r="Q200" s="59" t="str">
        <f>IF([2]道具信息!Q200="","",[2]道具信息!Q200)</f>
        <v/>
      </c>
      <c r="R200" s="59" t="str">
        <f>IF([2]道具信息!R200="","",[2]道具信息!R200)</f>
        <v/>
      </c>
      <c r="S200" s="59" t="str">
        <f>IF([2]道具信息!S200="","",[2]道具信息!S200)</f>
        <v/>
      </c>
      <c r="T200" s="59" t="str">
        <f>IF([2]道具信息!T200="","",[2]道具信息!T200)</f>
        <v/>
      </c>
      <c r="U200" s="59" t="str">
        <f>IF([2]道具信息!U200="","",[2]道具信息!U200)</f>
        <v/>
      </c>
      <c r="V200" s="59" t="str">
        <f>IF([2]道具信息!V200="","",[2]道具信息!V200)</f>
        <v/>
      </c>
      <c r="W200" s="59" t="str">
        <f>IF([2]道具信息!W200="","",[2]道具信息!W200)</f>
        <v/>
      </c>
      <c r="X200" s="59" t="str">
        <f>IF([2]道具信息!X200="","",[2]道具信息!X200)</f>
        <v/>
      </c>
      <c r="Y200" s="59" t="str">
        <f>IF([2]道具信息!Y200="","",[2]道具信息!Y200)</f>
        <v/>
      </c>
      <c r="Z200" s="59" t="str">
        <f>IF([2]道具信息!Z200="","",[2]道具信息!Z200)</f>
        <v/>
      </c>
    </row>
    <row r="201" spans="1:26" x14ac:dyDescent="0.15">
      <c r="A201" s="59" t="str">
        <f>IF([2]道具信息!A201="","",[2]道具信息!A201)</f>
        <v/>
      </c>
      <c r="B201" s="59" t="str">
        <f>IF([2]道具信息!B201="","",[2]道具信息!B201)</f>
        <v/>
      </c>
      <c r="C201" s="59">
        <f>IF([2]道具信息!C201="","",[2]道具信息!C201)</f>
        <v>21081</v>
      </c>
      <c r="D201" s="59" t="str">
        <f>IF([2]道具信息!D201="","",[2]道具信息!D201)</f>
        <v>木材增产令</v>
      </c>
      <c r="E201" s="59">
        <f>IF([2]道具信息!E201="","",[2]道具信息!E201)</f>
        <v>35</v>
      </c>
      <c r="F201" s="59">
        <f>IF([2]道具信息!F201="","",[2]道具信息!F201)</f>
        <v>1</v>
      </c>
      <c r="G201" s="59">
        <f>IF([2]道具信息!G201="","",[2]道具信息!G201)</f>
        <v>1</v>
      </c>
      <c r="H201" s="59">
        <f>IF([2]道具信息!H201="","",[2]道具信息!H201)</f>
        <v>1</v>
      </c>
      <c r="I201" s="59">
        <f>IF([2]道具信息!I201="","",[2]道具信息!I201)</f>
        <v>35</v>
      </c>
      <c r="J201" s="59">
        <f>IF([2]道具信息!J201="","",[2]道具信息!J201)</f>
        <v>35</v>
      </c>
      <c r="K201" s="59">
        <f>IF([2]道具信息!K201="","",[2]道具信息!K201)</f>
        <v>35</v>
      </c>
      <c r="L201" s="59" t="str">
        <f>IF([2]道具信息!L201="","",[2]道具信息!L201)</f>
        <v>使用后伐木场产量提高50%，持续12小时</v>
      </c>
      <c r="M201" s="59" t="str">
        <f>IF([2]道具信息!M201="","",[2]道具信息!M201)</f>
        <v/>
      </c>
      <c r="N201" s="59" t="str">
        <f>IF([2]道具信息!N201="","",[2]道具信息!N201)</f>
        <v/>
      </c>
      <c r="O201" s="59" t="str">
        <f>IF([2]道具信息!O201="","",[2]道具信息!O201)</f>
        <v/>
      </c>
      <c r="P201" s="59" t="str">
        <f>IF([2]道具信息!P201="","",[2]道具信息!P201)</f>
        <v/>
      </c>
      <c r="Q201" s="59" t="str">
        <f>IF([2]道具信息!Q201="","",[2]道具信息!Q201)</f>
        <v/>
      </c>
      <c r="R201" s="59" t="str">
        <f>IF([2]道具信息!R201="","",[2]道具信息!R201)</f>
        <v/>
      </c>
      <c r="S201" s="59" t="str">
        <f>IF([2]道具信息!S201="","",[2]道具信息!S201)</f>
        <v/>
      </c>
      <c r="T201" s="59" t="str">
        <f>IF([2]道具信息!T201="","",[2]道具信息!T201)</f>
        <v/>
      </c>
      <c r="U201" s="59" t="str">
        <f>IF([2]道具信息!U201="","",[2]道具信息!U201)</f>
        <v/>
      </c>
      <c r="V201" s="59" t="str">
        <f>IF([2]道具信息!V201="","",[2]道具信息!V201)</f>
        <v/>
      </c>
      <c r="W201" s="59" t="str">
        <f>IF([2]道具信息!W201="","",[2]道具信息!W201)</f>
        <v/>
      </c>
      <c r="X201" s="59" t="str">
        <f>IF([2]道具信息!X201="","",[2]道具信息!X201)</f>
        <v/>
      </c>
      <c r="Y201" s="59" t="str">
        <f>IF([2]道具信息!Y201="","",[2]道具信息!Y201)</f>
        <v/>
      </c>
      <c r="Z201" s="59" t="str">
        <f>IF([2]道具信息!Z201="","",[2]道具信息!Z201)</f>
        <v/>
      </c>
    </row>
    <row r="202" spans="1:26" x14ac:dyDescent="0.15">
      <c r="A202" s="59" t="str">
        <f>IF([2]道具信息!A202="","",[2]道具信息!A202)</f>
        <v/>
      </c>
      <c r="B202" s="59" t="str">
        <f>IF([2]道具信息!B202="","",[2]道具信息!B202)</f>
        <v/>
      </c>
      <c r="C202" s="59">
        <f>IF([2]道具信息!C202="","",[2]道具信息!C202)</f>
        <v>21082</v>
      </c>
      <c r="D202" s="59" t="str">
        <f>IF([2]道具信息!D202="","",[2]道具信息!D202)</f>
        <v>铁矿增产令</v>
      </c>
      <c r="E202" s="59">
        <f>IF([2]道具信息!E202="","",[2]道具信息!E202)</f>
        <v>50</v>
      </c>
      <c r="F202" s="59">
        <f>IF([2]道具信息!F202="","",[2]道具信息!F202)</f>
        <v>1</v>
      </c>
      <c r="G202" s="59">
        <f>IF([2]道具信息!G202="","",[2]道具信息!G202)</f>
        <v>1</v>
      </c>
      <c r="H202" s="59">
        <f>IF([2]道具信息!H202="","",[2]道具信息!H202)</f>
        <v>1</v>
      </c>
      <c r="I202" s="59">
        <f>IF([2]道具信息!I202="","",[2]道具信息!I202)</f>
        <v>50</v>
      </c>
      <c r="J202" s="59">
        <f>IF([2]道具信息!J202="","",[2]道具信息!J202)</f>
        <v>50</v>
      </c>
      <c r="K202" s="59">
        <f>IF([2]道具信息!K202="","",[2]道具信息!K202)</f>
        <v>50</v>
      </c>
      <c r="L202" s="59" t="str">
        <f>IF([2]道具信息!L202="","",[2]道具信息!L202)</f>
        <v>使用后冶炼厂产量提高50%，持续12小时</v>
      </c>
      <c r="M202" s="59" t="str">
        <f>IF([2]道具信息!M202="","",[2]道具信息!M202)</f>
        <v/>
      </c>
      <c r="N202" s="59" t="str">
        <f>IF([2]道具信息!N202="","",[2]道具信息!N202)</f>
        <v/>
      </c>
      <c r="O202" s="59" t="str">
        <f>IF([2]道具信息!O202="","",[2]道具信息!O202)</f>
        <v/>
      </c>
      <c r="P202" s="59" t="str">
        <f>IF([2]道具信息!P202="","",[2]道具信息!P202)</f>
        <v/>
      </c>
      <c r="Q202" s="59" t="str">
        <f>IF([2]道具信息!Q202="","",[2]道具信息!Q202)</f>
        <v/>
      </c>
      <c r="R202" s="59" t="str">
        <f>IF([2]道具信息!R202="","",[2]道具信息!R202)</f>
        <v/>
      </c>
      <c r="S202" s="59" t="str">
        <f>IF([2]道具信息!S202="","",[2]道具信息!S202)</f>
        <v/>
      </c>
      <c r="T202" s="59" t="str">
        <f>IF([2]道具信息!T202="","",[2]道具信息!T202)</f>
        <v/>
      </c>
      <c r="U202" s="59" t="str">
        <f>IF([2]道具信息!U202="","",[2]道具信息!U202)</f>
        <v/>
      </c>
      <c r="V202" s="59" t="str">
        <f>IF([2]道具信息!V202="","",[2]道具信息!V202)</f>
        <v/>
      </c>
      <c r="W202" s="59" t="str">
        <f>IF([2]道具信息!W202="","",[2]道具信息!W202)</f>
        <v/>
      </c>
      <c r="X202" s="59" t="str">
        <f>IF([2]道具信息!X202="","",[2]道具信息!X202)</f>
        <v/>
      </c>
      <c r="Y202" s="59" t="str">
        <f>IF([2]道具信息!Y202="","",[2]道具信息!Y202)</f>
        <v/>
      </c>
      <c r="Z202" s="59" t="str">
        <f>IF([2]道具信息!Z202="","",[2]道具信息!Z202)</f>
        <v/>
      </c>
    </row>
    <row r="203" spans="1:26" x14ac:dyDescent="0.15">
      <c r="A203" s="59" t="str">
        <f>IF([2]道具信息!A203="","",[2]道具信息!A203)</f>
        <v/>
      </c>
      <c r="B203" s="59" t="str">
        <f>IF([2]道具信息!B203="","",[2]道具信息!B203)</f>
        <v/>
      </c>
      <c r="C203" s="59">
        <f>IF([2]道具信息!C203="","",[2]道具信息!C203)</f>
        <v>21083</v>
      </c>
      <c r="D203" s="59" t="str">
        <f>IF([2]道具信息!D203="","",[2]道具信息!D203)</f>
        <v>石料增产令</v>
      </c>
      <c r="E203" s="59">
        <f>IF([2]道具信息!E203="","",[2]道具信息!E203)</f>
        <v>35</v>
      </c>
      <c r="F203" s="59">
        <f>IF([2]道具信息!F203="","",[2]道具信息!F203)</f>
        <v>1</v>
      </c>
      <c r="G203" s="59">
        <f>IF([2]道具信息!G203="","",[2]道具信息!G203)</f>
        <v>1</v>
      </c>
      <c r="H203" s="59">
        <f>IF([2]道具信息!H203="","",[2]道具信息!H203)</f>
        <v>1</v>
      </c>
      <c r="I203" s="59">
        <f>IF([2]道具信息!I203="","",[2]道具信息!I203)</f>
        <v>35</v>
      </c>
      <c r="J203" s="59">
        <f>IF([2]道具信息!J203="","",[2]道具信息!J203)</f>
        <v>35</v>
      </c>
      <c r="K203" s="59">
        <f>IF([2]道具信息!K203="","",[2]道具信息!K203)</f>
        <v>35</v>
      </c>
      <c r="L203" s="59" t="str">
        <f>IF([2]道具信息!L203="","",[2]道具信息!L203)</f>
        <v>使用后采石场产量提高50%，持续12小时</v>
      </c>
      <c r="M203" s="59" t="str">
        <f>IF([2]道具信息!M203="","",[2]道具信息!M203)</f>
        <v/>
      </c>
      <c r="N203" s="59" t="str">
        <f>IF([2]道具信息!N203="","",[2]道具信息!N203)</f>
        <v/>
      </c>
      <c r="O203" s="59" t="str">
        <f>IF([2]道具信息!O203="","",[2]道具信息!O203)</f>
        <v/>
      </c>
      <c r="P203" s="59" t="str">
        <f>IF([2]道具信息!P203="","",[2]道具信息!P203)</f>
        <v/>
      </c>
      <c r="Q203" s="59" t="str">
        <f>IF([2]道具信息!Q203="","",[2]道具信息!Q203)</f>
        <v/>
      </c>
      <c r="R203" s="59" t="str">
        <f>IF([2]道具信息!R203="","",[2]道具信息!R203)</f>
        <v/>
      </c>
      <c r="S203" s="59" t="str">
        <f>IF([2]道具信息!S203="","",[2]道具信息!S203)</f>
        <v/>
      </c>
      <c r="T203" s="59" t="str">
        <f>IF([2]道具信息!T203="","",[2]道具信息!T203)</f>
        <v/>
      </c>
      <c r="U203" s="59" t="str">
        <f>IF([2]道具信息!U203="","",[2]道具信息!U203)</f>
        <v/>
      </c>
      <c r="V203" s="59" t="str">
        <f>IF([2]道具信息!V203="","",[2]道具信息!V203)</f>
        <v/>
      </c>
      <c r="W203" s="59" t="str">
        <f>IF([2]道具信息!W203="","",[2]道具信息!W203)</f>
        <v/>
      </c>
      <c r="X203" s="59" t="str">
        <f>IF([2]道具信息!X203="","",[2]道具信息!X203)</f>
        <v/>
      </c>
      <c r="Y203" s="59" t="str">
        <f>IF([2]道具信息!Y203="","",[2]道具信息!Y203)</f>
        <v/>
      </c>
      <c r="Z203" s="59" t="str">
        <f>IF([2]道具信息!Z203="","",[2]道具信息!Z203)</f>
        <v/>
      </c>
    </row>
    <row r="204" spans="1:26" x14ac:dyDescent="0.15">
      <c r="A204" s="59" t="str">
        <f>IF([2]道具信息!A204="","",[2]道具信息!A204)</f>
        <v/>
      </c>
      <c r="B204" s="59" t="str">
        <f>IF([2]道具信息!B204="","",[2]道具信息!B204)</f>
        <v/>
      </c>
      <c r="C204" s="59">
        <f>IF([2]道具信息!C204="","",[2]道具信息!C204)</f>
        <v>21084</v>
      </c>
      <c r="D204" s="59" t="str">
        <f>IF([2]道具信息!D204="","",[2]道具信息!D204)</f>
        <v>粮食增产令</v>
      </c>
      <c r="E204" s="59">
        <f>IF([2]道具信息!E204="","",[2]道具信息!E204)</f>
        <v>35</v>
      </c>
      <c r="F204" s="59">
        <f>IF([2]道具信息!F204="","",[2]道具信息!F204)</f>
        <v>1</v>
      </c>
      <c r="G204" s="59">
        <f>IF([2]道具信息!G204="","",[2]道具信息!G204)</f>
        <v>1</v>
      </c>
      <c r="H204" s="59">
        <f>IF([2]道具信息!H204="","",[2]道具信息!H204)</f>
        <v>1</v>
      </c>
      <c r="I204" s="59">
        <f>IF([2]道具信息!I204="","",[2]道具信息!I204)</f>
        <v>35</v>
      </c>
      <c r="J204" s="59">
        <f>IF([2]道具信息!J204="","",[2]道具信息!J204)</f>
        <v>35</v>
      </c>
      <c r="K204" s="59">
        <f>IF([2]道具信息!K204="","",[2]道具信息!K204)</f>
        <v>35</v>
      </c>
      <c r="L204" s="59" t="str">
        <f>IF([2]道具信息!L204="","",[2]道具信息!L204)</f>
        <v>使用后农田产量提高50%，持续12小时</v>
      </c>
      <c r="M204" s="59" t="str">
        <f>IF([2]道具信息!M204="","",[2]道具信息!M204)</f>
        <v/>
      </c>
      <c r="N204" s="59" t="str">
        <f>IF([2]道具信息!N204="","",[2]道具信息!N204)</f>
        <v/>
      </c>
      <c r="O204" s="59" t="str">
        <f>IF([2]道具信息!O204="","",[2]道具信息!O204)</f>
        <v/>
      </c>
      <c r="P204" s="59" t="str">
        <f>IF([2]道具信息!P204="","",[2]道具信息!P204)</f>
        <v/>
      </c>
      <c r="Q204" s="59" t="str">
        <f>IF([2]道具信息!Q204="","",[2]道具信息!Q204)</f>
        <v/>
      </c>
      <c r="R204" s="59" t="str">
        <f>IF([2]道具信息!R204="","",[2]道具信息!R204)</f>
        <v/>
      </c>
      <c r="S204" s="59" t="str">
        <f>IF([2]道具信息!S204="","",[2]道具信息!S204)</f>
        <v/>
      </c>
      <c r="T204" s="59" t="str">
        <f>IF([2]道具信息!T204="","",[2]道具信息!T204)</f>
        <v/>
      </c>
      <c r="U204" s="59" t="str">
        <f>IF([2]道具信息!U204="","",[2]道具信息!U204)</f>
        <v/>
      </c>
      <c r="V204" s="59" t="str">
        <f>IF([2]道具信息!V204="","",[2]道具信息!V204)</f>
        <v/>
      </c>
      <c r="W204" s="59" t="str">
        <f>IF([2]道具信息!W204="","",[2]道具信息!W204)</f>
        <v/>
      </c>
      <c r="X204" s="59" t="str">
        <f>IF([2]道具信息!X204="","",[2]道具信息!X204)</f>
        <v/>
      </c>
      <c r="Y204" s="59" t="str">
        <f>IF([2]道具信息!Y204="","",[2]道具信息!Y204)</f>
        <v/>
      </c>
      <c r="Z204" s="59" t="str">
        <f>IF([2]道具信息!Z204="","",[2]道具信息!Z204)</f>
        <v/>
      </c>
    </row>
    <row r="205" spans="1:26" x14ac:dyDescent="0.15">
      <c r="A205" s="59" t="str">
        <f>IF([2]道具信息!A205="","",[2]道具信息!A205)</f>
        <v/>
      </c>
      <c r="B205" s="59" t="str">
        <f>IF([2]道具信息!B205="","",[2]道具信息!B205)</f>
        <v/>
      </c>
      <c r="C205" s="59">
        <f>IF([2]道具信息!C205="","",[2]道具信息!C205)</f>
        <v>21085</v>
      </c>
      <c r="D205" s="59" t="str">
        <f>IF([2]道具信息!D205="","",[2]道具信息!D205)</f>
        <v>赋税增收令</v>
      </c>
      <c r="E205" s="59">
        <f>IF([2]道具信息!E205="","",[2]道具信息!E205)</f>
        <v>85</v>
      </c>
      <c r="F205" s="59">
        <f>IF([2]道具信息!F205="","",[2]道具信息!F205)</f>
        <v>1</v>
      </c>
      <c r="G205" s="59">
        <f>IF([2]道具信息!G205="","",[2]道具信息!G205)</f>
        <v>1</v>
      </c>
      <c r="H205" s="59">
        <f>IF([2]道具信息!H205="","",[2]道具信息!H205)</f>
        <v>1</v>
      </c>
      <c r="I205" s="59">
        <f>IF([2]道具信息!I205="","",[2]道具信息!I205)</f>
        <v>85</v>
      </c>
      <c r="J205" s="59">
        <f>IF([2]道具信息!J205="","",[2]道具信息!J205)</f>
        <v>85</v>
      </c>
      <c r="K205" s="59">
        <f>IF([2]道具信息!K205="","",[2]道具信息!K205)</f>
        <v>85</v>
      </c>
      <c r="L205" s="59" t="str">
        <f>IF([2]道具信息!L205="","",[2]道具信息!L205)</f>
        <v>使用后民居税收提高25%，持续12小时</v>
      </c>
      <c r="M205" s="59" t="str">
        <f>IF([2]道具信息!M205="","",[2]道具信息!M205)</f>
        <v/>
      </c>
      <c r="N205" s="59" t="str">
        <f>IF([2]道具信息!N205="","",[2]道具信息!N205)</f>
        <v/>
      </c>
      <c r="O205" s="59" t="str">
        <f>IF([2]道具信息!O205="","",[2]道具信息!O205)</f>
        <v/>
      </c>
      <c r="P205" s="59" t="str">
        <f>IF([2]道具信息!P205="","",[2]道具信息!P205)</f>
        <v/>
      </c>
      <c r="Q205" s="59" t="str">
        <f>IF([2]道具信息!Q205="","",[2]道具信息!Q205)</f>
        <v/>
      </c>
      <c r="R205" s="59" t="str">
        <f>IF([2]道具信息!R205="","",[2]道具信息!R205)</f>
        <v/>
      </c>
      <c r="S205" s="59" t="str">
        <f>IF([2]道具信息!S205="","",[2]道具信息!S205)</f>
        <v/>
      </c>
      <c r="T205" s="59" t="str">
        <f>IF([2]道具信息!T205="","",[2]道具信息!T205)</f>
        <v/>
      </c>
      <c r="U205" s="59" t="str">
        <f>IF([2]道具信息!U205="","",[2]道具信息!U205)</f>
        <v/>
      </c>
      <c r="V205" s="59" t="str">
        <f>IF([2]道具信息!V205="","",[2]道具信息!V205)</f>
        <v/>
      </c>
      <c r="W205" s="59" t="str">
        <f>IF([2]道具信息!W205="","",[2]道具信息!W205)</f>
        <v/>
      </c>
      <c r="X205" s="59" t="str">
        <f>IF([2]道具信息!X205="","",[2]道具信息!X205)</f>
        <v/>
      </c>
      <c r="Y205" s="59" t="str">
        <f>IF([2]道具信息!Y205="","",[2]道具信息!Y205)</f>
        <v/>
      </c>
      <c r="Z205" s="59" t="str">
        <f>IF([2]道具信息!Z205="","",[2]道具信息!Z205)</f>
        <v/>
      </c>
    </row>
    <row r="206" spans="1:26" x14ac:dyDescent="0.15">
      <c r="A206" s="59" t="str">
        <f>IF([2]道具信息!A206="","",[2]道具信息!A206)</f>
        <v/>
      </c>
      <c r="B206" s="59" t="str">
        <f>IF([2]道具信息!B206="","",[2]道具信息!B206)</f>
        <v/>
      </c>
      <c r="C206" s="59">
        <f>IF([2]道具信息!C206="","",[2]道具信息!C206)</f>
        <v>21086</v>
      </c>
      <c r="D206" s="59" t="str">
        <f>IF([2]道具信息!D206="","",[2]道具信息!D206)</f>
        <v>铜矿增产令</v>
      </c>
      <c r="E206" s="59">
        <f>IF([2]道具信息!E206="","",[2]道具信息!E206)</f>
        <v>35</v>
      </c>
      <c r="F206" s="59">
        <f>IF([2]道具信息!F206="","",[2]道具信息!F206)</f>
        <v>1</v>
      </c>
      <c r="G206" s="59">
        <f>IF([2]道具信息!G206="","",[2]道具信息!G206)</f>
        <v>1</v>
      </c>
      <c r="H206" s="59">
        <f>IF([2]道具信息!H206="","",[2]道具信息!H206)</f>
        <v>1</v>
      </c>
      <c r="I206" s="59">
        <f>IF([2]道具信息!I206="","",[2]道具信息!I206)</f>
        <v>35</v>
      </c>
      <c r="J206" s="59">
        <f>IF([2]道具信息!J206="","",[2]道具信息!J206)</f>
        <v>35</v>
      </c>
      <c r="K206" s="59">
        <f>IF([2]道具信息!K206="","",[2]道具信息!K206)</f>
        <v>35</v>
      </c>
      <c r="L206" s="59" t="str">
        <f>IF([2]道具信息!L206="","",[2]道具信息!L206)</f>
        <v>使用后铜矿产量提高50%，持续12小时</v>
      </c>
      <c r="M206" s="59" t="str">
        <f>IF([2]道具信息!M206="","",[2]道具信息!M206)</f>
        <v/>
      </c>
      <c r="N206" s="59" t="str">
        <f>IF([2]道具信息!N206="","",[2]道具信息!N206)</f>
        <v/>
      </c>
      <c r="O206" s="59" t="str">
        <f>IF([2]道具信息!O206="","",[2]道具信息!O206)</f>
        <v/>
      </c>
      <c r="P206" s="59" t="str">
        <f>IF([2]道具信息!P206="","",[2]道具信息!P206)</f>
        <v/>
      </c>
      <c r="Q206" s="59" t="str">
        <f>IF([2]道具信息!Q206="","",[2]道具信息!Q206)</f>
        <v/>
      </c>
      <c r="R206" s="59" t="str">
        <f>IF([2]道具信息!R206="","",[2]道具信息!R206)</f>
        <v/>
      </c>
      <c r="S206" s="59" t="str">
        <f>IF([2]道具信息!S206="","",[2]道具信息!S206)</f>
        <v/>
      </c>
      <c r="T206" s="59" t="str">
        <f>IF([2]道具信息!T206="","",[2]道具信息!T206)</f>
        <v/>
      </c>
      <c r="U206" s="59" t="str">
        <f>IF([2]道具信息!U206="","",[2]道具信息!U206)</f>
        <v/>
      </c>
      <c r="V206" s="59" t="str">
        <f>IF([2]道具信息!V206="","",[2]道具信息!V206)</f>
        <v/>
      </c>
      <c r="W206" s="59" t="str">
        <f>IF([2]道具信息!W206="","",[2]道具信息!W206)</f>
        <v/>
      </c>
      <c r="X206" s="59" t="str">
        <f>IF([2]道具信息!X206="","",[2]道具信息!X206)</f>
        <v/>
      </c>
      <c r="Y206" s="59" t="str">
        <f>IF([2]道具信息!Y206="","",[2]道具信息!Y206)</f>
        <v/>
      </c>
      <c r="Z206" s="59" t="str">
        <f>IF([2]道具信息!Z206="","",[2]道具信息!Z206)</f>
        <v/>
      </c>
    </row>
    <row r="207" spans="1:26" x14ac:dyDescent="0.15">
      <c r="A207" s="59" t="str">
        <f>IF([2]道具信息!A207="","",[2]道具信息!A207)</f>
        <v/>
      </c>
      <c r="B207" s="59" t="str">
        <f>IF([2]道具信息!B207="","",[2]道具信息!B207)</f>
        <v/>
      </c>
      <c r="C207" s="59" t="str">
        <f>IF([2]道具信息!C207="","",[2]道具信息!C207)</f>
        <v/>
      </c>
      <c r="D207" s="59" t="str">
        <f>IF([2]道具信息!D207="","",[2]道具信息!D207)</f>
        <v/>
      </c>
      <c r="E207" s="59" t="str">
        <f>IF([2]道具信息!E207="","",[2]道具信息!E207)</f>
        <v/>
      </c>
      <c r="F207" s="59" t="str">
        <f>IF([2]道具信息!F207="","",[2]道具信息!F207)</f>
        <v/>
      </c>
      <c r="G207" s="59" t="str">
        <f>IF([2]道具信息!G207="","",[2]道具信息!G207)</f>
        <v/>
      </c>
      <c r="H207" s="59" t="str">
        <f>IF([2]道具信息!H207="","",[2]道具信息!H207)</f>
        <v/>
      </c>
      <c r="I207" s="59" t="str">
        <f>IF([2]道具信息!I207="","",[2]道具信息!I207)</f>
        <v/>
      </c>
      <c r="J207" s="59" t="str">
        <f>IF([2]道具信息!J207="","",[2]道具信息!J207)</f>
        <v/>
      </c>
      <c r="K207" s="59" t="str">
        <f>IF([2]道具信息!K207="","",[2]道具信息!K207)</f>
        <v/>
      </c>
      <c r="L207" s="59" t="str">
        <f>IF([2]道具信息!L207="","",[2]道具信息!L207)</f>
        <v/>
      </c>
      <c r="M207" s="59" t="str">
        <f>IF([2]道具信息!M207="","",[2]道具信息!M207)</f>
        <v/>
      </c>
      <c r="N207" s="59" t="str">
        <f>IF([2]道具信息!N207="","",[2]道具信息!N207)</f>
        <v/>
      </c>
      <c r="O207" s="59" t="str">
        <f>IF([2]道具信息!O207="","",[2]道具信息!O207)</f>
        <v/>
      </c>
      <c r="P207" s="59" t="str">
        <f>IF([2]道具信息!P207="","",[2]道具信息!P207)</f>
        <v/>
      </c>
      <c r="Q207" s="59" t="str">
        <f>IF([2]道具信息!Q207="","",[2]道具信息!Q207)</f>
        <v/>
      </c>
      <c r="R207" s="59" t="str">
        <f>IF([2]道具信息!R207="","",[2]道具信息!R207)</f>
        <v/>
      </c>
      <c r="S207" s="59" t="str">
        <f>IF([2]道具信息!S207="","",[2]道具信息!S207)</f>
        <v/>
      </c>
      <c r="T207" s="59" t="str">
        <f>IF([2]道具信息!T207="","",[2]道具信息!T207)</f>
        <v/>
      </c>
      <c r="U207" s="59" t="str">
        <f>IF([2]道具信息!U207="","",[2]道具信息!U207)</f>
        <v/>
      </c>
      <c r="V207" s="59" t="str">
        <f>IF([2]道具信息!V207="","",[2]道具信息!V207)</f>
        <v/>
      </c>
      <c r="W207" s="59" t="str">
        <f>IF([2]道具信息!W207="","",[2]道具信息!W207)</f>
        <v/>
      </c>
      <c r="X207" s="59" t="str">
        <f>IF([2]道具信息!X207="","",[2]道具信息!X207)</f>
        <v/>
      </c>
      <c r="Y207" s="59" t="str">
        <f>IF([2]道具信息!Y207="","",[2]道具信息!Y207)</f>
        <v/>
      </c>
      <c r="Z207" s="59" t="str">
        <f>IF([2]道具信息!Z207="","",[2]道具信息!Z207)</f>
        <v/>
      </c>
    </row>
    <row r="208" spans="1:26" x14ac:dyDescent="0.15">
      <c r="A208" s="59" t="str">
        <f>IF([2]道具信息!A208="","",[2]道具信息!A208)</f>
        <v/>
      </c>
      <c r="B208" s="59" t="str">
        <f>IF([2]道具信息!B208="","",[2]道具信息!B208)</f>
        <v/>
      </c>
      <c r="C208" s="59">
        <f>IF([2]道具信息!C208="","",[2]道具信息!C208)</f>
        <v>21100</v>
      </c>
      <c r="D208" s="59" t="str">
        <f>IF([2]道具信息!D208="","",[2]道具信息!D208)</f>
        <v>免战牌</v>
      </c>
      <c r="E208" s="59">
        <f>IF([2]道具信息!E208="","",[2]道具信息!E208)</f>
        <v>100</v>
      </c>
      <c r="F208" s="59">
        <f>IF([2]道具信息!F208="","",[2]道具信息!F208)</f>
        <v>1</v>
      </c>
      <c r="G208" s="59">
        <f>IF([2]道具信息!G208="","",[2]道具信息!G208)</f>
        <v>1</v>
      </c>
      <c r="H208" s="59">
        <f>IF([2]道具信息!H208="","",[2]道具信息!H208)</f>
        <v>1</v>
      </c>
      <c r="I208" s="59">
        <f>IF([2]道具信息!I208="","",[2]道具信息!I208)</f>
        <v>100</v>
      </c>
      <c r="J208" s="59">
        <f>IF([2]道具信息!J208="","",[2]道具信息!J208)</f>
        <v>100</v>
      </c>
      <c r="K208" s="59">
        <f>IF([2]道具信息!K208="","",[2]道具信息!K208)</f>
        <v>100</v>
      </c>
      <c r="L208" s="59" t="str">
        <f>IF([2]道具信息!L208="","",[2]道具信息!L208)</f>
        <v>使用后城池不会遭受来自玩家的攻击，主动进攻玩家后失效，持续8小时</v>
      </c>
      <c r="M208" s="59" t="str">
        <f>IF([2]道具信息!M208="","",[2]道具信息!M208)</f>
        <v/>
      </c>
      <c r="N208" s="59" t="str">
        <f>IF([2]道具信息!N208="","",[2]道具信息!N208)</f>
        <v/>
      </c>
      <c r="O208" s="59" t="str">
        <f>IF([2]道具信息!O208="","",[2]道具信息!O208)</f>
        <v/>
      </c>
      <c r="P208" s="59" t="str">
        <f>IF([2]道具信息!P208="","",[2]道具信息!P208)</f>
        <v/>
      </c>
      <c r="Q208" s="59" t="str">
        <f>IF([2]道具信息!Q208="","",[2]道具信息!Q208)</f>
        <v/>
      </c>
      <c r="R208" s="59" t="str">
        <f>IF([2]道具信息!R208="","",[2]道具信息!R208)</f>
        <v/>
      </c>
      <c r="S208" s="59" t="str">
        <f>IF([2]道具信息!S208="","",[2]道具信息!S208)</f>
        <v/>
      </c>
      <c r="T208" s="59" t="str">
        <f>IF([2]道具信息!T208="","",[2]道具信息!T208)</f>
        <v/>
      </c>
      <c r="U208" s="59" t="str">
        <f>IF([2]道具信息!U208="","",[2]道具信息!U208)</f>
        <v/>
      </c>
      <c r="V208" s="59" t="str">
        <f>IF([2]道具信息!V208="","",[2]道具信息!V208)</f>
        <v/>
      </c>
      <c r="W208" s="59" t="str">
        <f>IF([2]道具信息!W208="","",[2]道具信息!W208)</f>
        <v/>
      </c>
      <c r="X208" s="59" t="str">
        <f>IF([2]道具信息!X208="","",[2]道具信息!X208)</f>
        <v/>
      </c>
      <c r="Y208" s="59" t="str">
        <f>IF([2]道具信息!Y208="","",[2]道具信息!Y208)</f>
        <v/>
      </c>
      <c r="Z208" s="59" t="str">
        <f>IF([2]道具信息!Z208="","",[2]道具信息!Z208)</f>
        <v/>
      </c>
    </row>
    <row r="209" spans="1:26" x14ac:dyDescent="0.15">
      <c r="A209" s="59" t="str">
        <f>IF([2]道具信息!A209="","",[2]道具信息!A209)</f>
        <v/>
      </c>
      <c r="B209" s="59" t="str">
        <f>IF([2]道具信息!B209="","",[2]道具信息!B209)</f>
        <v/>
      </c>
      <c r="C209" s="59">
        <f>IF([2]道具信息!C209="","",[2]道具信息!C209)</f>
        <v>21101</v>
      </c>
      <c r="D209" s="59" t="str">
        <f>IF([2]道具信息!D209="","",[2]道具信息!D209)</f>
        <v>普通点将牌</v>
      </c>
      <c r="E209" s="59">
        <f>IF([2]道具信息!E209="","",[2]道具信息!E209)</f>
        <v>65</v>
      </c>
      <c r="F209" s="59">
        <f>IF([2]道具信息!F209="","",[2]道具信息!F209)</f>
        <v>1</v>
      </c>
      <c r="G209" s="59">
        <f>IF([2]道具信息!G209="","",[2]道具信息!G209)</f>
        <v>1</v>
      </c>
      <c r="H209" s="59">
        <f>IF([2]道具信息!H209="","",[2]道具信息!H209)</f>
        <v>1</v>
      </c>
      <c r="I209" s="59">
        <f>IF([2]道具信息!I209="","",[2]道具信息!I209)</f>
        <v>65</v>
      </c>
      <c r="J209" s="59">
        <f>IF([2]道具信息!J209="","",[2]道具信息!J209)</f>
        <v>65</v>
      </c>
      <c r="K209" s="59">
        <f>IF([2]道具信息!K209="","",[2]道具信息!K209)</f>
        <v>65</v>
      </c>
      <c r="L209" s="59" t="str">
        <f>IF([2]道具信息!L209="","",[2]道具信息!L209)</f>
        <v>点将台普通招募时消耗的令牌</v>
      </c>
      <c r="M209" s="59" t="str">
        <f>IF([2]道具信息!M209="","",[2]道具信息!M209)</f>
        <v/>
      </c>
      <c r="N209" s="59" t="str">
        <f>IF([2]道具信息!N209="","",[2]道具信息!N209)</f>
        <v/>
      </c>
      <c r="O209" s="59" t="str">
        <f>IF([2]道具信息!O209="","",[2]道具信息!O209)</f>
        <v/>
      </c>
      <c r="P209" s="59" t="str">
        <f>IF([2]道具信息!P209="","",[2]道具信息!P209)</f>
        <v/>
      </c>
      <c r="Q209" s="59" t="str">
        <f>IF([2]道具信息!Q209="","",[2]道具信息!Q209)</f>
        <v/>
      </c>
      <c r="R209" s="59" t="str">
        <f>IF([2]道具信息!R209="","",[2]道具信息!R209)</f>
        <v/>
      </c>
      <c r="S209" s="59" t="str">
        <f>IF([2]道具信息!S209="","",[2]道具信息!S209)</f>
        <v/>
      </c>
      <c r="T209" s="59" t="str">
        <f>IF([2]道具信息!T209="","",[2]道具信息!T209)</f>
        <v/>
      </c>
      <c r="U209" s="59" t="str">
        <f>IF([2]道具信息!U209="","",[2]道具信息!U209)</f>
        <v/>
      </c>
      <c r="V209" s="59" t="str">
        <f>IF([2]道具信息!V209="","",[2]道具信息!V209)</f>
        <v/>
      </c>
      <c r="W209" s="59" t="str">
        <f>IF([2]道具信息!W209="","",[2]道具信息!W209)</f>
        <v/>
      </c>
      <c r="X209" s="59" t="str">
        <f>IF([2]道具信息!X209="","",[2]道具信息!X209)</f>
        <v/>
      </c>
      <c r="Y209" s="59" t="str">
        <f>IF([2]道具信息!Y209="","",[2]道具信息!Y209)</f>
        <v/>
      </c>
      <c r="Z209" s="59" t="str">
        <f>IF([2]道具信息!Z209="","",[2]道具信息!Z209)</f>
        <v/>
      </c>
    </row>
    <row r="210" spans="1:26" x14ac:dyDescent="0.15">
      <c r="A210" s="59" t="str">
        <f>IF([2]道具信息!A210="","",[2]道具信息!A210)</f>
        <v/>
      </c>
      <c r="B210" s="59" t="str">
        <f>IF([2]道具信息!B210="","",[2]道具信息!B210)</f>
        <v/>
      </c>
      <c r="C210" s="59">
        <f>IF([2]道具信息!C210="","",[2]道具信息!C210)</f>
        <v>21102</v>
      </c>
      <c r="D210" s="59" t="str">
        <f>IF([2]道具信息!D210="","",[2]道具信息!D210)</f>
        <v>高级点将牌</v>
      </c>
      <c r="E210" s="59">
        <f>IF([2]道具信息!E210="","",[2]道具信息!E210)</f>
        <v>240</v>
      </c>
      <c r="F210" s="59">
        <f>IF([2]道具信息!F210="","",[2]道具信息!F210)</f>
        <v>1</v>
      </c>
      <c r="G210" s="59">
        <f>IF([2]道具信息!G210="","",[2]道具信息!G210)</f>
        <v>1</v>
      </c>
      <c r="H210" s="59">
        <f>IF([2]道具信息!H210="","",[2]道具信息!H210)</f>
        <v>1</v>
      </c>
      <c r="I210" s="59">
        <f>IF([2]道具信息!I210="","",[2]道具信息!I210)</f>
        <v>240</v>
      </c>
      <c r="J210" s="59">
        <f>IF([2]道具信息!J210="","",[2]道具信息!J210)</f>
        <v>240</v>
      </c>
      <c r="K210" s="59">
        <f>IF([2]道具信息!K210="","",[2]道具信息!K210)</f>
        <v>240</v>
      </c>
      <c r="L210" s="59" t="str">
        <f>IF([2]道具信息!L210="","",[2]道具信息!L210)</f>
        <v>点将台高级招募时消耗的令牌</v>
      </c>
      <c r="M210" s="59" t="str">
        <f>IF([2]道具信息!M210="","",[2]道具信息!M210)</f>
        <v/>
      </c>
      <c r="N210" s="59" t="str">
        <f>IF([2]道具信息!N210="","",[2]道具信息!N210)</f>
        <v/>
      </c>
      <c r="O210" s="59" t="str">
        <f>IF([2]道具信息!O210="","",[2]道具信息!O210)</f>
        <v/>
      </c>
      <c r="P210" s="59" t="str">
        <f>IF([2]道具信息!P210="","",[2]道具信息!P210)</f>
        <v/>
      </c>
      <c r="Q210" s="59" t="str">
        <f>IF([2]道具信息!Q210="","",[2]道具信息!Q210)</f>
        <v/>
      </c>
      <c r="R210" s="59" t="str">
        <f>IF([2]道具信息!R210="","",[2]道具信息!R210)</f>
        <v/>
      </c>
      <c r="S210" s="59" t="str">
        <f>IF([2]道具信息!S210="","",[2]道具信息!S210)</f>
        <v/>
      </c>
      <c r="T210" s="59" t="str">
        <f>IF([2]道具信息!T210="","",[2]道具信息!T210)</f>
        <v/>
      </c>
      <c r="U210" s="59" t="str">
        <f>IF([2]道具信息!U210="","",[2]道具信息!U210)</f>
        <v/>
      </c>
      <c r="V210" s="59" t="str">
        <f>IF([2]道具信息!V210="","",[2]道具信息!V210)</f>
        <v/>
      </c>
      <c r="W210" s="59" t="str">
        <f>IF([2]道具信息!W210="","",[2]道具信息!W210)</f>
        <v/>
      </c>
      <c r="X210" s="59" t="str">
        <f>IF([2]道具信息!X210="","",[2]道具信息!X210)</f>
        <v/>
      </c>
      <c r="Y210" s="59" t="str">
        <f>IF([2]道具信息!Y210="","",[2]道具信息!Y210)</f>
        <v/>
      </c>
      <c r="Z210" s="59" t="str">
        <f>IF([2]道具信息!Z210="","",[2]道具信息!Z210)</f>
        <v/>
      </c>
    </row>
    <row r="211" spans="1:26" x14ac:dyDescent="0.15">
      <c r="A211" s="59" t="str">
        <f>IF([2]道具信息!A211="","",[2]道具信息!A211)</f>
        <v/>
      </c>
      <c r="B211" s="59" t="str">
        <f>IF([2]道具信息!B211="","",[2]道具信息!B211)</f>
        <v/>
      </c>
      <c r="C211" s="59" t="str">
        <f>IF([2]道具信息!C211="","",[2]道具信息!C211)</f>
        <v/>
      </c>
      <c r="D211" s="59" t="str">
        <f>IF([2]道具信息!D211="","",[2]道具信息!D211)</f>
        <v>行军丸（旧版)</v>
      </c>
      <c r="E211" s="59" t="str">
        <f>IF([2]道具信息!E211="","",[2]道具信息!E211)</f>
        <v/>
      </c>
      <c r="F211" s="59" t="str">
        <f>IF([2]道具信息!F211="","",[2]道具信息!F211)</f>
        <v/>
      </c>
      <c r="G211" s="59" t="str">
        <f>IF([2]道具信息!G211="","",[2]道具信息!G211)</f>
        <v/>
      </c>
      <c r="H211" s="59" t="str">
        <f>IF([2]道具信息!H211="","",[2]道具信息!H211)</f>
        <v/>
      </c>
      <c r="I211" s="59" t="str">
        <f>IF([2]道具信息!I211="","",[2]道具信息!I211)</f>
        <v/>
      </c>
      <c r="J211" s="59" t="str">
        <f>IF([2]道具信息!J211="","",[2]道具信息!J211)</f>
        <v/>
      </c>
      <c r="K211" s="59" t="str">
        <f>IF([2]道具信息!K211="","",[2]道具信息!K211)</f>
        <v/>
      </c>
      <c r="L211" s="59" t="str">
        <f>IF([2]道具信息!L211="","",[2]道具信息!L211)</f>
        <v>使用后每次可增加部队100%的行军速度</v>
      </c>
      <c r="M211" s="59" t="str">
        <f>IF([2]道具信息!M211="","",[2]道具信息!M211)</f>
        <v/>
      </c>
      <c r="N211" s="59" t="str">
        <f>IF([2]道具信息!N211="","",[2]道具信息!N211)</f>
        <v/>
      </c>
      <c r="O211" s="59" t="str">
        <f>IF([2]道具信息!O211="","",[2]道具信息!O211)</f>
        <v/>
      </c>
      <c r="P211" s="59" t="str">
        <f>IF([2]道具信息!P211="","",[2]道具信息!P211)</f>
        <v/>
      </c>
      <c r="Q211" s="59" t="str">
        <f>IF([2]道具信息!Q211="","",[2]道具信息!Q211)</f>
        <v/>
      </c>
      <c r="R211" s="59" t="str">
        <f>IF([2]道具信息!R211="","",[2]道具信息!R211)</f>
        <v/>
      </c>
      <c r="S211" s="59" t="str">
        <f>IF([2]道具信息!S211="","",[2]道具信息!S211)</f>
        <v/>
      </c>
      <c r="T211" s="59" t="str">
        <f>IF([2]道具信息!T211="","",[2]道具信息!T211)</f>
        <v/>
      </c>
      <c r="U211" s="59" t="str">
        <f>IF([2]道具信息!U211="","",[2]道具信息!U211)</f>
        <v/>
      </c>
      <c r="V211" s="59" t="str">
        <f>IF([2]道具信息!V211="","",[2]道具信息!V211)</f>
        <v/>
      </c>
      <c r="W211" s="59" t="str">
        <f>IF([2]道具信息!W211="","",[2]道具信息!W211)</f>
        <v/>
      </c>
      <c r="X211" s="59" t="str">
        <f>IF([2]道具信息!X211="","",[2]道具信息!X211)</f>
        <v/>
      </c>
      <c r="Y211" s="59" t="str">
        <f>IF([2]道具信息!Y211="","",[2]道具信息!Y211)</f>
        <v/>
      </c>
      <c r="Z211" s="59" t="str">
        <f>IF([2]道具信息!Z211="","",[2]道具信息!Z211)</f>
        <v/>
      </c>
    </row>
    <row r="212" spans="1:26" x14ac:dyDescent="0.15">
      <c r="A212" s="59" t="str">
        <f>IF([2]道具信息!A212="","",[2]道具信息!A212)</f>
        <v/>
      </c>
      <c r="B212" s="59" t="str">
        <f>IF([2]道具信息!B212="","",[2]道具信息!B212)</f>
        <v/>
      </c>
      <c r="C212" s="59">
        <f>IF([2]道具信息!C212="","",[2]道具信息!C212)</f>
        <v>21104</v>
      </c>
      <c r="D212" s="59" t="str">
        <f>IF([2]道具信息!D212="","",[2]道具信息!D212)</f>
        <v>撤军令</v>
      </c>
      <c r="E212" s="59">
        <f>IF([2]道具信息!E212="","",[2]道具信息!E212)</f>
        <v>60</v>
      </c>
      <c r="F212" s="59">
        <f>IF([2]道具信息!F212="","",[2]道具信息!F212)</f>
        <v>1</v>
      </c>
      <c r="G212" s="59">
        <f>IF([2]道具信息!G212="","",[2]道具信息!G212)</f>
        <v>1</v>
      </c>
      <c r="H212" s="59">
        <f>IF([2]道具信息!H212="","",[2]道具信息!H212)</f>
        <v>1</v>
      </c>
      <c r="I212" s="59">
        <f>IF([2]道具信息!I212="","",[2]道具信息!I212)</f>
        <v>60</v>
      </c>
      <c r="J212" s="59">
        <f>IF([2]道具信息!J212="","",[2]道具信息!J212)</f>
        <v>60</v>
      </c>
      <c r="K212" s="59">
        <f>IF([2]道具信息!K212="","",[2]道具信息!K212)</f>
        <v>60</v>
      </c>
      <c r="L212" s="59" t="str">
        <f>IF([2]道具信息!L212="","",[2]道具信息!L212)</f>
        <v>使用后使一支出征队伍立即撤军回城</v>
      </c>
      <c r="M212" s="59" t="str">
        <f>IF([2]道具信息!M212="","",[2]道具信息!M212)</f>
        <v/>
      </c>
      <c r="N212" s="59" t="str">
        <f>IF([2]道具信息!N212="","",[2]道具信息!N212)</f>
        <v/>
      </c>
      <c r="O212" s="59" t="str">
        <f>IF([2]道具信息!O212="","",[2]道具信息!O212)</f>
        <v/>
      </c>
      <c r="P212" s="59" t="str">
        <f>IF([2]道具信息!P212="","",[2]道具信息!P212)</f>
        <v/>
      </c>
      <c r="Q212" s="59" t="str">
        <f>IF([2]道具信息!Q212="","",[2]道具信息!Q212)</f>
        <v/>
      </c>
      <c r="R212" s="59" t="str">
        <f>IF([2]道具信息!R212="","",[2]道具信息!R212)</f>
        <v/>
      </c>
      <c r="S212" s="59" t="str">
        <f>IF([2]道具信息!S212="","",[2]道具信息!S212)</f>
        <v/>
      </c>
      <c r="T212" s="59" t="str">
        <f>IF([2]道具信息!T212="","",[2]道具信息!T212)</f>
        <v/>
      </c>
      <c r="U212" s="59" t="str">
        <f>IF([2]道具信息!U212="","",[2]道具信息!U212)</f>
        <v/>
      </c>
      <c r="V212" s="59" t="str">
        <f>IF([2]道具信息!V212="","",[2]道具信息!V212)</f>
        <v/>
      </c>
      <c r="W212" s="59" t="str">
        <f>IF([2]道具信息!W212="","",[2]道具信息!W212)</f>
        <v/>
      </c>
      <c r="X212" s="59" t="str">
        <f>IF([2]道具信息!X212="","",[2]道具信息!X212)</f>
        <v/>
      </c>
      <c r="Y212" s="59" t="str">
        <f>IF([2]道具信息!Y212="","",[2]道具信息!Y212)</f>
        <v/>
      </c>
      <c r="Z212" s="59" t="str">
        <f>IF([2]道具信息!Z212="","",[2]道具信息!Z212)</f>
        <v/>
      </c>
    </row>
    <row r="213" spans="1:26" x14ac:dyDescent="0.15">
      <c r="A213" s="59" t="str">
        <f>IF([2]道具信息!A213="","",[2]道具信息!A213)</f>
        <v/>
      </c>
      <c r="B213" s="59" t="str">
        <f>IF([2]道具信息!B213="","",[2]道具信息!B213)</f>
        <v/>
      </c>
      <c r="C213" s="59" t="str">
        <f>IF([2]道具信息!C213="","",[2]道具信息!C213)</f>
        <v/>
      </c>
      <c r="D213" s="59" t="str">
        <f>IF([2]道具信息!D213="","",[2]道具信息!D213)</f>
        <v/>
      </c>
      <c r="E213" s="59" t="str">
        <f>IF([2]道具信息!E213="","",[2]道具信息!E213)</f>
        <v/>
      </c>
      <c r="F213" s="59" t="str">
        <f>IF([2]道具信息!F213="","",[2]道具信息!F213)</f>
        <v/>
      </c>
      <c r="G213" s="59" t="str">
        <f>IF([2]道具信息!G213="","",[2]道具信息!G213)</f>
        <v/>
      </c>
      <c r="H213" s="59" t="str">
        <f>IF([2]道具信息!H213="","",[2]道具信息!H213)</f>
        <v/>
      </c>
      <c r="I213" s="59" t="str">
        <f>IF([2]道具信息!I213="","",[2]道具信息!I213)</f>
        <v/>
      </c>
      <c r="J213" s="59" t="str">
        <f>IF([2]道具信息!J213="","",[2]道具信息!J213)</f>
        <v/>
      </c>
      <c r="K213" s="59" t="str">
        <f>IF([2]道具信息!K213="","",[2]道具信息!K213)</f>
        <v/>
      </c>
      <c r="L213" s="59" t="str">
        <f>IF([2]道具信息!L213="","",[2]道具信息!L213)</f>
        <v/>
      </c>
      <c r="M213" s="59" t="str">
        <f>IF([2]道具信息!M213="","",[2]道具信息!M213)</f>
        <v/>
      </c>
      <c r="N213" s="59" t="str">
        <f>IF([2]道具信息!N213="","",[2]道具信息!N213)</f>
        <v/>
      </c>
      <c r="O213" s="59" t="str">
        <f>IF([2]道具信息!O213="","",[2]道具信息!O213)</f>
        <v/>
      </c>
      <c r="P213" s="59" t="str">
        <f>IF([2]道具信息!P213="","",[2]道具信息!P213)</f>
        <v/>
      </c>
      <c r="Q213" s="59" t="str">
        <f>IF([2]道具信息!Q213="","",[2]道具信息!Q213)</f>
        <v/>
      </c>
      <c r="R213" s="59" t="str">
        <f>IF([2]道具信息!R213="","",[2]道具信息!R213)</f>
        <v/>
      </c>
      <c r="S213" s="59" t="str">
        <f>IF([2]道具信息!S213="","",[2]道具信息!S213)</f>
        <v/>
      </c>
      <c r="T213" s="59" t="str">
        <f>IF([2]道具信息!T213="","",[2]道具信息!T213)</f>
        <v/>
      </c>
      <c r="U213" s="59" t="str">
        <f>IF([2]道具信息!U213="","",[2]道具信息!U213)</f>
        <v/>
      </c>
      <c r="V213" s="59" t="str">
        <f>IF([2]道具信息!V213="","",[2]道具信息!V213)</f>
        <v/>
      </c>
      <c r="W213" s="59" t="str">
        <f>IF([2]道具信息!W213="","",[2]道具信息!W213)</f>
        <v/>
      </c>
      <c r="X213" s="59" t="str">
        <f>IF([2]道具信息!X213="","",[2]道具信息!X213)</f>
        <v/>
      </c>
      <c r="Y213" s="59" t="str">
        <f>IF([2]道具信息!Y213="","",[2]道具信息!Y213)</f>
        <v/>
      </c>
      <c r="Z213" s="59" t="str">
        <f>IF([2]道具信息!Z213="","",[2]道具信息!Z213)</f>
        <v/>
      </c>
    </row>
    <row r="214" spans="1:26" x14ac:dyDescent="0.15">
      <c r="A214" s="59" t="str">
        <f>IF([2]道具信息!A214="","",[2]道具信息!A214)</f>
        <v/>
      </c>
      <c r="B214" s="59" t="str">
        <f>IF([2]道具信息!B214="","",[2]道具信息!B214)</f>
        <v/>
      </c>
      <c r="C214" s="59">
        <f>IF([2]道具信息!C214="","",[2]道具信息!C214)</f>
        <v>21110</v>
      </c>
      <c r="D214" s="59" t="str">
        <f>IF([2]道具信息!D214="","",[2]道具信息!D214)</f>
        <v>城建1分钟加速令</v>
      </c>
      <c r="E214" s="59">
        <f>IF([2]道具信息!E214="","",[2]道具信息!E214)</f>
        <v>2</v>
      </c>
      <c r="F214" s="59">
        <f>IF([2]道具信息!F214="","",[2]道具信息!F214)</f>
        <v>1</v>
      </c>
      <c r="G214" s="59">
        <f>IF([2]道具信息!G214="","",[2]道具信息!G214)</f>
        <v>1</v>
      </c>
      <c r="H214" s="59">
        <f>IF([2]道具信息!H214="","",[2]道具信息!H214)</f>
        <v>0.3</v>
      </c>
      <c r="I214" s="59">
        <f>IF([2]道具信息!I214="","",[2]道具信息!I214)</f>
        <v>2</v>
      </c>
      <c r="J214" s="59">
        <f>IF([2]道具信息!J214="","",[2]道具信息!J214)</f>
        <v>2</v>
      </c>
      <c r="K214" s="59">
        <f>IF([2]道具信息!K214="","",[2]道具信息!K214)</f>
        <v>0.6</v>
      </c>
      <c r="L214" s="59" t="str">
        <f>IF([2]道具信息!L214="","",[2]道具信息!L214)</f>
        <v>使用后城池建设加速1分钟</v>
      </c>
      <c r="M214" s="59" t="str">
        <f>IF([2]道具信息!M214="","",[2]道具信息!M214)</f>
        <v/>
      </c>
      <c r="N214" s="59" t="str">
        <f>IF([2]道具信息!N214="","",[2]道具信息!N214)</f>
        <v/>
      </c>
      <c r="O214" s="59" t="str">
        <f>IF([2]道具信息!O214="","",[2]道具信息!O214)</f>
        <v/>
      </c>
      <c r="P214" s="59" t="str">
        <f>IF([2]道具信息!P214="","",[2]道具信息!P214)</f>
        <v/>
      </c>
      <c r="Q214" s="59" t="str">
        <f>IF([2]道具信息!Q214="","",[2]道具信息!Q214)</f>
        <v/>
      </c>
      <c r="R214" s="59" t="str">
        <f>IF([2]道具信息!R214="","",[2]道具信息!R214)</f>
        <v/>
      </c>
      <c r="S214" s="59" t="str">
        <f>IF([2]道具信息!S214="","",[2]道具信息!S214)</f>
        <v/>
      </c>
      <c r="T214" s="59" t="str">
        <f>IF([2]道具信息!T214="","",[2]道具信息!T214)</f>
        <v/>
      </c>
      <c r="U214" s="59" t="str">
        <f>IF([2]道具信息!U214="","",[2]道具信息!U214)</f>
        <v/>
      </c>
      <c r="V214" s="59" t="str">
        <f>IF([2]道具信息!V214="","",[2]道具信息!V214)</f>
        <v/>
      </c>
      <c r="W214" s="59" t="str">
        <f>IF([2]道具信息!W214="","",[2]道具信息!W214)</f>
        <v/>
      </c>
      <c r="X214" s="59" t="str">
        <f>IF([2]道具信息!X214="","",[2]道具信息!X214)</f>
        <v/>
      </c>
      <c r="Y214" s="59" t="str">
        <f>IF([2]道具信息!Y214="","",[2]道具信息!Y214)</f>
        <v/>
      </c>
      <c r="Z214" s="59" t="str">
        <f>IF([2]道具信息!Z214="","",[2]道具信息!Z214)</f>
        <v/>
      </c>
    </row>
    <row r="215" spans="1:26" x14ac:dyDescent="0.15">
      <c r="A215" s="59" t="str">
        <f>IF([2]道具信息!A215="","",[2]道具信息!A215)</f>
        <v/>
      </c>
      <c r="B215" s="59" t="str">
        <f>IF([2]道具信息!B215="","",[2]道具信息!B215)</f>
        <v/>
      </c>
      <c r="C215" s="59">
        <f>IF([2]道具信息!C215="","",[2]道具信息!C215)</f>
        <v>21111</v>
      </c>
      <c r="D215" s="59" t="str">
        <f>IF([2]道具信息!D215="","",[2]道具信息!D215)</f>
        <v>城建5分钟加速令</v>
      </c>
      <c r="E215" s="59">
        <f>IF([2]道具信息!E215="","",[2]道具信息!E215)</f>
        <v>8</v>
      </c>
      <c r="F215" s="59">
        <f>IF([2]道具信息!F215="","",[2]道具信息!F215)</f>
        <v>1</v>
      </c>
      <c r="G215" s="59">
        <f>IF([2]道具信息!G215="","",[2]道具信息!G215)</f>
        <v>1</v>
      </c>
      <c r="H215" s="59">
        <f>IF([2]道具信息!H215="","",[2]道具信息!H215)</f>
        <v>0.4</v>
      </c>
      <c r="I215" s="59">
        <f>IF([2]道具信息!I215="","",[2]道具信息!I215)</f>
        <v>8</v>
      </c>
      <c r="J215" s="59">
        <f>IF([2]道具信息!J215="","",[2]道具信息!J215)</f>
        <v>8</v>
      </c>
      <c r="K215" s="59">
        <f>IF([2]道具信息!K215="","",[2]道具信息!K215)</f>
        <v>3.2</v>
      </c>
      <c r="L215" s="59" t="str">
        <f>IF([2]道具信息!L215="","",[2]道具信息!L215)</f>
        <v>使用后城池建设加速5分钟</v>
      </c>
      <c r="M215" s="59" t="str">
        <f>IF([2]道具信息!M215="","",[2]道具信息!M215)</f>
        <v/>
      </c>
      <c r="N215" s="59" t="str">
        <f>IF([2]道具信息!N215="","",[2]道具信息!N215)</f>
        <v/>
      </c>
      <c r="O215" s="59" t="str">
        <f>IF([2]道具信息!O215="","",[2]道具信息!O215)</f>
        <v/>
      </c>
      <c r="P215" s="59" t="str">
        <f>IF([2]道具信息!P215="","",[2]道具信息!P215)</f>
        <v/>
      </c>
      <c r="Q215" s="59" t="str">
        <f>IF([2]道具信息!Q215="","",[2]道具信息!Q215)</f>
        <v/>
      </c>
      <c r="R215" s="59" t="str">
        <f>IF([2]道具信息!R215="","",[2]道具信息!R215)</f>
        <v/>
      </c>
      <c r="S215" s="59" t="str">
        <f>IF([2]道具信息!S215="","",[2]道具信息!S215)</f>
        <v/>
      </c>
      <c r="T215" s="59" t="str">
        <f>IF([2]道具信息!T215="","",[2]道具信息!T215)</f>
        <v/>
      </c>
      <c r="U215" s="59" t="str">
        <f>IF([2]道具信息!U215="","",[2]道具信息!U215)</f>
        <v/>
      </c>
      <c r="V215" s="59" t="str">
        <f>IF([2]道具信息!V215="","",[2]道具信息!V215)</f>
        <v/>
      </c>
      <c r="W215" s="59" t="str">
        <f>IF([2]道具信息!W215="","",[2]道具信息!W215)</f>
        <v/>
      </c>
      <c r="X215" s="59" t="str">
        <f>IF([2]道具信息!X215="","",[2]道具信息!X215)</f>
        <v/>
      </c>
      <c r="Y215" s="59" t="str">
        <f>IF([2]道具信息!Y215="","",[2]道具信息!Y215)</f>
        <v/>
      </c>
      <c r="Z215" s="59" t="str">
        <f>IF([2]道具信息!Z215="","",[2]道具信息!Z215)</f>
        <v/>
      </c>
    </row>
    <row r="216" spans="1:26" x14ac:dyDescent="0.15">
      <c r="A216" s="59" t="str">
        <f>IF([2]道具信息!A216="","",[2]道具信息!A216)</f>
        <v/>
      </c>
      <c r="B216" s="59" t="str">
        <f>IF([2]道具信息!B216="","",[2]道具信息!B216)</f>
        <v/>
      </c>
      <c r="C216" s="59">
        <f>IF([2]道具信息!C216="","",[2]道具信息!C216)</f>
        <v>21112</v>
      </c>
      <c r="D216" s="59" t="str">
        <f>IF([2]道具信息!D216="","",[2]道具信息!D216)</f>
        <v>城建20分钟加速令</v>
      </c>
      <c r="E216" s="59">
        <f>IF([2]道具信息!E216="","",[2]道具信息!E216)</f>
        <v>20</v>
      </c>
      <c r="F216" s="59">
        <f>IF([2]道具信息!F216="","",[2]道具信息!F216)</f>
        <v>1</v>
      </c>
      <c r="G216" s="59">
        <f>IF([2]道具信息!G216="","",[2]道具信息!G216)</f>
        <v>1</v>
      </c>
      <c r="H216" s="59">
        <f>IF([2]道具信息!H216="","",[2]道具信息!H216)</f>
        <v>0.5</v>
      </c>
      <c r="I216" s="59">
        <f>IF([2]道具信息!I216="","",[2]道具信息!I216)</f>
        <v>20</v>
      </c>
      <c r="J216" s="59">
        <f>IF([2]道具信息!J216="","",[2]道具信息!J216)</f>
        <v>20</v>
      </c>
      <c r="K216" s="59">
        <f>IF([2]道具信息!K216="","",[2]道具信息!K216)</f>
        <v>10</v>
      </c>
      <c r="L216" s="59" t="str">
        <f>IF([2]道具信息!L216="","",[2]道具信息!L216)</f>
        <v>使用后城池建设加速20分钟</v>
      </c>
      <c r="M216" s="59" t="str">
        <f>IF([2]道具信息!M216="","",[2]道具信息!M216)</f>
        <v/>
      </c>
      <c r="N216" s="59" t="str">
        <f>IF([2]道具信息!N216="","",[2]道具信息!N216)</f>
        <v/>
      </c>
      <c r="O216" s="59" t="str">
        <f>IF([2]道具信息!O216="","",[2]道具信息!O216)</f>
        <v/>
      </c>
      <c r="P216" s="59" t="str">
        <f>IF([2]道具信息!P216="","",[2]道具信息!P216)</f>
        <v/>
      </c>
      <c r="Q216" s="59" t="str">
        <f>IF([2]道具信息!Q216="","",[2]道具信息!Q216)</f>
        <v/>
      </c>
      <c r="R216" s="59" t="str">
        <f>IF([2]道具信息!R216="","",[2]道具信息!R216)</f>
        <v/>
      </c>
      <c r="S216" s="59" t="str">
        <f>IF([2]道具信息!S216="","",[2]道具信息!S216)</f>
        <v/>
      </c>
      <c r="T216" s="59" t="str">
        <f>IF([2]道具信息!T216="","",[2]道具信息!T216)</f>
        <v/>
      </c>
      <c r="U216" s="59" t="str">
        <f>IF([2]道具信息!U216="","",[2]道具信息!U216)</f>
        <v/>
      </c>
      <c r="V216" s="59" t="str">
        <f>IF([2]道具信息!V216="","",[2]道具信息!V216)</f>
        <v/>
      </c>
      <c r="W216" s="59" t="str">
        <f>IF([2]道具信息!W216="","",[2]道具信息!W216)</f>
        <v/>
      </c>
      <c r="X216" s="59" t="str">
        <f>IF([2]道具信息!X216="","",[2]道具信息!X216)</f>
        <v/>
      </c>
      <c r="Y216" s="59" t="str">
        <f>IF([2]道具信息!Y216="","",[2]道具信息!Y216)</f>
        <v/>
      </c>
      <c r="Z216" s="59" t="str">
        <f>IF([2]道具信息!Z216="","",[2]道具信息!Z216)</f>
        <v/>
      </c>
    </row>
    <row r="217" spans="1:26" x14ac:dyDescent="0.15">
      <c r="A217" s="59" t="str">
        <f>IF([2]道具信息!A217="","",[2]道具信息!A217)</f>
        <v/>
      </c>
      <c r="B217" s="59" t="str">
        <f>IF([2]道具信息!B217="","",[2]道具信息!B217)</f>
        <v/>
      </c>
      <c r="C217" s="59">
        <f>IF([2]道具信息!C217="","",[2]道具信息!C217)</f>
        <v>21113</v>
      </c>
      <c r="D217" s="59" t="str">
        <f>IF([2]道具信息!D217="","",[2]道具信息!D217)</f>
        <v>城建1小时加速令</v>
      </c>
      <c r="E217" s="59">
        <f>IF([2]道具信息!E217="","",[2]道具信息!E217)</f>
        <v>50</v>
      </c>
      <c r="F217" s="59">
        <f>IF([2]道具信息!F217="","",[2]道具信息!F217)</f>
        <v>1.2</v>
      </c>
      <c r="G217" s="59">
        <f>IF([2]道具信息!G217="","",[2]道具信息!G217)</f>
        <v>1</v>
      </c>
      <c r="H217" s="59">
        <f>IF([2]道具信息!H217="","",[2]道具信息!H217)</f>
        <v>0.6</v>
      </c>
      <c r="I217" s="59">
        <f>IF([2]道具信息!I217="","",[2]道具信息!I217)</f>
        <v>60</v>
      </c>
      <c r="J217" s="59">
        <f>IF([2]道具信息!J217="","",[2]道具信息!J217)</f>
        <v>50</v>
      </c>
      <c r="K217" s="59">
        <f>IF([2]道具信息!K217="","",[2]道具信息!K217)</f>
        <v>30</v>
      </c>
      <c r="L217" s="59" t="str">
        <f>IF([2]道具信息!L217="","",[2]道具信息!L217)</f>
        <v>使用后城池建设加速1小时</v>
      </c>
      <c r="M217" s="59" t="str">
        <f>IF([2]道具信息!M217="","",[2]道具信息!M217)</f>
        <v/>
      </c>
      <c r="N217" s="59" t="str">
        <f>IF([2]道具信息!N217="","",[2]道具信息!N217)</f>
        <v/>
      </c>
      <c r="O217" s="59" t="str">
        <f>IF([2]道具信息!O217="","",[2]道具信息!O217)</f>
        <v/>
      </c>
      <c r="P217" s="59" t="str">
        <f>IF([2]道具信息!P217="","",[2]道具信息!P217)</f>
        <v/>
      </c>
      <c r="Q217" s="59" t="str">
        <f>IF([2]道具信息!Q217="","",[2]道具信息!Q217)</f>
        <v/>
      </c>
      <c r="R217" s="59" t="str">
        <f>IF([2]道具信息!R217="","",[2]道具信息!R217)</f>
        <v/>
      </c>
      <c r="S217" s="59" t="str">
        <f>IF([2]道具信息!S217="","",[2]道具信息!S217)</f>
        <v/>
      </c>
      <c r="T217" s="59" t="str">
        <f>IF([2]道具信息!T217="","",[2]道具信息!T217)</f>
        <v/>
      </c>
      <c r="U217" s="59" t="str">
        <f>IF([2]道具信息!U217="","",[2]道具信息!U217)</f>
        <v/>
      </c>
      <c r="V217" s="59" t="str">
        <f>IF([2]道具信息!V217="","",[2]道具信息!V217)</f>
        <v/>
      </c>
      <c r="W217" s="59" t="str">
        <f>IF([2]道具信息!W217="","",[2]道具信息!W217)</f>
        <v/>
      </c>
      <c r="X217" s="59" t="str">
        <f>IF([2]道具信息!X217="","",[2]道具信息!X217)</f>
        <v/>
      </c>
      <c r="Y217" s="59" t="str">
        <f>IF([2]道具信息!Y217="","",[2]道具信息!Y217)</f>
        <v/>
      </c>
      <c r="Z217" s="59" t="str">
        <f>IF([2]道具信息!Z217="","",[2]道具信息!Z217)</f>
        <v/>
      </c>
    </row>
    <row r="218" spans="1:26" x14ac:dyDescent="0.15">
      <c r="A218" s="59" t="str">
        <f>IF([2]道具信息!A218="","",[2]道具信息!A218)</f>
        <v/>
      </c>
      <c r="B218" s="59" t="str">
        <f>IF([2]道具信息!B218="","",[2]道具信息!B218)</f>
        <v/>
      </c>
      <c r="C218" s="59">
        <f>IF([2]道具信息!C218="","",[2]道具信息!C218)</f>
        <v>21114</v>
      </c>
      <c r="D218" s="59" t="str">
        <f>IF([2]道具信息!D218="","",[2]道具信息!D218)</f>
        <v>城建3小时加速令</v>
      </c>
      <c r="E218" s="59">
        <f>IF([2]道具信息!E218="","",[2]道具信息!E218)</f>
        <v>100</v>
      </c>
      <c r="F218" s="59">
        <f>IF([2]道具信息!F218="","",[2]道具信息!F218)</f>
        <v>1.8</v>
      </c>
      <c r="G218" s="59">
        <f>IF([2]道具信息!G218="","",[2]道具信息!G218)</f>
        <v>1</v>
      </c>
      <c r="H218" s="59">
        <f>IF([2]道具信息!H218="","",[2]道具信息!H218)</f>
        <v>0.8</v>
      </c>
      <c r="I218" s="59">
        <f>IF([2]道具信息!I218="","",[2]道具信息!I218)</f>
        <v>180</v>
      </c>
      <c r="J218" s="59">
        <f>IF([2]道具信息!J218="","",[2]道具信息!J218)</f>
        <v>100</v>
      </c>
      <c r="K218" s="59">
        <f>IF([2]道具信息!K218="","",[2]道具信息!K218)</f>
        <v>80</v>
      </c>
      <c r="L218" s="59" t="str">
        <f>IF([2]道具信息!L218="","",[2]道具信息!L218)</f>
        <v>使用后城池建设加速3小时</v>
      </c>
      <c r="M218" s="59" t="str">
        <f>IF([2]道具信息!M218="","",[2]道具信息!M218)</f>
        <v/>
      </c>
      <c r="N218" s="59" t="str">
        <f>IF([2]道具信息!N218="","",[2]道具信息!N218)</f>
        <v/>
      </c>
      <c r="O218" s="59" t="str">
        <f>IF([2]道具信息!O218="","",[2]道具信息!O218)</f>
        <v/>
      </c>
      <c r="P218" s="59" t="str">
        <f>IF([2]道具信息!P218="","",[2]道具信息!P218)</f>
        <v/>
      </c>
      <c r="Q218" s="59" t="str">
        <f>IF([2]道具信息!Q218="","",[2]道具信息!Q218)</f>
        <v/>
      </c>
      <c r="R218" s="59" t="str">
        <f>IF([2]道具信息!R218="","",[2]道具信息!R218)</f>
        <v/>
      </c>
      <c r="S218" s="59" t="str">
        <f>IF([2]道具信息!S218="","",[2]道具信息!S218)</f>
        <v/>
      </c>
      <c r="T218" s="59" t="str">
        <f>IF([2]道具信息!T218="","",[2]道具信息!T218)</f>
        <v/>
      </c>
      <c r="U218" s="59" t="str">
        <f>IF([2]道具信息!U218="","",[2]道具信息!U218)</f>
        <v/>
      </c>
      <c r="V218" s="59" t="str">
        <f>IF([2]道具信息!V218="","",[2]道具信息!V218)</f>
        <v/>
      </c>
      <c r="W218" s="59" t="str">
        <f>IF([2]道具信息!W218="","",[2]道具信息!W218)</f>
        <v/>
      </c>
      <c r="X218" s="59" t="str">
        <f>IF([2]道具信息!X218="","",[2]道具信息!X218)</f>
        <v/>
      </c>
      <c r="Y218" s="59" t="str">
        <f>IF([2]道具信息!Y218="","",[2]道具信息!Y218)</f>
        <v/>
      </c>
      <c r="Z218" s="59" t="str">
        <f>IF([2]道具信息!Z218="","",[2]道具信息!Z218)</f>
        <v/>
      </c>
    </row>
    <row r="219" spans="1:26" x14ac:dyDescent="0.15">
      <c r="A219" s="59" t="str">
        <f>IF([2]道具信息!A219="","",[2]道具信息!A219)</f>
        <v/>
      </c>
      <c r="B219" s="59" t="str">
        <f>IF([2]道具信息!B219="","",[2]道具信息!B219)</f>
        <v/>
      </c>
      <c r="C219" s="59">
        <f>IF([2]道具信息!C219="","",[2]道具信息!C219)</f>
        <v>21135</v>
      </c>
      <c r="D219" s="59" t="str">
        <f>IF([2]道具信息!D219="","",[2]道具信息!D219)</f>
        <v>城建8小时加速令</v>
      </c>
      <c r="E219" s="59">
        <f>IF([2]道具信息!E219="","",[2]道具信息!E219)</f>
        <v>160</v>
      </c>
      <c r="F219" s="59">
        <f>IF([2]道具信息!F219="","",[2]道具信息!F219)</f>
        <v>3</v>
      </c>
      <c r="G219" s="59">
        <f>IF([2]道具信息!G219="","",[2]道具信息!G219)</f>
        <v>1</v>
      </c>
      <c r="H219" s="59">
        <f>IF([2]道具信息!H219="","",[2]道具信息!H219)</f>
        <v>1</v>
      </c>
      <c r="I219" s="59">
        <f>IF([2]道具信息!I219="","",[2]道具信息!I219)</f>
        <v>480</v>
      </c>
      <c r="J219" s="59">
        <f>IF([2]道具信息!J219="","",[2]道具信息!J219)</f>
        <v>160</v>
      </c>
      <c r="K219" s="59">
        <f>IF([2]道具信息!K219="","",[2]道具信息!K219)</f>
        <v>160</v>
      </c>
      <c r="L219" s="59" t="str">
        <f>IF([2]道具信息!L219="","",[2]道具信息!L219)</f>
        <v>使用后城池建设加速8小时</v>
      </c>
      <c r="M219" s="59" t="str">
        <f>IF([2]道具信息!M219="","",[2]道具信息!M219)</f>
        <v/>
      </c>
      <c r="N219" s="59" t="str">
        <f>IF([2]道具信息!N219="","",[2]道具信息!N219)</f>
        <v/>
      </c>
      <c r="O219" s="59" t="str">
        <f>IF([2]道具信息!O219="","",[2]道具信息!O219)</f>
        <v/>
      </c>
      <c r="P219" s="59" t="str">
        <f>IF([2]道具信息!P219="","",[2]道具信息!P219)</f>
        <v/>
      </c>
      <c r="Q219" s="59" t="str">
        <f>IF([2]道具信息!Q219="","",[2]道具信息!Q219)</f>
        <v/>
      </c>
      <c r="R219" s="59" t="str">
        <f>IF([2]道具信息!R219="","",[2]道具信息!R219)</f>
        <v/>
      </c>
      <c r="S219" s="59" t="str">
        <f>IF([2]道具信息!S219="","",[2]道具信息!S219)</f>
        <v/>
      </c>
      <c r="T219" s="59" t="str">
        <f>IF([2]道具信息!T219="","",[2]道具信息!T219)</f>
        <v/>
      </c>
      <c r="U219" s="59" t="str">
        <f>IF([2]道具信息!U219="","",[2]道具信息!U219)</f>
        <v/>
      </c>
      <c r="V219" s="59" t="str">
        <f>IF([2]道具信息!V219="","",[2]道具信息!V219)</f>
        <v/>
      </c>
      <c r="W219" s="59" t="str">
        <f>IF([2]道具信息!W219="","",[2]道具信息!W219)</f>
        <v/>
      </c>
      <c r="X219" s="59" t="str">
        <f>IF([2]道具信息!X219="","",[2]道具信息!X219)</f>
        <v/>
      </c>
      <c r="Y219" s="59" t="str">
        <f>IF([2]道具信息!Y219="","",[2]道具信息!Y219)</f>
        <v/>
      </c>
      <c r="Z219" s="59" t="str">
        <f>IF([2]道具信息!Z219="","",[2]道具信息!Z219)</f>
        <v/>
      </c>
    </row>
    <row r="220" spans="1:26" x14ac:dyDescent="0.15">
      <c r="A220" s="59" t="str">
        <f>IF([2]道具信息!A220="","",[2]道具信息!A220)</f>
        <v/>
      </c>
      <c r="B220" s="59" t="str">
        <f>IF([2]道具信息!B220="","",[2]道具信息!B220)</f>
        <v/>
      </c>
      <c r="C220" s="59" t="str">
        <f>IF([2]道具信息!C220="","",[2]道具信息!C220)</f>
        <v/>
      </c>
      <c r="D220" s="59" t="str">
        <f>IF([2]道具信息!D220="","",[2]道具信息!D220)</f>
        <v/>
      </c>
      <c r="E220" s="59" t="str">
        <f>IF([2]道具信息!E220="","",[2]道具信息!E220)</f>
        <v/>
      </c>
      <c r="F220" s="59" t="str">
        <f>IF([2]道具信息!F220="","",[2]道具信息!F220)</f>
        <v/>
      </c>
      <c r="G220" s="59" t="str">
        <f>IF([2]道具信息!G220="","",[2]道具信息!G220)</f>
        <v/>
      </c>
      <c r="H220" s="59" t="str">
        <f>IF([2]道具信息!H220="","",[2]道具信息!H220)</f>
        <v/>
      </c>
      <c r="I220" s="59" t="str">
        <f>IF([2]道具信息!I220="","",[2]道具信息!I220)</f>
        <v/>
      </c>
      <c r="J220" s="59" t="str">
        <f>IF([2]道具信息!J220="","",[2]道具信息!J220)</f>
        <v/>
      </c>
      <c r="K220" s="59" t="str">
        <f>IF([2]道具信息!K220="","",[2]道具信息!K220)</f>
        <v/>
      </c>
      <c r="L220" s="59" t="str">
        <f>IF([2]道具信息!L220="","",[2]道具信息!L220)</f>
        <v/>
      </c>
      <c r="M220" s="59" t="str">
        <f>IF([2]道具信息!M220="","",[2]道具信息!M220)</f>
        <v/>
      </c>
      <c r="N220" s="59" t="str">
        <f>IF([2]道具信息!N220="","",[2]道具信息!N220)</f>
        <v/>
      </c>
      <c r="O220" s="59" t="str">
        <f>IF([2]道具信息!O220="","",[2]道具信息!O220)</f>
        <v/>
      </c>
      <c r="P220" s="59" t="str">
        <f>IF([2]道具信息!P220="","",[2]道具信息!P220)</f>
        <v/>
      </c>
      <c r="Q220" s="59" t="str">
        <f>IF([2]道具信息!Q220="","",[2]道具信息!Q220)</f>
        <v/>
      </c>
      <c r="R220" s="59" t="str">
        <f>IF([2]道具信息!R220="","",[2]道具信息!R220)</f>
        <v/>
      </c>
      <c r="S220" s="59" t="str">
        <f>IF([2]道具信息!S220="","",[2]道具信息!S220)</f>
        <v/>
      </c>
      <c r="T220" s="59" t="str">
        <f>IF([2]道具信息!T220="","",[2]道具信息!T220)</f>
        <v/>
      </c>
      <c r="U220" s="59" t="str">
        <f>IF([2]道具信息!U220="","",[2]道具信息!U220)</f>
        <v/>
      </c>
      <c r="V220" s="59" t="str">
        <f>IF([2]道具信息!V220="","",[2]道具信息!V220)</f>
        <v/>
      </c>
      <c r="W220" s="59" t="str">
        <f>IF([2]道具信息!W220="","",[2]道具信息!W220)</f>
        <v/>
      </c>
      <c r="X220" s="59" t="str">
        <f>IF([2]道具信息!X220="","",[2]道具信息!X220)</f>
        <v/>
      </c>
      <c r="Y220" s="59" t="str">
        <f>IF([2]道具信息!Y220="","",[2]道具信息!Y220)</f>
        <v/>
      </c>
      <c r="Z220" s="59" t="str">
        <f>IF([2]道具信息!Z220="","",[2]道具信息!Z220)</f>
        <v/>
      </c>
    </row>
    <row r="221" spans="1:26" x14ac:dyDescent="0.15">
      <c r="A221" s="59" t="str">
        <f>IF([2]道具信息!A221="","",[2]道具信息!A221)</f>
        <v/>
      </c>
      <c r="B221" s="59" t="str">
        <f>IF([2]道具信息!B221="","",[2]道具信息!B221)</f>
        <v/>
      </c>
      <c r="C221" s="59">
        <f>IF([2]道具信息!C221="","",[2]道具信息!C221)</f>
        <v>21115</v>
      </c>
      <c r="D221" s="59" t="str">
        <f>IF([2]道具信息!D221="","",[2]道具信息!D221)</f>
        <v>招募1分钟加速令</v>
      </c>
      <c r="E221" s="59">
        <f>IF([2]道具信息!E221="","",[2]道具信息!E221)</f>
        <v>2</v>
      </c>
      <c r="F221" s="59">
        <f>IF([2]道具信息!F221="","",[2]道具信息!F221)</f>
        <v>1</v>
      </c>
      <c r="G221" s="59">
        <f>IF([2]道具信息!G221="","",[2]道具信息!G221)</f>
        <v>1</v>
      </c>
      <c r="H221" s="59">
        <f>IF([2]道具信息!H221="","",[2]道具信息!H221)</f>
        <v>0.3</v>
      </c>
      <c r="I221" s="59">
        <f>IF([2]道具信息!I221="","",[2]道具信息!I221)</f>
        <v>2</v>
      </c>
      <c r="J221" s="59">
        <f>IF([2]道具信息!J221="","",[2]道具信息!J221)</f>
        <v>2</v>
      </c>
      <c r="K221" s="59">
        <f>IF([2]道具信息!K221="","",[2]道具信息!K221)</f>
        <v>0.6</v>
      </c>
      <c r="L221" s="59" t="str">
        <f>IF([2]道具信息!L221="","",[2]道具信息!L221)</f>
        <v>使用后士兵招募加速1分钟</v>
      </c>
      <c r="M221" s="59" t="str">
        <f>IF([2]道具信息!M221="","",[2]道具信息!M221)</f>
        <v/>
      </c>
      <c r="N221" s="59" t="str">
        <f>IF([2]道具信息!N221="","",[2]道具信息!N221)</f>
        <v/>
      </c>
      <c r="O221" s="59" t="str">
        <f>IF([2]道具信息!O221="","",[2]道具信息!O221)</f>
        <v/>
      </c>
      <c r="P221" s="59" t="str">
        <f>IF([2]道具信息!P221="","",[2]道具信息!P221)</f>
        <v/>
      </c>
      <c r="Q221" s="59" t="str">
        <f>IF([2]道具信息!Q221="","",[2]道具信息!Q221)</f>
        <v/>
      </c>
      <c r="R221" s="59" t="str">
        <f>IF([2]道具信息!R221="","",[2]道具信息!R221)</f>
        <v/>
      </c>
      <c r="S221" s="59" t="str">
        <f>IF([2]道具信息!S221="","",[2]道具信息!S221)</f>
        <v/>
      </c>
      <c r="T221" s="59" t="str">
        <f>IF([2]道具信息!T221="","",[2]道具信息!T221)</f>
        <v/>
      </c>
      <c r="U221" s="59" t="str">
        <f>IF([2]道具信息!U221="","",[2]道具信息!U221)</f>
        <v/>
      </c>
      <c r="V221" s="59" t="str">
        <f>IF([2]道具信息!V221="","",[2]道具信息!V221)</f>
        <v/>
      </c>
      <c r="W221" s="59" t="str">
        <f>IF([2]道具信息!W221="","",[2]道具信息!W221)</f>
        <v/>
      </c>
      <c r="X221" s="59" t="str">
        <f>IF([2]道具信息!X221="","",[2]道具信息!X221)</f>
        <v/>
      </c>
      <c r="Y221" s="59" t="str">
        <f>IF([2]道具信息!Y221="","",[2]道具信息!Y221)</f>
        <v/>
      </c>
      <c r="Z221" s="59" t="str">
        <f>IF([2]道具信息!Z221="","",[2]道具信息!Z221)</f>
        <v/>
      </c>
    </row>
    <row r="222" spans="1:26" x14ac:dyDescent="0.15">
      <c r="A222" s="59" t="str">
        <f>IF([2]道具信息!A222="","",[2]道具信息!A222)</f>
        <v/>
      </c>
      <c r="B222" s="59" t="str">
        <f>IF([2]道具信息!B222="","",[2]道具信息!B222)</f>
        <v/>
      </c>
      <c r="C222" s="59">
        <f>IF([2]道具信息!C222="","",[2]道具信息!C222)</f>
        <v>21116</v>
      </c>
      <c r="D222" s="59" t="str">
        <f>IF([2]道具信息!D222="","",[2]道具信息!D222)</f>
        <v>招募5分钟加速令</v>
      </c>
      <c r="E222" s="59">
        <f>IF([2]道具信息!E222="","",[2]道具信息!E222)</f>
        <v>8</v>
      </c>
      <c r="F222" s="59">
        <f>IF([2]道具信息!F222="","",[2]道具信息!F222)</f>
        <v>1</v>
      </c>
      <c r="G222" s="59">
        <f>IF([2]道具信息!G222="","",[2]道具信息!G222)</f>
        <v>1</v>
      </c>
      <c r="H222" s="59">
        <f>IF([2]道具信息!H222="","",[2]道具信息!H222)</f>
        <v>0.4</v>
      </c>
      <c r="I222" s="59">
        <f>IF([2]道具信息!I222="","",[2]道具信息!I222)</f>
        <v>8</v>
      </c>
      <c r="J222" s="59">
        <f>IF([2]道具信息!J222="","",[2]道具信息!J222)</f>
        <v>8</v>
      </c>
      <c r="K222" s="59">
        <f>IF([2]道具信息!K222="","",[2]道具信息!K222)</f>
        <v>3.2</v>
      </c>
      <c r="L222" s="59" t="str">
        <f>IF([2]道具信息!L222="","",[2]道具信息!L222)</f>
        <v>使用后士兵招募加速5分钟</v>
      </c>
      <c r="M222" s="59" t="str">
        <f>IF([2]道具信息!M222="","",[2]道具信息!M222)</f>
        <v/>
      </c>
      <c r="N222" s="59" t="str">
        <f>IF([2]道具信息!N222="","",[2]道具信息!N222)</f>
        <v/>
      </c>
      <c r="O222" s="59" t="str">
        <f>IF([2]道具信息!O222="","",[2]道具信息!O222)</f>
        <v/>
      </c>
      <c r="P222" s="59" t="str">
        <f>IF([2]道具信息!P222="","",[2]道具信息!P222)</f>
        <v/>
      </c>
      <c r="Q222" s="59" t="str">
        <f>IF([2]道具信息!Q222="","",[2]道具信息!Q222)</f>
        <v/>
      </c>
      <c r="R222" s="59" t="str">
        <f>IF([2]道具信息!R222="","",[2]道具信息!R222)</f>
        <v/>
      </c>
      <c r="S222" s="59" t="str">
        <f>IF([2]道具信息!S222="","",[2]道具信息!S222)</f>
        <v/>
      </c>
      <c r="T222" s="59" t="str">
        <f>IF([2]道具信息!T222="","",[2]道具信息!T222)</f>
        <v/>
      </c>
      <c r="U222" s="59" t="str">
        <f>IF([2]道具信息!U222="","",[2]道具信息!U222)</f>
        <v/>
      </c>
      <c r="V222" s="59" t="str">
        <f>IF([2]道具信息!V222="","",[2]道具信息!V222)</f>
        <v/>
      </c>
      <c r="W222" s="59" t="str">
        <f>IF([2]道具信息!W222="","",[2]道具信息!W222)</f>
        <v/>
      </c>
      <c r="X222" s="59" t="str">
        <f>IF([2]道具信息!X222="","",[2]道具信息!X222)</f>
        <v/>
      </c>
      <c r="Y222" s="59" t="str">
        <f>IF([2]道具信息!Y222="","",[2]道具信息!Y222)</f>
        <v/>
      </c>
      <c r="Z222" s="59" t="str">
        <f>IF([2]道具信息!Z222="","",[2]道具信息!Z222)</f>
        <v/>
      </c>
    </row>
    <row r="223" spans="1:26" x14ac:dyDescent="0.15">
      <c r="A223" s="59" t="str">
        <f>IF([2]道具信息!A223="","",[2]道具信息!A223)</f>
        <v/>
      </c>
      <c r="B223" s="59" t="str">
        <f>IF([2]道具信息!B223="","",[2]道具信息!B223)</f>
        <v/>
      </c>
      <c r="C223" s="59">
        <f>IF([2]道具信息!C223="","",[2]道具信息!C223)</f>
        <v>21117</v>
      </c>
      <c r="D223" s="59" t="str">
        <f>IF([2]道具信息!D223="","",[2]道具信息!D223)</f>
        <v>招募20分钟加速令</v>
      </c>
      <c r="E223" s="59">
        <f>IF([2]道具信息!E223="","",[2]道具信息!E223)</f>
        <v>20</v>
      </c>
      <c r="F223" s="59">
        <f>IF([2]道具信息!F223="","",[2]道具信息!F223)</f>
        <v>1</v>
      </c>
      <c r="G223" s="59">
        <f>IF([2]道具信息!G223="","",[2]道具信息!G223)</f>
        <v>1</v>
      </c>
      <c r="H223" s="59">
        <f>IF([2]道具信息!H223="","",[2]道具信息!H223)</f>
        <v>0.5</v>
      </c>
      <c r="I223" s="59">
        <f>IF([2]道具信息!I223="","",[2]道具信息!I223)</f>
        <v>20</v>
      </c>
      <c r="J223" s="59">
        <f>IF([2]道具信息!J223="","",[2]道具信息!J223)</f>
        <v>20</v>
      </c>
      <c r="K223" s="59">
        <f>IF([2]道具信息!K223="","",[2]道具信息!K223)</f>
        <v>10</v>
      </c>
      <c r="L223" s="59" t="str">
        <f>IF([2]道具信息!L223="","",[2]道具信息!L223)</f>
        <v>使用后士兵招募加速20分钟</v>
      </c>
      <c r="M223" s="59" t="str">
        <f>IF([2]道具信息!M223="","",[2]道具信息!M223)</f>
        <v/>
      </c>
      <c r="N223" s="59" t="str">
        <f>IF([2]道具信息!N223="","",[2]道具信息!N223)</f>
        <v/>
      </c>
      <c r="O223" s="59" t="str">
        <f>IF([2]道具信息!O223="","",[2]道具信息!O223)</f>
        <v/>
      </c>
      <c r="P223" s="59" t="str">
        <f>IF([2]道具信息!P223="","",[2]道具信息!P223)</f>
        <v/>
      </c>
      <c r="Q223" s="59" t="str">
        <f>IF([2]道具信息!Q223="","",[2]道具信息!Q223)</f>
        <v/>
      </c>
      <c r="R223" s="59" t="str">
        <f>IF([2]道具信息!R223="","",[2]道具信息!R223)</f>
        <v/>
      </c>
      <c r="S223" s="59" t="str">
        <f>IF([2]道具信息!S223="","",[2]道具信息!S223)</f>
        <v/>
      </c>
      <c r="T223" s="59" t="str">
        <f>IF([2]道具信息!T223="","",[2]道具信息!T223)</f>
        <v/>
      </c>
      <c r="U223" s="59" t="str">
        <f>IF([2]道具信息!U223="","",[2]道具信息!U223)</f>
        <v/>
      </c>
      <c r="V223" s="59" t="str">
        <f>IF([2]道具信息!V223="","",[2]道具信息!V223)</f>
        <v/>
      </c>
      <c r="W223" s="59" t="str">
        <f>IF([2]道具信息!W223="","",[2]道具信息!W223)</f>
        <v/>
      </c>
      <c r="X223" s="59" t="str">
        <f>IF([2]道具信息!X223="","",[2]道具信息!X223)</f>
        <v/>
      </c>
      <c r="Y223" s="59" t="str">
        <f>IF([2]道具信息!Y223="","",[2]道具信息!Y223)</f>
        <v/>
      </c>
      <c r="Z223" s="59" t="str">
        <f>IF([2]道具信息!Z223="","",[2]道具信息!Z223)</f>
        <v/>
      </c>
    </row>
    <row r="224" spans="1:26" x14ac:dyDescent="0.15">
      <c r="A224" s="59" t="str">
        <f>IF([2]道具信息!A224="","",[2]道具信息!A224)</f>
        <v/>
      </c>
      <c r="B224" s="59" t="str">
        <f>IF([2]道具信息!B224="","",[2]道具信息!B224)</f>
        <v/>
      </c>
      <c r="C224" s="59">
        <f>IF([2]道具信息!C224="","",[2]道具信息!C224)</f>
        <v>21118</v>
      </c>
      <c r="D224" s="59" t="str">
        <f>IF([2]道具信息!D224="","",[2]道具信息!D224)</f>
        <v>招募1小时加速令</v>
      </c>
      <c r="E224" s="59">
        <f>IF([2]道具信息!E224="","",[2]道具信息!E224)</f>
        <v>50</v>
      </c>
      <c r="F224" s="59">
        <f>IF([2]道具信息!F224="","",[2]道具信息!F224)</f>
        <v>1.2</v>
      </c>
      <c r="G224" s="59">
        <f>IF([2]道具信息!G224="","",[2]道具信息!G224)</f>
        <v>1</v>
      </c>
      <c r="H224" s="59">
        <f>IF([2]道具信息!H224="","",[2]道具信息!H224)</f>
        <v>0.6</v>
      </c>
      <c r="I224" s="59">
        <f>IF([2]道具信息!I224="","",[2]道具信息!I224)</f>
        <v>60</v>
      </c>
      <c r="J224" s="59">
        <f>IF([2]道具信息!J224="","",[2]道具信息!J224)</f>
        <v>50</v>
      </c>
      <c r="K224" s="59">
        <f>IF([2]道具信息!K224="","",[2]道具信息!K224)</f>
        <v>30</v>
      </c>
      <c r="L224" s="59" t="str">
        <f>IF([2]道具信息!L224="","",[2]道具信息!L224)</f>
        <v>使用后士兵招募加速1小时</v>
      </c>
      <c r="M224" s="59" t="str">
        <f>IF([2]道具信息!M224="","",[2]道具信息!M224)</f>
        <v/>
      </c>
      <c r="N224" s="59" t="str">
        <f>IF([2]道具信息!N224="","",[2]道具信息!N224)</f>
        <v/>
      </c>
      <c r="O224" s="59" t="str">
        <f>IF([2]道具信息!O224="","",[2]道具信息!O224)</f>
        <v/>
      </c>
      <c r="P224" s="59" t="str">
        <f>IF([2]道具信息!P224="","",[2]道具信息!P224)</f>
        <v/>
      </c>
      <c r="Q224" s="59" t="str">
        <f>IF([2]道具信息!Q224="","",[2]道具信息!Q224)</f>
        <v/>
      </c>
      <c r="R224" s="59" t="str">
        <f>IF([2]道具信息!R224="","",[2]道具信息!R224)</f>
        <v/>
      </c>
      <c r="S224" s="59" t="str">
        <f>IF([2]道具信息!S224="","",[2]道具信息!S224)</f>
        <v/>
      </c>
      <c r="T224" s="59" t="str">
        <f>IF([2]道具信息!T224="","",[2]道具信息!T224)</f>
        <v/>
      </c>
      <c r="U224" s="59" t="str">
        <f>IF([2]道具信息!U224="","",[2]道具信息!U224)</f>
        <v/>
      </c>
      <c r="V224" s="59" t="str">
        <f>IF([2]道具信息!V224="","",[2]道具信息!V224)</f>
        <v/>
      </c>
      <c r="W224" s="59" t="str">
        <f>IF([2]道具信息!W224="","",[2]道具信息!W224)</f>
        <v/>
      </c>
      <c r="X224" s="59" t="str">
        <f>IF([2]道具信息!X224="","",[2]道具信息!X224)</f>
        <v/>
      </c>
      <c r="Y224" s="59" t="str">
        <f>IF([2]道具信息!Y224="","",[2]道具信息!Y224)</f>
        <v/>
      </c>
      <c r="Z224" s="59" t="str">
        <f>IF([2]道具信息!Z224="","",[2]道具信息!Z224)</f>
        <v/>
      </c>
    </row>
    <row r="225" spans="1:26" x14ac:dyDescent="0.15">
      <c r="A225" s="59" t="str">
        <f>IF([2]道具信息!A225="","",[2]道具信息!A225)</f>
        <v/>
      </c>
      <c r="B225" s="59" t="str">
        <f>IF([2]道具信息!B225="","",[2]道具信息!B225)</f>
        <v/>
      </c>
      <c r="C225" s="59">
        <f>IF([2]道具信息!C225="","",[2]道具信息!C225)</f>
        <v>21119</v>
      </c>
      <c r="D225" s="59" t="str">
        <f>IF([2]道具信息!D225="","",[2]道具信息!D225)</f>
        <v>招募3小时加速令</v>
      </c>
      <c r="E225" s="59">
        <f>IF([2]道具信息!E225="","",[2]道具信息!E225)</f>
        <v>100</v>
      </c>
      <c r="F225" s="59">
        <f>IF([2]道具信息!F225="","",[2]道具信息!F225)</f>
        <v>1.8</v>
      </c>
      <c r="G225" s="59">
        <f>IF([2]道具信息!G225="","",[2]道具信息!G225)</f>
        <v>1</v>
      </c>
      <c r="H225" s="59">
        <f>IF([2]道具信息!H225="","",[2]道具信息!H225)</f>
        <v>0.8</v>
      </c>
      <c r="I225" s="59">
        <f>IF([2]道具信息!I225="","",[2]道具信息!I225)</f>
        <v>180</v>
      </c>
      <c r="J225" s="59">
        <f>IF([2]道具信息!J225="","",[2]道具信息!J225)</f>
        <v>100</v>
      </c>
      <c r="K225" s="59">
        <f>IF([2]道具信息!K225="","",[2]道具信息!K225)</f>
        <v>80</v>
      </c>
      <c r="L225" s="59" t="str">
        <f>IF([2]道具信息!L225="","",[2]道具信息!L225)</f>
        <v>使用后士兵招募加速3小时</v>
      </c>
      <c r="M225" s="59" t="str">
        <f>IF([2]道具信息!M225="","",[2]道具信息!M225)</f>
        <v/>
      </c>
      <c r="N225" s="59" t="str">
        <f>IF([2]道具信息!N225="","",[2]道具信息!N225)</f>
        <v/>
      </c>
      <c r="O225" s="59" t="str">
        <f>IF([2]道具信息!O225="","",[2]道具信息!O225)</f>
        <v/>
      </c>
      <c r="P225" s="59" t="str">
        <f>IF([2]道具信息!P225="","",[2]道具信息!P225)</f>
        <v/>
      </c>
      <c r="Q225" s="59" t="str">
        <f>IF([2]道具信息!Q225="","",[2]道具信息!Q225)</f>
        <v/>
      </c>
      <c r="R225" s="59" t="str">
        <f>IF([2]道具信息!R225="","",[2]道具信息!R225)</f>
        <v/>
      </c>
      <c r="S225" s="59" t="str">
        <f>IF([2]道具信息!S225="","",[2]道具信息!S225)</f>
        <v/>
      </c>
      <c r="T225" s="59" t="str">
        <f>IF([2]道具信息!T225="","",[2]道具信息!T225)</f>
        <v/>
      </c>
      <c r="U225" s="59" t="str">
        <f>IF([2]道具信息!U225="","",[2]道具信息!U225)</f>
        <v/>
      </c>
      <c r="V225" s="59" t="str">
        <f>IF([2]道具信息!V225="","",[2]道具信息!V225)</f>
        <v/>
      </c>
      <c r="W225" s="59" t="str">
        <f>IF([2]道具信息!W225="","",[2]道具信息!W225)</f>
        <v/>
      </c>
      <c r="X225" s="59" t="str">
        <f>IF([2]道具信息!X225="","",[2]道具信息!X225)</f>
        <v/>
      </c>
      <c r="Y225" s="59" t="str">
        <f>IF([2]道具信息!Y225="","",[2]道具信息!Y225)</f>
        <v/>
      </c>
      <c r="Z225" s="59" t="str">
        <f>IF([2]道具信息!Z225="","",[2]道具信息!Z225)</f>
        <v/>
      </c>
    </row>
    <row r="226" spans="1:26" x14ac:dyDescent="0.15">
      <c r="A226" s="59" t="str">
        <f>IF([2]道具信息!A226="","",[2]道具信息!A226)</f>
        <v/>
      </c>
      <c r="B226" s="59" t="str">
        <f>IF([2]道具信息!B226="","",[2]道具信息!B226)</f>
        <v/>
      </c>
      <c r="C226" s="59">
        <f>IF([2]道具信息!C226="","",[2]道具信息!C226)</f>
        <v>21136</v>
      </c>
      <c r="D226" s="59" t="str">
        <f>IF([2]道具信息!D226="","",[2]道具信息!D226)</f>
        <v>招募8小时加速令</v>
      </c>
      <c r="E226" s="59">
        <f>IF([2]道具信息!E226="","",[2]道具信息!E226)</f>
        <v>160</v>
      </c>
      <c r="F226" s="59">
        <f>IF([2]道具信息!F226="","",[2]道具信息!F226)</f>
        <v>3</v>
      </c>
      <c r="G226" s="59">
        <f>IF([2]道具信息!G226="","",[2]道具信息!G226)</f>
        <v>1</v>
      </c>
      <c r="H226" s="59">
        <f>IF([2]道具信息!H226="","",[2]道具信息!H226)</f>
        <v>1</v>
      </c>
      <c r="I226" s="59">
        <f>IF([2]道具信息!I226="","",[2]道具信息!I226)</f>
        <v>480</v>
      </c>
      <c r="J226" s="59">
        <f>IF([2]道具信息!J226="","",[2]道具信息!J226)</f>
        <v>160</v>
      </c>
      <c r="K226" s="59">
        <f>IF([2]道具信息!K226="","",[2]道具信息!K226)</f>
        <v>160</v>
      </c>
      <c r="L226" s="59" t="str">
        <f>IF([2]道具信息!L226="","",[2]道具信息!L226)</f>
        <v>使用后士兵招募加速8小时</v>
      </c>
      <c r="M226" s="59" t="str">
        <f>IF([2]道具信息!M226="","",[2]道具信息!M226)</f>
        <v/>
      </c>
      <c r="N226" s="59" t="str">
        <f>IF([2]道具信息!N226="","",[2]道具信息!N226)</f>
        <v/>
      </c>
      <c r="O226" s="59" t="str">
        <f>IF([2]道具信息!O226="","",[2]道具信息!O226)</f>
        <v/>
      </c>
      <c r="P226" s="59" t="str">
        <f>IF([2]道具信息!P226="","",[2]道具信息!P226)</f>
        <v/>
      </c>
      <c r="Q226" s="59" t="str">
        <f>IF([2]道具信息!Q226="","",[2]道具信息!Q226)</f>
        <v/>
      </c>
      <c r="R226" s="59" t="str">
        <f>IF([2]道具信息!R226="","",[2]道具信息!R226)</f>
        <v/>
      </c>
      <c r="S226" s="59" t="str">
        <f>IF([2]道具信息!S226="","",[2]道具信息!S226)</f>
        <v/>
      </c>
      <c r="T226" s="59" t="str">
        <f>IF([2]道具信息!T226="","",[2]道具信息!T226)</f>
        <v/>
      </c>
      <c r="U226" s="59" t="str">
        <f>IF([2]道具信息!U226="","",[2]道具信息!U226)</f>
        <v/>
      </c>
      <c r="V226" s="59" t="str">
        <f>IF([2]道具信息!V226="","",[2]道具信息!V226)</f>
        <v/>
      </c>
      <c r="W226" s="59" t="str">
        <f>IF([2]道具信息!W226="","",[2]道具信息!W226)</f>
        <v/>
      </c>
      <c r="X226" s="59" t="str">
        <f>IF([2]道具信息!X226="","",[2]道具信息!X226)</f>
        <v/>
      </c>
      <c r="Y226" s="59" t="str">
        <f>IF([2]道具信息!Y226="","",[2]道具信息!Y226)</f>
        <v/>
      </c>
      <c r="Z226" s="59" t="str">
        <f>IF([2]道具信息!Z226="","",[2]道具信息!Z226)</f>
        <v/>
      </c>
    </row>
    <row r="227" spans="1:26" x14ac:dyDescent="0.15">
      <c r="A227" s="59" t="str">
        <f>IF([2]道具信息!A227="","",[2]道具信息!A227)</f>
        <v/>
      </c>
      <c r="B227" s="59" t="str">
        <f>IF([2]道具信息!B227="","",[2]道具信息!B227)</f>
        <v/>
      </c>
      <c r="C227" s="59" t="str">
        <f>IF([2]道具信息!C227="","",[2]道具信息!C227)</f>
        <v/>
      </c>
      <c r="D227" s="59" t="str">
        <f>IF([2]道具信息!D227="","",[2]道具信息!D227)</f>
        <v/>
      </c>
      <c r="E227" s="59" t="str">
        <f>IF([2]道具信息!E227="","",[2]道具信息!E227)</f>
        <v/>
      </c>
      <c r="F227" s="59" t="str">
        <f>IF([2]道具信息!F227="","",[2]道具信息!F227)</f>
        <v/>
      </c>
      <c r="G227" s="59" t="str">
        <f>IF([2]道具信息!G227="","",[2]道具信息!G227)</f>
        <v/>
      </c>
      <c r="H227" s="59" t="str">
        <f>IF([2]道具信息!H227="","",[2]道具信息!H227)</f>
        <v/>
      </c>
      <c r="I227" s="59" t="str">
        <f>IF([2]道具信息!I227="","",[2]道具信息!I227)</f>
        <v/>
      </c>
      <c r="J227" s="59" t="str">
        <f>IF([2]道具信息!J227="","",[2]道具信息!J227)</f>
        <v/>
      </c>
      <c r="K227" s="59" t="str">
        <f>IF([2]道具信息!K227="","",[2]道具信息!K227)</f>
        <v/>
      </c>
      <c r="L227" s="59" t="str">
        <f>IF([2]道具信息!L227="","",[2]道具信息!L227)</f>
        <v/>
      </c>
      <c r="M227" s="59" t="str">
        <f>IF([2]道具信息!M227="","",[2]道具信息!M227)</f>
        <v/>
      </c>
      <c r="N227" s="59" t="str">
        <f>IF([2]道具信息!N227="","",[2]道具信息!N227)</f>
        <v/>
      </c>
      <c r="O227" s="59" t="str">
        <f>IF([2]道具信息!O227="","",[2]道具信息!O227)</f>
        <v/>
      </c>
      <c r="P227" s="59" t="str">
        <f>IF([2]道具信息!P227="","",[2]道具信息!P227)</f>
        <v/>
      </c>
      <c r="Q227" s="59" t="str">
        <f>IF([2]道具信息!Q227="","",[2]道具信息!Q227)</f>
        <v/>
      </c>
      <c r="R227" s="59" t="str">
        <f>IF([2]道具信息!R227="","",[2]道具信息!R227)</f>
        <v/>
      </c>
      <c r="S227" s="59" t="str">
        <f>IF([2]道具信息!S227="","",[2]道具信息!S227)</f>
        <v/>
      </c>
      <c r="T227" s="59" t="str">
        <f>IF([2]道具信息!T227="","",[2]道具信息!T227)</f>
        <v/>
      </c>
      <c r="U227" s="59" t="str">
        <f>IF([2]道具信息!U227="","",[2]道具信息!U227)</f>
        <v/>
      </c>
      <c r="V227" s="59" t="str">
        <f>IF([2]道具信息!V227="","",[2]道具信息!V227)</f>
        <v/>
      </c>
      <c r="W227" s="59" t="str">
        <f>IF([2]道具信息!W227="","",[2]道具信息!W227)</f>
        <v/>
      </c>
      <c r="X227" s="59" t="str">
        <f>IF([2]道具信息!X227="","",[2]道具信息!X227)</f>
        <v/>
      </c>
      <c r="Y227" s="59" t="str">
        <f>IF([2]道具信息!Y227="","",[2]道具信息!Y227)</f>
        <v/>
      </c>
      <c r="Z227" s="59" t="str">
        <f>IF([2]道具信息!Z227="","",[2]道具信息!Z227)</f>
        <v/>
      </c>
    </row>
    <row r="228" spans="1:26" x14ac:dyDescent="0.15">
      <c r="A228" s="59" t="str">
        <f>IF([2]道具信息!A228="","",[2]道具信息!A228)</f>
        <v/>
      </c>
      <c r="B228" s="59" t="str">
        <f>IF([2]道具信息!B228="","",[2]道具信息!B228)</f>
        <v/>
      </c>
      <c r="C228" s="59">
        <f>IF([2]道具信息!C228="","",[2]道具信息!C228)</f>
        <v>21120</v>
      </c>
      <c r="D228" s="59" t="str">
        <f>IF([2]道具信息!D228="","",[2]道具信息!D228)</f>
        <v>治疗1分钟加速令</v>
      </c>
      <c r="E228" s="59">
        <f>IF([2]道具信息!E228="","",[2]道具信息!E228)</f>
        <v>2</v>
      </c>
      <c r="F228" s="59">
        <f>IF([2]道具信息!F228="","",[2]道具信息!F228)</f>
        <v>1</v>
      </c>
      <c r="G228" s="59">
        <f>IF([2]道具信息!G228="","",[2]道具信息!G228)</f>
        <v>1</v>
      </c>
      <c r="H228" s="59">
        <f>IF([2]道具信息!H228="","",[2]道具信息!H228)</f>
        <v>0.3</v>
      </c>
      <c r="I228" s="59">
        <f>IF([2]道具信息!I228="","",[2]道具信息!I228)</f>
        <v>2</v>
      </c>
      <c r="J228" s="59">
        <f>IF([2]道具信息!J228="","",[2]道具信息!J228)</f>
        <v>2</v>
      </c>
      <c r="K228" s="59">
        <f>IF([2]道具信息!K228="","",[2]道具信息!K228)</f>
        <v>0.6</v>
      </c>
      <c r="L228" s="59" t="str">
        <f>IF([2]道具信息!L228="","",[2]道具信息!L228)</f>
        <v>使用后士兵治疗加速1分钟</v>
      </c>
      <c r="M228" s="59" t="str">
        <f>IF([2]道具信息!M228="","",[2]道具信息!M228)</f>
        <v/>
      </c>
      <c r="N228" s="59" t="str">
        <f>IF([2]道具信息!N228="","",[2]道具信息!N228)</f>
        <v/>
      </c>
      <c r="O228" s="59" t="str">
        <f>IF([2]道具信息!O228="","",[2]道具信息!O228)</f>
        <v/>
      </c>
      <c r="P228" s="59" t="str">
        <f>IF([2]道具信息!P228="","",[2]道具信息!P228)</f>
        <v/>
      </c>
      <c r="Q228" s="59" t="str">
        <f>IF([2]道具信息!Q228="","",[2]道具信息!Q228)</f>
        <v/>
      </c>
      <c r="R228" s="59" t="str">
        <f>IF([2]道具信息!R228="","",[2]道具信息!R228)</f>
        <v/>
      </c>
      <c r="S228" s="59" t="str">
        <f>IF([2]道具信息!S228="","",[2]道具信息!S228)</f>
        <v/>
      </c>
      <c r="T228" s="59" t="str">
        <f>IF([2]道具信息!T228="","",[2]道具信息!T228)</f>
        <v/>
      </c>
      <c r="U228" s="59" t="str">
        <f>IF([2]道具信息!U228="","",[2]道具信息!U228)</f>
        <v/>
      </c>
      <c r="V228" s="59" t="str">
        <f>IF([2]道具信息!V228="","",[2]道具信息!V228)</f>
        <v/>
      </c>
      <c r="W228" s="59" t="str">
        <f>IF([2]道具信息!W228="","",[2]道具信息!W228)</f>
        <v/>
      </c>
      <c r="X228" s="59" t="str">
        <f>IF([2]道具信息!X228="","",[2]道具信息!X228)</f>
        <v/>
      </c>
      <c r="Y228" s="59" t="str">
        <f>IF([2]道具信息!Y228="","",[2]道具信息!Y228)</f>
        <v/>
      </c>
      <c r="Z228" s="59" t="str">
        <f>IF([2]道具信息!Z228="","",[2]道具信息!Z228)</f>
        <v/>
      </c>
    </row>
    <row r="229" spans="1:26" x14ac:dyDescent="0.15">
      <c r="A229" s="59" t="str">
        <f>IF([2]道具信息!A229="","",[2]道具信息!A229)</f>
        <v/>
      </c>
      <c r="B229" s="59" t="str">
        <f>IF([2]道具信息!B229="","",[2]道具信息!B229)</f>
        <v/>
      </c>
      <c r="C229" s="59">
        <f>IF([2]道具信息!C229="","",[2]道具信息!C229)</f>
        <v>21121</v>
      </c>
      <c r="D229" s="59" t="str">
        <f>IF([2]道具信息!D229="","",[2]道具信息!D229)</f>
        <v>治疗5分钟加速令</v>
      </c>
      <c r="E229" s="59">
        <f>IF([2]道具信息!E229="","",[2]道具信息!E229)</f>
        <v>8</v>
      </c>
      <c r="F229" s="59">
        <f>IF([2]道具信息!F229="","",[2]道具信息!F229)</f>
        <v>1</v>
      </c>
      <c r="G229" s="59">
        <f>IF([2]道具信息!G229="","",[2]道具信息!G229)</f>
        <v>1</v>
      </c>
      <c r="H229" s="59">
        <f>IF([2]道具信息!H229="","",[2]道具信息!H229)</f>
        <v>0.4</v>
      </c>
      <c r="I229" s="59">
        <f>IF([2]道具信息!I229="","",[2]道具信息!I229)</f>
        <v>8</v>
      </c>
      <c r="J229" s="59">
        <f>IF([2]道具信息!J229="","",[2]道具信息!J229)</f>
        <v>8</v>
      </c>
      <c r="K229" s="59">
        <f>IF([2]道具信息!K229="","",[2]道具信息!K229)</f>
        <v>3.2</v>
      </c>
      <c r="L229" s="59" t="str">
        <f>IF([2]道具信息!L229="","",[2]道具信息!L229)</f>
        <v>使用后士兵治疗加速5分钟</v>
      </c>
      <c r="M229" s="59" t="str">
        <f>IF([2]道具信息!M229="","",[2]道具信息!M229)</f>
        <v/>
      </c>
      <c r="N229" s="59" t="str">
        <f>IF([2]道具信息!N229="","",[2]道具信息!N229)</f>
        <v/>
      </c>
      <c r="O229" s="59" t="str">
        <f>IF([2]道具信息!O229="","",[2]道具信息!O229)</f>
        <v/>
      </c>
      <c r="P229" s="59" t="str">
        <f>IF([2]道具信息!P229="","",[2]道具信息!P229)</f>
        <v/>
      </c>
      <c r="Q229" s="59" t="str">
        <f>IF([2]道具信息!Q229="","",[2]道具信息!Q229)</f>
        <v/>
      </c>
      <c r="R229" s="59" t="str">
        <f>IF([2]道具信息!R229="","",[2]道具信息!R229)</f>
        <v/>
      </c>
      <c r="S229" s="59" t="str">
        <f>IF([2]道具信息!S229="","",[2]道具信息!S229)</f>
        <v/>
      </c>
      <c r="T229" s="59" t="str">
        <f>IF([2]道具信息!T229="","",[2]道具信息!T229)</f>
        <v/>
      </c>
      <c r="U229" s="59" t="str">
        <f>IF([2]道具信息!U229="","",[2]道具信息!U229)</f>
        <v/>
      </c>
      <c r="V229" s="59" t="str">
        <f>IF([2]道具信息!V229="","",[2]道具信息!V229)</f>
        <v/>
      </c>
      <c r="W229" s="59" t="str">
        <f>IF([2]道具信息!W229="","",[2]道具信息!W229)</f>
        <v/>
      </c>
      <c r="X229" s="59" t="str">
        <f>IF([2]道具信息!X229="","",[2]道具信息!X229)</f>
        <v/>
      </c>
      <c r="Y229" s="59" t="str">
        <f>IF([2]道具信息!Y229="","",[2]道具信息!Y229)</f>
        <v/>
      </c>
      <c r="Z229" s="59" t="str">
        <f>IF([2]道具信息!Z229="","",[2]道具信息!Z229)</f>
        <v/>
      </c>
    </row>
    <row r="230" spans="1:26" x14ac:dyDescent="0.15">
      <c r="A230" s="59" t="str">
        <f>IF([2]道具信息!A230="","",[2]道具信息!A230)</f>
        <v/>
      </c>
      <c r="B230" s="59" t="str">
        <f>IF([2]道具信息!B230="","",[2]道具信息!B230)</f>
        <v/>
      </c>
      <c r="C230" s="59">
        <f>IF([2]道具信息!C230="","",[2]道具信息!C230)</f>
        <v>21122</v>
      </c>
      <c r="D230" s="59" t="str">
        <f>IF([2]道具信息!D230="","",[2]道具信息!D230)</f>
        <v>治疗20分钟加速令</v>
      </c>
      <c r="E230" s="59">
        <f>IF([2]道具信息!E230="","",[2]道具信息!E230)</f>
        <v>20</v>
      </c>
      <c r="F230" s="59">
        <f>IF([2]道具信息!F230="","",[2]道具信息!F230)</f>
        <v>1</v>
      </c>
      <c r="G230" s="59">
        <f>IF([2]道具信息!G230="","",[2]道具信息!G230)</f>
        <v>1</v>
      </c>
      <c r="H230" s="59">
        <f>IF([2]道具信息!H230="","",[2]道具信息!H230)</f>
        <v>0.5</v>
      </c>
      <c r="I230" s="59">
        <f>IF([2]道具信息!I230="","",[2]道具信息!I230)</f>
        <v>20</v>
      </c>
      <c r="J230" s="59">
        <f>IF([2]道具信息!J230="","",[2]道具信息!J230)</f>
        <v>20</v>
      </c>
      <c r="K230" s="59">
        <f>IF([2]道具信息!K230="","",[2]道具信息!K230)</f>
        <v>10</v>
      </c>
      <c r="L230" s="59" t="str">
        <f>IF([2]道具信息!L230="","",[2]道具信息!L230)</f>
        <v>使用后士兵治疗加速20分钟</v>
      </c>
      <c r="M230" s="59" t="str">
        <f>IF([2]道具信息!M230="","",[2]道具信息!M230)</f>
        <v/>
      </c>
      <c r="N230" s="59" t="str">
        <f>IF([2]道具信息!N230="","",[2]道具信息!N230)</f>
        <v/>
      </c>
      <c r="O230" s="59" t="str">
        <f>IF([2]道具信息!O230="","",[2]道具信息!O230)</f>
        <v/>
      </c>
      <c r="P230" s="59" t="str">
        <f>IF([2]道具信息!P230="","",[2]道具信息!P230)</f>
        <v/>
      </c>
      <c r="Q230" s="59" t="str">
        <f>IF([2]道具信息!Q230="","",[2]道具信息!Q230)</f>
        <v/>
      </c>
      <c r="R230" s="59" t="str">
        <f>IF([2]道具信息!R230="","",[2]道具信息!R230)</f>
        <v/>
      </c>
      <c r="S230" s="59" t="str">
        <f>IF([2]道具信息!S230="","",[2]道具信息!S230)</f>
        <v/>
      </c>
      <c r="T230" s="59" t="str">
        <f>IF([2]道具信息!T230="","",[2]道具信息!T230)</f>
        <v/>
      </c>
      <c r="U230" s="59" t="str">
        <f>IF([2]道具信息!U230="","",[2]道具信息!U230)</f>
        <v/>
      </c>
      <c r="V230" s="59" t="str">
        <f>IF([2]道具信息!V230="","",[2]道具信息!V230)</f>
        <v/>
      </c>
      <c r="W230" s="59" t="str">
        <f>IF([2]道具信息!W230="","",[2]道具信息!W230)</f>
        <v/>
      </c>
      <c r="X230" s="59" t="str">
        <f>IF([2]道具信息!X230="","",[2]道具信息!X230)</f>
        <v/>
      </c>
      <c r="Y230" s="59" t="str">
        <f>IF([2]道具信息!Y230="","",[2]道具信息!Y230)</f>
        <v/>
      </c>
      <c r="Z230" s="59" t="str">
        <f>IF([2]道具信息!Z230="","",[2]道具信息!Z230)</f>
        <v/>
      </c>
    </row>
    <row r="231" spans="1:26" x14ac:dyDescent="0.15">
      <c r="A231" s="59" t="str">
        <f>IF([2]道具信息!A231="","",[2]道具信息!A231)</f>
        <v/>
      </c>
      <c r="B231" s="59" t="str">
        <f>IF([2]道具信息!B231="","",[2]道具信息!B231)</f>
        <v/>
      </c>
      <c r="C231" s="59">
        <f>IF([2]道具信息!C231="","",[2]道具信息!C231)</f>
        <v>21123</v>
      </c>
      <c r="D231" s="59" t="str">
        <f>IF([2]道具信息!D231="","",[2]道具信息!D231)</f>
        <v>治疗1小时加速令</v>
      </c>
      <c r="E231" s="59">
        <f>IF([2]道具信息!E231="","",[2]道具信息!E231)</f>
        <v>50</v>
      </c>
      <c r="F231" s="59">
        <f>IF([2]道具信息!F231="","",[2]道具信息!F231)</f>
        <v>1.2</v>
      </c>
      <c r="G231" s="59">
        <f>IF([2]道具信息!G231="","",[2]道具信息!G231)</f>
        <v>1</v>
      </c>
      <c r="H231" s="59">
        <f>IF([2]道具信息!H231="","",[2]道具信息!H231)</f>
        <v>0.6</v>
      </c>
      <c r="I231" s="59">
        <f>IF([2]道具信息!I231="","",[2]道具信息!I231)</f>
        <v>60</v>
      </c>
      <c r="J231" s="59">
        <f>IF([2]道具信息!J231="","",[2]道具信息!J231)</f>
        <v>50</v>
      </c>
      <c r="K231" s="59">
        <f>IF([2]道具信息!K231="","",[2]道具信息!K231)</f>
        <v>30</v>
      </c>
      <c r="L231" s="59" t="str">
        <f>IF([2]道具信息!L231="","",[2]道具信息!L231)</f>
        <v>使用后士兵治疗加速1小时</v>
      </c>
      <c r="M231" s="59" t="str">
        <f>IF([2]道具信息!M231="","",[2]道具信息!M231)</f>
        <v/>
      </c>
      <c r="N231" s="59" t="str">
        <f>IF([2]道具信息!N231="","",[2]道具信息!N231)</f>
        <v/>
      </c>
      <c r="O231" s="59" t="str">
        <f>IF([2]道具信息!O231="","",[2]道具信息!O231)</f>
        <v/>
      </c>
      <c r="P231" s="59" t="str">
        <f>IF([2]道具信息!P231="","",[2]道具信息!P231)</f>
        <v/>
      </c>
      <c r="Q231" s="59" t="str">
        <f>IF([2]道具信息!Q231="","",[2]道具信息!Q231)</f>
        <v/>
      </c>
      <c r="R231" s="59" t="str">
        <f>IF([2]道具信息!R231="","",[2]道具信息!R231)</f>
        <v/>
      </c>
      <c r="S231" s="59" t="str">
        <f>IF([2]道具信息!S231="","",[2]道具信息!S231)</f>
        <v/>
      </c>
      <c r="T231" s="59" t="str">
        <f>IF([2]道具信息!T231="","",[2]道具信息!T231)</f>
        <v/>
      </c>
      <c r="U231" s="59" t="str">
        <f>IF([2]道具信息!U231="","",[2]道具信息!U231)</f>
        <v/>
      </c>
      <c r="V231" s="59" t="str">
        <f>IF([2]道具信息!V231="","",[2]道具信息!V231)</f>
        <v/>
      </c>
      <c r="W231" s="59" t="str">
        <f>IF([2]道具信息!W231="","",[2]道具信息!W231)</f>
        <v/>
      </c>
      <c r="X231" s="59" t="str">
        <f>IF([2]道具信息!X231="","",[2]道具信息!X231)</f>
        <v/>
      </c>
      <c r="Y231" s="59" t="str">
        <f>IF([2]道具信息!Y231="","",[2]道具信息!Y231)</f>
        <v/>
      </c>
      <c r="Z231" s="59" t="str">
        <f>IF([2]道具信息!Z231="","",[2]道具信息!Z231)</f>
        <v/>
      </c>
    </row>
    <row r="232" spans="1:26" x14ac:dyDescent="0.15">
      <c r="A232" s="59" t="str">
        <f>IF([2]道具信息!A232="","",[2]道具信息!A232)</f>
        <v/>
      </c>
      <c r="B232" s="59" t="str">
        <f>IF([2]道具信息!B232="","",[2]道具信息!B232)</f>
        <v/>
      </c>
      <c r="C232" s="59">
        <f>IF([2]道具信息!C232="","",[2]道具信息!C232)</f>
        <v>21124</v>
      </c>
      <c r="D232" s="59" t="str">
        <f>IF([2]道具信息!D232="","",[2]道具信息!D232)</f>
        <v>治疗3小时加速令</v>
      </c>
      <c r="E232" s="59">
        <f>IF([2]道具信息!E232="","",[2]道具信息!E232)</f>
        <v>100</v>
      </c>
      <c r="F232" s="59">
        <f>IF([2]道具信息!F232="","",[2]道具信息!F232)</f>
        <v>1.8</v>
      </c>
      <c r="G232" s="59">
        <f>IF([2]道具信息!G232="","",[2]道具信息!G232)</f>
        <v>1</v>
      </c>
      <c r="H232" s="59">
        <f>IF([2]道具信息!H232="","",[2]道具信息!H232)</f>
        <v>0.8</v>
      </c>
      <c r="I232" s="59">
        <f>IF([2]道具信息!I232="","",[2]道具信息!I232)</f>
        <v>180</v>
      </c>
      <c r="J232" s="59">
        <f>IF([2]道具信息!J232="","",[2]道具信息!J232)</f>
        <v>100</v>
      </c>
      <c r="K232" s="59">
        <f>IF([2]道具信息!K232="","",[2]道具信息!K232)</f>
        <v>80</v>
      </c>
      <c r="L232" s="59" t="str">
        <f>IF([2]道具信息!L232="","",[2]道具信息!L232)</f>
        <v>使用后士兵治疗加速3小时</v>
      </c>
      <c r="M232" s="59" t="str">
        <f>IF([2]道具信息!M232="","",[2]道具信息!M232)</f>
        <v/>
      </c>
      <c r="N232" s="59" t="str">
        <f>IF([2]道具信息!N232="","",[2]道具信息!N232)</f>
        <v/>
      </c>
      <c r="O232" s="59" t="str">
        <f>IF([2]道具信息!O232="","",[2]道具信息!O232)</f>
        <v/>
      </c>
      <c r="P232" s="59" t="str">
        <f>IF([2]道具信息!P232="","",[2]道具信息!P232)</f>
        <v/>
      </c>
      <c r="Q232" s="59" t="str">
        <f>IF([2]道具信息!Q232="","",[2]道具信息!Q232)</f>
        <v/>
      </c>
      <c r="R232" s="59" t="str">
        <f>IF([2]道具信息!R232="","",[2]道具信息!R232)</f>
        <v/>
      </c>
      <c r="S232" s="59" t="str">
        <f>IF([2]道具信息!S232="","",[2]道具信息!S232)</f>
        <v/>
      </c>
      <c r="T232" s="59" t="str">
        <f>IF([2]道具信息!T232="","",[2]道具信息!T232)</f>
        <v/>
      </c>
      <c r="U232" s="59" t="str">
        <f>IF([2]道具信息!U232="","",[2]道具信息!U232)</f>
        <v/>
      </c>
      <c r="V232" s="59" t="str">
        <f>IF([2]道具信息!V232="","",[2]道具信息!V232)</f>
        <v/>
      </c>
      <c r="W232" s="59" t="str">
        <f>IF([2]道具信息!W232="","",[2]道具信息!W232)</f>
        <v/>
      </c>
      <c r="X232" s="59" t="str">
        <f>IF([2]道具信息!X232="","",[2]道具信息!X232)</f>
        <v/>
      </c>
      <c r="Y232" s="59" t="str">
        <f>IF([2]道具信息!Y232="","",[2]道具信息!Y232)</f>
        <v/>
      </c>
      <c r="Z232" s="59" t="str">
        <f>IF([2]道具信息!Z232="","",[2]道具信息!Z232)</f>
        <v/>
      </c>
    </row>
    <row r="233" spans="1:26" x14ac:dyDescent="0.15">
      <c r="A233" s="59" t="str">
        <f>IF([2]道具信息!A233="","",[2]道具信息!A233)</f>
        <v/>
      </c>
      <c r="B233" s="59" t="str">
        <f>IF([2]道具信息!B233="","",[2]道具信息!B233)</f>
        <v/>
      </c>
      <c r="C233" s="59">
        <f>IF([2]道具信息!C233="","",[2]道具信息!C233)</f>
        <v>21137</v>
      </c>
      <c r="D233" s="59" t="str">
        <f>IF([2]道具信息!D233="","",[2]道具信息!D233)</f>
        <v>治疗8小时加速令</v>
      </c>
      <c r="E233" s="59">
        <f>IF([2]道具信息!E233="","",[2]道具信息!E233)</f>
        <v>160</v>
      </c>
      <c r="F233" s="59">
        <f>IF([2]道具信息!F233="","",[2]道具信息!F233)</f>
        <v>3</v>
      </c>
      <c r="G233" s="59">
        <f>IF([2]道具信息!G233="","",[2]道具信息!G233)</f>
        <v>1</v>
      </c>
      <c r="H233" s="59">
        <f>IF([2]道具信息!H233="","",[2]道具信息!H233)</f>
        <v>1</v>
      </c>
      <c r="I233" s="59">
        <f>IF([2]道具信息!I233="","",[2]道具信息!I233)</f>
        <v>480</v>
      </c>
      <c r="J233" s="59">
        <f>IF([2]道具信息!J233="","",[2]道具信息!J233)</f>
        <v>160</v>
      </c>
      <c r="K233" s="59">
        <f>IF([2]道具信息!K233="","",[2]道具信息!K233)</f>
        <v>160</v>
      </c>
      <c r="L233" s="59" t="str">
        <f>IF([2]道具信息!L233="","",[2]道具信息!L233)</f>
        <v>使用后士兵治疗加速8小时</v>
      </c>
      <c r="M233" s="59" t="str">
        <f>IF([2]道具信息!M233="","",[2]道具信息!M233)</f>
        <v/>
      </c>
      <c r="N233" s="59" t="str">
        <f>IF([2]道具信息!N233="","",[2]道具信息!N233)</f>
        <v/>
      </c>
      <c r="O233" s="59" t="str">
        <f>IF([2]道具信息!O233="","",[2]道具信息!O233)</f>
        <v/>
      </c>
      <c r="P233" s="59" t="str">
        <f>IF([2]道具信息!P233="","",[2]道具信息!P233)</f>
        <v/>
      </c>
      <c r="Q233" s="59" t="str">
        <f>IF([2]道具信息!Q233="","",[2]道具信息!Q233)</f>
        <v/>
      </c>
      <c r="R233" s="59" t="str">
        <f>IF([2]道具信息!R233="","",[2]道具信息!R233)</f>
        <v/>
      </c>
      <c r="S233" s="59" t="str">
        <f>IF([2]道具信息!S233="","",[2]道具信息!S233)</f>
        <v/>
      </c>
      <c r="T233" s="59" t="str">
        <f>IF([2]道具信息!T233="","",[2]道具信息!T233)</f>
        <v/>
      </c>
      <c r="U233" s="59" t="str">
        <f>IF([2]道具信息!U233="","",[2]道具信息!U233)</f>
        <v/>
      </c>
      <c r="V233" s="59" t="str">
        <f>IF([2]道具信息!V233="","",[2]道具信息!V233)</f>
        <v/>
      </c>
      <c r="W233" s="59" t="str">
        <f>IF([2]道具信息!W233="","",[2]道具信息!W233)</f>
        <v/>
      </c>
      <c r="X233" s="59" t="str">
        <f>IF([2]道具信息!X233="","",[2]道具信息!X233)</f>
        <v/>
      </c>
      <c r="Y233" s="59" t="str">
        <f>IF([2]道具信息!Y233="","",[2]道具信息!Y233)</f>
        <v/>
      </c>
      <c r="Z233" s="59" t="str">
        <f>IF([2]道具信息!Z233="","",[2]道具信息!Z233)</f>
        <v/>
      </c>
    </row>
    <row r="234" spans="1:26" x14ac:dyDescent="0.15">
      <c r="A234" s="59" t="str">
        <f>IF([2]道具信息!A234="","",[2]道具信息!A234)</f>
        <v/>
      </c>
      <c r="B234" s="59" t="str">
        <f>IF([2]道具信息!B234="","",[2]道具信息!B234)</f>
        <v/>
      </c>
      <c r="C234" s="59" t="str">
        <f>IF([2]道具信息!C234="","",[2]道具信息!C234)</f>
        <v/>
      </c>
      <c r="D234" s="59" t="str">
        <f>IF([2]道具信息!D234="","",[2]道具信息!D234)</f>
        <v/>
      </c>
      <c r="E234" s="59" t="str">
        <f>IF([2]道具信息!E234="","",[2]道具信息!E234)</f>
        <v/>
      </c>
      <c r="F234" s="59" t="str">
        <f>IF([2]道具信息!F234="","",[2]道具信息!F234)</f>
        <v/>
      </c>
      <c r="G234" s="59" t="str">
        <f>IF([2]道具信息!G234="","",[2]道具信息!G234)</f>
        <v/>
      </c>
      <c r="H234" s="59" t="str">
        <f>IF([2]道具信息!H234="","",[2]道具信息!H234)</f>
        <v/>
      </c>
      <c r="I234" s="59" t="str">
        <f>IF([2]道具信息!I234="","",[2]道具信息!I234)</f>
        <v/>
      </c>
      <c r="J234" s="59" t="str">
        <f>IF([2]道具信息!J234="","",[2]道具信息!J234)</f>
        <v/>
      </c>
      <c r="K234" s="59" t="str">
        <f>IF([2]道具信息!K234="","",[2]道具信息!K234)</f>
        <v/>
      </c>
      <c r="L234" s="59" t="str">
        <f>IF([2]道具信息!L234="","",[2]道具信息!L234)</f>
        <v/>
      </c>
      <c r="M234" s="59" t="str">
        <f>IF([2]道具信息!M234="","",[2]道具信息!M234)</f>
        <v/>
      </c>
      <c r="N234" s="59" t="str">
        <f>IF([2]道具信息!N234="","",[2]道具信息!N234)</f>
        <v/>
      </c>
      <c r="O234" s="59" t="str">
        <f>IF([2]道具信息!O234="","",[2]道具信息!O234)</f>
        <v/>
      </c>
      <c r="P234" s="59" t="str">
        <f>IF([2]道具信息!P234="","",[2]道具信息!P234)</f>
        <v/>
      </c>
      <c r="Q234" s="59" t="str">
        <f>IF([2]道具信息!Q234="","",[2]道具信息!Q234)</f>
        <v/>
      </c>
      <c r="R234" s="59" t="str">
        <f>IF([2]道具信息!R234="","",[2]道具信息!R234)</f>
        <v/>
      </c>
      <c r="S234" s="59" t="str">
        <f>IF([2]道具信息!S234="","",[2]道具信息!S234)</f>
        <v/>
      </c>
      <c r="T234" s="59" t="str">
        <f>IF([2]道具信息!T234="","",[2]道具信息!T234)</f>
        <v/>
      </c>
      <c r="U234" s="59" t="str">
        <f>IF([2]道具信息!U234="","",[2]道具信息!U234)</f>
        <v/>
      </c>
      <c r="V234" s="59" t="str">
        <f>IF([2]道具信息!V234="","",[2]道具信息!V234)</f>
        <v/>
      </c>
      <c r="W234" s="59" t="str">
        <f>IF([2]道具信息!W234="","",[2]道具信息!W234)</f>
        <v/>
      </c>
      <c r="X234" s="59" t="str">
        <f>IF([2]道具信息!X234="","",[2]道具信息!X234)</f>
        <v/>
      </c>
      <c r="Y234" s="59" t="str">
        <f>IF([2]道具信息!Y234="","",[2]道具信息!Y234)</f>
        <v/>
      </c>
      <c r="Z234" s="59" t="str">
        <f>IF([2]道具信息!Z234="","",[2]道具信息!Z234)</f>
        <v/>
      </c>
    </row>
    <row r="235" spans="1:26" x14ac:dyDescent="0.15">
      <c r="A235" s="59" t="str">
        <f>IF([2]道具信息!A235="","",[2]道具信息!A235)</f>
        <v/>
      </c>
      <c r="B235" s="59" t="str">
        <f>IF([2]道具信息!B235="","",[2]道具信息!B235)</f>
        <v/>
      </c>
      <c r="C235" s="59">
        <f>IF([2]道具信息!C235="","",[2]道具信息!C235)</f>
        <v>21130</v>
      </c>
      <c r="D235" s="59" t="str">
        <f>IF([2]道具信息!D235="","",[2]道具信息!D235)</f>
        <v>训练1分钟加速令</v>
      </c>
      <c r="E235" s="59">
        <f>IF([2]道具信息!E235="","",[2]道具信息!E235)</f>
        <v>2</v>
      </c>
      <c r="F235" s="59">
        <f>IF([2]道具信息!F235="","",[2]道具信息!F235)</f>
        <v>1</v>
      </c>
      <c r="G235" s="59">
        <f>IF([2]道具信息!G235="","",[2]道具信息!G235)</f>
        <v>1</v>
      </c>
      <c r="H235" s="59">
        <f>IF([2]道具信息!H235="","",[2]道具信息!H235)</f>
        <v>0.3</v>
      </c>
      <c r="I235" s="59">
        <f>IF([2]道具信息!I235="","",[2]道具信息!I235)</f>
        <v>2</v>
      </c>
      <c r="J235" s="59">
        <f>IF([2]道具信息!J235="","",[2]道具信息!J235)</f>
        <v>2</v>
      </c>
      <c r="K235" s="59">
        <f>IF([2]道具信息!K235="","",[2]道具信息!K235)</f>
        <v>0.6</v>
      </c>
      <c r="L235" s="59" t="str">
        <f>IF([2]道具信息!L235="","",[2]道具信息!L235)</f>
        <v>使用后士兵训练加速1分钟</v>
      </c>
      <c r="M235" s="59" t="str">
        <f>IF([2]道具信息!M235="","",[2]道具信息!M235)</f>
        <v/>
      </c>
      <c r="N235" s="59" t="str">
        <f>IF([2]道具信息!N235="","",[2]道具信息!N235)</f>
        <v/>
      </c>
      <c r="O235" s="59" t="str">
        <f>IF([2]道具信息!O235="","",[2]道具信息!O235)</f>
        <v/>
      </c>
      <c r="P235" s="59" t="str">
        <f>IF([2]道具信息!P235="","",[2]道具信息!P235)</f>
        <v/>
      </c>
      <c r="Q235" s="59" t="str">
        <f>IF([2]道具信息!Q235="","",[2]道具信息!Q235)</f>
        <v/>
      </c>
      <c r="R235" s="59" t="str">
        <f>IF([2]道具信息!R235="","",[2]道具信息!R235)</f>
        <v/>
      </c>
      <c r="S235" s="59" t="str">
        <f>IF([2]道具信息!S235="","",[2]道具信息!S235)</f>
        <v/>
      </c>
      <c r="T235" s="59" t="str">
        <f>IF([2]道具信息!T235="","",[2]道具信息!T235)</f>
        <v/>
      </c>
      <c r="U235" s="59" t="str">
        <f>IF([2]道具信息!U235="","",[2]道具信息!U235)</f>
        <v/>
      </c>
      <c r="V235" s="59" t="str">
        <f>IF([2]道具信息!V235="","",[2]道具信息!V235)</f>
        <v/>
      </c>
      <c r="W235" s="59" t="str">
        <f>IF([2]道具信息!W235="","",[2]道具信息!W235)</f>
        <v/>
      </c>
      <c r="X235" s="59" t="str">
        <f>IF([2]道具信息!X235="","",[2]道具信息!X235)</f>
        <v/>
      </c>
      <c r="Y235" s="59" t="str">
        <f>IF([2]道具信息!Y235="","",[2]道具信息!Y235)</f>
        <v/>
      </c>
      <c r="Z235" s="59" t="str">
        <f>IF([2]道具信息!Z235="","",[2]道具信息!Z235)</f>
        <v/>
      </c>
    </row>
    <row r="236" spans="1:26" x14ac:dyDescent="0.15">
      <c r="A236" s="59" t="str">
        <f>IF([2]道具信息!A236="","",[2]道具信息!A236)</f>
        <v/>
      </c>
      <c r="B236" s="59" t="str">
        <f>IF([2]道具信息!B236="","",[2]道具信息!B236)</f>
        <v/>
      </c>
      <c r="C236" s="59">
        <f>IF([2]道具信息!C236="","",[2]道具信息!C236)</f>
        <v>21131</v>
      </c>
      <c r="D236" s="59" t="str">
        <f>IF([2]道具信息!D236="","",[2]道具信息!D236)</f>
        <v>训练5分钟加速令</v>
      </c>
      <c r="E236" s="59">
        <f>IF([2]道具信息!E236="","",[2]道具信息!E236)</f>
        <v>8</v>
      </c>
      <c r="F236" s="59">
        <f>IF([2]道具信息!F236="","",[2]道具信息!F236)</f>
        <v>1</v>
      </c>
      <c r="G236" s="59">
        <f>IF([2]道具信息!G236="","",[2]道具信息!G236)</f>
        <v>1</v>
      </c>
      <c r="H236" s="59">
        <f>IF([2]道具信息!H236="","",[2]道具信息!H236)</f>
        <v>0.4</v>
      </c>
      <c r="I236" s="59">
        <f>IF([2]道具信息!I236="","",[2]道具信息!I236)</f>
        <v>8</v>
      </c>
      <c r="J236" s="59">
        <f>IF([2]道具信息!J236="","",[2]道具信息!J236)</f>
        <v>8</v>
      </c>
      <c r="K236" s="59">
        <f>IF([2]道具信息!K236="","",[2]道具信息!K236)</f>
        <v>3.2</v>
      </c>
      <c r="L236" s="59" t="str">
        <f>IF([2]道具信息!L236="","",[2]道具信息!L236)</f>
        <v>使用后士兵训练加速5分钟</v>
      </c>
      <c r="M236" s="59" t="str">
        <f>IF([2]道具信息!M236="","",[2]道具信息!M236)</f>
        <v/>
      </c>
      <c r="N236" s="59" t="str">
        <f>IF([2]道具信息!N236="","",[2]道具信息!N236)</f>
        <v/>
      </c>
      <c r="O236" s="59" t="str">
        <f>IF([2]道具信息!O236="","",[2]道具信息!O236)</f>
        <v/>
      </c>
      <c r="P236" s="59" t="str">
        <f>IF([2]道具信息!P236="","",[2]道具信息!P236)</f>
        <v/>
      </c>
      <c r="Q236" s="59" t="str">
        <f>IF([2]道具信息!Q236="","",[2]道具信息!Q236)</f>
        <v/>
      </c>
      <c r="R236" s="59" t="str">
        <f>IF([2]道具信息!R236="","",[2]道具信息!R236)</f>
        <v/>
      </c>
      <c r="S236" s="59" t="str">
        <f>IF([2]道具信息!S236="","",[2]道具信息!S236)</f>
        <v/>
      </c>
      <c r="T236" s="59" t="str">
        <f>IF([2]道具信息!T236="","",[2]道具信息!T236)</f>
        <v/>
      </c>
      <c r="U236" s="59" t="str">
        <f>IF([2]道具信息!U236="","",[2]道具信息!U236)</f>
        <v/>
      </c>
      <c r="V236" s="59" t="str">
        <f>IF([2]道具信息!V236="","",[2]道具信息!V236)</f>
        <v/>
      </c>
      <c r="W236" s="59" t="str">
        <f>IF([2]道具信息!W236="","",[2]道具信息!W236)</f>
        <v/>
      </c>
      <c r="X236" s="59" t="str">
        <f>IF([2]道具信息!X236="","",[2]道具信息!X236)</f>
        <v/>
      </c>
      <c r="Y236" s="59" t="str">
        <f>IF([2]道具信息!Y236="","",[2]道具信息!Y236)</f>
        <v/>
      </c>
      <c r="Z236" s="59" t="str">
        <f>IF([2]道具信息!Z236="","",[2]道具信息!Z236)</f>
        <v/>
      </c>
    </row>
    <row r="237" spans="1:26" x14ac:dyDescent="0.15">
      <c r="A237" s="59" t="str">
        <f>IF([2]道具信息!A237="","",[2]道具信息!A237)</f>
        <v/>
      </c>
      <c r="B237" s="59" t="str">
        <f>IF([2]道具信息!B237="","",[2]道具信息!B237)</f>
        <v/>
      </c>
      <c r="C237" s="59">
        <f>IF([2]道具信息!C237="","",[2]道具信息!C237)</f>
        <v>21132</v>
      </c>
      <c r="D237" s="59" t="str">
        <f>IF([2]道具信息!D237="","",[2]道具信息!D237)</f>
        <v>训练20分钟加速令</v>
      </c>
      <c r="E237" s="59">
        <f>IF([2]道具信息!E237="","",[2]道具信息!E237)</f>
        <v>20</v>
      </c>
      <c r="F237" s="59">
        <f>IF([2]道具信息!F237="","",[2]道具信息!F237)</f>
        <v>1</v>
      </c>
      <c r="G237" s="59">
        <f>IF([2]道具信息!G237="","",[2]道具信息!G237)</f>
        <v>1</v>
      </c>
      <c r="H237" s="59">
        <f>IF([2]道具信息!H237="","",[2]道具信息!H237)</f>
        <v>0.5</v>
      </c>
      <c r="I237" s="59">
        <f>IF([2]道具信息!I237="","",[2]道具信息!I237)</f>
        <v>20</v>
      </c>
      <c r="J237" s="59">
        <f>IF([2]道具信息!J237="","",[2]道具信息!J237)</f>
        <v>20</v>
      </c>
      <c r="K237" s="59">
        <f>IF([2]道具信息!K237="","",[2]道具信息!K237)</f>
        <v>10</v>
      </c>
      <c r="L237" s="59" t="str">
        <f>IF([2]道具信息!L237="","",[2]道具信息!L237)</f>
        <v>使用后士兵训练加速20分钟</v>
      </c>
      <c r="M237" s="59" t="str">
        <f>IF([2]道具信息!M237="","",[2]道具信息!M237)</f>
        <v/>
      </c>
      <c r="N237" s="59" t="str">
        <f>IF([2]道具信息!N237="","",[2]道具信息!N237)</f>
        <v/>
      </c>
      <c r="O237" s="59" t="str">
        <f>IF([2]道具信息!O237="","",[2]道具信息!O237)</f>
        <v/>
      </c>
      <c r="P237" s="59" t="str">
        <f>IF([2]道具信息!P237="","",[2]道具信息!P237)</f>
        <v/>
      </c>
      <c r="Q237" s="59" t="str">
        <f>IF([2]道具信息!Q237="","",[2]道具信息!Q237)</f>
        <v/>
      </c>
      <c r="R237" s="59" t="str">
        <f>IF([2]道具信息!R237="","",[2]道具信息!R237)</f>
        <v/>
      </c>
      <c r="S237" s="59" t="str">
        <f>IF([2]道具信息!S237="","",[2]道具信息!S237)</f>
        <v/>
      </c>
      <c r="T237" s="59" t="str">
        <f>IF([2]道具信息!T237="","",[2]道具信息!T237)</f>
        <v/>
      </c>
      <c r="U237" s="59" t="str">
        <f>IF([2]道具信息!U237="","",[2]道具信息!U237)</f>
        <v/>
      </c>
      <c r="V237" s="59" t="str">
        <f>IF([2]道具信息!V237="","",[2]道具信息!V237)</f>
        <v/>
      </c>
      <c r="W237" s="59" t="str">
        <f>IF([2]道具信息!W237="","",[2]道具信息!W237)</f>
        <v/>
      </c>
      <c r="X237" s="59" t="str">
        <f>IF([2]道具信息!X237="","",[2]道具信息!X237)</f>
        <v/>
      </c>
      <c r="Y237" s="59" t="str">
        <f>IF([2]道具信息!Y237="","",[2]道具信息!Y237)</f>
        <v/>
      </c>
      <c r="Z237" s="59" t="str">
        <f>IF([2]道具信息!Z237="","",[2]道具信息!Z237)</f>
        <v/>
      </c>
    </row>
    <row r="238" spans="1:26" x14ac:dyDescent="0.15">
      <c r="A238" s="59" t="str">
        <f>IF([2]道具信息!A238="","",[2]道具信息!A238)</f>
        <v/>
      </c>
      <c r="B238" s="59" t="str">
        <f>IF([2]道具信息!B238="","",[2]道具信息!B238)</f>
        <v/>
      </c>
      <c r="C238" s="59">
        <f>IF([2]道具信息!C238="","",[2]道具信息!C238)</f>
        <v>21133</v>
      </c>
      <c r="D238" s="59" t="str">
        <f>IF([2]道具信息!D238="","",[2]道具信息!D238)</f>
        <v>训练1小时加速令</v>
      </c>
      <c r="E238" s="59">
        <f>IF([2]道具信息!E238="","",[2]道具信息!E238)</f>
        <v>50</v>
      </c>
      <c r="F238" s="59">
        <f>IF([2]道具信息!F238="","",[2]道具信息!F238)</f>
        <v>1.2</v>
      </c>
      <c r="G238" s="59">
        <f>IF([2]道具信息!G238="","",[2]道具信息!G238)</f>
        <v>1</v>
      </c>
      <c r="H238" s="59">
        <f>IF([2]道具信息!H238="","",[2]道具信息!H238)</f>
        <v>0.6</v>
      </c>
      <c r="I238" s="59">
        <f>IF([2]道具信息!I238="","",[2]道具信息!I238)</f>
        <v>60</v>
      </c>
      <c r="J238" s="59">
        <f>IF([2]道具信息!J238="","",[2]道具信息!J238)</f>
        <v>50</v>
      </c>
      <c r="K238" s="59">
        <f>IF([2]道具信息!K238="","",[2]道具信息!K238)</f>
        <v>30</v>
      </c>
      <c r="L238" s="59" t="str">
        <f>IF([2]道具信息!L238="","",[2]道具信息!L238)</f>
        <v>使用后士兵训练加速1小时</v>
      </c>
      <c r="M238" s="59" t="str">
        <f>IF([2]道具信息!M238="","",[2]道具信息!M238)</f>
        <v/>
      </c>
      <c r="N238" s="59" t="str">
        <f>IF([2]道具信息!N238="","",[2]道具信息!N238)</f>
        <v/>
      </c>
      <c r="O238" s="59" t="str">
        <f>IF([2]道具信息!O238="","",[2]道具信息!O238)</f>
        <v/>
      </c>
      <c r="P238" s="59" t="str">
        <f>IF([2]道具信息!P238="","",[2]道具信息!P238)</f>
        <v/>
      </c>
      <c r="Q238" s="59" t="str">
        <f>IF([2]道具信息!Q238="","",[2]道具信息!Q238)</f>
        <v/>
      </c>
      <c r="R238" s="59" t="str">
        <f>IF([2]道具信息!R238="","",[2]道具信息!R238)</f>
        <v/>
      </c>
      <c r="S238" s="59" t="str">
        <f>IF([2]道具信息!S238="","",[2]道具信息!S238)</f>
        <v/>
      </c>
      <c r="T238" s="59" t="str">
        <f>IF([2]道具信息!T238="","",[2]道具信息!T238)</f>
        <v/>
      </c>
      <c r="U238" s="59" t="str">
        <f>IF([2]道具信息!U238="","",[2]道具信息!U238)</f>
        <v/>
      </c>
      <c r="V238" s="59" t="str">
        <f>IF([2]道具信息!V238="","",[2]道具信息!V238)</f>
        <v/>
      </c>
      <c r="W238" s="59" t="str">
        <f>IF([2]道具信息!W238="","",[2]道具信息!W238)</f>
        <v/>
      </c>
      <c r="X238" s="59" t="str">
        <f>IF([2]道具信息!X238="","",[2]道具信息!X238)</f>
        <v/>
      </c>
      <c r="Y238" s="59" t="str">
        <f>IF([2]道具信息!Y238="","",[2]道具信息!Y238)</f>
        <v/>
      </c>
      <c r="Z238" s="59" t="str">
        <f>IF([2]道具信息!Z238="","",[2]道具信息!Z238)</f>
        <v/>
      </c>
    </row>
    <row r="239" spans="1:26" x14ac:dyDescent="0.15">
      <c r="A239" s="59" t="str">
        <f>IF([2]道具信息!A239="","",[2]道具信息!A239)</f>
        <v/>
      </c>
      <c r="B239" s="59" t="str">
        <f>IF([2]道具信息!B239="","",[2]道具信息!B239)</f>
        <v/>
      </c>
      <c r="C239" s="59">
        <f>IF([2]道具信息!C239="","",[2]道具信息!C239)</f>
        <v>21134</v>
      </c>
      <c r="D239" s="59" t="str">
        <f>IF([2]道具信息!D239="","",[2]道具信息!D239)</f>
        <v>训练3小时加速令</v>
      </c>
      <c r="E239" s="59">
        <f>IF([2]道具信息!E239="","",[2]道具信息!E239)</f>
        <v>100</v>
      </c>
      <c r="F239" s="59">
        <f>IF([2]道具信息!F239="","",[2]道具信息!F239)</f>
        <v>1.8</v>
      </c>
      <c r="G239" s="59">
        <f>IF([2]道具信息!G239="","",[2]道具信息!G239)</f>
        <v>1</v>
      </c>
      <c r="H239" s="59">
        <f>IF([2]道具信息!H239="","",[2]道具信息!H239)</f>
        <v>0.8</v>
      </c>
      <c r="I239" s="59">
        <f>IF([2]道具信息!I239="","",[2]道具信息!I239)</f>
        <v>180</v>
      </c>
      <c r="J239" s="59">
        <f>IF([2]道具信息!J239="","",[2]道具信息!J239)</f>
        <v>100</v>
      </c>
      <c r="K239" s="59">
        <f>IF([2]道具信息!K239="","",[2]道具信息!K239)</f>
        <v>80</v>
      </c>
      <c r="L239" s="59" t="str">
        <f>IF([2]道具信息!L239="","",[2]道具信息!L239)</f>
        <v>使用后士兵训练加速3小时</v>
      </c>
      <c r="M239" s="59" t="str">
        <f>IF([2]道具信息!M239="","",[2]道具信息!M239)</f>
        <v/>
      </c>
      <c r="N239" s="59" t="str">
        <f>IF([2]道具信息!N239="","",[2]道具信息!N239)</f>
        <v/>
      </c>
      <c r="O239" s="59" t="str">
        <f>IF([2]道具信息!O239="","",[2]道具信息!O239)</f>
        <v/>
      </c>
      <c r="P239" s="59" t="str">
        <f>IF([2]道具信息!P239="","",[2]道具信息!P239)</f>
        <v/>
      </c>
      <c r="Q239" s="59" t="str">
        <f>IF([2]道具信息!Q239="","",[2]道具信息!Q239)</f>
        <v/>
      </c>
      <c r="R239" s="59" t="str">
        <f>IF([2]道具信息!R239="","",[2]道具信息!R239)</f>
        <v/>
      </c>
      <c r="S239" s="59" t="str">
        <f>IF([2]道具信息!S239="","",[2]道具信息!S239)</f>
        <v/>
      </c>
      <c r="T239" s="59" t="str">
        <f>IF([2]道具信息!T239="","",[2]道具信息!T239)</f>
        <v/>
      </c>
      <c r="U239" s="59" t="str">
        <f>IF([2]道具信息!U239="","",[2]道具信息!U239)</f>
        <v/>
      </c>
      <c r="V239" s="59" t="str">
        <f>IF([2]道具信息!V239="","",[2]道具信息!V239)</f>
        <v/>
      </c>
      <c r="W239" s="59" t="str">
        <f>IF([2]道具信息!W239="","",[2]道具信息!W239)</f>
        <v/>
      </c>
      <c r="X239" s="59" t="str">
        <f>IF([2]道具信息!X239="","",[2]道具信息!X239)</f>
        <v/>
      </c>
      <c r="Y239" s="59" t="str">
        <f>IF([2]道具信息!Y239="","",[2]道具信息!Y239)</f>
        <v/>
      </c>
      <c r="Z239" s="59" t="str">
        <f>IF([2]道具信息!Z239="","",[2]道具信息!Z239)</f>
        <v/>
      </c>
    </row>
    <row r="240" spans="1:26" x14ac:dyDescent="0.15">
      <c r="A240" s="59" t="str">
        <f>IF([2]道具信息!A240="","",[2]道具信息!A240)</f>
        <v/>
      </c>
      <c r="B240" s="59" t="str">
        <f>IF([2]道具信息!B240="","",[2]道具信息!B240)</f>
        <v/>
      </c>
      <c r="C240" s="59">
        <f>IF([2]道具信息!C240="","",[2]道具信息!C240)</f>
        <v>21139</v>
      </c>
      <c r="D240" s="59" t="str">
        <f>IF([2]道具信息!D240="","",[2]道具信息!D240)</f>
        <v>训练8小时加速令</v>
      </c>
      <c r="E240" s="59">
        <f>IF([2]道具信息!E240="","",[2]道具信息!E240)</f>
        <v>160</v>
      </c>
      <c r="F240" s="59">
        <f>IF([2]道具信息!F240="","",[2]道具信息!F240)</f>
        <v>3</v>
      </c>
      <c r="G240" s="59">
        <f>IF([2]道具信息!G240="","",[2]道具信息!G240)</f>
        <v>1</v>
      </c>
      <c r="H240" s="59">
        <f>IF([2]道具信息!H240="","",[2]道具信息!H240)</f>
        <v>1</v>
      </c>
      <c r="I240" s="59">
        <f>IF([2]道具信息!I240="","",[2]道具信息!I240)</f>
        <v>480</v>
      </c>
      <c r="J240" s="59">
        <f>IF([2]道具信息!J240="","",[2]道具信息!J240)</f>
        <v>160</v>
      </c>
      <c r="K240" s="59">
        <f>IF([2]道具信息!K240="","",[2]道具信息!K240)</f>
        <v>160</v>
      </c>
      <c r="L240" s="59" t="str">
        <f>IF([2]道具信息!L240="","",[2]道具信息!L240)</f>
        <v>使用后士兵训练加速8小时</v>
      </c>
      <c r="M240" s="59" t="str">
        <f>IF([2]道具信息!M240="","",[2]道具信息!M240)</f>
        <v/>
      </c>
      <c r="N240" s="59" t="str">
        <f>IF([2]道具信息!N240="","",[2]道具信息!N240)</f>
        <v/>
      </c>
      <c r="O240" s="59" t="str">
        <f>IF([2]道具信息!O240="","",[2]道具信息!O240)</f>
        <v/>
      </c>
      <c r="P240" s="59" t="str">
        <f>IF([2]道具信息!P240="","",[2]道具信息!P240)</f>
        <v/>
      </c>
      <c r="Q240" s="59" t="str">
        <f>IF([2]道具信息!Q240="","",[2]道具信息!Q240)</f>
        <v/>
      </c>
      <c r="R240" s="59" t="str">
        <f>IF([2]道具信息!R240="","",[2]道具信息!R240)</f>
        <v/>
      </c>
      <c r="S240" s="59" t="str">
        <f>IF([2]道具信息!S240="","",[2]道具信息!S240)</f>
        <v/>
      </c>
      <c r="T240" s="59" t="str">
        <f>IF([2]道具信息!T240="","",[2]道具信息!T240)</f>
        <v/>
      </c>
      <c r="U240" s="59" t="str">
        <f>IF([2]道具信息!U240="","",[2]道具信息!U240)</f>
        <v/>
      </c>
      <c r="V240" s="59" t="str">
        <f>IF([2]道具信息!V240="","",[2]道具信息!V240)</f>
        <v/>
      </c>
      <c r="W240" s="59" t="str">
        <f>IF([2]道具信息!W240="","",[2]道具信息!W240)</f>
        <v/>
      </c>
      <c r="X240" s="59" t="str">
        <f>IF([2]道具信息!X240="","",[2]道具信息!X240)</f>
        <v/>
      </c>
      <c r="Y240" s="59" t="str">
        <f>IF([2]道具信息!Y240="","",[2]道具信息!Y240)</f>
        <v/>
      </c>
      <c r="Z240" s="59" t="str">
        <f>IF([2]道具信息!Z240="","",[2]道具信息!Z240)</f>
        <v/>
      </c>
    </row>
    <row r="241" spans="1:26" x14ac:dyDescent="0.15">
      <c r="A241" s="59" t="str">
        <f>IF([2]道具信息!A241="","",[2]道具信息!A241)</f>
        <v/>
      </c>
      <c r="B241" s="59" t="str">
        <f>IF([2]道具信息!B241="","",[2]道具信息!B241)</f>
        <v/>
      </c>
      <c r="C241" s="59" t="str">
        <f>IF([2]道具信息!C241="","",[2]道具信息!C241)</f>
        <v/>
      </c>
      <c r="D241" s="59" t="str">
        <f>IF([2]道具信息!D241="","",[2]道具信息!D241)</f>
        <v/>
      </c>
      <c r="E241" s="59" t="str">
        <f>IF([2]道具信息!E241="","",[2]道具信息!E241)</f>
        <v/>
      </c>
      <c r="F241" s="59" t="str">
        <f>IF([2]道具信息!F241="","",[2]道具信息!F241)</f>
        <v/>
      </c>
      <c r="G241" s="59" t="str">
        <f>IF([2]道具信息!G241="","",[2]道具信息!G241)</f>
        <v/>
      </c>
      <c r="H241" s="59" t="str">
        <f>IF([2]道具信息!H241="","",[2]道具信息!H241)</f>
        <v/>
      </c>
      <c r="I241" s="59" t="str">
        <f>IF([2]道具信息!I241="","",[2]道具信息!I241)</f>
        <v/>
      </c>
      <c r="J241" s="59" t="str">
        <f>IF([2]道具信息!J241="","",[2]道具信息!J241)</f>
        <v/>
      </c>
      <c r="K241" s="59" t="str">
        <f>IF([2]道具信息!K241="","",[2]道具信息!K241)</f>
        <v/>
      </c>
      <c r="L241" s="59" t="str">
        <f>IF([2]道具信息!L241="","",[2]道具信息!L241)</f>
        <v/>
      </c>
      <c r="M241" s="59" t="str">
        <f>IF([2]道具信息!M241="","",[2]道具信息!M241)</f>
        <v/>
      </c>
      <c r="N241" s="59" t="str">
        <f>IF([2]道具信息!N241="","",[2]道具信息!N241)</f>
        <v/>
      </c>
      <c r="O241" s="59" t="str">
        <f>IF([2]道具信息!O241="","",[2]道具信息!O241)</f>
        <v/>
      </c>
      <c r="P241" s="59" t="str">
        <f>IF([2]道具信息!P241="","",[2]道具信息!P241)</f>
        <v/>
      </c>
      <c r="Q241" s="59" t="str">
        <f>IF([2]道具信息!Q241="","",[2]道具信息!Q241)</f>
        <v/>
      </c>
      <c r="R241" s="59" t="str">
        <f>IF([2]道具信息!R241="","",[2]道具信息!R241)</f>
        <v/>
      </c>
      <c r="S241" s="59" t="str">
        <f>IF([2]道具信息!S241="","",[2]道具信息!S241)</f>
        <v/>
      </c>
      <c r="T241" s="59" t="str">
        <f>IF([2]道具信息!T241="","",[2]道具信息!T241)</f>
        <v/>
      </c>
      <c r="U241" s="59" t="str">
        <f>IF([2]道具信息!U241="","",[2]道具信息!U241)</f>
        <v/>
      </c>
      <c r="V241" s="59" t="str">
        <f>IF([2]道具信息!V241="","",[2]道具信息!V241)</f>
        <v/>
      </c>
      <c r="W241" s="59" t="str">
        <f>IF([2]道具信息!W241="","",[2]道具信息!W241)</f>
        <v/>
      </c>
      <c r="X241" s="59" t="str">
        <f>IF([2]道具信息!X241="","",[2]道具信息!X241)</f>
        <v/>
      </c>
      <c r="Y241" s="59" t="str">
        <f>IF([2]道具信息!Y241="","",[2]道具信息!Y241)</f>
        <v/>
      </c>
      <c r="Z241" s="59" t="str">
        <f>IF([2]道具信息!Z241="","",[2]道具信息!Z241)</f>
        <v/>
      </c>
    </row>
    <row r="242" spans="1:26" x14ac:dyDescent="0.15">
      <c r="A242" s="59" t="str">
        <f>IF([2]道具信息!A242="","",[2]道具信息!A242)</f>
        <v/>
      </c>
      <c r="B242" s="59" t="str">
        <f>IF([2]道具信息!B242="","",[2]道具信息!B242)</f>
        <v/>
      </c>
      <c r="C242" s="59">
        <f>IF([2]道具信息!C242="","",[2]道具信息!C242)</f>
        <v>21140</v>
      </c>
      <c r="D242" s="59" t="str">
        <f>IF([2]道具信息!D242="","",[2]道具信息!D242)</f>
        <v>圣人1分钟加速令</v>
      </c>
      <c r="E242" s="59">
        <f>IF([2]道具信息!E242="","",[2]道具信息!E242)</f>
        <v>2</v>
      </c>
      <c r="F242" s="59">
        <f>IF([2]道具信息!F242="","",[2]道具信息!F242)</f>
        <v>1</v>
      </c>
      <c r="G242" s="59">
        <f>IF([2]道具信息!G242="","",[2]道具信息!G242)</f>
        <v>1</v>
      </c>
      <c r="H242" s="59">
        <f>IF([2]道具信息!H242="","",[2]道具信息!H242)</f>
        <v>0.3</v>
      </c>
      <c r="I242" s="59">
        <f>IF([2]道具信息!I242="","",[2]道具信息!I242)</f>
        <v>2</v>
      </c>
      <c r="J242" s="59">
        <f>IF([2]道具信息!J242="","",[2]道具信息!J242)</f>
        <v>2</v>
      </c>
      <c r="K242" s="59">
        <f>IF([2]道具信息!K242="","",[2]道具信息!K242)</f>
        <v>0.6</v>
      </c>
      <c r="L242" s="59" t="str">
        <f>IF([2]道具信息!L242="","",[2]道具信息!L242)</f>
        <v>使用后士兵训练加速1分钟</v>
      </c>
      <c r="M242" s="59" t="str">
        <f>IF([2]道具信息!M242="","",[2]道具信息!M242)</f>
        <v/>
      </c>
      <c r="N242" s="59" t="str">
        <f>IF([2]道具信息!N242="","",[2]道具信息!N242)</f>
        <v/>
      </c>
      <c r="O242" s="59" t="str">
        <f>IF([2]道具信息!O242="","",[2]道具信息!O242)</f>
        <v/>
      </c>
      <c r="P242" s="59" t="str">
        <f>IF([2]道具信息!P242="","",[2]道具信息!P242)</f>
        <v/>
      </c>
      <c r="Q242" s="59" t="str">
        <f>IF([2]道具信息!Q242="","",[2]道具信息!Q242)</f>
        <v/>
      </c>
      <c r="R242" s="59" t="str">
        <f>IF([2]道具信息!R242="","",[2]道具信息!R242)</f>
        <v/>
      </c>
      <c r="S242" s="59" t="str">
        <f>IF([2]道具信息!S242="","",[2]道具信息!S242)</f>
        <v/>
      </c>
      <c r="T242" s="59" t="str">
        <f>IF([2]道具信息!T242="","",[2]道具信息!T242)</f>
        <v/>
      </c>
      <c r="U242" s="59" t="str">
        <f>IF([2]道具信息!U242="","",[2]道具信息!U242)</f>
        <v/>
      </c>
      <c r="V242" s="59" t="str">
        <f>IF([2]道具信息!V242="","",[2]道具信息!V242)</f>
        <v/>
      </c>
      <c r="W242" s="59" t="str">
        <f>IF([2]道具信息!W242="","",[2]道具信息!W242)</f>
        <v/>
      </c>
      <c r="X242" s="59" t="str">
        <f>IF([2]道具信息!X242="","",[2]道具信息!X242)</f>
        <v/>
      </c>
      <c r="Y242" s="59" t="str">
        <f>IF([2]道具信息!Y242="","",[2]道具信息!Y242)</f>
        <v/>
      </c>
      <c r="Z242" s="59" t="str">
        <f>IF([2]道具信息!Z242="","",[2]道具信息!Z242)</f>
        <v/>
      </c>
    </row>
    <row r="243" spans="1:26" x14ac:dyDescent="0.15">
      <c r="A243" s="59" t="str">
        <f>IF([2]道具信息!A243="","",[2]道具信息!A243)</f>
        <v/>
      </c>
      <c r="B243" s="59" t="str">
        <f>IF([2]道具信息!B243="","",[2]道具信息!B243)</f>
        <v/>
      </c>
      <c r="C243" s="59">
        <f>IF([2]道具信息!C243="","",[2]道具信息!C243)</f>
        <v>21141</v>
      </c>
      <c r="D243" s="59" t="str">
        <f>IF([2]道具信息!D243="","",[2]道具信息!D243)</f>
        <v>圣人5分钟加速令</v>
      </c>
      <c r="E243" s="59">
        <f>IF([2]道具信息!E243="","",[2]道具信息!E243)</f>
        <v>8</v>
      </c>
      <c r="F243" s="59">
        <f>IF([2]道具信息!F243="","",[2]道具信息!F243)</f>
        <v>1</v>
      </c>
      <c r="G243" s="59">
        <f>IF([2]道具信息!G243="","",[2]道具信息!G243)</f>
        <v>1</v>
      </c>
      <c r="H243" s="59">
        <f>IF([2]道具信息!H243="","",[2]道具信息!H243)</f>
        <v>0.4</v>
      </c>
      <c r="I243" s="59">
        <f>IF([2]道具信息!I243="","",[2]道具信息!I243)</f>
        <v>8</v>
      </c>
      <c r="J243" s="59">
        <f>IF([2]道具信息!J243="","",[2]道具信息!J243)</f>
        <v>8</v>
      </c>
      <c r="K243" s="59">
        <f>IF([2]道具信息!K243="","",[2]道具信息!K243)</f>
        <v>3.2</v>
      </c>
      <c r="L243" s="59" t="str">
        <f>IF([2]道具信息!L243="","",[2]道具信息!L243)</f>
        <v>使用后士兵训练加速5分钟</v>
      </c>
      <c r="M243" s="59" t="str">
        <f>IF([2]道具信息!M243="","",[2]道具信息!M243)</f>
        <v/>
      </c>
      <c r="N243" s="59" t="str">
        <f>IF([2]道具信息!N243="","",[2]道具信息!N243)</f>
        <v/>
      </c>
      <c r="O243" s="59" t="str">
        <f>IF([2]道具信息!O243="","",[2]道具信息!O243)</f>
        <v/>
      </c>
      <c r="P243" s="59" t="str">
        <f>IF([2]道具信息!P243="","",[2]道具信息!P243)</f>
        <v/>
      </c>
      <c r="Q243" s="59" t="str">
        <f>IF([2]道具信息!Q243="","",[2]道具信息!Q243)</f>
        <v/>
      </c>
      <c r="R243" s="59" t="str">
        <f>IF([2]道具信息!R243="","",[2]道具信息!R243)</f>
        <v/>
      </c>
      <c r="S243" s="59" t="str">
        <f>IF([2]道具信息!S243="","",[2]道具信息!S243)</f>
        <v/>
      </c>
      <c r="T243" s="59" t="str">
        <f>IF([2]道具信息!T243="","",[2]道具信息!T243)</f>
        <v/>
      </c>
      <c r="U243" s="59" t="str">
        <f>IF([2]道具信息!U243="","",[2]道具信息!U243)</f>
        <v/>
      </c>
      <c r="V243" s="59" t="str">
        <f>IF([2]道具信息!V243="","",[2]道具信息!V243)</f>
        <v/>
      </c>
      <c r="W243" s="59" t="str">
        <f>IF([2]道具信息!W243="","",[2]道具信息!W243)</f>
        <v/>
      </c>
      <c r="X243" s="59" t="str">
        <f>IF([2]道具信息!X243="","",[2]道具信息!X243)</f>
        <v/>
      </c>
      <c r="Y243" s="59" t="str">
        <f>IF([2]道具信息!Y243="","",[2]道具信息!Y243)</f>
        <v/>
      </c>
      <c r="Z243" s="59" t="str">
        <f>IF([2]道具信息!Z243="","",[2]道具信息!Z243)</f>
        <v/>
      </c>
    </row>
    <row r="244" spans="1:26" x14ac:dyDescent="0.15">
      <c r="A244" s="59" t="str">
        <f>IF([2]道具信息!A244="","",[2]道具信息!A244)</f>
        <v/>
      </c>
      <c r="B244" s="59" t="str">
        <f>IF([2]道具信息!B244="","",[2]道具信息!B244)</f>
        <v/>
      </c>
      <c r="C244" s="59">
        <f>IF([2]道具信息!C244="","",[2]道具信息!C244)</f>
        <v>21142</v>
      </c>
      <c r="D244" s="59" t="str">
        <f>IF([2]道具信息!D244="","",[2]道具信息!D244)</f>
        <v>圣人20分钟加速令</v>
      </c>
      <c r="E244" s="59">
        <f>IF([2]道具信息!E244="","",[2]道具信息!E244)</f>
        <v>20</v>
      </c>
      <c r="F244" s="59">
        <f>IF([2]道具信息!F244="","",[2]道具信息!F244)</f>
        <v>1</v>
      </c>
      <c r="G244" s="59">
        <f>IF([2]道具信息!G244="","",[2]道具信息!G244)</f>
        <v>1</v>
      </c>
      <c r="H244" s="59">
        <f>IF([2]道具信息!H244="","",[2]道具信息!H244)</f>
        <v>0.5</v>
      </c>
      <c r="I244" s="59">
        <f>IF([2]道具信息!I244="","",[2]道具信息!I244)</f>
        <v>20</v>
      </c>
      <c r="J244" s="59">
        <f>IF([2]道具信息!J244="","",[2]道具信息!J244)</f>
        <v>20</v>
      </c>
      <c r="K244" s="59">
        <f>IF([2]道具信息!K244="","",[2]道具信息!K244)</f>
        <v>10</v>
      </c>
      <c r="L244" s="59" t="str">
        <f>IF([2]道具信息!L244="","",[2]道具信息!L244)</f>
        <v>使用后士兵训练加速20分钟</v>
      </c>
      <c r="M244" s="59" t="str">
        <f>IF([2]道具信息!M244="","",[2]道具信息!M244)</f>
        <v/>
      </c>
      <c r="N244" s="59" t="str">
        <f>IF([2]道具信息!N244="","",[2]道具信息!N244)</f>
        <v/>
      </c>
      <c r="O244" s="59" t="str">
        <f>IF([2]道具信息!O244="","",[2]道具信息!O244)</f>
        <v/>
      </c>
      <c r="P244" s="59" t="str">
        <f>IF([2]道具信息!P244="","",[2]道具信息!P244)</f>
        <v/>
      </c>
      <c r="Q244" s="59" t="str">
        <f>IF([2]道具信息!Q244="","",[2]道具信息!Q244)</f>
        <v/>
      </c>
      <c r="R244" s="59" t="str">
        <f>IF([2]道具信息!R244="","",[2]道具信息!R244)</f>
        <v/>
      </c>
      <c r="S244" s="59" t="str">
        <f>IF([2]道具信息!S244="","",[2]道具信息!S244)</f>
        <v/>
      </c>
      <c r="T244" s="59" t="str">
        <f>IF([2]道具信息!T244="","",[2]道具信息!T244)</f>
        <v/>
      </c>
      <c r="U244" s="59" t="str">
        <f>IF([2]道具信息!U244="","",[2]道具信息!U244)</f>
        <v/>
      </c>
      <c r="V244" s="59" t="str">
        <f>IF([2]道具信息!V244="","",[2]道具信息!V244)</f>
        <v/>
      </c>
      <c r="W244" s="59" t="str">
        <f>IF([2]道具信息!W244="","",[2]道具信息!W244)</f>
        <v/>
      </c>
      <c r="X244" s="59" t="str">
        <f>IF([2]道具信息!X244="","",[2]道具信息!X244)</f>
        <v/>
      </c>
      <c r="Y244" s="59" t="str">
        <f>IF([2]道具信息!Y244="","",[2]道具信息!Y244)</f>
        <v/>
      </c>
      <c r="Z244" s="59" t="str">
        <f>IF([2]道具信息!Z244="","",[2]道具信息!Z244)</f>
        <v/>
      </c>
    </row>
    <row r="245" spans="1:26" x14ac:dyDescent="0.15">
      <c r="A245" s="59" t="str">
        <f>IF([2]道具信息!A245="","",[2]道具信息!A245)</f>
        <v/>
      </c>
      <c r="B245" s="59" t="str">
        <f>IF([2]道具信息!B245="","",[2]道具信息!B245)</f>
        <v/>
      </c>
      <c r="C245" s="59">
        <f>IF([2]道具信息!C245="","",[2]道具信息!C245)</f>
        <v>21143</v>
      </c>
      <c r="D245" s="59" t="str">
        <f>IF([2]道具信息!D245="","",[2]道具信息!D245)</f>
        <v>圣人1小时加速令</v>
      </c>
      <c r="E245" s="59">
        <f>IF([2]道具信息!E245="","",[2]道具信息!E245)</f>
        <v>50</v>
      </c>
      <c r="F245" s="59">
        <f>IF([2]道具信息!F245="","",[2]道具信息!F245)</f>
        <v>1.2</v>
      </c>
      <c r="G245" s="59">
        <f>IF([2]道具信息!G245="","",[2]道具信息!G245)</f>
        <v>1</v>
      </c>
      <c r="H245" s="59">
        <f>IF([2]道具信息!H245="","",[2]道具信息!H245)</f>
        <v>0.6</v>
      </c>
      <c r="I245" s="59">
        <f>IF([2]道具信息!I245="","",[2]道具信息!I245)</f>
        <v>60</v>
      </c>
      <c r="J245" s="59">
        <f>IF([2]道具信息!J245="","",[2]道具信息!J245)</f>
        <v>50</v>
      </c>
      <c r="K245" s="59">
        <f>IF([2]道具信息!K245="","",[2]道具信息!K245)</f>
        <v>30</v>
      </c>
      <c r="L245" s="59" t="str">
        <f>IF([2]道具信息!L245="","",[2]道具信息!L245)</f>
        <v>使用后士兵训练加速1小时</v>
      </c>
      <c r="M245" s="59" t="str">
        <f>IF([2]道具信息!M245="","",[2]道具信息!M245)</f>
        <v/>
      </c>
      <c r="N245" s="59" t="str">
        <f>IF([2]道具信息!N245="","",[2]道具信息!N245)</f>
        <v/>
      </c>
      <c r="O245" s="59" t="str">
        <f>IF([2]道具信息!O245="","",[2]道具信息!O245)</f>
        <v/>
      </c>
      <c r="P245" s="59" t="str">
        <f>IF([2]道具信息!P245="","",[2]道具信息!P245)</f>
        <v/>
      </c>
      <c r="Q245" s="59" t="str">
        <f>IF([2]道具信息!Q245="","",[2]道具信息!Q245)</f>
        <v/>
      </c>
      <c r="R245" s="59" t="str">
        <f>IF([2]道具信息!R245="","",[2]道具信息!R245)</f>
        <v/>
      </c>
      <c r="S245" s="59" t="str">
        <f>IF([2]道具信息!S245="","",[2]道具信息!S245)</f>
        <v/>
      </c>
      <c r="T245" s="59" t="str">
        <f>IF([2]道具信息!T245="","",[2]道具信息!T245)</f>
        <v/>
      </c>
      <c r="U245" s="59" t="str">
        <f>IF([2]道具信息!U245="","",[2]道具信息!U245)</f>
        <v/>
      </c>
      <c r="V245" s="59" t="str">
        <f>IF([2]道具信息!V245="","",[2]道具信息!V245)</f>
        <v/>
      </c>
      <c r="W245" s="59" t="str">
        <f>IF([2]道具信息!W245="","",[2]道具信息!W245)</f>
        <v/>
      </c>
      <c r="X245" s="59" t="str">
        <f>IF([2]道具信息!X245="","",[2]道具信息!X245)</f>
        <v/>
      </c>
      <c r="Y245" s="59" t="str">
        <f>IF([2]道具信息!Y245="","",[2]道具信息!Y245)</f>
        <v/>
      </c>
      <c r="Z245" s="59" t="str">
        <f>IF([2]道具信息!Z245="","",[2]道具信息!Z245)</f>
        <v/>
      </c>
    </row>
    <row r="246" spans="1:26" x14ac:dyDescent="0.15">
      <c r="A246" s="59" t="str">
        <f>IF([2]道具信息!A246="","",[2]道具信息!A246)</f>
        <v/>
      </c>
      <c r="B246" s="59" t="str">
        <f>IF([2]道具信息!B246="","",[2]道具信息!B246)</f>
        <v/>
      </c>
      <c r="C246" s="59">
        <f>IF([2]道具信息!C246="","",[2]道具信息!C246)</f>
        <v>21144</v>
      </c>
      <c r="D246" s="59" t="str">
        <f>IF([2]道具信息!D246="","",[2]道具信息!D246)</f>
        <v>圣人3小时加速令</v>
      </c>
      <c r="E246" s="59">
        <f>IF([2]道具信息!E246="","",[2]道具信息!E246)</f>
        <v>100</v>
      </c>
      <c r="F246" s="59">
        <f>IF([2]道具信息!F246="","",[2]道具信息!F246)</f>
        <v>1.8</v>
      </c>
      <c r="G246" s="59">
        <f>IF([2]道具信息!G246="","",[2]道具信息!G246)</f>
        <v>1</v>
      </c>
      <c r="H246" s="59">
        <f>IF([2]道具信息!H246="","",[2]道具信息!H246)</f>
        <v>0.8</v>
      </c>
      <c r="I246" s="59">
        <f>IF([2]道具信息!I246="","",[2]道具信息!I246)</f>
        <v>180</v>
      </c>
      <c r="J246" s="59">
        <f>IF([2]道具信息!J246="","",[2]道具信息!J246)</f>
        <v>100</v>
      </c>
      <c r="K246" s="59">
        <f>IF([2]道具信息!K246="","",[2]道具信息!K246)</f>
        <v>80</v>
      </c>
      <c r="L246" s="59" t="str">
        <f>IF([2]道具信息!L246="","",[2]道具信息!L246)</f>
        <v>使用后士兵训练加速3小时</v>
      </c>
      <c r="M246" s="59" t="str">
        <f>IF([2]道具信息!M246="","",[2]道具信息!M246)</f>
        <v/>
      </c>
      <c r="N246" s="59" t="str">
        <f>IF([2]道具信息!N246="","",[2]道具信息!N246)</f>
        <v/>
      </c>
      <c r="O246" s="59" t="str">
        <f>IF([2]道具信息!O246="","",[2]道具信息!O246)</f>
        <v/>
      </c>
      <c r="P246" s="59" t="str">
        <f>IF([2]道具信息!P246="","",[2]道具信息!P246)</f>
        <v/>
      </c>
      <c r="Q246" s="59" t="str">
        <f>IF([2]道具信息!Q246="","",[2]道具信息!Q246)</f>
        <v/>
      </c>
      <c r="R246" s="59" t="str">
        <f>IF([2]道具信息!R246="","",[2]道具信息!R246)</f>
        <v/>
      </c>
      <c r="S246" s="59" t="str">
        <f>IF([2]道具信息!S246="","",[2]道具信息!S246)</f>
        <v/>
      </c>
      <c r="T246" s="59" t="str">
        <f>IF([2]道具信息!T246="","",[2]道具信息!T246)</f>
        <v/>
      </c>
      <c r="U246" s="59" t="str">
        <f>IF([2]道具信息!U246="","",[2]道具信息!U246)</f>
        <v/>
      </c>
      <c r="V246" s="59" t="str">
        <f>IF([2]道具信息!V246="","",[2]道具信息!V246)</f>
        <v/>
      </c>
      <c r="W246" s="59" t="str">
        <f>IF([2]道具信息!W246="","",[2]道具信息!W246)</f>
        <v/>
      </c>
      <c r="X246" s="59" t="str">
        <f>IF([2]道具信息!X246="","",[2]道具信息!X246)</f>
        <v/>
      </c>
      <c r="Y246" s="59" t="str">
        <f>IF([2]道具信息!Y246="","",[2]道具信息!Y246)</f>
        <v/>
      </c>
      <c r="Z246" s="59" t="str">
        <f>IF([2]道具信息!Z246="","",[2]道具信息!Z246)</f>
        <v/>
      </c>
    </row>
    <row r="247" spans="1:26" x14ac:dyDescent="0.15">
      <c r="A247" s="59" t="str">
        <f>IF([2]道具信息!A247="","",[2]道具信息!A247)</f>
        <v/>
      </c>
      <c r="B247" s="59" t="str">
        <f>IF([2]道具信息!B247="","",[2]道具信息!B247)</f>
        <v/>
      </c>
      <c r="C247" s="59">
        <f>IF([2]道具信息!C247="","",[2]道具信息!C247)</f>
        <v>21145</v>
      </c>
      <c r="D247" s="59" t="str">
        <f>IF([2]道具信息!D247="","",[2]道具信息!D247)</f>
        <v>圣人8小时加速令</v>
      </c>
      <c r="E247" s="59">
        <f>IF([2]道具信息!E247="","",[2]道具信息!E247)</f>
        <v>160</v>
      </c>
      <c r="F247" s="59">
        <f>IF([2]道具信息!F247="","",[2]道具信息!F247)</f>
        <v>3</v>
      </c>
      <c r="G247" s="59">
        <f>IF([2]道具信息!G247="","",[2]道具信息!G247)</f>
        <v>1</v>
      </c>
      <c r="H247" s="59">
        <f>IF([2]道具信息!H247="","",[2]道具信息!H247)</f>
        <v>1</v>
      </c>
      <c r="I247" s="59">
        <f>IF([2]道具信息!I247="","",[2]道具信息!I247)</f>
        <v>480</v>
      </c>
      <c r="J247" s="59">
        <f>IF([2]道具信息!J247="","",[2]道具信息!J247)</f>
        <v>160</v>
      </c>
      <c r="K247" s="59">
        <f>IF([2]道具信息!K247="","",[2]道具信息!K247)</f>
        <v>160</v>
      </c>
      <c r="L247" s="59" t="str">
        <f>IF([2]道具信息!L247="","",[2]道具信息!L247)</f>
        <v>使用后士兵训练加速8小时</v>
      </c>
      <c r="M247" s="59" t="str">
        <f>IF([2]道具信息!M247="","",[2]道具信息!M247)</f>
        <v/>
      </c>
      <c r="N247" s="59" t="str">
        <f>IF([2]道具信息!N247="","",[2]道具信息!N247)</f>
        <v/>
      </c>
      <c r="O247" s="59" t="str">
        <f>IF([2]道具信息!O247="","",[2]道具信息!O247)</f>
        <v/>
      </c>
      <c r="P247" s="59" t="str">
        <f>IF([2]道具信息!P247="","",[2]道具信息!P247)</f>
        <v/>
      </c>
      <c r="Q247" s="59" t="str">
        <f>IF([2]道具信息!Q247="","",[2]道具信息!Q247)</f>
        <v/>
      </c>
      <c r="R247" s="59" t="str">
        <f>IF([2]道具信息!R247="","",[2]道具信息!R247)</f>
        <v/>
      </c>
      <c r="S247" s="59" t="str">
        <f>IF([2]道具信息!S247="","",[2]道具信息!S247)</f>
        <v/>
      </c>
      <c r="T247" s="59" t="str">
        <f>IF([2]道具信息!T247="","",[2]道具信息!T247)</f>
        <v/>
      </c>
      <c r="U247" s="59" t="str">
        <f>IF([2]道具信息!U247="","",[2]道具信息!U247)</f>
        <v/>
      </c>
      <c r="V247" s="59" t="str">
        <f>IF([2]道具信息!V247="","",[2]道具信息!V247)</f>
        <v/>
      </c>
      <c r="W247" s="59" t="str">
        <f>IF([2]道具信息!W247="","",[2]道具信息!W247)</f>
        <v/>
      </c>
      <c r="X247" s="59" t="str">
        <f>IF([2]道具信息!X247="","",[2]道具信息!X247)</f>
        <v/>
      </c>
      <c r="Y247" s="59" t="str">
        <f>IF([2]道具信息!Y247="","",[2]道具信息!Y247)</f>
        <v/>
      </c>
      <c r="Z247" s="59" t="str">
        <f>IF([2]道具信息!Z247="","",[2]道具信息!Z247)</f>
        <v/>
      </c>
    </row>
    <row r="248" spans="1:26" x14ac:dyDescent="0.15">
      <c r="A248" s="59" t="str">
        <f>IF([2]道具信息!A248="","",[2]道具信息!A248)</f>
        <v/>
      </c>
      <c r="B248" s="59" t="str">
        <f>IF([2]道具信息!B248="","",[2]道具信息!B248)</f>
        <v/>
      </c>
      <c r="C248" s="59" t="str">
        <f>IF([2]道具信息!C248="","",[2]道具信息!C248)</f>
        <v/>
      </c>
      <c r="D248" s="59" t="str">
        <f>IF([2]道具信息!D248="","",[2]道具信息!D248)</f>
        <v/>
      </c>
      <c r="E248" s="59" t="str">
        <f>IF([2]道具信息!E248="","",[2]道具信息!E248)</f>
        <v/>
      </c>
      <c r="F248" s="59" t="str">
        <f>IF([2]道具信息!F248="","",[2]道具信息!F248)</f>
        <v/>
      </c>
      <c r="G248" s="59" t="str">
        <f>IF([2]道具信息!G248="","",[2]道具信息!G248)</f>
        <v/>
      </c>
      <c r="H248" s="59" t="str">
        <f>IF([2]道具信息!H248="","",[2]道具信息!H248)</f>
        <v/>
      </c>
      <c r="I248" s="59" t="str">
        <f>IF([2]道具信息!I248="","",[2]道具信息!I248)</f>
        <v/>
      </c>
      <c r="J248" s="59" t="str">
        <f>IF([2]道具信息!J248="","",[2]道具信息!J248)</f>
        <v/>
      </c>
      <c r="K248" s="59" t="str">
        <f>IF([2]道具信息!K248="","",[2]道具信息!K248)</f>
        <v/>
      </c>
      <c r="L248" s="59" t="str">
        <f>IF([2]道具信息!L248="","",[2]道具信息!L248)</f>
        <v/>
      </c>
      <c r="M248" s="59" t="str">
        <f>IF([2]道具信息!M248="","",[2]道具信息!M248)</f>
        <v/>
      </c>
      <c r="N248" s="59" t="str">
        <f>IF([2]道具信息!N248="","",[2]道具信息!N248)</f>
        <v/>
      </c>
      <c r="O248" s="59" t="str">
        <f>IF([2]道具信息!O248="","",[2]道具信息!O248)</f>
        <v/>
      </c>
      <c r="P248" s="59" t="str">
        <f>IF([2]道具信息!P248="","",[2]道具信息!P248)</f>
        <v/>
      </c>
      <c r="Q248" s="59" t="str">
        <f>IF([2]道具信息!Q248="","",[2]道具信息!Q248)</f>
        <v/>
      </c>
      <c r="R248" s="59" t="str">
        <f>IF([2]道具信息!R248="","",[2]道具信息!R248)</f>
        <v/>
      </c>
      <c r="S248" s="59" t="str">
        <f>IF([2]道具信息!S248="","",[2]道具信息!S248)</f>
        <v/>
      </c>
      <c r="T248" s="59" t="str">
        <f>IF([2]道具信息!T248="","",[2]道具信息!T248)</f>
        <v/>
      </c>
      <c r="U248" s="59" t="str">
        <f>IF([2]道具信息!U248="","",[2]道具信息!U248)</f>
        <v/>
      </c>
      <c r="V248" s="59" t="str">
        <f>IF([2]道具信息!V248="","",[2]道具信息!V248)</f>
        <v/>
      </c>
      <c r="W248" s="59" t="str">
        <f>IF([2]道具信息!W248="","",[2]道具信息!W248)</f>
        <v/>
      </c>
      <c r="X248" s="59" t="str">
        <f>IF([2]道具信息!X248="","",[2]道具信息!X248)</f>
        <v/>
      </c>
      <c r="Y248" s="59" t="str">
        <f>IF([2]道具信息!Y248="","",[2]道具信息!Y248)</f>
        <v/>
      </c>
      <c r="Z248" s="59" t="str">
        <f>IF([2]道具信息!Z248="","",[2]道具信息!Z248)</f>
        <v/>
      </c>
    </row>
    <row r="249" spans="1:26" x14ac:dyDescent="0.15">
      <c r="A249" s="59" t="str">
        <f>IF([2]道具信息!A249="","",[2]道具信息!A249)</f>
        <v/>
      </c>
      <c r="B249" s="59" t="str">
        <f>IF([2]道具信息!B249="","",[2]道具信息!B249)</f>
        <v/>
      </c>
      <c r="C249" s="59">
        <f>IF([2]道具信息!C249="","",[2]道具信息!C249)</f>
        <v>21125</v>
      </c>
      <c r="D249" s="59" t="str">
        <f>IF([2]道具信息!D249="","",[2]道具信息!D249)</f>
        <v>通用1分钟加速令</v>
      </c>
      <c r="E249" s="59">
        <f>IF([2]道具信息!E249="","",[2]道具信息!E249)</f>
        <v>2</v>
      </c>
      <c r="F249" s="59">
        <f>IF([2]道具信息!F249="","",[2]道具信息!F249)</f>
        <v>1</v>
      </c>
      <c r="G249" s="59">
        <f>IF([2]道具信息!G249="","",[2]道具信息!G249)</f>
        <v>1</v>
      </c>
      <c r="H249" s="59">
        <f>IF([2]道具信息!H249="","",[2]道具信息!H249)</f>
        <v>0.3</v>
      </c>
      <c r="I249" s="59">
        <f>IF([2]道具信息!I249="","",[2]道具信息!I249)</f>
        <v>2</v>
      </c>
      <c r="J249" s="59">
        <f>IF([2]道具信息!J249="","",[2]道具信息!J249)</f>
        <v>2</v>
      </c>
      <c r="K249" s="59">
        <f>IF([2]道具信息!K249="","",[2]道具信息!K249)</f>
        <v>0.6</v>
      </c>
      <c r="L249" s="59" t="str">
        <f>IF([2]道具信息!L249="","",[2]道具信息!L249)</f>
        <v>使用后任意队列加速1分钟</v>
      </c>
      <c r="M249" s="59" t="str">
        <f>IF([2]道具信息!M249="","",[2]道具信息!M249)</f>
        <v/>
      </c>
      <c r="N249" s="59" t="str">
        <f>IF([2]道具信息!N249="","",[2]道具信息!N249)</f>
        <v/>
      </c>
      <c r="O249" s="59" t="str">
        <f>IF([2]道具信息!O249="","",[2]道具信息!O249)</f>
        <v/>
      </c>
      <c r="P249" s="59" t="str">
        <f>IF([2]道具信息!P249="","",[2]道具信息!P249)</f>
        <v/>
      </c>
      <c r="Q249" s="59" t="str">
        <f>IF([2]道具信息!Q249="","",[2]道具信息!Q249)</f>
        <v/>
      </c>
      <c r="R249" s="59" t="str">
        <f>IF([2]道具信息!R249="","",[2]道具信息!R249)</f>
        <v/>
      </c>
      <c r="S249" s="59" t="str">
        <f>IF([2]道具信息!S249="","",[2]道具信息!S249)</f>
        <v/>
      </c>
      <c r="T249" s="59" t="str">
        <f>IF([2]道具信息!T249="","",[2]道具信息!T249)</f>
        <v/>
      </c>
      <c r="U249" s="59" t="str">
        <f>IF([2]道具信息!U249="","",[2]道具信息!U249)</f>
        <v/>
      </c>
      <c r="V249" s="59" t="str">
        <f>IF([2]道具信息!V249="","",[2]道具信息!V249)</f>
        <v/>
      </c>
      <c r="W249" s="59" t="str">
        <f>IF([2]道具信息!W249="","",[2]道具信息!W249)</f>
        <v/>
      </c>
      <c r="X249" s="59" t="str">
        <f>IF([2]道具信息!X249="","",[2]道具信息!X249)</f>
        <v/>
      </c>
      <c r="Y249" s="59" t="str">
        <f>IF([2]道具信息!Y249="","",[2]道具信息!Y249)</f>
        <v/>
      </c>
      <c r="Z249" s="59" t="str">
        <f>IF([2]道具信息!Z249="","",[2]道具信息!Z249)</f>
        <v/>
      </c>
    </row>
    <row r="250" spans="1:26" x14ac:dyDescent="0.15">
      <c r="A250" s="59" t="str">
        <f>IF([2]道具信息!A250="","",[2]道具信息!A250)</f>
        <v/>
      </c>
      <c r="B250" s="59" t="str">
        <f>IF([2]道具信息!B250="","",[2]道具信息!B250)</f>
        <v/>
      </c>
      <c r="C250" s="59">
        <f>IF([2]道具信息!C250="","",[2]道具信息!C250)</f>
        <v>21126</v>
      </c>
      <c r="D250" s="59" t="str">
        <f>IF([2]道具信息!D250="","",[2]道具信息!D250)</f>
        <v>通用5分钟加速令</v>
      </c>
      <c r="E250" s="59">
        <f>IF([2]道具信息!E250="","",[2]道具信息!E250)</f>
        <v>8</v>
      </c>
      <c r="F250" s="59">
        <f>IF([2]道具信息!F250="","",[2]道具信息!F250)</f>
        <v>1</v>
      </c>
      <c r="G250" s="59">
        <f>IF([2]道具信息!G250="","",[2]道具信息!G250)</f>
        <v>1</v>
      </c>
      <c r="H250" s="59">
        <f>IF([2]道具信息!H250="","",[2]道具信息!H250)</f>
        <v>0.4</v>
      </c>
      <c r="I250" s="59">
        <f>IF([2]道具信息!I250="","",[2]道具信息!I250)</f>
        <v>8</v>
      </c>
      <c r="J250" s="59">
        <f>IF([2]道具信息!J250="","",[2]道具信息!J250)</f>
        <v>8</v>
      </c>
      <c r="K250" s="59">
        <f>IF([2]道具信息!K250="","",[2]道具信息!K250)</f>
        <v>3.2</v>
      </c>
      <c r="L250" s="59" t="str">
        <f>IF([2]道具信息!L250="","",[2]道具信息!L250)</f>
        <v>使用后任意队列加速5分钟</v>
      </c>
      <c r="M250" s="59" t="str">
        <f>IF([2]道具信息!M250="","",[2]道具信息!M250)</f>
        <v/>
      </c>
      <c r="N250" s="59" t="str">
        <f>IF([2]道具信息!N250="","",[2]道具信息!N250)</f>
        <v/>
      </c>
      <c r="O250" s="59" t="str">
        <f>IF([2]道具信息!O250="","",[2]道具信息!O250)</f>
        <v/>
      </c>
      <c r="P250" s="59" t="str">
        <f>IF([2]道具信息!P250="","",[2]道具信息!P250)</f>
        <v/>
      </c>
      <c r="Q250" s="59" t="str">
        <f>IF([2]道具信息!Q250="","",[2]道具信息!Q250)</f>
        <v/>
      </c>
      <c r="R250" s="59" t="str">
        <f>IF([2]道具信息!R250="","",[2]道具信息!R250)</f>
        <v/>
      </c>
      <c r="S250" s="59" t="str">
        <f>IF([2]道具信息!S250="","",[2]道具信息!S250)</f>
        <v/>
      </c>
      <c r="T250" s="59" t="str">
        <f>IF([2]道具信息!T250="","",[2]道具信息!T250)</f>
        <v/>
      </c>
      <c r="U250" s="59" t="str">
        <f>IF([2]道具信息!U250="","",[2]道具信息!U250)</f>
        <v/>
      </c>
      <c r="V250" s="59" t="str">
        <f>IF([2]道具信息!V250="","",[2]道具信息!V250)</f>
        <v/>
      </c>
      <c r="W250" s="59" t="str">
        <f>IF([2]道具信息!W250="","",[2]道具信息!W250)</f>
        <v/>
      </c>
      <c r="X250" s="59" t="str">
        <f>IF([2]道具信息!X250="","",[2]道具信息!X250)</f>
        <v/>
      </c>
      <c r="Y250" s="59" t="str">
        <f>IF([2]道具信息!Y250="","",[2]道具信息!Y250)</f>
        <v/>
      </c>
      <c r="Z250" s="59" t="str">
        <f>IF([2]道具信息!Z250="","",[2]道具信息!Z250)</f>
        <v/>
      </c>
    </row>
    <row r="251" spans="1:26" x14ac:dyDescent="0.15">
      <c r="A251" s="59" t="str">
        <f>IF([2]道具信息!A251="","",[2]道具信息!A251)</f>
        <v/>
      </c>
      <c r="B251" s="59" t="str">
        <f>IF([2]道具信息!B251="","",[2]道具信息!B251)</f>
        <v/>
      </c>
      <c r="C251" s="59">
        <f>IF([2]道具信息!C251="","",[2]道具信息!C251)</f>
        <v>21127</v>
      </c>
      <c r="D251" s="59" t="str">
        <f>IF([2]道具信息!D251="","",[2]道具信息!D251)</f>
        <v>通用20分钟加速令</v>
      </c>
      <c r="E251" s="59">
        <f>IF([2]道具信息!E251="","",[2]道具信息!E251)</f>
        <v>20</v>
      </c>
      <c r="F251" s="59">
        <f>IF([2]道具信息!F251="","",[2]道具信息!F251)</f>
        <v>1</v>
      </c>
      <c r="G251" s="59">
        <f>IF([2]道具信息!G251="","",[2]道具信息!G251)</f>
        <v>1</v>
      </c>
      <c r="H251" s="59">
        <f>IF([2]道具信息!H251="","",[2]道具信息!H251)</f>
        <v>0.5</v>
      </c>
      <c r="I251" s="59">
        <f>IF([2]道具信息!I251="","",[2]道具信息!I251)</f>
        <v>20</v>
      </c>
      <c r="J251" s="59">
        <f>IF([2]道具信息!J251="","",[2]道具信息!J251)</f>
        <v>20</v>
      </c>
      <c r="K251" s="59">
        <f>IF([2]道具信息!K251="","",[2]道具信息!K251)</f>
        <v>10</v>
      </c>
      <c r="L251" s="59" t="str">
        <f>IF([2]道具信息!L251="","",[2]道具信息!L251)</f>
        <v>使用后任意队列加速20分钟</v>
      </c>
      <c r="M251" s="59" t="str">
        <f>IF([2]道具信息!M251="","",[2]道具信息!M251)</f>
        <v/>
      </c>
      <c r="N251" s="59" t="str">
        <f>IF([2]道具信息!N251="","",[2]道具信息!N251)</f>
        <v/>
      </c>
      <c r="O251" s="59" t="str">
        <f>IF([2]道具信息!O251="","",[2]道具信息!O251)</f>
        <v/>
      </c>
      <c r="P251" s="59" t="str">
        <f>IF([2]道具信息!P251="","",[2]道具信息!P251)</f>
        <v/>
      </c>
      <c r="Q251" s="59" t="str">
        <f>IF([2]道具信息!Q251="","",[2]道具信息!Q251)</f>
        <v/>
      </c>
      <c r="R251" s="59" t="str">
        <f>IF([2]道具信息!R251="","",[2]道具信息!R251)</f>
        <v/>
      </c>
      <c r="S251" s="59" t="str">
        <f>IF([2]道具信息!S251="","",[2]道具信息!S251)</f>
        <v/>
      </c>
      <c r="T251" s="59" t="str">
        <f>IF([2]道具信息!T251="","",[2]道具信息!T251)</f>
        <v/>
      </c>
      <c r="U251" s="59" t="str">
        <f>IF([2]道具信息!U251="","",[2]道具信息!U251)</f>
        <v/>
      </c>
      <c r="V251" s="59" t="str">
        <f>IF([2]道具信息!V251="","",[2]道具信息!V251)</f>
        <v/>
      </c>
      <c r="W251" s="59" t="str">
        <f>IF([2]道具信息!W251="","",[2]道具信息!W251)</f>
        <v/>
      </c>
      <c r="X251" s="59" t="str">
        <f>IF([2]道具信息!X251="","",[2]道具信息!X251)</f>
        <v/>
      </c>
      <c r="Y251" s="59" t="str">
        <f>IF([2]道具信息!Y251="","",[2]道具信息!Y251)</f>
        <v/>
      </c>
      <c r="Z251" s="59" t="str">
        <f>IF([2]道具信息!Z251="","",[2]道具信息!Z251)</f>
        <v/>
      </c>
    </row>
    <row r="252" spans="1:26" x14ac:dyDescent="0.15">
      <c r="A252" s="59" t="str">
        <f>IF([2]道具信息!A252="","",[2]道具信息!A252)</f>
        <v/>
      </c>
      <c r="B252" s="59" t="str">
        <f>IF([2]道具信息!B252="","",[2]道具信息!B252)</f>
        <v/>
      </c>
      <c r="C252" s="59">
        <f>IF([2]道具信息!C252="","",[2]道具信息!C252)</f>
        <v>21128</v>
      </c>
      <c r="D252" s="59" t="str">
        <f>IF([2]道具信息!D252="","",[2]道具信息!D252)</f>
        <v>通用1小时加速令</v>
      </c>
      <c r="E252" s="59">
        <f>IF([2]道具信息!E252="","",[2]道具信息!E252)</f>
        <v>50</v>
      </c>
      <c r="F252" s="59">
        <f>IF([2]道具信息!F252="","",[2]道具信息!F252)</f>
        <v>1.2</v>
      </c>
      <c r="G252" s="59">
        <f>IF([2]道具信息!G252="","",[2]道具信息!G252)</f>
        <v>1</v>
      </c>
      <c r="H252" s="59">
        <f>IF([2]道具信息!H252="","",[2]道具信息!H252)</f>
        <v>0.6</v>
      </c>
      <c r="I252" s="59">
        <f>IF([2]道具信息!I252="","",[2]道具信息!I252)</f>
        <v>60</v>
      </c>
      <c r="J252" s="59">
        <f>IF([2]道具信息!J252="","",[2]道具信息!J252)</f>
        <v>50</v>
      </c>
      <c r="K252" s="59">
        <f>IF([2]道具信息!K252="","",[2]道具信息!K252)</f>
        <v>30</v>
      </c>
      <c r="L252" s="59" t="str">
        <f>IF([2]道具信息!L252="","",[2]道具信息!L252)</f>
        <v>使用后任意队列加速1小时</v>
      </c>
      <c r="M252" s="59" t="str">
        <f>IF([2]道具信息!M252="","",[2]道具信息!M252)</f>
        <v/>
      </c>
      <c r="N252" s="59" t="str">
        <f>IF([2]道具信息!N252="","",[2]道具信息!N252)</f>
        <v/>
      </c>
      <c r="O252" s="59" t="str">
        <f>IF([2]道具信息!O252="","",[2]道具信息!O252)</f>
        <v/>
      </c>
      <c r="P252" s="59" t="str">
        <f>IF([2]道具信息!P252="","",[2]道具信息!P252)</f>
        <v/>
      </c>
      <c r="Q252" s="59" t="str">
        <f>IF([2]道具信息!Q252="","",[2]道具信息!Q252)</f>
        <v/>
      </c>
      <c r="R252" s="59" t="str">
        <f>IF([2]道具信息!R252="","",[2]道具信息!R252)</f>
        <v/>
      </c>
      <c r="S252" s="59" t="str">
        <f>IF([2]道具信息!S252="","",[2]道具信息!S252)</f>
        <v/>
      </c>
      <c r="T252" s="59" t="str">
        <f>IF([2]道具信息!T252="","",[2]道具信息!T252)</f>
        <v/>
      </c>
      <c r="U252" s="59" t="str">
        <f>IF([2]道具信息!U252="","",[2]道具信息!U252)</f>
        <v/>
      </c>
      <c r="V252" s="59" t="str">
        <f>IF([2]道具信息!V252="","",[2]道具信息!V252)</f>
        <v/>
      </c>
      <c r="W252" s="59" t="str">
        <f>IF([2]道具信息!W252="","",[2]道具信息!W252)</f>
        <v/>
      </c>
      <c r="X252" s="59" t="str">
        <f>IF([2]道具信息!X252="","",[2]道具信息!X252)</f>
        <v/>
      </c>
      <c r="Y252" s="59" t="str">
        <f>IF([2]道具信息!Y252="","",[2]道具信息!Y252)</f>
        <v/>
      </c>
      <c r="Z252" s="59" t="str">
        <f>IF([2]道具信息!Z252="","",[2]道具信息!Z252)</f>
        <v/>
      </c>
    </row>
    <row r="253" spans="1:26" x14ac:dyDescent="0.15">
      <c r="A253" s="59" t="str">
        <f>IF([2]道具信息!A253="","",[2]道具信息!A253)</f>
        <v/>
      </c>
      <c r="B253" s="59" t="str">
        <f>IF([2]道具信息!B253="","",[2]道具信息!B253)</f>
        <v/>
      </c>
      <c r="C253" s="59">
        <f>IF([2]道具信息!C253="","",[2]道具信息!C253)</f>
        <v>21129</v>
      </c>
      <c r="D253" s="59" t="str">
        <f>IF([2]道具信息!D253="","",[2]道具信息!D253)</f>
        <v>通用3小时加速令</v>
      </c>
      <c r="E253" s="59">
        <f>IF([2]道具信息!E253="","",[2]道具信息!E253)</f>
        <v>100</v>
      </c>
      <c r="F253" s="59">
        <f>IF([2]道具信息!F253="","",[2]道具信息!F253)</f>
        <v>1.8</v>
      </c>
      <c r="G253" s="59">
        <f>IF([2]道具信息!G253="","",[2]道具信息!G253)</f>
        <v>1</v>
      </c>
      <c r="H253" s="59">
        <f>IF([2]道具信息!H253="","",[2]道具信息!H253)</f>
        <v>0.8</v>
      </c>
      <c r="I253" s="59">
        <f>IF([2]道具信息!I253="","",[2]道具信息!I253)</f>
        <v>180</v>
      </c>
      <c r="J253" s="59">
        <f>IF([2]道具信息!J253="","",[2]道具信息!J253)</f>
        <v>100</v>
      </c>
      <c r="K253" s="59">
        <f>IF([2]道具信息!K253="","",[2]道具信息!K253)</f>
        <v>80</v>
      </c>
      <c r="L253" s="59" t="str">
        <f>IF([2]道具信息!L253="","",[2]道具信息!L253)</f>
        <v>使用后任意队列加速3小时</v>
      </c>
      <c r="M253" s="59" t="str">
        <f>IF([2]道具信息!M253="","",[2]道具信息!M253)</f>
        <v/>
      </c>
      <c r="N253" s="59" t="str">
        <f>IF([2]道具信息!N253="","",[2]道具信息!N253)</f>
        <v/>
      </c>
      <c r="O253" s="59" t="str">
        <f>IF([2]道具信息!O253="","",[2]道具信息!O253)</f>
        <v/>
      </c>
      <c r="P253" s="59" t="str">
        <f>IF([2]道具信息!P253="","",[2]道具信息!P253)</f>
        <v/>
      </c>
      <c r="Q253" s="59" t="str">
        <f>IF([2]道具信息!Q253="","",[2]道具信息!Q253)</f>
        <v/>
      </c>
      <c r="R253" s="59" t="str">
        <f>IF([2]道具信息!R253="","",[2]道具信息!R253)</f>
        <v/>
      </c>
      <c r="S253" s="59" t="str">
        <f>IF([2]道具信息!S253="","",[2]道具信息!S253)</f>
        <v/>
      </c>
      <c r="T253" s="59" t="str">
        <f>IF([2]道具信息!T253="","",[2]道具信息!T253)</f>
        <v/>
      </c>
      <c r="U253" s="59" t="str">
        <f>IF([2]道具信息!U253="","",[2]道具信息!U253)</f>
        <v/>
      </c>
      <c r="V253" s="59" t="str">
        <f>IF([2]道具信息!V253="","",[2]道具信息!V253)</f>
        <v/>
      </c>
      <c r="W253" s="59" t="str">
        <f>IF([2]道具信息!W253="","",[2]道具信息!W253)</f>
        <v/>
      </c>
      <c r="X253" s="59" t="str">
        <f>IF([2]道具信息!X253="","",[2]道具信息!X253)</f>
        <v/>
      </c>
      <c r="Y253" s="59" t="str">
        <f>IF([2]道具信息!Y253="","",[2]道具信息!Y253)</f>
        <v/>
      </c>
      <c r="Z253" s="59" t="str">
        <f>IF([2]道具信息!Z253="","",[2]道具信息!Z253)</f>
        <v/>
      </c>
    </row>
    <row r="254" spans="1:26" x14ac:dyDescent="0.15">
      <c r="A254" s="59" t="str">
        <f>IF([2]道具信息!A254="","",[2]道具信息!A254)</f>
        <v/>
      </c>
      <c r="B254" s="59" t="str">
        <f>IF([2]道具信息!B254="","",[2]道具信息!B254)</f>
        <v/>
      </c>
      <c r="C254" s="59">
        <f>IF([2]道具信息!C254="","",[2]道具信息!C254)</f>
        <v>21138</v>
      </c>
      <c r="D254" s="59" t="str">
        <f>IF([2]道具信息!D254="","",[2]道具信息!D254)</f>
        <v>通用8小时加速令</v>
      </c>
      <c r="E254" s="59">
        <f>IF([2]道具信息!E254="","",[2]道具信息!E254)</f>
        <v>160</v>
      </c>
      <c r="F254" s="59">
        <f>IF([2]道具信息!F254="","",[2]道具信息!F254)</f>
        <v>3</v>
      </c>
      <c r="G254" s="59">
        <f>IF([2]道具信息!G254="","",[2]道具信息!G254)</f>
        <v>1</v>
      </c>
      <c r="H254" s="59">
        <f>IF([2]道具信息!H254="","",[2]道具信息!H254)</f>
        <v>1</v>
      </c>
      <c r="I254" s="59">
        <f>IF([2]道具信息!I254="","",[2]道具信息!I254)</f>
        <v>480</v>
      </c>
      <c r="J254" s="59">
        <f>IF([2]道具信息!J254="","",[2]道具信息!J254)</f>
        <v>160</v>
      </c>
      <c r="K254" s="59">
        <f>IF([2]道具信息!K254="","",[2]道具信息!K254)</f>
        <v>160</v>
      </c>
      <c r="L254" s="59" t="str">
        <f>IF([2]道具信息!L254="","",[2]道具信息!L254)</f>
        <v>使用后任意队列加速8小时</v>
      </c>
      <c r="M254" s="59" t="str">
        <f>IF([2]道具信息!M254="","",[2]道具信息!M254)</f>
        <v/>
      </c>
      <c r="N254" s="59" t="str">
        <f>IF([2]道具信息!N254="","",[2]道具信息!N254)</f>
        <v/>
      </c>
      <c r="O254" s="59" t="str">
        <f>IF([2]道具信息!O254="","",[2]道具信息!O254)</f>
        <v/>
      </c>
      <c r="P254" s="59" t="str">
        <f>IF([2]道具信息!P254="","",[2]道具信息!P254)</f>
        <v/>
      </c>
      <c r="Q254" s="59" t="str">
        <f>IF([2]道具信息!Q254="","",[2]道具信息!Q254)</f>
        <v/>
      </c>
      <c r="R254" s="59" t="str">
        <f>IF([2]道具信息!R254="","",[2]道具信息!R254)</f>
        <v/>
      </c>
      <c r="S254" s="59" t="str">
        <f>IF([2]道具信息!S254="","",[2]道具信息!S254)</f>
        <v/>
      </c>
      <c r="T254" s="59" t="str">
        <f>IF([2]道具信息!T254="","",[2]道具信息!T254)</f>
        <v/>
      </c>
      <c r="U254" s="59" t="str">
        <f>IF([2]道具信息!U254="","",[2]道具信息!U254)</f>
        <v/>
      </c>
      <c r="V254" s="59" t="str">
        <f>IF([2]道具信息!V254="","",[2]道具信息!V254)</f>
        <v/>
      </c>
      <c r="W254" s="59" t="str">
        <f>IF([2]道具信息!W254="","",[2]道具信息!W254)</f>
        <v/>
      </c>
      <c r="X254" s="59" t="str">
        <f>IF([2]道具信息!X254="","",[2]道具信息!X254)</f>
        <v/>
      </c>
      <c r="Y254" s="59" t="str">
        <f>IF([2]道具信息!Y254="","",[2]道具信息!Y254)</f>
        <v/>
      </c>
      <c r="Z254" s="59" t="str">
        <f>IF([2]道具信息!Z254="","",[2]道具信息!Z254)</f>
        <v/>
      </c>
    </row>
    <row r="255" spans="1:26" x14ac:dyDescent="0.15">
      <c r="A255" s="59" t="str">
        <f>IF([2]道具信息!A255="","",[2]道具信息!A255)</f>
        <v/>
      </c>
      <c r="B255" s="59" t="str">
        <f>IF([2]道具信息!B255="","",[2]道具信息!B255)</f>
        <v/>
      </c>
      <c r="C255" s="59" t="str">
        <f>IF([2]道具信息!C255="","",[2]道具信息!C255)</f>
        <v/>
      </c>
      <c r="D255" s="59" t="str">
        <f>IF([2]道具信息!D255="","",[2]道具信息!D255)</f>
        <v/>
      </c>
      <c r="E255" s="59" t="str">
        <f>IF([2]道具信息!E255="","",[2]道具信息!E255)</f>
        <v/>
      </c>
      <c r="F255" s="59" t="str">
        <f>IF([2]道具信息!F255="","",[2]道具信息!F255)</f>
        <v/>
      </c>
      <c r="G255" s="59" t="str">
        <f>IF([2]道具信息!G255="","",[2]道具信息!G255)</f>
        <v/>
      </c>
      <c r="H255" s="59" t="str">
        <f>IF([2]道具信息!H255="","",[2]道具信息!H255)</f>
        <v/>
      </c>
      <c r="I255" s="59" t="str">
        <f>IF([2]道具信息!I255="","",[2]道具信息!I255)</f>
        <v/>
      </c>
      <c r="J255" s="59" t="str">
        <f>IF([2]道具信息!J255="","",[2]道具信息!J255)</f>
        <v/>
      </c>
      <c r="K255" s="59" t="str">
        <f>IF([2]道具信息!K255="","",[2]道具信息!K255)</f>
        <v/>
      </c>
      <c r="L255" s="59" t="str">
        <f>IF([2]道具信息!L255="","",[2]道具信息!L255)</f>
        <v/>
      </c>
      <c r="M255" s="59" t="str">
        <f>IF([2]道具信息!M255="","",[2]道具信息!M255)</f>
        <v/>
      </c>
      <c r="N255" s="59" t="str">
        <f>IF([2]道具信息!N255="","",[2]道具信息!N255)</f>
        <v/>
      </c>
      <c r="O255" s="59" t="str">
        <f>IF([2]道具信息!O255="","",[2]道具信息!O255)</f>
        <v/>
      </c>
      <c r="P255" s="59" t="str">
        <f>IF([2]道具信息!P255="","",[2]道具信息!P255)</f>
        <v/>
      </c>
      <c r="Q255" s="59" t="str">
        <f>IF([2]道具信息!Q255="","",[2]道具信息!Q255)</f>
        <v/>
      </c>
      <c r="R255" s="59" t="str">
        <f>IF([2]道具信息!R255="","",[2]道具信息!R255)</f>
        <v/>
      </c>
      <c r="S255" s="59" t="str">
        <f>IF([2]道具信息!S255="","",[2]道具信息!S255)</f>
        <v/>
      </c>
      <c r="T255" s="59" t="str">
        <f>IF([2]道具信息!T255="","",[2]道具信息!T255)</f>
        <v/>
      </c>
      <c r="U255" s="59" t="str">
        <f>IF([2]道具信息!U255="","",[2]道具信息!U255)</f>
        <v/>
      </c>
      <c r="V255" s="59" t="str">
        <f>IF([2]道具信息!V255="","",[2]道具信息!V255)</f>
        <v/>
      </c>
      <c r="W255" s="59" t="str">
        <f>IF([2]道具信息!W255="","",[2]道具信息!W255)</f>
        <v/>
      </c>
      <c r="X255" s="59" t="str">
        <f>IF([2]道具信息!X255="","",[2]道具信息!X255)</f>
        <v/>
      </c>
      <c r="Y255" s="59" t="str">
        <f>IF([2]道具信息!Y255="","",[2]道具信息!Y255)</f>
        <v/>
      </c>
      <c r="Z255" s="59" t="str">
        <f>IF([2]道具信息!Z255="","",[2]道具信息!Z255)</f>
        <v/>
      </c>
    </row>
    <row r="256" spans="1:26" x14ac:dyDescent="0.15">
      <c r="A256" s="59" t="str">
        <f>IF([2]道具信息!A256="","",[2]道具信息!A256)</f>
        <v/>
      </c>
      <c r="B256" s="59" t="str">
        <f>IF([2]道具信息!B256="","",[2]道具信息!B256)</f>
        <v/>
      </c>
      <c r="C256" s="59" t="str">
        <f>IF([2]道具信息!C256="","",[2]道具信息!C256)</f>
        <v/>
      </c>
      <c r="D256" s="59" t="str">
        <f>IF([2]道具信息!D256="","",[2]道具信息!D256)</f>
        <v/>
      </c>
      <c r="E256" s="59" t="str">
        <f>IF([2]道具信息!E256="","",[2]道具信息!E256)</f>
        <v/>
      </c>
      <c r="F256" s="59" t="str">
        <f>IF([2]道具信息!F256="","",[2]道具信息!F256)</f>
        <v/>
      </c>
      <c r="G256" s="59" t="str">
        <f>IF([2]道具信息!G256="","",[2]道具信息!G256)</f>
        <v/>
      </c>
      <c r="H256" s="59" t="str">
        <f>IF([2]道具信息!H256="","",[2]道具信息!H256)</f>
        <v/>
      </c>
      <c r="I256" s="59" t="str">
        <f>IF([2]道具信息!I256="","",[2]道具信息!I256)</f>
        <v/>
      </c>
      <c r="J256" s="59" t="str">
        <f>IF([2]道具信息!J256="","",[2]道具信息!J256)</f>
        <v/>
      </c>
      <c r="K256" s="59" t="str">
        <f>IF([2]道具信息!K256="","",[2]道具信息!K256)</f>
        <v/>
      </c>
      <c r="L256" s="59" t="str">
        <f>IF([2]道具信息!L256="","",[2]道具信息!L256)</f>
        <v/>
      </c>
      <c r="M256" s="59" t="str">
        <f>IF([2]道具信息!M256="","",[2]道具信息!M256)</f>
        <v/>
      </c>
      <c r="N256" s="59" t="str">
        <f>IF([2]道具信息!N256="","",[2]道具信息!N256)</f>
        <v/>
      </c>
      <c r="O256" s="59" t="str">
        <f>IF([2]道具信息!O256="","",[2]道具信息!O256)</f>
        <v/>
      </c>
      <c r="P256" s="59" t="str">
        <f>IF([2]道具信息!P256="","",[2]道具信息!P256)</f>
        <v/>
      </c>
      <c r="Q256" s="59" t="str">
        <f>IF([2]道具信息!Q256="","",[2]道具信息!Q256)</f>
        <v/>
      </c>
      <c r="R256" s="59" t="str">
        <f>IF([2]道具信息!R256="","",[2]道具信息!R256)</f>
        <v/>
      </c>
      <c r="S256" s="59" t="str">
        <f>IF([2]道具信息!S256="","",[2]道具信息!S256)</f>
        <v/>
      </c>
      <c r="T256" s="59" t="str">
        <f>IF([2]道具信息!T256="","",[2]道具信息!T256)</f>
        <v/>
      </c>
      <c r="U256" s="59" t="str">
        <f>IF([2]道具信息!U256="","",[2]道具信息!U256)</f>
        <v/>
      </c>
      <c r="V256" s="59" t="str">
        <f>IF([2]道具信息!V256="","",[2]道具信息!V256)</f>
        <v/>
      </c>
      <c r="W256" s="59" t="str">
        <f>IF([2]道具信息!W256="","",[2]道具信息!W256)</f>
        <v/>
      </c>
      <c r="X256" s="59" t="str">
        <f>IF([2]道具信息!X256="","",[2]道具信息!X256)</f>
        <v/>
      </c>
      <c r="Y256" s="59" t="str">
        <f>IF([2]道具信息!Y256="","",[2]道具信息!Y256)</f>
        <v/>
      </c>
      <c r="Z256" s="59" t="str">
        <f>IF([2]道具信息!Z256="","",[2]道具信息!Z256)</f>
        <v/>
      </c>
    </row>
    <row r="257" spans="1:26" x14ac:dyDescent="0.15">
      <c r="A257" s="59" t="str">
        <f>IF([2]道具信息!A257="","",[2]道具信息!A257)</f>
        <v/>
      </c>
      <c r="B257" s="59" t="str">
        <f>IF([2]道具信息!B257="","",[2]道具信息!B257)</f>
        <v/>
      </c>
      <c r="C257" s="59">
        <f>IF([2]道具信息!C257="","",[2]道具信息!C257)</f>
        <v>21150</v>
      </c>
      <c r="D257" s="59" t="str">
        <f>IF([2]道具信息!D257="","",[2]道具信息!D257)</f>
        <v>初级装备淬炼</v>
      </c>
      <c r="E257" s="59">
        <f>IF([2]道具信息!E257="","",[2]道具信息!E257)</f>
        <v>10</v>
      </c>
      <c r="F257" s="59">
        <f>IF([2]道具信息!F257="","",[2]道具信息!F257)</f>
        <v>1</v>
      </c>
      <c r="G257" s="59">
        <f>IF([2]道具信息!G257="","",[2]道具信息!G257)</f>
        <v>1</v>
      </c>
      <c r="H257" s="59">
        <f>IF([2]道具信息!H257="","",[2]道具信息!H257)</f>
        <v>0.3</v>
      </c>
      <c r="I257" s="59">
        <f>IF([2]道具信息!I257="","",[2]道具信息!I257)</f>
        <v>10</v>
      </c>
      <c r="J257" s="59">
        <f>IF([2]道具信息!J257="","",[2]道具信息!J257)</f>
        <v>10</v>
      </c>
      <c r="K257" s="59">
        <f>IF([2]道具信息!K257="","",[2]道具信息!K257)</f>
        <v>3</v>
      </c>
      <c r="L257" s="59" t="str">
        <f>IF([2]道具信息!L257="","",[2]道具信息!L257)</f>
        <v>装备使用后获得10经验</v>
      </c>
      <c r="M257" s="59" t="str">
        <f>IF([2]道具信息!M257="","",[2]道具信息!M257)</f>
        <v/>
      </c>
      <c r="N257" s="59" t="str">
        <f>IF([2]道具信息!N257="","",[2]道具信息!N257)</f>
        <v/>
      </c>
      <c r="O257" s="59" t="str">
        <f>IF([2]道具信息!O257="","",[2]道具信息!O257)</f>
        <v/>
      </c>
      <c r="P257" s="59" t="str">
        <f>IF([2]道具信息!P257="","",[2]道具信息!P257)</f>
        <v/>
      </c>
      <c r="Q257" s="59" t="str">
        <f>IF([2]道具信息!Q257="","",[2]道具信息!Q257)</f>
        <v/>
      </c>
      <c r="R257" s="59" t="str">
        <f>IF([2]道具信息!R257="","",[2]道具信息!R257)</f>
        <v/>
      </c>
      <c r="S257" s="59" t="str">
        <f>IF([2]道具信息!S257="","",[2]道具信息!S257)</f>
        <v/>
      </c>
      <c r="T257" s="59" t="str">
        <f>IF([2]道具信息!T257="","",[2]道具信息!T257)</f>
        <v/>
      </c>
      <c r="U257" s="59" t="str">
        <f>IF([2]道具信息!U257="","",[2]道具信息!U257)</f>
        <v/>
      </c>
      <c r="V257" s="59" t="str">
        <f>IF([2]道具信息!V257="","",[2]道具信息!V257)</f>
        <v/>
      </c>
      <c r="W257" s="59" t="str">
        <f>IF([2]道具信息!W257="","",[2]道具信息!W257)</f>
        <v/>
      </c>
      <c r="X257" s="59" t="str">
        <f>IF([2]道具信息!X257="","",[2]道具信息!X257)</f>
        <v/>
      </c>
      <c r="Y257" s="59" t="str">
        <f>IF([2]道具信息!Y257="","",[2]道具信息!Y257)</f>
        <v/>
      </c>
      <c r="Z257" s="59" t="str">
        <f>IF([2]道具信息!Z257="","",[2]道具信息!Z257)</f>
        <v/>
      </c>
    </row>
    <row r="258" spans="1:26" x14ac:dyDescent="0.15">
      <c r="A258" s="59" t="str">
        <f>IF([2]道具信息!A258="","",[2]道具信息!A258)</f>
        <v/>
      </c>
      <c r="B258" s="59" t="str">
        <f>IF([2]道具信息!B258="","",[2]道具信息!B258)</f>
        <v/>
      </c>
      <c r="C258" s="59">
        <f>IF([2]道具信息!C258="","",[2]道具信息!C258)</f>
        <v>21151</v>
      </c>
      <c r="D258" s="59" t="str">
        <f>IF([2]道具信息!D258="","",[2]道具信息!D258)</f>
        <v>中级装备淬炼</v>
      </c>
      <c r="E258" s="59">
        <f>IF([2]道具信息!E258="","",[2]道具信息!E258)</f>
        <v>20</v>
      </c>
      <c r="F258" s="59">
        <f>IF([2]道具信息!F258="","",[2]道具信息!F258)</f>
        <v>1</v>
      </c>
      <c r="G258" s="59">
        <f>IF([2]道具信息!G258="","",[2]道具信息!G258)</f>
        <v>1</v>
      </c>
      <c r="H258" s="59">
        <f>IF([2]道具信息!H258="","",[2]道具信息!H258)</f>
        <v>0.3</v>
      </c>
      <c r="I258" s="59">
        <f>IF([2]道具信息!I258="","",[2]道具信息!I258)</f>
        <v>20</v>
      </c>
      <c r="J258" s="59">
        <f>IF([2]道具信息!J258="","",[2]道具信息!J258)</f>
        <v>20</v>
      </c>
      <c r="K258" s="59">
        <f>IF([2]道具信息!K258="","",[2]道具信息!K258)</f>
        <v>6</v>
      </c>
      <c r="L258" s="59" t="str">
        <f>IF([2]道具信息!L258="","",[2]道具信息!L258)</f>
        <v>装备使用后获得20经验</v>
      </c>
      <c r="M258" s="59" t="str">
        <f>IF([2]道具信息!M258="","",[2]道具信息!M258)</f>
        <v/>
      </c>
      <c r="N258" s="59" t="str">
        <f>IF([2]道具信息!N258="","",[2]道具信息!N258)</f>
        <v/>
      </c>
      <c r="O258" s="59" t="str">
        <f>IF([2]道具信息!O258="","",[2]道具信息!O258)</f>
        <v/>
      </c>
      <c r="P258" s="59" t="str">
        <f>IF([2]道具信息!P258="","",[2]道具信息!P258)</f>
        <v/>
      </c>
      <c r="Q258" s="59" t="str">
        <f>IF([2]道具信息!Q258="","",[2]道具信息!Q258)</f>
        <v/>
      </c>
      <c r="R258" s="59" t="str">
        <f>IF([2]道具信息!R258="","",[2]道具信息!R258)</f>
        <v/>
      </c>
      <c r="S258" s="59" t="str">
        <f>IF([2]道具信息!S258="","",[2]道具信息!S258)</f>
        <v/>
      </c>
      <c r="T258" s="59" t="str">
        <f>IF([2]道具信息!T258="","",[2]道具信息!T258)</f>
        <v/>
      </c>
      <c r="U258" s="59" t="str">
        <f>IF([2]道具信息!U258="","",[2]道具信息!U258)</f>
        <v/>
      </c>
      <c r="V258" s="59" t="str">
        <f>IF([2]道具信息!V258="","",[2]道具信息!V258)</f>
        <v/>
      </c>
      <c r="W258" s="59" t="str">
        <f>IF([2]道具信息!W258="","",[2]道具信息!W258)</f>
        <v/>
      </c>
      <c r="X258" s="59" t="str">
        <f>IF([2]道具信息!X258="","",[2]道具信息!X258)</f>
        <v/>
      </c>
      <c r="Y258" s="59" t="str">
        <f>IF([2]道具信息!Y258="","",[2]道具信息!Y258)</f>
        <v/>
      </c>
      <c r="Z258" s="59" t="str">
        <f>IF([2]道具信息!Z258="","",[2]道具信息!Z258)</f>
        <v/>
      </c>
    </row>
    <row r="259" spans="1:26" x14ac:dyDescent="0.15">
      <c r="A259" s="59" t="str">
        <f>IF([2]道具信息!A259="","",[2]道具信息!A259)</f>
        <v/>
      </c>
      <c r="B259" s="59" t="str">
        <f>IF([2]道具信息!B259="","",[2]道具信息!B259)</f>
        <v/>
      </c>
      <c r="C259" s="59">
        <f>IF([2]道具信息!C259="","",[2]道具信息!C259)</f>
        <v>21152</v>
      </c>
      <c r="D259" s="59" t="str">
        <f>IF([2]道具信息!D259="","",[2]道具信息!D259)</f>
        <v>高级装备淬炼</v>
      </c>
      <c r="E259" s="59">
        <f>IF([2]道具信息!E259="","",[2]道具信息!E259)</f>
        <v>40</v>
      </c>
      <c r="F259" s="59">
        <f>IF([2]道具信息!F259="","",[2]道具信息!F259)</f>
        <v>1</v>
      </c>
      <c r="G259" s="59">
        <f>IF([2]道具信息!G259="","",[2]道具信息!G259)</f>
        <v>1</v>
      </c>
      <c r="H259" s="59">
        <f>IF([2]道具信息!H259="","",[2]道具信息!H259)</f>
        <v>0.3</v>
      </c>
      <c r="I259" s="59">
        <f>IF([2]道具信息!I259="","",[2]道具信息!I259)</f>
        <v>40</v>
      </c>
      <c r="J259" s="59">
        <f>IF([2]道具信息!J259="","",[2]道具信息!J259)</f>
        <v>40</v>
      </c>
      <c r="K259" s="59">
        <f>IF([2]道具信息!K259="","",[2]道具信息!K259)</f>
        <v>12</v>
      </c>
      <c r="L259" s="59" t="str">
        <f>IF([2]道具信息!L259="","",[2]道具信息!L259)</f>
        <v>装备使用后获得40经验</v>
      </c>
      <c r="M259" s="59" t="str">
        <f>IF([2]道具信息!M259="","",[2]道具信息!M259)</f>
        <v/>
      </c>
      <c r="N259" s="59" t="str">
        <f>IF([2]道具信息!N259="","",[2]道具信息!N259)</f>
        <v/>
      </c>
      <c r="O259" s="59" t="str">
        <f>IF([2]道具信息!O259="","",[2]道具信息!O259)</f>
        <v/>
      </c>
      <c r="P259" s="59" t="str">
        <f>IF([2]道具信息!P259="","",[2]道具信息!P259)</f>
        <v/>
      </c>
      <c r="Q259" s="59" t="str">
        <f>IF([2]道具信息!Q259="","",[2]道具信息!Q259)</f>
        <v/>
      </c>
      <c r="R259" s="59" t="str">
        <f>IF([2]道具信息!R259="","",[2]道具信息!R259)</f>
        <v/>
      </c>
      <c r="S259" s="59" t="str">
        <f>IF([2]道具信息!S259="","",[2]道具信息!S259)</f>
        <v/>
      </c>
      <c r="T259" s="59" t="str">
        <f>IF([2]道具信息!T259="","",[2]道具信息!T259)</f>
        <v/>
      </c>
      <c r="U259" s="59" t="str">
        <f>IF([2]道具信息!U259="","",[2]道具信息!U259)</f>
        <v/>
      </c>
      <c r="V259" s="59" t="str">
        <f>IF([2]道具信息!V259="","",[2]道具信息!V259)</f>
        <v/>
      </c>
      <c r="W259" s="59" t="str">
        <f>IF([2]道具信息!W259="","",[2]道具信息!W259)</f>
        <v/>
      </c>
      <c r="X259" s="59" t="str">
        <f>IF([2]道具信息!X259="","",[2]道具信息!X259)</f>
        <v/>
      </c>
      <c r="Y259" s="59" t="str">
        <f>IF([2]道具信息!Y259="","",[2]道具信息!Y259)</f>
        <v/>
      </c>
      <c r="Z259" s="59" t="str">
        <f>IF([2]道具信息!Z259="","",[2]道具信息!Z259)</f>
        <v/>
      </c>
    </row>
    <row r="260" spans="1:26" x14ac:dyDescent="0.15">
      <c r="A260" s="59" t="str">
        <f>IF([2]道具信息!A260="","",[2]道具信息!A260)</f>
        <v/>
      </c>
      <c r="B260" s="59" t="str">
        <f>IF([2]道具信息!B260="","",[2]道具信息!B260)</f>
        <v/>
      </c>
      <c r="C260" s="59">
        <f>IF([2]道具信息!C260="","",[2]道具信息!C260)</f>
        <v>21153</v>
      </c>
      <c r="D260" s="59" t="str">
        <f>IF([2]道具信息!D260="","",[2]道具信息!D260)</f>
        <v>特级装备淬炼</v>
      </c>
      <c r="E260" s="59">
        <f>IF([2]道具信息!E260="","",[2]道具信息!E260)</f>
        <v>75</v>
      </c>
      <c r="F260" s="59">
        <f>IF([2]道具信息!F260="","",[2]道具信息!F260)</f>
        <v>1.25</v>
      </c>
      <c r="G260" s="59">
        <f>IF([2]道具信息!G260="","",[2]道具信息!G260)</f>
        <v>1</v>
      </c>
      <c r="H260" s="59">
        <f>IF([2]道具信息!H260="","",[2]道具信息!H260)</f>
        <v>0.3</v>
      </c>
      <c r="I260" s="59">
        <f>IF([2]道具信息!I260="","",[2]道具信息!I260)</f>
        <v>93.75</v>
      </c>
      <c r="J260" s="59">
        <f>IF([2]道具信息!J260="","",[2]道具信息!J260)</f>
        <v>75</v>
      </c>
      <c r="K260" s="59">
        <f>IF([2]道具信息!K260="","",[2]道具信息!K260)</f>
        <v>22.5</v>
      </c>
      <c r="L260" s="59" t="str">
        <f>IF([2]道具信息!L260="","",[2]道具信息!L260)</f>
        <v>装备使用后获得75经验</v>
      </c>
      <c r="M260" s="59" t="str">
        <f>IF([2]道具信息!M260="","",[2]道具信息!M260)</f>
        <v/>
      </c>
      <c r="N260" s="59" t="str">
        <f>IF([2]道具信息!N260="","",[2]道具信息!N260)</f>
        <v/>
      </c>
      <c r="O260" s="59" t="str">
        <f>IF([2]道具信息!O260="","",[2]道具信息!O260)</f>
        <v/>
      </c>
      <c r="P260" s="59" t="str">
        <f>IF([2]道具信息!P260="","",[2]道具信息!P260)</f>
        <v/>
      </c>
      <c r="Q260" s="59" t="str">
        <f>IF([2]道具信息!Q260="","",[2]道具信息!Q260)</f>
        <v/>
      </c>
      <c r="R260" s="59" t="str">
        <f>IF([2]道具信息!R260="","",[2]道具信息!R260)</f>
        <v/>
      </c>
      <c r="S260" s="59" t="str">
        <f>IF([2]道具信息!S260="","",[2]道具信息!S260)</f>
        <v/>
      </c>
      <c r="T260" s="59" t="str">
        <f>IF([2]道具信息!T260="","",[2]道具信息!T260)</f>
        <v/>
      </c>
      <c r="U260" s="59" t="str">
        <f>IF([2]道具信息!U260="","",[2]道具信息!U260)</f>
        <v/>
      </c>
      <c r="V260" s="59" t="str">
        <f>IF([2]道具信息!V260="","",[2]道具信息!V260)</f>
        <v/>
      </c>
      <c r="W260" s="59" t="str">
        <f>IF([2]道具信息!W260="","",[2]道具信息!W260)</f>
        <v/>
      </c>
      <c r="X260" s="59" t="str">
        <f>IF([2]道具信息!X260="","",[2]道具信息!X260)</f>
        <v/>
      </c>
      <c r="Y260" s="59" t="str">
        <f>IF([2]道具信息!Y260="","",[2]道具信息!Y260)</f>
        <v/>
      </c>
      <c r="Z260" s="59" t="str">
        <f>IF([2]道具信息!Z260="","",[2]道具信息!Z260)</f>
        <v/>
      </c>
    </row>
    <row r="261" spans="1:26" x14ac:dyDescent="0.15">
      <c r="A261" s="59" t="str">
        <f>IF([2]道具信息!A261="","",[2]道具信息!A261)</f>
        <v/>
      </c>
      <c r="B261" s="59" t="str">
        <f>IF([2]道具信息!B261="","",[2]道具信息!B261)</f>
        <v/>
      </c>
      <c r="C261" s="59">
        <f>IF([2]道具信息!C261="","",[2]道具信息!C261)</f>
        <v>21154</v>
      </c>
      <c r="D261" s="59" t="str">
        <f>IF([2]道具信息!D261="","",[2]道具信息!D261)</f>
        <v>超级装备淬炼</v>
      </c>
      <c r="E261" s="59">
        <f>IF([2]道具信息!E261="","",[2]道具信息!E261)</f>
        <v>150</v>
      </c>
      <c r="F261" s="59">
        <f>IF([2]道具信息!F261="","",[2]道具信息!F261)</f>
        <v>1.5</v>
      </c>
      <c r="G261" s="59">
        <f>IF([2]道具信息!G261="","",[2]道具信息!G261)</f>
        <v>1</v>
      </c>
      <c r="H261" s="59">
        <f>IF([2]道具信息!H261="","",[2]道具信息!H261)</f>
        <v>0.3</v>
      </c>
      <c r="I261" s="59">
        <f>IF([2]道具信息!I261="","",[2]道具信息!I261)</f>
        <v>225</v>
      </c>
      <c r="J261" s="59">
        <f>IF([2]道具信息!J261="","",[2]道具信息!J261)</f>
        <v>150</v>
      </c>
      <c r="K261" s="59">
        <f>IF([2]道具信息!K261="","",[2]道具信息!K261)</f>
        <v>45</v>
      </c>
      <c r="L261" s="59" t="str">
        <f>IF([2]道具信息!L261="","",[2]道具信息!L261)</f>
        <v>装备使用后获得150经验</v>
      </c>
      <c r="M261" s="59" t="str">
        <f>IF([2]道具信息!M261="","",[2]道具信息!M261)</f>
        <v/>
      </c>
      <c r="N261" s="59" t="str">
        <f>IF([2]道具信息!N261="","",[2]道具信息!N261)</f>
        <v/>
      </c>
      <c r="O261" s="59" t="str">
        <f>IF([2]道具信息!O261="","",[2]道具信息!O261)</f>
        <v/>
      </c>
      <c r="P261" s="59" t="str">
        <f>IF([2]道具信息!P261="","",[2]道具信息!P261)</f>
        <v/>
      </c>
      <c r="Q261" s="59" t="str">
        <f>IF([2]道具信息!Q261="","",[2]道具信息!Q261)</f>
        <v/>
      </c>
      <c r="R261" s="59" t="str">
        <f>IF([2]道具信息!R261="","",[2]道具信息!R261)</f>
        <v/>
      </c>
      <c r="S261" s="59" t="str">
        <f>IF([2]道具信息!S261="","",[2]道具信息!S261)</f>
        <v/>
      </c>
      <c r="T261" s="59" t="str">
        <f>IF([2]道具信息!T261="","",[2]道具信息!T261)</f>
        <v/>
      </c>
      <c r="U261" s="59" t="str">
        <f>IF([2]道具信息!U261="","",[2]道具信息!U261)</f>
        <v/>
      </c>
      <c r="V261" s="59" t="str">
        <f>IF([2]道具信息!V261="","",[2]道具信息!V261)</f>
        <v/>
      </c>
      <c r="W261" s="59" t="str">
        <f>IF([2]道具信息!W261="","",[2]道具信息!W261)</f>
        <v/>
      </c>
      <c r="X261" s="59" t="str">
        <f>IF([2]道具信息!X261="","",[2]道具信息!X261)</f>
        <v/>
      </c>
      <c r="Y261" s="59" t="str">
        <f>IF([2]道具信息!Y261="","",[2]道具信息!Y261)</f>
        <v/>
      </c>
      <c r="Z261" s="59" t="str">
        <f>IF([2]道具信息!Z261="","",[2]道具信息!Z261)</f>
        <v/>
      </c>
    </row>
    <row r="262" spans="1:26" x14ac:dyDescent="0.15">
      <c r="A262" s="59" t="str">
        <f>IF([2]道具信息!A262="","",[2]道具信息!A262)</f>
        <v/>
      </c>
      <c r="B262" s="59" t="str">
        <f>IF([2]道具信息!B262="","",[2]道具信息!B262)</f>
        <v/>
      </c>
      <c r="C262" s="59" t="str">
        <f>IF([2]道具信息!C262="","",[2]道具信息!C262)</f>
        <v/>
      </c>
      <c r="D262" s="59" t="str">
        <f>IF([2]道具信息!D262="","",[2]道具信息!D262)</f>
        <v/>
      </c>
      <c r="E262" s="59" t="str">
        <f>IF([2]道具信息!E262="","",[2]道具信息!E262)</f>
        <v/>
      </c>
      <c r="F262" s="59" t="str">
        <f>IF([2]道具信息!F262="","",[2]道具信息!F262)</f>
        <v/>
      </c>
      <c r="G262" s="59" t="str">
        <f>IF([2]道具信息!G262="","",[2]道具信息!G262)</f>
        <v/>
      </c>
      <c r="H262" s="59" t="str">
        <f>IF([2]道具信息!H262="","",[2]道具信息!H262)</f>
        <v/>
      </c>
      <c r="I262" s="59" t="str">
        <f>IF([2]道具信息!I262="","",[2]道具信息!I262)</f>
        <v/>
      </c>
      <c r="J262" s="59" t="str">
        <f>IF([2]道具信息!J262="","",[2]道具信息!J262)</f>
        <v/>
      </c>
      <c r="K262" s="59" t="str">
        <f>IF([2]道具信息!K262="","",[2]道具信息!K262)</f>
        <v/>
      </c>
      <c r="L262" s="59" t="str">
        <f>IF([2]道具信息!L262="","",[2]道具信息!L262)</f>
        <v/>
      </c>
      <c r="M262" s="59" t="str">
        <f>IF([2]道具信息!M262="","",[2]道具信息!M262)</f>
        <v/>
      </c>
      <c r="N262" s="59" t="str">
        <f>IF([2]道具信息!N262="","",[2]道具信息!N262)</f>
        <v/>
      </c>
      <c r="O262" s="59" t="str">
        <f>IF([2]道具信息!O262="","",[2]道具信息!O262)</f>
        <v/>
      </c>
      <c r="P262" s="59" t="str">
        <f>IF([2]道具信息!P262="","",[2]道具信息!P262)</f>
        <v/>
      </c>
      <c r="Q262" s="59" t="str">
        <f>IF([2]道具信息!Q262="","",[2]道具信息!Q262)</f>
        <v/>
      </c>
      <c r="R262" s="59" t="str">
        <f>IF([2]道具信息!R262="","",[2]道具信息!R262)</f>
        <v/>
      </c>
      <c r="S262" s="59" t="str">
        <f>IF([2]道具信息!S262="","",[2]道具信息!S262)</f>
        <v/>
      </c>
      <c r="T262" s="59" t="str">
        <f>IF([2]道具信息!T262="","",[2]道具信息!T262)</f>
        <v/>
      </c>
      <c r="U262" s="59" t="str">
        <f>IF([2]道具信息!U262="","",[2]道具信息!U262)</f>
        <v/>
      </c>
      <c r="V262" s="59" t="str">
        <f>IF([2]道具信息!V262="","",[2]道具信息!V262)</f>
        <v/>
      </c>
      <c r="W262" s="59" t="str">
        <f>IF([2]道具信息!W262="","",[2]道具信息!W262)</f>
        <v/>
      </c>
      <c r="X262" s="59" t="str">
        <f>IF([2]道具信息!X262="","",[2]道具信息!X262)</f>
        <v/>
      </c>
      <c r="Y262" s="59" t="str">
        <f>IF([2]道具信息!Y262="","",[2]道具信息!Y262)</f>
        <v/>
      </c>
      <c r="Z262" s="59" t="str">
        <f>IF([2]道具信息!Z262="","",[2]道具信息!Z262)</f>
        <v/>
      </c>
    </row>
    <row r="263" spans="1:26" x14ac:dyDescent="0.15">
      <c r="A263" s="59" t="str">
        <f>IF([2]道具信息!A263="","",[2]道具信息!A263)</f>
        <v/>
      </c>
      <c r="B263" s="59" t="str">
        <f>IF([2]道具信息!B263="","",[2]道具信息!B263)</f>
        <v/>
      </c>
      <c r="C263" s="59">
        <f>IF([2]道具信息!C263="","",[2]道具信息!C263)</f>
        <v>21500</v>
      </c>
      <c r="D263" s="59" t="str">
        <f>IF([2]道具信息!D263="","",[2]道具信息!D263)</f>
        <v>随机迁城令</v>
      </c>
      <c r="E263" s="59">
        <f>IF([2]道具信息!E263="","",[2]道具信息!E263)</f>
        <v>100</v>
      </c>
      <c r="F263" s="59">
        <f>IF([2]道具信息!F263="","",[2]道具信息!F263)</f>
        <v>1</v>
      </c>
      <c r="G263" s="59">
        <f>IF([2]道具信息!G263="","",[2]道具信息!G263)</f>
        <v>1</v>
      </c>
      <c r="H263" s="59">
        <f>IF([2]道具信息!H263="","",[2]道具信息!H263)</f>
        <v>1</v>
      </c>
      <c r="I263" s="59">
        <f>IF([2]道具信息!I263="","",[2]道具信息!I263)</f>
        <v>100</v>
      </c>
      <c r="J263" s="59">
        <f>IF([2]道具信息!J263="","",[2]道具信息!J263)</f>
        <v>100</v>
      </c>
      <c r="K263" s="59">
        <f>IF([2]道具信息!K263="","",[2]道具信息!K263)</f>
        <v>100</v>
      </c>
      <c r="L263" s="59" t="str">
        <f>IF([2]道具信息!L263="","",[2]道具信息!L263)</f>
        <v>使用后城池迁移到随机位置</v>
      </c>
      <c r="M263" s="59" t="str">
        <f>IF([2]道具信息!M263="","",[2]道具信息!M263)</f>
        <v/>
      </c>
      <c r="N263" s="59" t="str">
        <f>IF([2]道具信息!N263="","",[2]道具信息!N263)</f>
        <v/>
      </c>
      <c r="O263" s="59" t="str">
        <f>IF([2]道具信息!O263="","",[2]道具信息!O263)</f>
        <v/>
      </c>
      <c r="P263" s="59" t="str">
        <f>IF([2]道具信息!P263="","",[2]道具信息!P263)</f>
        <v/>
      </c>
      <c r="Q263" s="59" t="str">
        <f>IF([2]道具信息!Q263="","",[2]道具信息!Q263)</f>
        <v/>
      </c>
      <c r="R263" s="59" t="str">
        <f>IF([2]道具信息!R263="","",[2]道具信息!R263)</f>
        <v/>
      </c>
      <c r="S263" s="59" t="str">
        <f>IF([2]道具信息!S263="","",[2]道具信息!S263)</f>
        <v/>
      </c>
      <c r="T263" s="59" t="str">
        <f>IF([2]道具信息!T263="","",[2]道具信息!T263)</f>
        <v/>
      </c>
      <c r="U263" s="59" t="str">
        <f>IF([2]道具信息!U263="","",[2]道具信息!U263)</f>
        <v/>
      </c>
      <c r="V263" s="59" t="str">
        <f>IF([2]道具信息!V263="","",[2]道具信息!V263)</f>
        <v/>
      </c>
      <c r="W263" s="59" t="str">
        <f>IF([2]道具信息!W263="","",[2]道具信息!W263)</f>
        <v/>
      </c>
      <c r="X263" s="59" t="str">
        <f>IF([2]道具信息!X263="","",[2]道具信息!X263)</f>
        <v/>
      </c>
      <c r="Y263" s="59" t="str">
        <f>IF([2]道具信息!Y263="","",[2]道具信息!Y263)</f>
        <v/>
      </c>
      <c r="Z263" s="59" t="str">
        <f>IF([2]道具信息!Z263="","",[2]道具信息!Z263)</f>
        <v/>
      </c>
    </row>
    <row r="264" spans="1:26" x14ac:dyDescent="0.15">
      <c r="A264" s="59" t="str">
        <f>IF([2]道具信息!A264="","",[2]道具信息!A264)</f>
        <v/>
      </c>
      <c r="B264" s="59" t="str">
        <f>IF([2]道具信息!B264="","",[2]道具信息!B264)</f>
        <v/>
      </c>
      <c r="C264" s="59">
        <f>IF([2]道具信息!C264="","",[2]道具信息!C264)</f>
        <v>21501</v>
      </c>
      <c r="D264" s="59" t="str">
        <f>IF([2]道具信息!D264="","",[2]道具信息!D264)</f>
        <v>九州迁城令</v>
      </c>
      <c r="E264" s="59">
        <f>IF([2]道具信息!E264="","",[2]道具信息!E264)</f>
        <v>300</v>
      </c>
      <c r="F264" s="59">
        <f>IF([2]道具信息!F264="","",[2]道具信息!F264)</f>
        <v>1</v>
      </c>
      <c r="G264" s="59">
        <f>IF([2]道具信息!G264="","",[2]道具信息!G264)</f>
        <v>1</v>
      </c>
      <c r="H264" s="59">
        <f>IF([2]道具信息!H264="","",[2]道具信息!H264)</f>
        <v>1</v>
      </c>
      <c r="I264" s="59">
        <f>IF([2]道具信息!I264="","",[2]道具信息!I264)</f>
        <v>300</v>
      </c>
      <c r="J264" s="59">
        <f>IF([2]道具信息!J264="","",[2]道具信息!J264)</f>
        <v>300</v>
      </c>
      <c r="K264" s="59">
        <f>IF([2]道具信息!K264="","",[2]道具信息!K264)</f>
        <v>300</v>
      </c>
      <c r="L264" s="59" t="str">
        <f>IF([2]道具信息!L264="","",[2]道具信息!L264)</f>
        <v>使用后城池迁移到指定位置</v>
      </c>
      <c r="M264" s="59" t="str">
        <f>IF([2]道具信息!M264="","",[2]道具信息!M264)</f>
        <v/>
      </c>
      <c r="N264" s="59" t="str">
        <f>IF([2]道具信息!N264="","",[2]道具信息!N264)</f>
        <v/>
      </c>
      <c r="O264" s="59" t="str">
        <f>IF([2]道具信息!O264="","",[2]道具信息!O264)</f>
        <v/>
      </c>
      <c r="P264" s="59" t="str">
        <f>IF([2]道具信息!P264="","",[2]道具信息!P264)</f>
        <v/>
      </c>
      <c r="Q264" s="59" t="str">
        <f>IF([2]道具信息!Q264="","",[2]道具信息!Q264)</f>
        <v/>
      </c>
      <c r="R264" s="59" t="str">
        <f>IF([2]道具信息!R264="","",[2]道具信息!R264)</f>
        <v/>
      </c>
      <c r="S264" s="59" t="str">
        <f>IF([2]道具信息!S264="","",[2]道具信息!S264)</f>
        <v/>
      </c>
      <c r="T264" s="59" t="str">
        <f>IF([2]道具信息!T264="","",[2]道具信息!T264)</f>
        <v/>
      </c>
      <c r="U264" s="59" t="str">
        <f>IF([2]道具信息!U264="","",[2]道具信息!U264)</f>
        <v/>
      </c>
      <c r="V264" s="59" t="str">
        <f>IF([2]道具信息!V264="","",[2]道具信息!V264)</f>
        <v/>
      </c>
      <c r="W264" s="59" t="str">
        <f>IF([2]道具信息!W264="","",[2]道具信息!W264)</f>
        <v/>
      </c>
      <c r="X264" s="59" t="str">
        <f>IF([2]道具信息!X264="","",[2]道具信息!X264)</f>
        <v/>
      </c>
      <c r="Y264" s="59" t="str">
        <f>IF([2]道具信息!Y264="","",[2]道具信息!Y264)</f>
        <v/>
      </c>
      <c r="Z264" s="59" t="str">
        <f>IF([2]道具信息!Z264="","",[2]道具信息!Z264)</f>
        <v/>
      </c>
    </row>
    <row r="265" spans="1:26" x14ac:dyDescent="0.15">
      <c r="A265" s="59" t="str">
        <f>IF([2]道具信息!A265="","",[2]道具信息!A265)</f>
        <v/>
      </c>
      <c r="B265" s="59" t="str">
        <f>IF([2]道具信息!B265="","",[2]道具信息!B265)</f>
        <v/>
      </c>
      <c r="C265" s="59">
        <f>IF([2]道具信息!C265="","",[2]道具信息!C265)</f>
        <v>21504</v>
      </c>
      <c r="D265" s="59" t="str">
        <f>IF([2]道具信息!D265="","",[2]道具信息!D265)</f>
        <v>国内迁城令</v>
      </c>
      <c r="E265" s="59">
        <f>IF([2]道具信息!E265="","",[2]道具信息!E265)</f>
        <v>100</v>
      </c>
      <c r="F265" s="59">
        <f>IF([2]道具信息!F265="","",[2]道具信息!F265)</f>
        <v>1</v>
      </c>
      <c r="G265" s="59">
        <f>IF([2]道具信息!G265="","",[2]道具信息!G265)</f>
        <v>1</v>
      </c>
      <c r="H265" s="59">
        <f>IF([2]道具信息!H265="","",[2]道具信息!H265)</f>
        <v>1</v>
      </c>
      <c r="I265" s="59">
        <f>IF([2]道具信息!I265="","",[2]道具信息!I265)</f>
        <v>100</v>
      </c>
      <c r="J265" s="59">
        <f>IF([2]道具信息!J265="","",[2]道具信息!J265)</f>
        <v>100</v>
      </c>
      <c r="K265" s="59">
        <f>IF([2]道具信息!K265="","",[2]道具信息!K265)</f>
        <v>100</v>
      </c>
      <c r="L265" s="59" t="str">
        <f>IF([2]道具信息!L265="","",[2]道具信息!L265)</f>
        <v>使用后城池迁移到国内指定位置</v>
      </c>
      <c r="M265" s="59" t="str">
        <f>IF([2]道具信息!M265="","",[2]道具信息!M265)</f>
        <v/>
      </c>
      <c r="N265" s="59" t="str">
        <f>IF([2]道具信息!N265="","",[2]道具信息!N265)</f>
        <v/>
      </c>
      <c r="O265" s="59" t="str">
        <f>IF([2]道具信息!O265="","",[2]道具信息!O265)</f>
        <v/>
      </c>
      <c r="P265" s="59" t="str">
        <f>IF([2]道具信息!P265="","",[2]道具信息!P265)</f>
        <v/>
      </c>
      <c r="Q265" s="59" t="str">
        <f>IF([2]道具信息!Q265="","",[2]道具信息!Q265)</f>
        <v/>
      </c>
      <c r="R265" s="59" t="str">
        <f>IF([2]道具信息!R265="","",[2]道具信息!R265)</f>
        <v/>
      </c>
      <c r="S265" s="59" t="str">
        <f>IF([2]道具信息!S265="","",[2]道具信息!S265)</f>
        <v/>
      </c>
      <c r="T265" s="59" t="str">
        <f>IF([2]道具信息!T265="","",[2]道具信息!T265)</f>
        <v/>
      </c>
      <c r="U265" s="59" t="str">
        <f>IF([2]道具信息!U265="","",[2]道具信息!U265)</f>
        <v/>
      </c>
      <c r="V265" s="59" t="str">
        <f>IF([2]道具信息!V265="","",[2]道具信息!V265)</f>
        <v/>
      </c>
      <c r="W265" s="59" t="str">
        <f>IF([2]道具信息!W265="","",[2]道具信息!W265)</f>
        <v/>
      </c>
      <c r="X265" s="59" t="str">
        <f>IF([2]道具信息!X265="","",[2]道具信息!X265)</f>
        <v/>
      </c>
      <c r="Y265" s="59" t="str">
        <f>IF([2]道具信息!Y265="","",[2]道具信息!Y265)</f>
        <v/>
      </c>
      <c r="Z265" s="59" t="str">
        <f>IF([2]道具信息!Z265="","",[2]道具信息!Z265)</f>
        <v/>
      </c>
    </row>
    <row r="266" spans="1:26" x14ac:dyDescent="0.15">
      <c r="A266" s="59" t="str">
        <f>IF([2]道具信息!A266="","",[2]道具信息!A266)</f>
        <v/>
      </c>
      <c r="B266" s="59" t="str">
        <f>IF([2]道具信息!B266="","",[2]道具信息!B266)</f>
        <v/>
      </c>
      <c r="C266" s="59">
        <f>IF([2]道具信息!C266="","",[2]道具信息!C266)</f>
        <v>21502</v>
      </c>
      <c r="D266" s="59" t="str">
        <f>IF([2]道具信息!D266="","",[2]道具信息!D266)</f>
        <v>校武牌</v>
      </c>
      <c r="E266" s="59">
        <f>IF([2]道具信息!E266="","",[2]道具信息!E266)</f>
        <v>20</v>
      </c>
      <c r="F266" s="59">
        <f>IF([2]道具信息!F266="","",[2]道具信息!F266)</f>
        <v>1</v>
      </c>
      <c r="G266" s="59">
        <f>IF([2]道具信息!G266="","",[2]道具信息!G266)</f>
        <v>1</v>
      </c>
      <c r="H266" s="59">
        <f>IF([2]道具信息!H266="","",[2]道具信息!H266)</f>
        <v>1</v>
      </c>
      <c r="I266" s="59">
        <f>IF([2]道具信息!I266="","",[2]道具信息!I266)</f>
        <v>20</v>
      </c>
      <c r="J266" s="59">
        <f>IF([2]道具信息!J266="","",[2]道具信息!J266)</f>
        <v>20</v>
      </c>
      <c r="K266" s="59">
        <f>IF([2]道具信息!K266="","",[2]道具信息!K266)</f>
        <v>20</v>
      </c>
      <c r="L266" s="59" t="str">
        <f>IF([2]道具信息!L266="","",[2]道具信息!L266)</f>
        <v>使用后增加1次校场挑战机会</v>
      </c>
      <c r="M266" s="59" t="str">
        <f>IF([2]道具信息!M266="","",[2]道具信息!M266)</f>
        <v/>
      </c>
      <c r="N266" s="59" t="str">
        <f>IF([2]道具信息!N266="","",[2]道具信息!N266)</f>
        <v/>
      </c>
      <c r="O266" s="59" t="str">
        <f>IF([2]道具信息!O266="","",[2]道具信息!O266)</f>
        <v/>
      </c>
      <c r="P266" s="59" t="str">
        <f>IF([2]道具信息!P266="","",[2]道具信息!P266)</f>
        <v/>
      </c>
      <c r="Q266" s="59" t="str">
        <f>IF([2]道具信息!Q266="","",[2]道具信息!Q266)</f>
        <v/>
      </c>
      <c r="R266" s="59" t="str">
        <f>IF([2]道具信息!R266="","",[2]道具信息!R266)</f>
        <v/>
      </c>
      <c r="S266" s="59" t="str">
        <f>IF([2]道具信息!S266="","",[2]道具信息!S266)</f>
        <v/>
      </c>
      <c r="T266" s="59" t="str">
        <f>IF([2]道具信息!T266="","",[2]道具信息!T266)</f>
        <v/>
      </c>
      <c r="U266" s="59" t="str">
        <f>IF([2]道具信息!U266="","",[2]道具信息!U266)</f>
        <v/>
      </c>
      <c r="V266" s="59" t="str">
        <f>IF([2]道具信息!V266="","",[2]道具信息!V266)</f>
        <v/>
      </c>
      <c r="W266" s="59" t="str">
        <f>IF([2]道具信息!W266="","",[2]道具信息!W266)</f>
        <v/>
      </c>
      <c r="X266" s="59" t="str">
        <f>IF([2]道具信息!X266="","",[2]道具信息!X266)</f>
        <v/>
      </c>
      <c r="Y266" s="59" t="str">
        <f>IF([2]道具信息!Y266="","",[2]道具信息!Y266)</f>
        <v/>
      </c>
      <c r="Z266" s="59" t="str">
        <f>IF([2]道具信息!Z266="","",[2]道具信息!Z266)</f>
        <v/>
      </c>
    </row>
    <row r="267" spans="1:26" x14ac:dyDescent="0.15">
      <c r="A267" s="59" t="str">
        <f>IF([2]道具信息!A267="","",[2]道具信息!A267)</f>
        <v/>
      </c>
      <c r="B267" s="59" t="str">
        <f>IF([2]道具信息!B267="","",[2]道具信息!B267)</f>
        <v/>
      </c>
      <c r="C267" s="59">
        <f>IF([2]道具信息!C267="","",[2]道具信息!C267)</f>
        <v>21503</v>
      </c>
      <c r="D267" s="59" t="str">
        <f>IF([2]道具信息!D267="","",[2]道具信息!D267)</f>
        <v>复仇令</v>
      </c>
      <c r="E267" s="59">
        <f>IF([2]道具信息!E267="","",[2]道具信息!E267)</f>
        <v>50</v>
      </c>
      <c r="F267" s="59">
        <f>IF([2]道具信息!F267="","",[2]道具信息!F267)</f>
        <v>1</v>
      </c>
      <c r="G267" s="59">
        <f>IF([2]道具信息!G267="","",[2]道具信息!G267)</f>
        <v>1</v>
      </c>
      <c r="H267" s="59">
        <f>IF([2]道具信息!H267="","",[2]道具信息!H267)</f>
        <v>1</v>
      </c>
      <c r="I267" s="59">
        <f>IF([2]道具信息!I267="","",[2]道具信息!I267)</f>
        <v>50</v>
      </c>
      <c r="J267" s="59">
        <f>IF([2]道具信息!J267="","",[2]道具信息!J267)</f>
        <v>50</v>
      </c>
      <c r="K267" s="59">
        <f>IF([2]道具信息!K267="","",[2]道具信息!K267)</f>
        <v>50</v>
      </c>
      <c r="L267" s="59" t="str">
        <f>IF([2]道具信息!L267="","",[2]道具信息!L267)</f>
        <v>被其他玩家攻击后，可以通过复仇令追查到该玩家城池所在坐标</v>
      </c>
      <c r="M267" s="59" t="str">
        <f>IF([2]道具信息!M267="","",[2]道具信息!M267)</f>
        <v/>
      </c>
      <c r="N267" s="59" t="str">
        <f>IF([2]道具信息!N267="","",[2]道具信息!N267)</f>
        <v/>
      </c>
      <c r="O267" s="59" t="str">
        <f>IF([2]道具信息!O267="","",[2]道具信息!O267)</f>
        <v/>
      </c>
      <c r="P267" s="59" t="str">
        <f>IF([2]道具信息!P267="","",[2]道具信息!P267)</f>
        <v/>
      </c>
      <c r="Q267" s="59" t="str">
        <f>IF([2]道具信息!Q267="","",[2]道具信息!Q267)</f>
        <v/>
      </c>
      <c r="R267" s="59" t="str">
        <f>IF([2]道具信息!R267="","",[2]道具信息!R267)</f>
        <v/>
      </c>
      <c r="S267" s="59" t="str">
        <f>IF([2]道具信息!S267="","",[2]道具信息!S267)</f>
        <v/>
      </c>
      <c r="T267" s="59" t="str">
        <f>IF([2]道具信息!T267="","",[2]道具信息!T267)</f>
        <v/>
      </c>
      <c r="U267" s="59" t="str">
        <f>IF([2]道具信息!U267="","",[2]道具信息!U267)</f>
        <v/>
      </c>
      <c r="V267" s="59" t="str">
        <f>IF([2]道具信息!V267="","",[2]道具信息!V267)</f>
        <v/>
      </c>
      <c r="W267" s="59" t="str">
        <f>IF([2]道具信息!W267="","",[2]道具信息!W267)</f>
        <v/>
      </c>
      <c r="X267" s="59" t="str">
        <f>IF([2]道具信息!X267="","",[2]道具信息!X267)</f>
        <v/>
      </c>
      <c r="Y267" s="59" t="str">
        <f>IF([2]道具信息!Y267="","",[2]道具信息!Y267)</f>
        <v/>
      </c>
      <c r="Z267" s="59" t="str">
        <f>IF([2]道具信息!Z267="","",[2]道具信息!Z267)</f>
        <v/>
      </c>
    </row>
    <row r="268" spans="1:26" x14ac:dyDescent="0.15">
      <c r="A268" s="59" t="str">
        <f>IF([2]道具信息!A268="","",[2]道具信息!A268)</f>
        <v/>
      </c>
      <c r="B268" s="59" t="str">
        <f>IF([2]道具信息!B268="","",[2]道具信息!B268)</f>
        <v/>
      </c>
      <c r="C268" s="59" t="str">
        <f>IF([2]道具信息!C268="","",[2]道具信息!C268)</f>
        <v/>
      </c>
      <c r="D268" s="59" t="str">
        <f>IF([2]道具信息!D268="","",[2]道具信息!D268)</f>
        <v/>
      </c>
      <c r="E268" s="59" t="str">
        <f>IF([2]道具信息!E268="","",[2]道具信息!E268)</f>
        <v/>
      </c>
      <c r="F268" s="59" t="str">
        <f>IF([2]道具信息!F268="","",[2]道具信息!F268)</f>
        <v/>
      </c>
      <c r="G268" s="59" t="str">
        <f>IF([2]道具信息!G268="","",[2]道具信息!G268)</f>
        <v/>
      </c>
      <c r="H268" s="59" t="str">
        <f>IF([2]道具信息!H268="","",[2]道具信息!H268)</f>
        <v/>
      </c>
      <c r="I268" s="59" t="str">
        <f>IF([2]道具信息!I268="","",[2]道具信息!I268)</f>
        <v/>
      </c>
      <c r="J268" s="59" t="str">
        <f>IF([2]道具信息!J268="","",[2]道具信息!J268)</f>
        <v/>
      </c>
      <c r="K268" s="59" t="str">
        <f>IF([2]道具信息!K268="","",[2]道具信息!K268)</f>
        <v/>
      </c>
      <c r="L268" s="59" t="str">
        <f>IF([2]道具信息!L268="","",[2]道具信息!L268)</f>
        <v/>
      </c>
      <c r="M268" s="59" t="str">
        <f>IF([2]道具信息!M268="","",[2]道具信息!M268)</f>
        <v/>
      </c>
      <c r="N268" s="59" t="str">
        <f>IF([2]道具信息!N268="","",[2]道具信息!N268)</f>
        <v/>
      </c>
      <c r="O268" s="59" t="str">
        <f>IF([2]道具信息!O268="","",[2]道具信息!O268)</f>
        <v/>
      </c>
      <c r="P268" s="59" t="str">
        <f>IF([2]道具信息!P268="","",[2]道具信息!P268)</f>
        <v/>
      </c>
      <c r="Q268" s="59" t="str">
        <f>IF([2]道具信息!Q268="","",[2]道具信息!Q268)</f>
        <v/>
      </c>
      <c r="R268" s="59" t="str">
        <f>IF([2]道具信息!R268="","",[2]道具信息!R268)</f>
        <v/>
      </c>
      <c r="S268" s="59" t="str">
        <f>IF([2]道具信息!S268="","",[2]道具信息!S268)</f>
        <v/>
      </c>
      <c r="T268" s="59" t="str">
        <f>IF([2]道具信息!T268="","",[2]道具信息!T268)</f>
        <v/>
      </c>
      <c r="U268" s="59" t="str">
        <f>IF([2]道具信息!U268="","",[2]道具信息!U268)</f>
        <v/>
      </c>
      <c r="V268" s="59" t="str">
        <f>IF([2]道具信息!V268="","",[2]道具信息!V268)</f>
        <v/>
      </c>
      <c r="W268" s="59" t="str">
        <f>IF([2]道具信息!W268="","",[2]道具信息!W268)</f>
        <v/>
      </c>
      <c r="X268" s="59" t="str">
        <f>IF([2]道具信息!X268="","",[2]道具信息!X268)</f>
        <v/>
      </c>
      <c r="Y268" s="59" t="str">
        <f>IF([2]道具信息!Y268="","",[2]道具信息!Y268)</f>
        <v/>
      </c>
      <c r="Z268" s="59" t="str">
        <f>IF([2]道具信息!Z268="","",[2]道具信息!Z268)</f>
        <v/>
      </c>
    </row>
    <row r="269" spans="1:26" x14ac:dyDescent="0.15">
      <c r="A269" s="59" t="str">
        <f>IF([2]道具信息!A269="","",[2]道具信息!A269)</f>
        <v/>
      </c>
      <c r="B269" s="59" t="str">
        <f>IF([2]道具信息!B269="","",[2]道具信息!B269)</f>
        <v/>
      </c>
      <c r="C269" s="59">
        <f>IF([2]道具信息!C269="","",[2]道具信息!C269)</f>
        <v>26400</v>
      </c>
      <c r="D269" s="59" t="str">
        <f>IF([2]道具信息!D269="","",[2]道具信息!D269)</f>
        <v>步兵虎符</v>
      </c>
      <c r="E269" s="59">
        <f>IF([2]道具信息!E269="","",[2]道具信息!E269)</f>
        <v>200</v>
      </c>
      <c r="F269" s="59">
        <f>IF([2]道具信息!F269="","",[2]道具信息!F269)</f>
        <v>1</v>
      </c>
      <c r="G269" s="59">
        <f>IF([2]道具信息!G269="","",[2]道具信息!G269)</f>
        <v>1</v>
      </c>
      <c r="H269" s="59">
        <f>IF([2]道具信息!H269="","",[2]道具信息!H269)</f>
        <v>1</v>
      </c>
      <c r="I269" s="59">
        <f>IF([2]道具信息!I269="","",[2]道具信息!I269)</f>
        <v>200</v>
      </c>
      <c r="J269" s="59">
        <f>IF([2]道具信息!J269="","",[2]道具信息!J269)</f>
        <v>200</v>
      </c>
      <c r="K269" s="59">
        <f>IF([2]道具信息!K269="","",[2]道具信息!K269)</f>
        <v>200</v>
      </c>
      <c r="L269" s="59" t="str">
        <f>IF([2]道具信息!L269="","",[2]道具信息!L269)</f>
        <v>使用后立即获得10000步兵新兵</v>
      </c>
      <c r="M269" s="59" t="str">
        <f>IF([2]道具信息!M269="","",[2]道具信息!M269)</f>
        <v/>
      </c>
      <c r="N269" s="59" t="str">
        <f>IF([2]道具信息!N269="","",[2]道具信息!N269)</f>
        <v/>
      </c>
      <c r="O269" s="59" t="str">
        <f>IF([2]道具信息!O269="","",[2]道具信息!O269)</f>
        <v/>
      </c>
      <c r="P269" s="59" t="str">
        <f>IF([2]道具信息!P269="","",[2]道具信息!P269)</f>
        <v/>
      </c>
      <c r="Q269" s="59" t="str">
        <f>IF([2]道具信息!Q269="","",[2]道具信息!Q269)</f>
        <v/>
      </c>
      <c r="R269" s="59" t="str">
        <f>IF([2]道具信息!R269="","",[2]道具信息!R269)</f>
        <v/>
      </c>
      <c r="S269" s="59" t="str">
        <f>IF([2]道具信息!S269="","",[2]道具信息!S269)</f>
        <v/>
      </c>
      <c r="T269" s="59" t="str">
        <f>IF([2]道具信息!T269="","",[2]道具信息!T269)</f>
        <v/>
      </c>
      <c r="U269" s="59" t="str">
        <f>IF([2]道具信息!U269="","",[2]道具信息!U269)</f>
        <v/>
      </c>
      <c r="V269" s="59" t="str">
        <f>IF([2]道具信息!V269="","",[2]道具信息!V269)</f>
        <v/>
      </c>
      <c r="W269" s="59" t="str">
        <f>IF([2]道具信息!W269="","",[2]道具信息!W269)</f>
        <v/>
      </c>
      <c r="X269" s="59" t="str">
        <f>IF([2]道具信息!X269="","",[2]道具信息!X269)</f>
        <v/>
      </c>
      <c r="Y269" s="59" t="str">
        <f>IF([2]道具信息!Y269="","",[2]道具信息!Y269)</f>
        <v/>
      </c>
      <c r="Z269" s="59" t="str">
        <f>IF([2]道具信息!Z269="","",[2]道具信息!Z269)</f>
        <v/>
      </c>
    </row>
    <row r="270" spans="1:26" x14ac:dyDescent="0.15">
      <c r="A270" s="59" t="str">
        <f>IF([2]道具信息!A270="","",[2]道具信息!A270)</f>
        <v/>
      </c>
      <c r="B270" s="59" t="str">
        <f>IF([2]道具信息!B270="","",[2]道具信息!B270)</f>
        <v/>
      </c>
      <c r="C270" s="59">
        <f>IF([2]道具信息!C270="","",[2]道具信息!C270)</f>
        <v>26401</v>
      </c>
      <c r="D270" s="59" t="str">
        <f>IF([2]道具信息!D270="","",[2]道具信息!D270)</f>
        <v>骑兵虎符</v>
      </c>
      <c r="E270" s="59">
        <f>IF([2]道具信息!E270="","",[2]道具信息!E270)</f>
        <v>200</v>
      </c>
      <c r="F270" s="59">
        <f>IF([2]道具信息!F270="","",[2]道具信息!F270)</f>
        <v>1</v>
      </c>
      <c r="G270" s="59">
        <f>IF([2]道具信息!G270="","",[2]道具信息!G270)</f>
        <v>1</v>
      </c>
      <c r="H270" s="59">
        <f>IF([2]道具信息!H270="","",[2]道具信息!H270)</f>
        <v>1</v>
      </c>
      <c r="I270" s="59">
        <f>IF([2]道具信息!I270="","",[2]道具信息!I270)</f>
        <v>200</v>
      </c>
      <c r="J270" s="59">
        <f>IF([2]道具信息!J270="","",[2]道具信息!J270)</f>
        <v>200</v>
      </c>
      <c r="K270" s="59">
        <f>IF([2]道具信息!K270="","",[2]道具信息!K270)</f>
        <v>200</v>
      </c>
      <c r="L270" s="59" t="str">
        <f>IF([2]道具信息!L270="","",[2]道具信息!L270)</f>
        <v>使用后立即获得10000骑兵新兵</v>
      </c>
      <c r="M270" s="59" t="str">
        <f>IF([2]道具信息!M270="","",[2]道具信息!M270)</f>
        <v/>
      </c>
      <c r="N270" s="59" t="str">
        <f>IF([2]道具信息!N270="","",[2]道具信息!N270)</f>
        <v/>
      </c>
      <c r="O270" s="59" t="str">
        <f>IF([2]道具信息!O270="","",[2]道具信息!O270)</f>
        <v/>
      </c>
      <c r="P270" s="59" t="str">
        <f>IF([2]道具信息!P270="","",[2]道具信息!P270)</f>
        <v/>
      </c>
      <c r="Q270" s="59" t="str">
        <f>IF([2]道具信息!Q270="","",[2]道具信息!Q270)</f>
        <v/>
      </c>
      <c r="R270" s="59" t="str">
        <f>IF([2]道具信息!R270="","",[2]道具信息!R270)</f>
        <v/>
      </c>
      <c r="S270" s="59" t="str">
        <f>IF([2]道具信息!S270="","",[2]道具信息!S270)</f>
        <v/>
      </c>
      <c r="T270" s="59" t="str">
        <f>IF([2]道具信息!T270="","",[2]道具信息!T270)</f>
        <v/>
      </c>
      <c r="U270" s="59" t="str">
        <f>IF([2]道具信息!U270="","",[2]道具信息!U270)</f>
        <v/>
      </c>
      <c r="V270" s="59" t="str">
        <f>IF([2]道具信息!V270="","",[2]道具信息!V270)</f>
        <v/>
      </c>
      <c r="W270" s="59" t="str">
        <f>IF([2]道具信息!W270="","",[2]道具信息!W270)</f>
        <v/>
      </c>
      <c r="X270" s="59" t="str">
        <f>IF([2]道具信息!X270="","",[2]道具信息!X270)</f>
        <v/>
      </c>
      <c r="Y270" s="59" t="str">
        <f>IF([2]道具信息!Y270="","",[2]道具信息!Y270)</f>
        <v/>
      </c>
      <c r="Z270" s="59" t="str">
        <f>IF([2]道具信息!Z270="","",[2]道具信息!Z270)</f>
        <v/>
      </c>
    </row>
    <row r="271" spans="1:26" x14ac:dyDescent="0.15">
      <c r="A271" s="59" t="str">
        <f>IF([2]道具信息!A271="","",[2]道具信息!A271)</f>
        <v/>
      </c>
      <c r="B271" s="59" t="str">
        <f>IF([2]道具信息!B271="","",[2]道具信息!B271)</f>
        <v/>
      </c>
      <c r="C271" s="59">
        <f>IF([2]道具信息!C271="","",[2]道具信息!C271)</f>
        <v>26402</v>
      </c>
      <c r="D271" s="59" t="str">
        <f>IF([2]道具信息!D271="","",[2]道具信息!D271)</f>
        <v>弓箭虎符</v>
      </c>
      <c r="E271" s="59">
        <f>IF([2]道具信息!E271="","",[2]道具信息!E271)</f>
        <v>200</v>
      </c>
      <c r="F271" s="59">
        <f>IF([2]道具信息!F271="","",[2]道具信息!F271)</f>
        <v>1</v>
      </c>
      <c r="G271" s="59">
        <f>IF([2]道具信息!G271="","",[2]道具信息!G271)</f>
        <v>1</v>
      </c>
      <c r="H271" s="59">
        <f>IF([2]道具信息!H271="","",[2]道具信息!H271)</f>
        <v>1</v>
      </c>
      <c r="I271" s="59">
        <f>IF([2]道具信息!I271="","",[2]道具信息!I271)</f>
        <v>200</v>
      </c>
      <c r="J271" s="59">
        <f>IF([2]道具信息!J271="","",[2]道具信息!J271)</f>
        <v>200</v>
      </c>
      <c r="K271" s="59">
        <f>IF([2]道具信息!K271="","",[2]道具信息!K271)</f>
        <v>200</v>
      </c>
      <c r="L271" s="59" t="str">
        <f>IF([2]道具信息!L271="","",[2]道具信息!L271)</f>
        <v>使用后立即获得10000弓箭新兵</v>
      </c>
      <c r="M271" s="59" t="str">
        <f>IF([2]道具信息!M271="","",[2]道具信息!M271)</f>
        <v/>
      </c>
      <c r="N271" s="59" t="str">
        <f>IF([2]道具信息!N271="","",[2]道具信息!N271)</f>
        <v/>
      </c>
      <c r="O271" s="59" t="str">
        <f>IF([2]道具信息!O271="","",[2]道具信息!O271)</f>
        <v/>
      </c>
      <c r="P271" s="59" t="str">
        <f>IF([2]道具信息!P271="","",[2]道具信息!P271)</f>
        <v/>
      </c>
      <c r="Q271" s="59" t="str">
        <f>IF([2]道具信息!Q271="","",[2]道具信息!Q271)</f>
        <v/>
      </c>
      <c r="R271" s="59" t="str">
        <f>IF([2]道具信息!R271="","",[2]道具信息!R271)</f>
        <v/>
      </c>
      <c r="S271" s="59" t="str">
        <f>IF([2]道具信息!S271="","",[2]道具信息!S271)</f>
        <v/>
      </c>
      <c r="T271" s="59" t="str">
        <f>IF([2]道具信息!T271="","",[2]道具信息!T271)</f>
        <v/>
      </c>
      <c r="U271" s="59" t="str">
        <f>IF([2]道具信息!U271="","",[2]道具信息!U271)</f>
        <v/>
      </c>
      <c r="V271" s="59" t="str">
        <f>IF([2]道具信息!V271="","",[2]道具信息!V271)</f>
        <v/>
      </c>
      <c r="W271" s="59" t="str">
        <f>IF([2]道具信息!W271="","",[2]道具信息!W271)</f>
        <v/>
      </c>
      <c r="X271" s="59" t="str">
        <f>IF([2]道具信息!X271="","",[2]道具信息!X271)</f>
        <v/>
      </c>
      <c r="Y271" s="59" t="str">
        <f>IF([2]道具信息!Y271="","",[2]道具信息!Y271)</f>
        <v/>
      </c>
      <c r="Z271" s="59" t="str">
        <f>IF([2]道具信息!Z271="","",[2]道具信息!Z271)</f>
        <v/>
      </c>
    </row>
    <row r="272" spans="1:26" x14ac:dyDescent="0.15">
      <c r="A272" s="59" t="str">
        <f>IF([2]道具信息!A272="","",[2]道具信息!A272)</f>
        <v/>
      </c>
      <c r="B272" s="59" t="str">
        <f>IF([2]道具信息!B272="","",[2]道具信息!B272)</f>
        <v/>
      </c>
      <c r="C272" s="59">
        <f>IF([2]道具信息!C272="","",[2]道具信息!C272)</f>
        <v>26403</v>
      </c>
      <c r="D272" s="59" t="str">
        <f>IF([2]道具信息!D272="","",[2]道具信息!D272)</f>
        <v>器械虎符</v>
      </c>
      <c r="E272" s="59">
        <f>IF([2]道具信息!E272="","",[2]道具信息!E272)</f>
        <v>200</v>
      </c>
      <c r="F272" s="59">
        <f>IF([2]道具信息!F272="","",[2]道具信息!F272)</f>
        <v>1</v>
      </c>
      <c r="G272" s="59">
        <f>IF([2]道具信息!G272="","",[2]道具信息!G272)</f>
        <v>1</v>
      </c>
      <c r="H272" s="59">
        <f>IF([2]道具信息!H272="","",[2]道具信息!H272)</f>
        <v>1</v>
      </c>
      <c r="I272" s="59">
        <f>IF([2]道具信息!I272="","",[2]道具信息!I272)</f>
        <v>200</v>
      </c>
      <c r="J272" s="59">
        <f>IF([2]道具信息!J272="","",[2]道具信息!J272)</f>
        <v>200</v>
      </c>
      <c r="K272" s="59">
        <f>IF([2]道具信息!K272="","",[2]道具信息!K272)</f>
        <v>200</v>
      </c>
      <c r="L272" s="59" t="str">
        <f>IF([2]道具信息!L272="","",[2]道具信息!L272)</f>
        <v>使用后立即获得10000器械兵新兵</v>
      </c>
      <c r="M272" s="59" t="str">
        <f>IF([2]道具信息!M272="","",[2]道具信息!M272)</f>
        <v/>
      </c>
      <c r="N272" s="59" t="str">
        <f>IF([2]道具信息!N272="","",[2]道具信息!N272)</f>
        <v/>
      </c>
      <c r="O272" s="59" t="str">
        <f>IF([2]道具信息!O272="","",[2]道具信息!O272)</f>
        <v/>
      </c>
      <c r="P272" s="59" t="str">
        <f>IF([2]道具信息!P272="","",[2]道具信息!P272)</f>
        <v/>
      </c>
      <c r="Q272" s="59" t="str">
        <f>IF([2]道具信息!Q272="","",[2]道具信息!Q272)</f>
        <v/>
      </c>
      <c r="R272" s="59" t="str">
        <f>IF([2]道具信息!R272="","",[2]道具信息!R272)</f>
        <v/>
      </c>
      <c r="S272" s="59" t="str">
        <f>IF([2]道具信息!S272="","",[2]道具信息!S272)</f>
        <v/>
      </c>
      <c r="T272" s="59" t="str">
        <f>IF([2]道具信息!T272="","",[2]道具信息!T272)</f>
        <v/>
      </c>
      <c r="U272" s="59" t="str">
        <f>IF([2]道具信息!U272="","",[2]道具信息!U272)</f>
        <v/>
      </c>
      <c r="V272" s="59" t="str">
        <f>IF([2]道具信息!V272="","",[2]道具信息!V272)</f>
        <v/>
      </c>
      <c r="W272" s="59" t="str">
        <f>IF([2]道具信息!W272="","",[2]道具信息!W272)</f>
        <v/>
      </c>
      <c r="X272" s="59" t="str">
        <f>IF([2]道具信息!X272="","",[2]道具信息!X272)</f>
        <v/>
      </c>
      <c r="Y272" s="59" t="str">
        <f>IF([2]道具信息!Y272="","",[2]道具信息!Y272)</f>
        <v/>
      </c>
      <c r="Z272" s="59" t="str">
        <f>IF([2]道具信息!Z272="","",[2]道具信息!Z272)</f>
        <v/>
      </c>
    </row>
    <row r="273" spans="1:26" x14ac:dyDescent="0.15">
      <c r="A273" s="59" t="str">
        <f>IF([2]道具信息!A273="","",[2]道具信息!A273)</f>
        <v/>
      </c>
      <c r="B273" s="59" t="str">
        <f>IF([2]道具信息!B273="","",[2]道具信息!B273)</f>
        <v/>
      </c>
      <c r="C273" s="59" t="str">
        <f>IF([2]道具信息!C273="","",[2]道具信息!C273)</f>
        <v/>
      </c>
      <c r="D273" s="59" t="str">
        <f>IF([2]道具信息!D273="","",[2]道具信息!D273)</f>
        <v/>
      </c>
      <c r="E273" s="59" t="str">
        <f>IF([2]道具信息!E273="","",[2]道具信息!E273)</f>
        <v/>
      </c>
      <c r="F273" s="59" t="str">
        <f>IF([2]道具信息!F273="","",[2]道具信息!F273)</f>
        <v/>
      </c>
      <c r="G273" s="59" t="str">
        <f>IF([2]道具信息!G273="","",[2]道具信息!G273)</f>
        <v/>
      </c>
      <c r="H273" s="59" t="str">
        <f>IF([2]道具信息!H273="","",[2]道具信息!H273)</f>
        <v/>
      </c>
      <c r="I273" s="59" t="str">
        <f>IF([2]道具信息!I273="","",[2]道具信息!I273)</f>
        <v/>
      </c>
      <c r="J273" s="59" t="str">
        <f>IF([2]道具信息!J273="","",[2]道具信息!J273)</f>
        <v/>
      </c>
      <c r="K273" s="59" t="str">
        <f>IF([2]道具信息!K273="","",[2]道具信息!K273)</f>
        <v/>
      </c>
      <c r="L273" s="59" t="str">
        <f>IF([2]道具信息!L273="","",[2]道具信息!L273)</f>
        <v/>
      </c>
      <c r="M273" s="59" t="str">
        <f>IF([2]道具信息!M273="","",[2]道具信息!M273)</f>
        <v/>
      </c>
      <c r="N273" s="59" t="str">
        <f>IF([2]道具信息!N273="","",[2]道具信息!N273)</f>
        <v/>
      </c>
      <c r="O273" s="59" t="str">
        <f>IF([2]道具信息!O273="","",[2]道具信息!O273)</f>
        <v/>
      </c>
      <c r="P273" s="59" t="str">
        <f>IF([2]道具信息!P273="","",[2]道具信息!P273)</f>
        <v/>
      </c>
      <c r="Q273" s="59" t="str">
        <f>IF([2]道具信息!Q273="","",[2]道具信息!Q273)</f>
        <v/>
      </c>
      <c r="R273" s="59" t="str">
        <f>IF([2]道具信息!R273="","",[2]道具信息!R273)</f>
        <v/>
      </c>
      <c r="S273" s="59" t="str">
        <f>IF([2]道具信息!S273="","",[2]道具信息!S273)</f>
        <v/>
      </c>
      <c r="T273" s="59" t="str">
        <f>IF([2]道具信息!T273="","",[2]道具信息!T273)</f>
        <v/>
      </c>
      <c r="U273" s="59" t="str">
        <f>IF([2]道具信息!U273="","",[2]道具信息!U273)</f>
        <v/>
      </c>
      <c r="V273" s="59" t="str">
        <f>IF([2]道具信息!V273="","",[2]道具信息!V273)</f>
        <v/>
      </c>
      <c r="W273" s="59" t="str">
        <f>IF([2]道具信息!W273="","",[2]道具信息!W273)</f>
        <v/>
      </c>
      <c r="X273" s="59" t="str">
        <f>IF([2]道具信息!X273="","",[2]道具信息!X273)</f>
        <v/>
      </c>
      <c r="Y273" s="59" t="str">
        <f>IF([2]道具信息!Y273="","",[2]道具信息!Y273)</f>
        <v/>
      </c>
      <c r="Z273" s="59" t="str">
        <f>IF([2]道具信息!Z273="","",[2]道具信息!Z273)</f>
        <v/>
      </c>
    </row>
    <row r="274" spans="1:26" x14ac:dyDescent="0.15">
      <c r="A274" s="59" t="str">
        <f>IF([2]道具信息!A274="","",[2]道具信息!A274)</f>
        <v/>
      </c>
      <c r="B274" s="59" t="str">
        <f>IF([2]道具信息!B274="","",[2]道具信息!B274)</f>
        <v/>
      </c>
      <c r="C274" s="59">
        <f>IF([2]道具信息!C274="","",[2]道具信息!C274)</f>
        <v>26500</v>
      </c>
      <c r="D274" s="59" t="str">
        <f>IF([2]道具信息!D274="","",[2]道具信息!D274)</f>
        <v>兵法宝箱</v>
      </c>
      <c r="E274" s="59">
        <f>IF([2]道具信息!E274="","",[2]道具信息!E274)</f>
        <v>250</v>
      </c>
      <c r="F274" s="59">
        <f>IF([2]道具信息!F274="","",[2]道具信息!F274)</f>
        <v>1</v>
      </c>
      <c r="G274" s="59">
        <f>IF([2]道具信息!G274="","",[2]道具信息!G274)</f>
        <v>1</v>
      </c>
      <c r="H274" s="59">
        <f>IF([2]道具信息!H274="","",[2]道具信息!H274)</f>
        <v>1</v>
      </c>
      <c r="I274" s="59">
        <f>IF([2]道具信息!I274="","",[2]道具信息!I274)</f>
        <v>250</v>
      </c>
      <c r="J274" s="59">
        <f>IF([2]道具信息!J274="","",[2]道具信息!J274)</f>
        <v>250</v>
      </c>
      <c r="K274" s="59">
        <f>IF([2]道具信息!K274="","",[2]道具信息!K274)</f>
        <v>250</v>
      </c>
      <c r="L274" s="59" t="str">
        <f>IF([2]道具信息!L274="","",[2]道具信息!L274)</f>
        <v>使用后随机获得1个兵法</v>
      </c>
      <c r="M274" s="59" t="str">
        <f>IF([2]道具信息!M274="","",[2]道具信息!M274)</f>
        <v/>
      </c>
      <c r="N274" s="59" t="str">
        <f>IF([2]道具信息!N274="","",[2]道具信息!N274)</f>
        <v/>
      </c>
      <c r="O274" s="59" t="str">
        <f>IF([2]道具信息!O274="","",[2]道具信息!O274)</f>
        <v/>
      </c>
      <c r="P274" s="59" t="str">
        <f>IF([2]道具信息!P274="","",[2]道具信息!P274)</f>
        <v/>
      </c>
      <c r="Q274" s="59" t="str">
        <f>IF([2]道具信息!Q274="","",[2]道具信息!Q274)</f>
        <v/>
      </c>
      <c r="R274" s="59" t="str">
        <f>IF([2]道具信息!R274="","",[2]道具信息!R274)</f>
        <v/>
      </c>
      <c r="S274" s="59" t="str">
        <f>IF([2]道具信息!S274="","",[2]道具信息!S274)</f>
        <v/>
      </c>
      <c r="T274" s="59" t="str">
        <f>IF([2]道具信息!T274="","",[2]道具信息!T274)</f>
        <v/>
      </c>
      <c r="U274" s="59" t="str">
        <f>IF([2]道具信息!U274="","",[2]道具信息!U274)</f>
        <v/>
      </c>
      <c r="V274" s="59" t="str">
        <f>IF([2]道具信息!V274="","",[2]道具信息!V274)</f>
        <v/>
      </c>
      <c r="W274" s="59" t="str">
        <f>IF([2]道具信息!W274="","",[2]道具信息!W274)</f>
        <v/>
      </c>
      <c r="X274" s="59" t="str">
        <f>IF([2]道具信息!X274="","",[2]道具信息!X274)</f>
        <v/>
      </c>
      <c r="Y274" s="59" t="str">
        <f>IF([2]道具信息!Y274="","",[2]道具信息!Y274)</f>
        <v/>
      </c>
      <c r="Z274" s="59" t="str">
        <f>IF([2]道具信息!Z274="","",[2]道具信息!Z274)</f>
        <v/>
      </c>
    </row>
    <row r="275" spans="1:26" x14ac:dyDescent="0.15">
      <c r="A275" s="59" t="str">
        <f>IF([2]道具信息!A275="","",[2]道具信息!A275)</f>
        <v/>
      </c>
      <c r="B275" s="59" t="str">
        <f>IF([2]道具信息!B275="","",[2]道具信息!B275)</f>
        <v/>
      </c>
      <c r="C275" s="59">
        <f>IF([2]道具信息!C275="","",[2]道具信息!C275)</f>
        <v>26501</v>
      </c>
      <c r="D275" s="59" t="str">
        <f>IF([2]道具信息!D275="","",[2]道具信息!D275)</f>
        <v>蓝色兵法宝箱</v>
      </c>
      <c r="E275" s="59">
        <f>IF([2]道具信息!E275="","",[2]道具信息!E275)</f>
        <v>50</v>
      </c>
      <c r="F275" s="59">
        <f>IF([2]道具信息!F275="","",[2]道具信息!F275)</f>
        <v>1</v>
      </c>
      <c r="G275" s="59">
        <f>IF([2]道具信息!G275="","",[2]道具信息!G275)</f>
        <v>1</v>
      </c>
      <c r="H275" s="59">
        <f>IF([2]道具信息!H275="","",[2]道具信息!H275)</f>
        <v>1</v>
      </c>
      <c r="I275" s="59">
        <f>IF([2]道具信息!I275="","",[2]道具信息!I275)</f>
        <v>50</v>
      </c>
      <c r="J275" s="59">
        <f>IF([2]道具信息!J275="","",[2]道具信息!J275)</f>
        <v>50</v>
      </c>
      <c r="K275" s="59">
        <f>IF([2]道具信息!K275="","",[2]道具信息!K275)</f>
        <v>50</v>
      </c>
      <c r="L275" s="59" t="str">
        <f>IF([2]道具信息!L275="","",[2]道具信息!L275)</f>
        <v>使用后随机获得1个蓝色品质兵法</v>
      </c>
      <c r="M275" s="59" t="str">
        <f>IF([2]道具信息!M275="","",[2]道具信息!M275)</f>
        <v/>
      </c>
      <c r="N275" s="59" t="str">
        <f>IF([2]道具信息!N275="","",[2]道具信息!N275)</f>
        <v/>
      </c>
      <c r="O275" s="59" t="str">
        <f>IF([2]道具信息!O275="","",[2]道具信息!O275)</f>
        <v/>
      </c>
      <c r="P275" s="59" t="str">
        <f>IF([2]道具信息!P275="","",[2]道具信息!P275)</f>
        <v/>
      </c>
      <c r="Q275" s="59" t="str">
        <f>IF([2]道具信息!Q275="","",[2]道具信息!Q275)</f>
        <v/>
      </c>
      <c r="R275" s="59" t="str">
        <f>IF([2]道具信息!R275="","",[2]道具信息!R275)</f>
        <v/>
      </c>
      <c r="S275" s="59" t="str">
        <f>IF([2]道具信息!S275="","",[2]道具信息!S275)</f>
        <v/>
      </c>
      <c r="T275" s="59" t="str">
        <f>IF([2]道具信息!T275="","",[2]道具信息!T275)</f>
        <v/>
      </c>
      <c r="U275" s="59" t="str">
        <f>IF([2]道具信息!U275="","",[2]道具信息!U275)</f>
        <v/>
      </c>
      <c r="V275" s="59" t="str">
        <f>IF([2]道具信息!V275="","",[2]道具信息!V275)</f>
        <v/>
      </c>
      <c r="W275" s="59" t="str">
        <f>IF([2]道具信息!W275="","",[2]道具信息!W275)</f>
        <v/>
      </c>
      <c r="X275" s="59" t="str">
        <f>IF([2]道具信息!X275="","",[2]道具信息!X275)</f>
        <v/>
      </c>
      <c r="Y275" s="59" t="str">
        <f>IF([2]道具信息!Y275="","",[2]道具信息!Y275)</f>
        <v/>
      </c>
      <c r="Z275" s="59" t="str">
        <f>IF([2]道具信息!Z275="","",[2]道具信息!Z275)</f>
        <v/>
      </c>
    </row>
    <row r="276" spans="1:26" x14ac:dyDescent="0.15">
      <c r="A276" s="59" t="str">
        <f>IF([2]道具信息!A276="","",[2]道具信息!A276)</f>
        <v/>
      </c>
      <c r="B276" s="59" t="str">
        <f>IF([2]道具信息!B276="","",[2]道具信息!B276)</f>
        <v/>
      </c>
      <c r="C276" s="59">
        <f>IF([2]道具信息!C276="","",[2]道具信息!C276)</f>
        <v>26502</v>
      </c>
      <c r="D276" s="59" t="str">
        <f>IF([2]道具信息!D276="","",[2]道具信息!D276)</f>
        <v>紫色兵法宝箱</v>
      </c>
      <c r="E276" s="59">
        <f>IF([2]道具信息!E276="","",[2]道具信息!E276)</f>
        <v>500</v>
      </c>
      <c r="F276" s="59">
        <f>IF([2]道具信息!F276="","",[2]道具信息!F276)</f>
        <v>1</v>
      </c>
      <c r="G276" s="59">
        <f>IF([2]道具信息!G276="","",[2]道具信息!G276)</f>
        <v>1</v>
      </c>
      <c r="H276" s="59">
        <f>IF([2]道具信息!H276="","",[2]道具信息!H276)</f>
        <v>1</v>
      </c>
      <c r="I276" s="59">
        <f>IF([2]道具信息!I276="","",[2]道具信息!I276)</f>
        <v>500</v>
      </c>
      <c r="J276" s="59">
        <f>IF([2]道具信息!J276="","",[2]道具信息!J276)</f>
        <v>500</v>
      </c>
      <c r="K276" s="59">
        <f>IF([2]道具信息!K276="","",[2]道具信息!K276)</f>
        <v>500</v>
      </c>
      <c r="L276" s="59" t="str">
        <f>IF([2]道具信息!L276="","",[2]道具信息!L276)</f>
        <v>使用后随机获得1个紫色品质兵法</v>
      </c>
      <c r="M276" s="59" t="str">
        <f>IF([2]道具信息!M276="","",[2]道具信息!M276)</f>
        <v/>
      </c>
      <c r="N276" s="59" t="str">
        <f>IF([2]道具信息!N276="","",[2]道具信息!N276)</f>
        <v/>
      </c>
      <c r="O276" s="59" t="str">
        <f>IF([2]道具信息!O276="","",[2]道具信息!O276)</f>
        <v/>
      </c>
      <c r="P276" s="59" t="str">
        <f>IF([2]道具信息!P276="","",[2]道具信息!P276)</f>
        <v/>
      </c>
      <c r="Q276" s="59" t="str">
        <f>IF([2]道具信息!Q276="","",[2]道具信息!Q276)</f>
        <v/>
      </c>
      <c r="R276" s="59" t="str">
        <f>IF([2]道具信息!R276="","",[2]道具信息!R276)</f>
        <v/>
      </c>
      <c r="S276" s="59" t="str">
        <f>IF([2]道具信息!S276="","",[2]道具信息!S276)</f>
        <v/>
      </c>
      <c r="T276" s="59" t="str">
        <f>IF([2]道具信息!T276="","",[2]道具信息!T276)</f>
        <v/>
      </c>
      <c r="U276" s="59" t="str">
        <f>IF([2]道具信息!U276="","",[2]道具信息!U276)</f>
        <v/>
      </c>
      <c r="V276" s="59" t="str">
        <f>IF([2]道具信息!V276="","",[2]道具信息!V276)</f>
        <v/>
      </c>
      <c r="W276" s="59" t="str">
        <f>IF([2]道具信息!W276="","",[2]道具信息!W276)</f>
        <v/>
      </c>
      <c r="X276" s="59" t="str">
        <f>IF([2]道具信息!X276="","",[2]道具信息!X276)</f>
        <v/>
      </c>
      <c r="Y276" s="59" t="str">
        <f>IF([2]道具信息!Y276="","",[2]道具信息!Y276)</f>
        <v/>
      </c>
      <c r="Z276" s="59" t="str">
        <f>IF([2]道具信息!Z276="","",[2]道具信息!Z276)</f>
        <v/>
      </c>
    </row>
    <row r="277" spans="1:26" x14ac:dyDescent="0.15">
      <c r="A277" s="59" t="str">
        <f>IF([2]道具信息!A277="","",[2]道具信息!A277)</f>
        <v/>
      </c>
      <c r="B277" s="59" t="str">
        <f>IF([2]道具信息!B277="","",[2]道具信息!B277)</f>
        <v/>
      </c>
      <c r="C277" s="59">
        <f>IF([2]道具信息!C277="","",[2]道具信息!C277)</f>
        <v>26503</v>
      </c>
      <c r="D277" s="59" t="str">
        <f>IF([2]道具信息!D277="","",[2]道具信息!D277)</f>
        <v>橙色兵法宝箱</v>
      </c>
      <c r="E277" s="59">
        <f>IF([2]道具信息!E277="","",[2]道具信息!E277)</f>
        <v>1680</v>
      </c>
      <c r="F277" s="59">
        <f>IF([2]道具信息!F277="","",[2]道具信息!F277)</f>
        <v>1</v>
      </c>
      <c r="G277" s="59">
        <f>IF([2]道具信息!G277="","",[2]道具信息!G277)</f>
        <v>1</v>
      </c>
      <c r="H277" s="59">
        <f>IF([2]道具信息!H277="","",[2]道具信息!H277)</f>
        <v>1</v>
      </c>
      <c r="I277" s="59">
        <f>IF([2]道具信息!I277="","",[2]道具信息!I277)</f>
        <v>1680</v>
      </c>
      <c r="J277" s="59">
        <f>IF([2]道具信息!J277="","",[2]道具信息!J277)</f>
        <v>1680</v>
      </c>
      <c r="K277" s="59">
        <f>IF([2]道具信息!K277="","",[2]道具信息!K277)</f>
        <v>1680</v>
      </c>
      <c r="L277" s="59" t="str">
        <f>IF([2]道具信息!L277="","",[2]道具信息!L277)</f>
        <v>使用后随机获得1个橙色品质兵法</v>
      </c>
      <c r="M277" s="59" t="str">
        <f>IF([2]道具信息!M277="","",[2]道具信息!M277)</f>
        <v/>
      </c>
      <c r="N277" s="59" t="str">
        <f>IF([2]道具信息!N277="","",[2]道具信息!N277)</f>
        <v/>
      </c>
      <c r="O277" s="59" t="str">
        <f>IF([2]道具信息!O277="","",[2]道具信息!O277)</f>
        <v/>
      </c>
      <c r="P277" s="59" t="str">
        <f>IF([2]道具信息!P277="","",[2]道具信息!P277)</f>
        <v/>
      </c>
      <c r="Q277" s="59" t="str">
        <f>IF([2]道具信息!Q277="","",[2]道具信息!Q277)</f>
        <v/>
      </c>
      <c r="R277" s="59" t="str">
        <f>IF([2]道具信息!R277="","",[2]道具信息!R277)</f>
        <v/>
      </c>
      <c r="S277" s="59" t="str">
        <f>IF([2]道具信息!S277="","",[2]道具信息!S277)</f>
        <v/>
      </c>
      <c r="T277" s="59" t="str">
        <f>IF([2]道具信息!T277="","",[2]道具信息!T277)</f>
        <v/>
      </c>
      <c r="U277" s="59" t="str">
        <f>IF([2]道具信息!U277="","",[2]道具信息!U277)</f>
        <v/>
      </c>
      <c r="V277" s="59" t="str">
        <f>IF([2]道具信息!V277="","",[2]道具信息!V277)</f>
        <v/>
      </c>
      <c r="W277" s="59" t="str">
        <f>IF([2]道具信息!W277="","",[2]道具信息!W277)</f>
        <v/>
      </c>
      <c r="X277" s="59" t="str">
        <f>IF([2]道具信息!X277="","",[2]道具信息!X277)</f>
        <v/>
      </c>
      <c r="Y277" s="59" t="str">
        <f>IF([2]道具信息!Y277="","",[2]道具信息!Y277)</f>
        <v/>
      </c>
      <c r="Z277" s="59" t="str">
        <f>IF([2]道具信息!Z277="","",[2]道具信息!Z277)</f>
        <v/>
      </c>
    </row>
    <row r="278" spans="1:26" x14ac:dyDescent="0.15">
      <c r="A278" s="59" t="str">
        <f>IF([2]道具信息!A278="","",[2]道具信息!A278)</f>
        <v/>
      </c>
      <c r="B278" s="59" t="str">
        <f>IF([2]道具信息!B278="","",[2]道具信息!B278)</f>
        <v/>
      </c>
      <c r="C278" s="59">
        <f>IF([2]道具信息!C278="","",[2]道具信息!C278)</f>
        <v>26504</v>
      </c>
      <c r="D278" s="59" t="str">
        <f>IF([2]道具信息!D278="","",[2]道具信息!D278)</f>
        <v>红色兵法宝箱</v>
      </c>
      <c r="E278" s="59">
        <f>IF([2]道具信息!E278="","",[2]道具信息!E278)</f>
        <v>14100</v>
      </c>
      <c r="F278" s="59">
        <f>IF([2]道具信息!F278="","",[2]道具信息!F278)</f>
        <v>1</v>
      </c>
      <c r="G278" s="59">
        <f>IF([2]道具信息!G278="","",[2]道具信息!G278)</f>
        <v>1</v>
      </c>
      <c r="H278" s="59">
        <f>IF([2]道具信息!H278="","",[2]道具信息!H278)</f>
        <v>1</v>
      </c>
      <c r="I278" s="59">
        <f>IF([2]道具信息!I278="","",[2]道具信息!I278)</f>
        <v>14100</v>
      </c>
      <c r="J278" s="59">
        <f>IF([2]道具信息!J278="","",[2]道具信息!J278)</f>
        <v>14100</v>
      </c>
      <c r="K278" s="59">
        <f>IF([2]道具信息!K278="","",[2]道具信息!K278)</f>
        <v>14100</v>
      </c>
      <c r="L278" s="59" t="str">
        <f>IF([2]道具信息!L278="","",[2]道具信息!L278)</f>
        <v>使用后随机获得1个红色品质兵法</v>
      </c>
      <c r="M278" s="59" t="str">
        <f>IF([2]道具信息!M278="","",[2]道具信息!M278)</f>
        <v/>
      </c>
      <c r="N278" s="59" t="str">
        <f>IF([2]道具信息!N278="","",[2]道具信息!N278)</f>
        <v/>
      </c>
      <c r="O278" s="59" t="str">
        <f>IF([2]道具信息!O278="","",[2]道具信息!O278)</f>
        <v/>
      </c>
      <c r="P278" s="59" t="str">
        <f>IF([2]道具信息!P278="","",[2]道具信息!P278)</f>
        <v/>
      </c>
      <c r="Q278" s="59" t="str">
        <f>IF([2]道具信息!Q278="","",[2]道具信息!Q278)</f>
        <v/>
      </c>
      <c r="R278" s="59" t="str">
        <f>IF([2]道具信息!R278="","",[2]道具信息!R278)</f>
        <v/>
      </c>
      <c r="S278" s="59" t="str">
        <f>IF([2]道具信息!S278="","",[2]道具信息!S278)</f>
        <v/>
      </c>
      <c r="T278" s="59" t="str">
        <f>IF([2]道具信息!T278="","",[2]道具信息!T278)</f>
        <v/>
      </c>
      <c r="U278" s="59" t="str">
        <f>IF([2]道具信息!U278="","",[2]道具信息!U278)</f>
        <v/>
      </c>
      <c r="V278" s="59" t="str">
        <f>IF([2]道具信息!V278="","",[2]道具信息!V278)</f>
        <v/>
      </c>
      <c r="W278" s="59" t="str">
        <f>IF([2]道具信息!W278="","",[2]道具信息!W278)</f>
        <v/>
      </c>
      <c r="X278" s="59" t="str">
        <f>IF([2]道具信息!X278="","",[2]道具信息!X278)</f>
        <v/>
      </c>
      <c r="Y278" s="59" t="str">
        <f>IF([2]道具信息!Y278="","",[2]道具信息!Y278)</f>
        <v/>
      </c>
      <c r="Z278" s="59" t="str">
        <f>IF([2]道具信息!Z278="","",[2]道具信息!Z278)</f>
        <v/>
      </c>
    </row>
    <row r="279" spans="1:26" x14ac:dyDescent="0.15">
      <c r="A279" s="59" t="str">
        <f>IF([2]道具信息!A279="","",[2]道具信息!A279)</f>
        <v/>
      </c>
      <c r="B279" s="59" t="str">
        <f>IF([2]道具信息!B279="","",[2]道具信息!B279)</f>
        <v/>
      </c>
      <c r="C279" s="59" t="str">
        <f>IF([2]道具信息!C279="","",[2]道具信息!C279)</f>
        <v/>
      </c>
      <c r="D279" s="59" t="str">
        <f>IF([2]道具信息!D279="","",[2]道具信息!D279)</f>
        <v>指定or任选蓝色兵法</v>
      </c>
      <c r="E279" s="59">
        <f>IF([2]道具信息!E279="","",[2]道具信息!E279)</f>
        <v>35</v>
      </c>
      <c r="F279" s="59">
        <f>IF([2]道具信息!F279="","",[2]道具信息!F279)</f>
        <v>1</v>
      </c>
      <c r="G279" s="59">
        <f>IF([2]道具信息!G279="","",[2]道具信息!G279)</f>
        <v>1</v>
      </c>
      <c r="H279" s="59">
        <f>IF([2]道具信息!H279="","",[2]道具信息!H279)</f>
        <v>1</v>
      </c>
      <c r="I279" s="59">
        <f>IF([2]道具信息!I279="","",[2]道具信息!I279)</f>
        <v>35</v>
      </c>
      <c r="J279" s="59">
        <f>IF([2]道具信息!J279="","",[2]道具信息!J279)</f>
        <v>35</v>
      </c>
      <c r="K279" s="59">
        <f>IF([2]道具信息!K279="","",[2]道具信息!K279)</f>
        <v>35</v>
      </c>
      <c r="L279" s="59" t="str">
        <f>IF([2]道具信息!L279="","",[2]道具信息!L279)</f>
        <v/>
      </c>
      <c r="M279" s="59" t="str">
        <f>IF([2]道具信息!M279="","",[2]道具信息!M279)</f>
        <v/>
      </c>
      <c r="N279" s="59" t="str">
        <f>IF([2]道具信息!N279="","",[2]道具信息!N279)</f>
        <v/>
      </c>
      <c r="O279" s="59" t="str">
        <f>IF([2]道具信息!O279="","",[2]道具信息!O279)</f>
        <v/>
      </c>
      <c r="P279" s="59" t="str">
        <f>IF([2]道具信息!P279="","",[2]道具信息!P279)</f>
        <v/>
      </c>
      <c r="Q279" s="59" t="str">
        <f>IF([2]道具信息!Q279="","",[2]道具信息!Q279)</f>
        <v/>
      </c>
      <c r="R279" s="59" t="str">
        <f>IF([2]道具信息!R279="","",[2]道具信息!R279)</f>
        <v/>
      </c>
      <c r="S279" s="59" t="str">
        <f>IF([2]道具信息!S279="","",[2]道具信息!S279)</f>
        <v/>
      </c>
      <c r="T279" s="59" t="str">
        <f>IF([2]道具信息!T279="","",[2]道具信息!T279)</f>
        <v/>
      </c>
      <c r="U279" s="59" t="str">
        <f>IF([2]道具信息!U279="","",[2]道具信息!U279)</f>
        <v/>
      </c>
      <c r="V279" s="59" t="str">
        <f>IF([2]道具信息!V279="","",[2]道具信息!V279)</f>
        <v/>
      </c>
      <c r="W279" s="59" t="str">
        <f>IF([2]道具信息!W279="","",[2]道具信息!W279)</f>
        <v/>
      </c>
      <c r="X279" s="59" t="str">
        <f>IF([2]道具信息!X279="","",[2]道具信息!X279)</f>
        <v/>
      </c>
      <c r="Y279" s="59" t="str">
        <f>IF([2]道具信息!Y279="","",[2]道具信息!Y279)</f>
        <v/>
      </c>
      <c r="Z279" s="59" t="str">
        <f>IF([2]道具信息!Z279="","",[2]道具信息!Z279)</f>
        <v/>
      </c>
    </row>
    <row r="280" spans="1:26" x14ac:dyDescent="0.15">
      <c r="A280" s="59" t="str">
        <f>IF([2]道具信息!A280="","",[2]道具信息!A280)</f>
        <v/>
      </c>
      <c r="B280" s="59" t="str">
        <f>IF([2]道具信息!B280="","",[2]道具信息!B280)</f>
        <v/>
      </c>
      <c r="C280" s="59" t="str">
        <f>IF([2]道具信息!C280="","",[2]道具信息!C280)</f>
        <v/>
      </c>
      <c r="D280" s="59" t="str">
        <f>IF([2]道具信息!D280="","",[2]道具信息!D280)</f>
        <v>指定or任选紫色兵法</v>
      </c>
      <c r="E280" s="59">
        <f>IF([2]道具信息!E280="","",[2]道具信息!E280)</f>
        <v>750</v>
      </c>
      <c r="F280" s="59">
        <f>IF([2]道具信息!F280="","",[2]道具信息!F280)</f>
        <v>1</v>
      </c>
      <c r="G280" s="59">
        <f>IF([2]道具信息!G280="","",[2]道具信息!G280)</f>
        <v>1</v>
      </c>
      <c r="H280" s="59">
        <f>IF([2]道具信息!H280="","",[2]道具信息!H280)</f>
        <v>1</v>
      </c>
      <c r="I280" s="59">
        <f>IF([2]道具信息!I280="","",[2]道具信息!I280)</f>
        <v>750</v>
      </c>
      <c r="J280" s="59">
        <f>IF([2]道具信息!J280="","",[2]道具信息!J280)</f>
        <v>750</v>
      </c>
      <c r="K280" s="59">
        <f>IF([2]道具信息!K280="","",[2]道具信息!K280)</f>
        <v>750</v>
      </c>
      <c r="L280" s="59" t="str">
        <f>IF([2]道具信息!L280="","",[2]道具信息!L280)</f>
        <v/>
      </c>
      <c r="M280" s="59" t="str">
        <f>IF([2]道具信息!M280="","",[2]道具信息!M280)</f>
        <v/>
      </c>
      <c r="N280" s="59" t="str">
        <f>IF([2]道具信息!N280="","",[2]道具信息!N280)</f>
        <v/>
      </c>
      <c r="O280" s="59" t="str">
        <f>IF([2]道具信息!O280="","",[2]道具信息!O280)</f>
        <v/>
      </c>
      <c r="P280" s="59" t="str">
        <f>IF([2]道具信息!P280="","",[2]道具信息!P280)</f>
        <v/>
      </c>
      <c r="Q280" s="59" t="str">
        <f>IF([2]道具信息!Q280="","",[2]道具信息!Q280)</f>
        <v/>
      </c>
      <c r="R280" s="59" t="str">
        <f>IF([2]道具信息!R280="","",[2]道具信息!R280)</f>
        <v/>
      </c>
      <c r="S280" s="59" t="str">
        <f>IF([2]道具信息!S280="","",[2]道具信息!S280)</f>
        <v/>
      </c>
      <c r="T280" s="59" t="str">
        <f>IF([2]道具信息!T280="","",[2]道具信息!T280)</f>
        <v/>
      </c>
      <c r="U280" s="59" t="str">
        <f>IF([2]道具信息!U280="","",[2]道具信息!U280)</f>
        <v/>
      </c>
      <c r="V280" s="59" t="str">
        <f>IF([2]道具信息!V280="","",[2]道具信息!V280)</f>
        <v/>
      </c>
      <c r="W280" s="59" t="str">
        <f>IF([2]道具信息!W280="","",[2]道具信息!W280)</f>
        <v/>
      </c>
      <c r="X280" s="59" t="str">
        <f>IF([2]道具信息!X280="","",[2]道具信息!X280)</f>
        <v/>
      </c>
      <c r="Y280" s="59" t="str">
        <f>IF([2]道具信息!Y280="","",[2]道具信息!Y280)</f>
        <v/>
      </c>
      <c r="Z280" s="59" t="str">
        <f>IF([2]道具信息!Z280="","",[2]道具信息!Z280)</f>
        <v/>
      </c>
    </row>
    <row r="281" spans="1:26" x14ac:dyDescent="0.15">
      <c r="A281" s="59" t="str">
        <f>IF([2]道具信息!A281="","",[2]道具信息!A281)</f>
        <v/>
      </c>
      <c r="B281" s="59" t="str">
        <f>IF([2]道具信息!B281="","",[2]道具信息!B281)</f>
        <v/>
      </c>
      <c r="C281" s="59" t="str">
        <f>IF([2]道具信息!C281="","",[2]道具信息!C281)</f>
        <v/>
      </c>
      <c r="D281" s="59" t="str">
        <f>IF([2]道具信息!D281="","",[2]道具信息!D281)</f>
        <v>指定or任选橙色兵法</v>
      </c>
      <c r="E281" s="59">
        <f>IF([2]道具信息!E281="","",[2]道具信息!E281)</f>
        <v>3350</v>
      </c>
      <c r="F281" s="59">
        <f>IF([2]道具信息!F281="","",[2]道具信息!F281)</f>
        <v>1</v>
      </c>
      <c r="G281" s="59">
        <f>IF([2]道具信息!G281="","",[2]道具信息!G281)</f>
        <v>1</v>
      </c>
      <c r="H281" s="59">
        <f>IF([2]道具信息!H281="","",[2]道具信息!H281)</f>
        <v>1</v>
      </c>
      <c r="I281" s="59">
        <f>IF([2]道具信息!I281="","",[2]道具信息!I281)</f>
        <v>3350</v>
      </c>
      <c r="J281" s="59">
        <f>IF([2]道具信息!J281="","",[2]道具信息!J281)</f>
        <v>3350</v>
      </c>
      <c r="K281" s="59">
        <f>IF([2]道具信息!K281="","",[2]道具信息!K281)</f>
        <v>3350</v>
      </c>
      <c r="L281" s="59" t="str">
        <f>IF([2]道具信息!L281="","",[2]道具信息!L281)</f>
        <v/>
      </c>
      <c r="M281" s="59" t="str">
        <f>IF([2]道具信息!M281="","",[2]道具信息!M281)</f>
        <v/>
      </c>
      <c r="N281" s="59" t="str">
        <f>IF([2]道具信息!N281="","",[2]道具信息!N281)</f>
        <v/>
      </c>
      <c r="O281" s="59" t="str">
        <f>IF([2]道具信息!O281="","",[2]道具信息!O281)</f>
        <v/>
      </c>
      <c r="P281" s="59" t="str">
        <f>IF([2]道具信息!P281="","",[2]道具信息!P281)</f>
        <v/>
      </c>
      <c r="Q281" s="59" t="str">
        <f>IF([2]道具信息!Q281="","",[2]道具信息!Q281)</f>
        <v/>
      </c>
      <c r="R281" s="59" t="str">
        <f>IF([2]道具信息!R281="","",[2]道具信息!R281)</f>
        <v/>
      </c>
      <c r="S281" s="59" t="str">
        <f>IF([2]道具信息!S281="","",[2]道具信息!S281)</f>
        <v/>
      </c>
      <c r="T281" s="59" t="str">
        <f>IF([2]道具信息!T281="","",[2]道具信息!T281)</f>
        <v/>
      </c>
      <c r="U281" s="59" t="str">
        <f>IF([2]道具信息!U281="","",[2]道具信息!U281)</f>
        <v/>
      </c>
      <c r="V281" s="59" t="str">
        <f>IF([2]道具信息!V281="","",[2]道具信息!V281)</f>
        <v/>
      </c>
      <c r="W281" s="59" t="str">
        <f>IF([2]道具信息!W281="","",[2]道具信息!W281)</f>
        <v/>
      </c>
      <c r="X281" s="59" t="str">
        <f>IF([2]道具信息!X281="","",[2]道具信息!X281)</f>
        <v/>
      </c>
      <c r="Y281" s="59" t="str">
        <f>IF([2]道具信息!Y281="","",[2]道具信息!Y281)</f>
        <v/>
      </c>
      <c r="Z281" s="59" t="str">
        <f>IF([2]道具信息!Z281="","",[2]道具信息!Z281)</f>
        <v/>
      </c>
    </row>
    <row r="282" spans="1:26" x14ac:dyDescent="0.15">
      <c r="A282" s="59" t="str">
        <f>IF([2]道具信息!A282="","",[2]道具信息!A282)</f>
        <v/>
      </c>
      <c r="B282" s="59" t="str">
        <f>IF([2]道具信息!B282="","",[2]道具信息!B282)</f>
        <v/>
      </c>
      <c r="C282" s="59" t="str">
        <f>IF([2]道具信息!C282="","",[2]道具信息!C282)</f>
        <v/>
      </c>
      <c r="D282" s="59" t="str">
        <f>IF([2]道具信息!D282="","",[2]道具信息!D282)</f>
        <v>指定or任选红色兵法</v>
      </c>
      <c r="E282" s="59">
        <f>IF([2]道具信息!E282="","",[2]道具信息!E282)</f>
        <v>9165</v>
      </c>
      <c r="F282" s="59">
        <f>IF([2]道具信息!F282="","",[2]道具信息!F282)</f>
        <v>1</v>
      </c>
      <c r="G282" s="59">
        <f>IF([2]道具信息!G282="","",[2]道具信息!G282)</f>
        <v>1</v>
      </c>
      <c r="H282" s="59">
        <f>IF([2]道具信息!H282="","",[2]道具信息!H282)</f>
        <v>1</v>
      </c>
      <c r="I282" s="59">
        <f>IF([2]道具信息!I282="","",[2]道具信息!I282)</f>
        <v>9165</v>
      </c>
      <c r="J282" s="59">
        <f>IF([2]道具信息!J282="","",[2]道具信息!J282)</f>
        <v>9165</v>
      </c>
      <c r="K282" s="59">
        <f>IF([2]道具信息!K282="","",[2]道具信息!K282)</f>
        <v>9165</v>
      </c>
      <c r="L282" s="59" t="str">
        <f>IF([2]道具信息!L282="","",[2]道具信息!L282)</f>
        <v/>
      </c>
      <c r="M282" s="59" t="str">
        <f>IF([2]道具信息!M282="","",[2]道具信息!M282)</f>
        <v/>
      </c>
      <c r="N282" s="59" t="str">
        <f>IF([2]道具信息!N282="","",[2]道具信息!N282)</f>
        <v/>
      </c>
      <c r="O282" s="59" t="str">
        <f>IF([2]道具信息!O282="","",[2]道具信息!O282)</f>
        <v/>
      </c>
      <c r="P282" s="59" t="str">
        <f>IF([2]道具信息!P282="","",[2]道具信息!P282)</f>
        <v/>
      </c>
      <c r="Q282" s="59" t="str">
        <f>IF([2]道具信息!Q282="","",[2]道具信息!Q282)</f>
        <v/>
      </c>
      <c r="R282" s="59" t="str">
        <f>IF([2]道具信息!R282="","",[2]道具信息!R282)</f>
        <v/>
      </c>
      <c r="S282" s="59" t="str">
        <f>IF([2]道具信息!S282="","",[2]道具信息!S282)</f>
        <v/>
      </c>
      <c r="T282" s="59" t="str">
        <f>IF([2]道具信息!T282="","",[2]道具信息!T282)</f>
        <v/>
      </c>
      <c r="U282" s="59" t="str">
        <f>IF([2]道具信息!U282="","",[2]道具信息!U282)</f>
        <v/>
      </c>
      <c r="V282" s="59" t="str">
        <f>IF([2]道具信息!V282="","",[2]道具信息!V282)</f>
        <v/>
      </c>
      <c r="W282" s="59" t="str">
        <f>IF([2]道具信息!W282="","",[2]道具信息!W282)</f>
        <v/>
      </c>
      <c r="X282" s="59" t="str">
        <f>IF([2]道具信息!X282="","",[2]道具信息!X282)</f>
        <v/>
      </c>
      <c r="Y282" s="59" t="str">
        <f>IF([2]道具信息!Y282="","",[2]道具信息!Y282)</f>
        <v/>
      </c>
      <c r="Z282" s="59" t="str">
        <f>IF([2]道具信息!Z282="","",[2]道具信息!Z282)</f>
        <v/>
      </c>
    </row>
    <row r="283" spans="1:26" x14ac:dyDescent="0.15">
      <c r="A283" s="59" t="str">
        <f>IF([2]道具信息!A283="","",[2]道具信息!A283)</f>
        <v/>
      </c>
      <c r="B283" s="59" t="str">
        <f>IF([2]道具信息!B283="","",[2]道具信息!B283)</f>
        <v/>
      </c>
      <c r="C283" s="59">
        <f>IF([2]道具信息!C283="","",[2]道具信息!C283)</f>
        <v>26505</v>
      </c>
      <c r="D283" s="59" t="str">
        <f>IF([2]道具信息!D283="","",[2]道具信息!D283)</f>
        <v>兵家信物</v>
      </c>
      <c r="E283" s="59">
        <f>IF([2]道具信息!E283="","",[2]道具信息!E283)</f>
        <v>300</v>
      </c>
      <c r="F283" s="59">
        <f>IF([2]道具信息!F283="","",[2]道具信息!F283)</f>
        <v>1</v>
      </c>
      <c r="G283" s="59">
        <f>IF([2]道具信息!G283="","",[2]道具信息!G283)</f>
        <v>1</v>
      </c>
      <c r="H283" s="59">
        <f>IF([2]道具信息!H283="","",[2]道具信息!H283)</f>
        <v>1</v>
      </c>
      <c r="I283" s="59">
        <f>IF([2]道具信息!I283="","",[2]道具信息!I283)</f>
        <v>300</v>
      </c>
      <c r="J283" s="59">
        <f>IF([2]道具信息!J283="","",[2]道具信息!J283)</f>
        <v>300</v>
      </c>
      <c r="K283" s="59">
        <f>IF([2]道具信息!K283="","",[2]道具信息!K283)</f>
        <v>300</v>
      </c>
      <c r="L283" s="59" t="str">
        <f>IF([2]道具信息!L283="","",[2]道具信息!L283)</f>
        <v>抽取兵法时消耗的道具（赠送10个5分钟通用加速）</v>
      </c>
      <c r="M283" s="59" t="str">
        <f>IF([2]道具信息!M283="","",[2]道具信息!M283)</f>
        <v/>
      </c>
      <c r="N283" s="59" t="str">
        <f>IF([2]道具信息!N283="","",[2]道具信息!N283)</f>
        <v/>
      </c>
      <c r="O283" s="59" t="str">
        <f>IF([2]道具信息!O283="","",[2]道具信息!O283)</f>
        <v/>
      </c>
      <c r="P283" s="59" t="str">
        <f>IF([2]道具信息!P283="","",[2]道具信息!P283)</f>
        <v/>
      </c>
      <c r="Q283" s="59" t="str">
        <f>IF([2]道具信息!Q283="","",[2]道具信息!Q283)</f>
        <v/>
      </c>
      <c r="R283" s="59" t="str">
        <f>IF([2]道具信息!R283="","",[2]道具信息!R283)</f>
        <v/>
      </c>
      <c r="S283" s="59" t="str">
        <f>IF([2]道具信息!S283="","",[2]道具信息!S283)</f>
        <v/>
      </c>
      <c r="T283" s="59" t="str">
        <f>IF([2]道具信息!T283="","",[2]道具信息!T283)</f>
        <v/>
      </c>
      <c r="U283" s="59" t="str">
        <f>IF([2]道具信息!U283="","",[2]道具信息!U283)</f>
        <v/>
      </c>
      <c r="V283" s="59" t="str">
        <f>IF([2]道具信息!V283="","",[2]道具信息!V283)</f>
        <v/>
      </c>
      <c r="W283" s="59" t="str">
        <f>IF([2]道具信息!W283="","",[2]道具信息!W283)</f>
        <v/>
      </c>
      <c r="X283" s="59" t="str">
        <f>IF([2]道具信息!X283="","",[2]道具信息!X283)</f>
        <v/>
      </c>
      <c r="Y283" s="59" t="str">
        <f>IF([2]道具信息!Y283="","",[2]道具信息!Y283)</f>
        <v/>
      </c>
      <c r="Z283" s="59" t="str">
        <f>IF([2]道具信息!Z283="","",[2]道具信息!Z283)</f>
        <v/>
      </c>
    </row>
    <row r="284" spans="1:26" x14ac:dyDescent="0.15">
      <c r="A284" s="59" t="str">
        <f>IF([2]道具信息!A284="","",[2]道具信息!A284)</f>
        <v/>
      </c>
      <c r="B284" s="59" t="str">
        <f>IF([2]道具信息!B284="","",[2]道具信息!B284)</f>
        <v/>
      </c>
      <c r="C284" s="59" t="str">
        <f>IF([2]道具信息!C284="","",[2]道具信息!C284)</f>
        <v/>
      </c>
      <c r="D284" s="59" t="str">
        <f>IF([2]道具信息!D284="","",[2]道具信息!D284)</f>
        <v/>
      </c>
      <c r="E284" s="59" t="str">
        <f>IF([2]道具信息!E284="","",[2]道具信息!E284)</f>
        <v/>
      </c>
      <c r="F284" s="59" t="str">
        <f>IF([2]道具信息!F284="","",[2]道具信息!F284)</f>
        <v/>
      </c>
      <c r="G284" s="59" t="str">
        <f>IF([2]道具信息!G284="","",[2]道具信息!G284)</f>
        <v/>
      </c>
      <c r="H284" s="59" t="str">
        <f>IF([2]道具信息!H284="","",[2]道具信息!H284)</f>
        <v/>
      </c>
      <c r="I284" s="59" t="str">
        <f>IF([2]道具信息!I284="","",[2]道具信息!I284)</f>
        <v/>
      </c>
      <c r="J284" s="59" t="str">
        <f>IF([2]道具信息!J284="","",[2]道具信息!J284)</f>
        <v/>
      </c>
      <c r="K284" s="59" t="str">
        <f>IF([2]道具信息!K284="","",[2]道具信息!K284)</f>
        <v/>
      </c>
      <c r="L284" s="59" t="str">
        <f>IF([2]道具信息!L284="","",[2]道具信息!L284)</f>
        <v/>
      </c>
      <c r="M284" s="59" t="str">
        <f>IF([2]道具信息!M284="","",[2]道具信息!M284)</f>
        <v/>
      </c>
      <c r="N284" s="59" t="str">
        <f>IF([2]道具信息!N284="","",[2]道具信息!N284)</f>
        <v/>
      </c>
      <c r="O284" s="59" t="str">
        <f>IF([2]道具信息!O284="","",[2]道具信息!O284)</f>
        <v/>
      </c>
      <c r="P284" s="59" t="str">
        <f>IF([2]道具信息!P284="","",[2]道具信息!P284)</f>
        <v/>
      </c>
      <c r="Q284" s="59" t="str">
        <f>IF([2]道具信息!Q284="","",[2]道具信息!Q284)</f>
        <v/>
      </c>
      <c r="R284" s="59" t="str">
        <f>IF([2]道具信息!R284="","",[2]道具信息!R284)</f>
        <v/>
      </c>
      <c r="S284" s="59" t="str">
        <f>IF([2]道具信息!S284="","",[2]道具信息!S284)</f>
        <v/>
      </c>
      <c r="T284" s="59" t="str">
        <f>IF([2]道具信息!T284="","",[2]道具信息!T284)</f>
        <v/>
      </c>
      <c r="U284" s="59" t="str">
        <f>IF([2]道具信息!U284="","",[2]道具信息!U284)</f>
        <v/>
      </c>
      <c r="V284" s="59" t="str">
        <f>IF([2]道具信息!V284="","",[2]道具信息!V284)</f>
        <v/>
      </c>
      <c r="W284" s="59" t="str">
        <f>IF([2]道具信息!W284="","",[2]道具信息!W284)</f>
        <v/>
      </c>
      <c r="X284" s="59" t="str">
        <f>IF([2]道具信息!X284="","",[2]道具信息!X284)</f>
        <v/>
      </c>
      <c r="Y284" s="59" t="str">
        <f>IF([2]道具信息!Y284="","",[2]道具信息!Y284)</f>
        <v/>
      </c>
      <c r="Z284" s="59" t="str">
        <f>IF([2]道具信息!Z284="","",[2]道具信息!Z284)</f>
        <v/>
      </c>
    </row>
    <row r="285" spans="1:26" x14ac:dyDescent="0.15">
      <c r="A285" s="59" t="str">
        <f>IF([2]道具信息!A285="","",[2]道具信息!A285)</f>
        <v/>
      </c>
      <c r="B285" s="59" t="str">
        <f>IF([2]道具信息!B285="","",[2]道具信息!B285)</f>
        <v/>
      </c>
      <c r="C285" s="59" t="str">
        <f>IF([2]道具信息!C285="","",[2]道具信息!C285)</f>
        <v/>
      </c>
      <c r="D285" s="59" t="str">
        <f>IF([2]道具信息!D285="","",[2]道具信息!D285)</f>
        <v/>
      </c>
      <c r="E285" s="59" t="str">
        <f>IF([2]道具信息!E285="","",[2]道具信息!E285)</f>
        <v/>
      </c>
      <c r="F285" s="59" t="str">
        <f>IF([2]道具信息!F285="","",[2]道具信息!F285)</f>
        <v/>
      </c>
      <c r="G285" s="59" t="str">
        <f>IF([2]道具信息!G285="","",[2]道具信息!G285)</f>
        <v/>
      </c>
      <c r="H285" s="59" t="str">
        <f>IF([2]道具信息!H285="","",[2]道具信息!H285)</f>
        <v/>
      </c>
      <c r="I285" s="59" t="str">
        <f>IF([2]道具信息!I285="","",[2]道具信息!I285)</f>
        <v/>
      </c>
      <c r="J285" s="59" t="str">
        <f>IF([2]道具信息!J285="","",[2]道具信息!J285)</f>
        <v/>
      </c>
      <c r="K285" s="59" t="str">
        <f>IF([2]道具信息!K285="","",[2]道具信息!K285)</f>
        <v/>
      </c>
      <c r="L285" s="59" t="str">
        <f>IF([2]道具信息!L285="","",[2]道具信息!L285)</f>
        <v/>
      </c>
      <c r="M285" s="59" t="str">
        <f>IF([2]道具信息!M285="","",[2]道具信息!M285)</f>
        <v/>
      </c>
      <c r="N285" s="59" t="str">
        <f>IF([2]道具信息!N285="","",[2]道具信息!N285)</f>
        <v/>
      </c>
      <c r="O285" s="59" t="str">
        <f>IF([2]道具信息!O285="","",[2]道具信息!O285)</f>
        <v/>
      </c>
      <c r="P285" s="59" t="str">
        <f>IF([2]道具信息!P285="","",[2]道具信息!P285)</f>
        <v/>
      </c>
      <c r="Q285" s="59" t="str">
        <f>IF([2]道具信息!Q285="","",[2]道具信息!Q285)</f>
        <v/>
      </c>
      <c r="R285" s="59" t="str">
        <f>IF([2]道具信息!R285="","",[2]道具信息!R285)</f>
        <v/>
      </c>
      <c r="S285" s="59" t="str">
        <f>IF([2]道具信息!S285="","",[2]道具信息!S285)</f>
        <v/>
      </c>
      <c r="T285" s="59" t="str">
        <f>IF([2]道具信息!T285="","",[2]道具信息!T285)</f>
        <v/>
      </c>
      <c r="U285" s="59" t="str">
        <f>IF([2]道具信息!U285="","",[2]道具信息!U285)</f>
        <v/>
      </c>
      <c r="V285" s="59" t="str">
        <f>IF([2]道具信息!V285="","",[2]道具信息!V285)</f>
        <v/>
      </c>
      <c r="W285" s="59" t="str">
        <f>IF([2]道具信息!W285="","",[2]道具信息!W285)</f>
        <v/>
      </c>
      <c r="X285" s="59" t="str">
        <f>IF([2]道具信息!X285="","",[2]道具信息!X285)</f>
        <v/>
      </c>
      <c r="Y285" s="59" t="str">
        <f>IF([2]道具信息!Y285="","",[2]道具信息!Y285)</f>
        <v/>
      </c>
      <c r="Z285" s="59" t="str">
        <f>IF([2]道具信息!Z285="","",[2]道具信息!Z285)</f>
        <v/>
      </c>
    </row>
    <row r="286" spans="1:26" x14ac:dyDescent="0.15">
      <c r="A286" s="59" t="str">
        <f>IF([2]道具信息!A286="","",[2]道具信息!A286)</f>
        <v/>
      </c>
      <c r="B286" s="59" t="str">
        <f>IF([2]道具信息!B286="","",[2]道具信息!B286)</f>
        <v/>
      </c>
      <c r="C286" s="59">
        <f>IF([2]道具信息!C286="","",[2]道具信息!C286)</f>
        <v>26520</v>
      </c>
      <c r="D286" s="59" t="str">
        <f>IF([2]道具信息!D286="","",[2]道具信息!D286)</f>
        <v>紫色兵法自选宝箱</v>
      </c>
      <c r="E286" s="59">
        <f>IF([2]道具信息!E286="","",[2]道具信息!E286)</f>
        <v>750</v>
      </c>
      <c r="F286" s="59">
        <f>IF([2]道具信息!F286="","",[2]道具信息!F286)</f>
        <v>1</v>
      </c>
      <c r="G286" s="59">
        <f>IF([2]道具信息!G286="","",[2]道具信息!G286)</f>
        <v>1</v>
      </c>
      <c r="H286" s="59">
        <f>IF([2]道具信息!H286="","",[2]道具信息!H286)</f>
        <v>1</v>
      </c>
      <c r="I286" s="59">
        <f>IF([2]道具信息!I286="","",[2]道具信息!I286)</f>
        <v>750</v>
      </c>
      <c r="J286" s="59">
        <f>IF([2]道具信息!J286="","",[2]道具信息!J286)</f>
        <v>750</v>
      </c>
      <c r="K286" s="59">
        <f>IF([2]道具信息!K286="","",[2]道具信息!K286)</f>
        <v>750</v>
      </c>
      <c r="L286" s="59" t="str">
        <f>IF([2]道具信息!L286="","",[2]道具信息!L286)</f>
        <v>使用后可选择一个紫色兵法。紫色兵法：攻其不备、出奇制胜、破军夺志</v>
      </c>
      <c r="M286" s="59" t="str">
        <f>IF([2]道具信息!M286="","",[2]道具信息!M286)</f>
        <v/>
      </c>
      <c r="N286" s="59" t="str">
        <f>IF([2]道具信息!N286="","",[2]道具信息!N286)</f>
        <v/>
      </c>
      <c r="O286" s="59" t="str">
        <f>IF([2]道具信息!O286="","",[2]道具信息!O286)</f>
        <v/>
      </c>
      <c r="P286" s="59" t="str">
        <f>IF([2]道具信息!P286="","",[2]道具信息!P286)</f>
        <v/>
      </c>
      <c r="Q286" s="59" t="str">
        <f>IF([2]道具信息!Q286="","",[2]道具信息!Q286)</f>
        <v/>
      </c>
      <c r="R286" s="59" t="str">
        <f>IF([2]道具信息!R286="","",[2]道具信息!R286)</f>
        <v/>
      </c>
      <c r="S286" s="59" t="str">
        <f>IF([2]道具信息!S286="","",[2]道具信息!S286)</f>
        <v/>
      </c>
      <c r="T286" s="59" t="str">
        <f>IF([2]道具信息!T286="","",[2]道具信息!T286)</f>
        <v/>
      </c>
      <c r="U286" s="59" t="str">
        <f>IF([2]道具信息!U286="","",[2]道具信息!U286)</f>
        <v/>
      </c>
      <c r="V286" s="59" t="str">
        <f>IF([2]道具信息!V286="","",[2]道具信息!V286)</f>
        <v/>
      </c>
      <c r="W286" s="59" t="str">
        <f>IF([2]道具信息!W286="","",[2]道具信息!W286)</f>
        <v/>
      </c>
      <c r="X286" s="59" t="str">
        <f>IF([2]道具信息!X286="","",[2]道具信息!X286)</f>
        <v/>
      </c>
      <c r="Y286" s="59" t="str">
        <f>IF([2]道具信息!Y286="","",[2]道具信息!Y286)</f>
        <v/>
      </c>
      <c r="Z286" s="59" t="str">
        <f>IF([2]道具信息!Z286="","",[2]道具信息!Z286)</f>
        <v/>
      </c>
    </row>
    <row r="287" spans="1:26" x14ac:dyDescent="0.15">
      <c r="A287" s="59" t="str">
        <f>IF([2]道具信息!A287="","",[2]道具信息!A287)</f>
        <v/>
      </c>
      <c r="B287" s="59" t="str">
        <f>IF([2]道具信息!B287="","",[2]道具信息!B287)</f>
        <v/>
      </c>
      <c r="C287" s="59">
        <f>IF([2]道具信息!C287="","",[2]道具信息!C287)</f>
        <v>26521</v>
      </c>
      <c r="D287" s="59" t="str">
        <f>IF([2]道具信息!D287="","",[2]道具信息!D287)</f>
        <v>橙色兵法自选宝箱</v>
      </c>
      <c r="E287" s="59">
        <f>IF([2]道具信息!E287="","",[2]道具信息!E287)</f>
        <v>3350</v>
      </c>
      <c r="F287" s="59">
        <f>IF([2]道具信息!F287="","",[2]道具信息!F287)</f>
        <v>1</v>
      </c>
      <c r="G287" s="59">
        <f>IF([2]道具信息!G287="","",[2]道具信息!G287)</f>
        <v>1</v>
      </c>
      <c r="H287" s="59">
        <f>IF([2]道具信息!H287="","",[2]道具信息!H287)</f>
        <v>1</v>
      </c>
      <c r="I287" s="59">
        <f>IF([2]道具信息!I287="","",[2]道具信息!I287)</f>
        <v>3350</v>
      </c>
      <c r="J287" s="59">
        <f>IF([2]道具信息!J287="","",[2]道具信息!J287)</f>
        <v>3350</v>
      </c>
      <c r="K287" s="59">
        <f>IF([2]道具信息!K287="","",[2]道具信息!K287)</f>
        <v>3350</v>
      </c>
      <c r="L287" s="59" t="str">
        <f>IF([2]道具信息!L287="","",[2]道具信息!L287)</f>
        <v>使用后可选择一个橙色兵法。橙色兵法：援军秘策、养精蓄锐、退敌千里、奇佐鬼谋</v>
      </c>
      <c r="M287" s="59" t="str">
        <f>IF([2]道具信息!M287="","",[2]道具信息!M287)</f>
        <v/>
      </c>
      <c r="N287" s="59" t="str">
        <f>IF([2]道具信息!N287="","",[2]道具信息!N287)</f>
        <v/>
      </c>
      <c r="O287" s="59" t="str">
        <f>IF([2]道具信息!O287="","",[2]道具信息!O287)</f>
        <v/>
      </c>
      <c r="P287" s="59" t="str">
        <f>IF([2]道具信息!P287="","",[2]道具信息!P287)</f>
        <v/>
      </c>
      <c r="Q287" s="59" t="str">
        <f>IF([2]道具信息!Q287="","",[2]道具信息!Q287)</f>
        <v/>
      </c>
      <c r="R287" s="59" t="str">
        <f>IF([2]道具信息!R287="","",[2]道具信息!R287)</f>
        <v/>
      </c>
      <c r="S287" s="59" t="str">
        <f>IF([2]道具信息!S287="","",[2]道具信息!S287)</f>
        <v/>
      </c>
      <c r="T287" s="59" t="str">
        <f>IF([2]道具信息!T287="","",[2]道具信息!T287)</f>
        <v/>
      </c>
      <c r="U287" s="59" t="str">
        <f>IF([2]道具信息!U287="","",[2]道具信息!U287)</f>
        <v/>
      </c>
      <c r="V287" s="59" t="str">
        <f>IF([2]道具信息!V287="","",[2]道具信息!V287)</f>
        <v/>
      </c>
      <c r="W287" s="59" t="str">
        <f>IF([2]道具信息!W287="","",[2]道具信息!W287)</f>
        <v/>
      </c>
      <c r="X287" s="59" t="str">
        <f>IF([2]道具信息!X287="","",[2]道具信息!X287)</f>
        <v/>
      </c>
      <c r="Y287" s="59" t="str">
        <f>IF([2]道具信息!Y287="","",[2]道具信息!Y287)</f>
        <v/>
      </c>
      <c r="Z287" s="59" t="str">
        <f>IF([2]道具信息!Z287="","",[2]道具信息!Z287)</f>
        <v/>
      </c>
    </row>
    <row r="288" spans="1:26" x14ac:dyDescent="0.15">
      <c r="A288" s="59" t="str">
        <f>IF([2]道具信息!A288="","",[2]道具信息!A288)</f>
        <v/>
      </c>
      <c r="B288" s="59" t="str">
        <f>IF([2]道具信息!B288="","",[2]道具信息!B288)</f>
        <v/>
      </c>
      <c r="C288" s="59" t="str">
        <f>IF([2]道具信息!C288="","",[2]道具信息!C288)</f>
        <v/>
      </c>
      <c r="D288" s="59" t="str">
        <f>IF([2]道具信息!D288="","",[2]道具信息!D288)</f>
        <v/>
      </c>
      <c r="E288" s="59" t="str">
        <f>IF([2]道具信息!E288="","",[2]道具信息!E288)</f>
        <v/>
      </c>
      <c r="F288" s="59" t="str">
        <f>IF([2]道具信息!F288="","",[2]道具信息!F288)</f>
        <v/>
      </c>
      <c r="G288" s="59" t="str">
        <f>IF([2]道具信息!G288="","",[2]道具信息!G288)</f>
        <v/>
      </c>
      <c r="H288" s="59" t="str">
        <f>IF([2]道具信息!H288="","",[2]道具信息!H288)</f>
        <v/>
      </c>
      <c r="I288" s="59" t="str">
        <f>IF([2]道具信息!I288="","",[2]道具信息!I288)</f>
        <v/>
      </c>
      <c r="J288" s="59" t="str">
        <f>IF([2]道具信息!J288="","",[2]道具信息!J288)</f>
        <v/>
      </c>
      <c r="K288" s="59" t="str">
        <f>IF([2]道具信息!K288="","",[2]道具信息!K288)</f>
        <v/>
      </c>
      <c r="L288" s="59" t="str">
        <f>IF([2]道具信息!L288="","",[2]道具信息!L288)</f>
        <v/>
      </c>
      <c r="M288" s="59" t="str">
        <f>IF([2]道具信息!M288="","",[2]道具信息!M288)</f>
        <v/>
      </c>
      <c r="N288" s="59" t="str">
        <f>IF([2]道具信息!N288="","",[2]道具信息!N288)</f>
        <v/>
      </c>
      <c r="O288" s="59" t="str">
        <f>IF([2]道具信息!O288="","",[2]道具信息!O288)</f>
        <v/>
      </c>
      <c r="P288" s="59" t="str">
        <f>IF([2]道具信息!P288="","",[2]道具信息!P288)</f>
        <v/>
      </c>
      <c r="Q288" s="59" t="str">
        <f>IF([2]道具信息!Q288="","",[2]道具信息!Q288)</f>
        <v/>
      </c>
      <c r="R288" s="59" t="str">
        <f>IF([2]道具信息!R288="","",[2]道具信息!R288)</f>
        <v/>
      </c>
      <c r="S288" s="59" t="str">
        <f>IF([2]道具信息!S288="","",[2]道具信息!S288)</f>
        <v/>
      </c>
      <c r="T288" s="59" t="str">
        <f>IF([2]道具信息!T288="","",[2]道具信息!T288)</f>
        <v/>
      </c>
      <c r="U288" s="59" t="str">
        <f>IF([2]道具信息!U288="","",[2]道具信息!U288)</f>
        <v/>
      </c>
      <c r="V288" s="59" t="str">
        <f>IF([2]道具信息!V288="","",[2]道具信息!V288)</f>
        <v/>
      </c>
      <c r="W288" s="59" t="str">
        <f>IF([2]道具信息!W288="","",[2]道具信息!W288)</f>
        <v/>
      </c>
      <c r="X288" s="59" t="str">
        <f>IF([2]道具信息!X288="","",[2]道具信息!X288)</f>
        <v/>
      </c>
      <c r="Y288" s="59" t="str">
        <f>IF([2]道具信息!Y288="","",[2]道具信息!Y288)</f>
        <v/>
      </c>
      <c r="Z288" s="59" t="str">
        <f>IF([2]道具信息!Z288="","",[2]道具信息!Z288)</f>
        <v/>
      </c>
    </row>
    <row r="289" spans="1:26" x14ac:dyDescent="0.15">
      <c r="A289" s="59" t="str">
        <f>IF([2]道具信息!A289="","",[2]道具信息!A289)</f>
        <v/>
      </c>
      <c r="B289" s="59" t="str">
        <f>IF([2]道具信息!B289="","",[2]道具信息!B289)</f>
        <v/>
      </c>
      <c r="C289" s="59">
        <f>IF([2]道具信息!C289="","",[2]道具信息!C289)</f>
        <v>26551</v>
      </c>
      <c r="D289" s="59" t="str">
        <f>IF([2]道具信息!D289="","",[2]道具信息!D289)</f>
        <v>虎符宝箱</v>
      </c>
      <c r="E289" s="59">
        <f>IF([2]道具信息!E289="","",[2]道具信息!E289)</f>
        <v>160</v>
      </c>
      <c r="F289" s="59">
        <f>IF([2]道具信息!F289="","",[2]道具信息!F289)</f>
        <v>1</v>
      </c>
      <c r="G289" s="59">
        <f>IF([2]道具信息!G289="","",[2]道具信息!G289)</f>
        <v>1</v>
      </c>
      <c r="H289" s="59">
        <f>IF([2]道具信息!H289="","",[2]道具信息!H289)</f>
        <v>1</v>
      </c>
      <c r="I289" s="59">
        <f>IF([2]道具信息!I289="","",[2]道具信息!I289)</f>
        <v>160</v>
      </c>
      <c r="J289" s="59">
        <f>IF([2]道具信息!J289="","",[2]道具信息!J289)</f>
        <v>160</v>
      </c>
      <c r="K289" s="59">
        <f>IF([2]道具信息!K289="","",[2]道具信息!K289)</f>
        <v>160</v>
      </c>
      <c r="L289" s="59" t="str">
        <f>IF([2]道具信息!L289="","",[2]道具信息!L289)</f>
        <v>使用后随机获得1个虎符</v>
      </c>
      <c r="M289" s="59" t="str">
        <f>IF([2]道具信息!M289="","",[2]道具信息!M289)</f>
        <v/>
      </c>
      <c r="N289" s="59" t="str">
        <f>IF([2]道具信息!N289="","",[2]道具信息!N289)</f>
        <v/>
      </c>
      <c r="O289" s="59" t="str">
        <f>IF([2]道具信息!O289="","",[2]道具信息!O289)</f>
        <v/>
      </c>
      <c r="P289" s="59" t="str">
        <f>IF([2]道具信息!P289="","",[2]道具信息!P289)</f>
        <v/>
      </c>
      <c r="Q289" s="59" t="str">
        <f>IF([2]道具信息!Q289="","",[2]道具信息!Q289)</f>
        <v/>
      </c>
      <c r="R289" s="59" t="str">
        <f>IF([2]道具信息!R289="","",[2]道具信息!R289)</f>
        <v/>
      </c>
      <c r="S289" s="59" t="str">
        <f>IF([2]道具信息!S289="","",[2]道具信息!S289)</f>
        <v/>
      </c>
      <c r="T289" s="59" t="str">
        <f>IF([2]道具信息!T289="","",[2]道具信息!T289)</f>
        <v/>
      </c>
      <c r="U289" s="59" t="str">
        <f>IF([2]道具信息!U289="","",[2]道具信息!U289)</f>
        <v/>
      </c>
      <c r="V289" s="59" t="str">
        <f>IF([2]道具信息!V289="","",[2]道具信息!V289)</f>
        <v/>
      </c>
      <c r="W289" s="59" t="str">
        <f>IF([2]道具信息!W289="","",[2]道具信息!W289)</f>
        <v/>
      </c>
      <c r="X289" s="59" t="str">
        <f>IF([2]道具信息!X289="","",[2]道具信息!X289)</f>
        <v/>
      </c>
      <c r="Y289" s="59" t="str">
        <f>IF([2]道具信息!Y289="","",[2]道具信息!Y289)</f>
        <v/>
      </c>
      <c r="Z289" s="59" t="str">
        <f>IF([2]道具信息!Z289="","",[2]道具信息!Z289)</f>
        <v/>
      </c>
    </row>
    <row r="290" spans="1:26" x14ac:dyDescent="0.15">
      <c r="A290" s="59" t="str">
        <f>IF([2]道具信息!A290="","",[2]道具信息!A290)</f>
        <v/>
      </c>
      <c r="B290" s="59" t="str">
        <f>IF([2]道具信息!B290="","",[2]道具信息!B290)</f>
        <v/>
      </c>
      <c r="C290" s="59">
        <f>IF([2]道具信息!C290="","",[2]道具信息!C290)</f>
        <v>26552</v>
      </c>
      <c r="D290" s="59" t="str">
        <f>IF([2]道具信息!D290="","",[2]道具信息!D290)</f>
        <v>1级贡品宝箱</v>
      </c>
      <c r="E290" s="59">
        <f>IF([2]道具信息!E290="","",[2]道具信息!E290)</f>
        <v>40</v>
      </c>
      <c r="F290" s="59">
        <f>IF([2]道具信息!F290="","",[2]道具信息!F290)</f>
        <v>1</v>
      </c>
      <c r="G290" s="59">
        <f>IF([2]道具信息!G290="","",[2]道具信息!G290)</f>
        <v>1</v>
      </c>
      <c r="H290" s="59">
        <f>IF([2]道具信息!H290="","",[2]道具信息!H290)</f>
        <v>1</v>
      </c>
      <c r="I290" s="59">
        <f>IF([2]道具信息!I290="","",[2]道具信息!I290)</f>
        <v>40</v>
      </c>
      <c r="J290" s="59">
        <f>IF([2]道具信息!J290="","",[2]道具信息!J290)</f>
        <v>40</v>
      </c>
      <c r="K290" s="59">
        <f>IF([2]道具信息!K290="","",[2]道具信息!K290)</f>
        <v>40</v>
      </c>
      <c r="L290" s="59" t="str">
        <f>IF([2]道具信息!L290="","",[2]道具信息!L290)</f>
        <v>使用后随机获得铜镜、陶罐中的1个贡品</v>
      </c>
      <c r="M290" s="59" t="str">
        <f>IF([2]道具信息!M290="","",[2]道具信息!M290)</f>
        <v/>
      </c>
      <c r="N290" s="59" t="str">
        <f>IF([2]道具信息!N290="","",[2]道具信息!N290)</f>
        <v/>
      </c>
      <c r="O290" s="59" t="str">
        <f>IF([2]道具信息!O290="","",[2]道具信息!O290)</f>
        <v/>
      </c>
      <c r="P290" s="59" t="str">
        <f>IF([2]道具信息!P290="","",[2]道具信息!P290)</f>
        <v/>
      </c>
      <c r="Q290" s="59" t="str">
        <f>IF([2]道具信息!Q290="","",[2]道具信息!Q290)</f>
        <v/>
      </c>
      <c r="R290" s="59" t="str">
        <f>IF([2]道具信息!R290="","",[2]道具信息!R290)</f>
        <v/>
      </c>
      <c r="S290" s="59" t="str">
        <f>IF([2]道具信息!S290="","",[2]道具信息!S290)</f>
        <v/>
      </c>
      <c r="T290" s="59" t="str">
        <f>IF([2]道具信息!T290="","",[2]道具信息!T290)</f>
        <v/>
      </c>
      <c r="U290" s="59" t="str">
        <f>IF([2]道具信息!U290="","",[2]道具信息!U290)</f>
        <v/>
      </c>
      <c r="V290" s="59" t="str">
        <f>IF([2]道具信息!V290="","",[2]道具信息!V290)</f>
        <v/>
      </c>
      <c r="W290" s="59" t="str">
        <f>IF([2]道具信息!W290="","",[2]道具信息!W290)</f>
        <v/>
      </c>
      <c r="X290" s="59" t="str">
        <f>IF([2]道具信息!X290="","",[2]道具信息!X290)</f>
        <v/>
      </c>
      <c r="Y290" s="59" t="str">
        <f>IF([2]道具信息!Y290="","",[2]道具信息!Y290)</f>
        <v/>
      </c>
      <c r="Z290" s="59" t="str">
        <f>IF([2]道具信息!Z290="","",[2]道具信息!Z290)</f>
        <v/>
      </c>
    </row>
    <row r="291" spans="1:26" x14ac:dyDescent="0.15">
      <c r="A291" s="59" t="str">
        <f>IF([2]道具信息!A291="","",[2]道具信息!A291)</f>
        <v/>
      </c>
      <c r="B291" s="59" t="str">
        <f>IF([2]道具信息!B291="","",[2]道具信息!B291)</f>
        <v/>
      </c>
      <c r="C291" s="59">
        <f>IF([2]道具信息!C291="","",[2]道具信息!C291)</f>
        <v>26553</v>
      </c>
      <c r="D291" s="59" t="str">
        <f>IF([2]道具信息!D291="","",[2]道具信息!D291)</f>
        <v>2级贡品宝箱</v>
      </c>
      <c r="E291" s="59">
        <f>IF([2]道具信息!E291="","",[2]道具信息!E291)</f>
        <v>60</v>
      </c>
      <c r="F291" s="59">
        <f>IF([2]道具信息!F291="","",[2]道具信息!F291)</f>
        <v>1</v>
      </c>
      <c r="G291" s="59">
        <f>IF([2]道具信息!G291="","",[2]道具信息!G291)</f>
        <v>1</v>
      </c>
      <c r="H291" s="59">
        <f>IF([2]道具信息!H291="","",[2]道具信息!H291)</f>
        <v>1</v>
      </c>
      <c r="I291" s="59">
        <f>IF([2]道具信息!I291="","",[2]道具信息!I291)</f>
        <v>60</v>
      </c>
      <c r="J291" s="59">
        <f>IF([2]道具信息!J291="","",[2]道具信息!J291)</f>
        <v>60</v>
      </c>
      <c r="K291" s="59">
        <f>IF([2]道具信息!K291="","",[2]道具信息!K291)</f>
        <v>60</v>
      </c>
      <c r="L291" s="59" t="str">
        <f>IF([2]道具信息!L291="","",[2]道具信息!L291)</f>
        <v>使用后随机获得水晶杯、香鼎、铜壶中的1个贡品</v>
      </c>
      <c r="M291" s="59" t="str">
        <f>IF([2]道具信息!M291="","",[2]道具信息!M291)</f>
        <v/>
      </c>
      <c r="N291" s="59" t="str">
        <f>IF([2]道具信息!N291="","",[2]道具信息!N291)</f>
        <v/>
      </c>
      <c r="O291" s="59" t="str">
        <f>IF([2]道具信息!O291="","",[2]道具信息!O291)</f>
        <v/>
      </c>
      <c r="P291" s="59" t="str">
        <f>IF([2]道具信息!P291="","",[2]道具信息!P291)</f>
        <v/>
      </c>
      <c r="Q291" s="59" t="str">
        <f>IF([2]道具信息!Q291="","",[2]道具信息!Q291)</f>
        <v/>
      </c>
      <c r="R291" s="59" t="str">
        <f>IF([2]道具信息!R291="","",[2]道具信息!R291)</f>
        <v/>
      </c>
      <c r="S291" s="59" t="str">
        <f>IF([2]道具信息!S291="","",[2]道具信息!S291)</f>
        <v/>
      </c>
      <c r="T291" s="59" t="str">
        <f>IF([2]道具信息!T291="","",[2]道具信息!T291)</f>
        <v/>
      </c>
      <c r="U291" s="59" t="str">
        <f>IF([2]道具信息!U291="","",[2]道具信息!U291)</f>
        <v/>
      </c>
      <c r="V291" s="59" t="str">
        <f>IF([2]道具信息!V291="","",[2]道具信息!V291)</f>
        <v/>
      </c>
      <c r="W291" s="59" t="str">
        <f>IF([2]道具信息!W291="","",[2]道具信息!W291)</f>
        <v/>
      </c>
      <c r="X291" s="59" t="str">
        <f>IF([2]道具信息!X291="","",[2]道具信息!X291)</f>
        <v/>
      </c>
      <c r="Y291" s="59" t="str">
        <f>IF([2]道具信息!Y291="","",[2]道具信息!Y291)</f>
        <v/>
      </c>
      <c r="Z291" s="59" t="str">
        <f>IF([2]道具信息!Z291="","",[2]道具信息!Z291)</f>
        <v/>
      </c>
    </row>
    <row r="292" spans="1:26" x14ac:dyDescent="0.15">
      <c r="A292" s="59" t="str">
        <f>IF([2]道具信息!A292="","",[2]道具信息!A292)</f>
        <v/>
      </c>
      <c r="B292" s="59" t="str">
        <f>IF([2]道具信息!B292="","",[2]道具信息!B292)</f>
        <v/>
      </c>
      <c r="C292" s="59">
        <f>IF([2]道具信息!C292="","",[2]道具信息!C292)</f>
        <v>26554</v>
      </c>
      <c r="D292" s="59" t="str">
        <f>IF([2]道具信息!D292="","",[2]道具信息!D292)</f>
        <v>3级贡品宝箱</v>
      </c>
      <c r="E292" s="59">
        <f>IF([2]道具信息!E292="","",[2]道具信息!E292)</f>
        <v>80</v>
      </c>
      <c r="F292" s="59">
        <f>IF([2]道具信息!F292="","",[2]道具信息!F292)</f>
        <v>1</v>
      </c>
      <c r="G292" s="59">
        <f>IF([2]道具信息!G292="","",[2]道具信息!G292)</f>
        <v>1</v>
      </c>
      <c r="H292" s="59">
        <f>IF([2]道具信息!H292="","",[2]道具信息!H292)</f>
        <v>1</v>
      </c>
      <c r="I292" s="59">
        <f>IF([2]道具信息!I292="","",[2]道具信息!I292)</f>
        <v>80</v>
      </c>
      <c r="J292" s="59">
        <f>IF([2]道具信息!J292="","",[2]道具信息!J292)</f>
        <v>80</v>
      </c>
      <c r="K292" s="59">
        <f>IF([2]道具信息!K292="","",[2]道具信息!K292)</f>
        <v>80</v>
      </c>
      <c r="L292" s="59" t="str">
        <f>IF([2]道具信息!L292="","",[2]道具信息!L292)</f>
        <v>使用后随机获得长颈壶、方陶皿、兽头觥、象形尊中的1个贡品</v>
      </c>
      <c r="M292" s="59" t="str">
        <f>IF([2]道具信息!M292="","",[2]道具信息!M292)</f>
        <v/>
      </c>
      <c r="N292" s="59" t="str">
        <f>IF([2]道具信息!N292="","",[2]道具信息!N292)</f>
        <v/>
      </c>
      <c r="O292" s="59" t="str">
        <f>IF([2]道具信息!O292="","",[2]道具信息!O292)</f>
        <v/>
      </c>
      <c r="P292" s="59" t="str">
        <f>IF([2]道具信息!P292="","",[2]道具信息!P292)</f>
        <v/>
      </c>
      <c r="Q292" s="59" t="str">
        <f>IF([2]道具信息!Q292="","",[2]道具信息!Q292)</f>
        <v/>
      </c>
      <c r="R292" s="59" t="str">
        <f>IF([2]道具信息!R292="","",[2]道具信息!R292)</f>
        <v/>
      </c>
      <c r="S292" s="59" t="str">
        <f>IF([2]道具信息!S292="","",[2]道具信息!S292)</f>
        <v/>
      </c>
      <c r="T292" s="59" t="str">
        <f>IF([2]道具信息!T292="","",[2]道具信息!T292)</f>
        <v/>
      </c>
      <c r="U292" s="59" t="str">
        <f>IF([2]道具信息!U292="","",[2]道具信息!U292)</f>
        <v/>
      </c>
      <c r="V292" s="59" t="str">
        <f>IF([2]道具信息!V292="","",[2]道具信息!V292)</f>
        <v/>
      </c>
      <c r="W292" s="59" t="str">
        <f>IF([2]道具信息!W292="","",[2]道具信息!W292)</f>
        <v/>
      </c>
      <c r="X292" s="59" t="str">
        <f>IF([2]道具信息!X292="","",[2]道具信息!X292)</f>
        <v/>
      </c>
      <c r="Y292" s="59" t="str">
        <f>IF([2]道具信息!Y292="","",[2]道具信息!Y292)</f>
        <v/>
      </c>
      <c r="Z292" s="59" t="str">
        <f>IF([2]道具信息!Z292="","",[2]道具信息!Z292)</f>
        <v/>
      </c>
    </row>
    <row r="293" spans="1:26" x14ac:dyDescent="0.15">
      <c r="A293" s="59" t="str">
        <f>IF([2]道具信息!A293="","",[2]道具信息!A293)</f>
        <v/>
      </c>
      <c r="B293" s="59" t="str">
        <f>IF([2]道具信息!B293="","",[2]道具信息!B293)</f>
        <v/>
      </c>
      <c r="C293" s="59">
        <f>IF([2]道具信息!C293="","",[2]道具信息!C293)</f>
        <v>26555</v>
      </c>
      <c r="D293" s="59" t="str">
        <f>IF([2]道具信息!D293="","",[2]道具信息!D293)</f>
        <v>4级贡品宝箱</v>
      </c>
      <c r="E293" s="59">
        <f>IF([2]道具信息!E293="","",[2]道具信息!E293)</f>
        <v>100</v>
      </c>
      <c r="F293" s="59">
        <f>IF([2]道具信息!F293="","",[2]道具信息!F293)</f>
        <v>1</v>
      </c>
      <c r="G293" s="59">
        <f>IF([2]道具信息!G293="","",[2]道具信息!G293)</f>
        <v>1</v>
      </c>
      <c r="H293" s="59">
        <f>IF([2]道具信息!H293="","",[2]道具信息!H293)</f>
        <v>1</v>
      </c>
      <c r="I293" s="59">
        <f>IF([2]道具信息!I293="","",[2]道具信息!I293)</f>
        <v>100</v>
      </c>
      <c r="J293" s="59">
        <f>IF([2]道具信息!J293="","",[2]道具信息!J293)</f>
        <v>100</v>
      </c>
      <c r="K293" s="59">
        <f>IF([2]道具信息!K293="","",[2]道具信息!K293)</f>
        <v>100</v>
      </c>
      <c r="L293" s="59" t="str">
        <f>IF([2]道具信息!L293="","",[2]道具信息!L293)</f>
        <v>使用后随机获得冰鉴、螭首盉、三足爵、鎏金缶中的1个贡品</v>
      </c>
      <c r="M293" s="59" t="str">
        <f>IF([2]道具信息!M293="","",[2]道具信息!M293)</f>
        <v/>
      </c>
      <c r="N293" s="59" t="str">
        <f>IF([2]道具信息!N293="","",[2]道具信息!N293)</f>
        <v/>
      </c>
      <c r="O293" s="59" t="str">
        <f>IF([2]道具信息!O293="","",[2]道具信息!O293)</f>
        <v/>
      </c>
      <c r="P293" s="59" t="str">
        <f>IF([2]道具信息!P293="","",[2]道具信息!P293)</f>
        <v/>
      </c>
      <c r="Q293" s="59" t="str">
        <f>IF([2]道具信息!Q293="","",[2]道具信息!Q293)</f>
        <v/>
      </c>
      <c r="R293" s="59" t="str">
        <f>IF([2]道具信息!R293="","",[2]道具信息!R293)</f>
        <v/>
      </c>
      <c r="S293" s="59" t="str">
        <f>IF([2]道具信息!S293="","",[2]道具信息!S293)</f>
        <v/>
      </c>
      <c r="T293" s="59" t="str">
        <f>IF([2]道具信息!T293="","",[2]道具信息!T293)</f>
        <v/>
      </c>
      <c r="U293" s="59" t="str">
        <f>IF([2]道具信息!U293="","",[2]道具信息!U293)</f>
        <v/>
      </c>
      <c r="V293" s="59" t="str">
        <f>IF([2]道具信息!V293="","",[2]道具信息!V293)</f>
        <v/>
      </c>
      <c r="W293" s="59" t="str">
        <f>IF([2]道具信息!W293="","",[2]道具信息!W293)</f>
        <v/>
      </c>
      <c r="X293" s="59" t="str">
        <f>IF([2]道具信息!X293="","",[2]道具信息!X293)</f>
        <v/>
      </c>
      <c r="Y293" s="59" t="str">
        <f>IF([2]道具信息!Y293="","",[2]道具信息!Y293)</f>
        <v/>
      </c>
      <c r="Z293" s="59" t="str">
        <f>IF([2]道具信息!Z293="","",[2]道具信息!Z293)</f>
        <v/>
      </c>
    </row>
    <row r="294" spans="1:26" x14ac:dyDescent="0.15">
      <c r="A294" s="59" t="str">
        <f>IF([2]道具信息!A294="","",[2]道具信息!A294)</f>
        <v/>
      </c>
      <c r="B294" s="59" t="str">
        <f>IF([2]道具信息!B294="","",[2]道具信息!B294)</f>
        <v/>
      </c>
      <c r="C294" s="59">
        <f>IF([2]道具信息!C294="","",[2]道具信息!C294)</f>
        <v>26556</v>
      </c>
      <c r="D294" s="59" t="str">
        <f>IF([2]道具信息!D294="","",[2]道具信息!D294)</f>
        <v>5级贡品宝箱</v>
      </c>
      <c r="E294" s="59">
        <f>IF([2]道具信息!E294="","",[2]道具信息!E294)</f>
        <v>120</v>
      </c>
      <c r="F294" s="59">
        <f>IF([2]道具信息!F294="","",[2]道具信息!F294)</f>
        <v>1</v>
      </c>
      <c r="G294" s="59">
        <f>IF([2]道具信息!G294="","",[2]道具信息!G294)</f>
        <v>1</v>
      </c>
      <c r="H294" s="59">
        <f>IF([2]道具信息!H294="","",[2]道具信息!H294)</f>
        <v>1</v>
      </c>
      <c r="I294" s="59">
        <f>IF([2]道具信息!I294="","",[2]道具信息!I294)</f>
        <v>120</v>
      </c>
      <c r="J294" s="59">
        <f>IF([2]道具信息!J294="","",[2]道具信息!J294)</f>
        <v>120</v>
      </c>
      <c r="K294" s="59">
        <f>IF([2]道具信息!K294="","",[2]道具信息!K294)</f>
        <v>120</v>
      </c>
      <c r="L294" s="59" t="str">
        <f>IF([2]道具信息!L294="","",[2]道具信息!L294)</f>
        <v>使用后随机获得锦瑟、编钟、石磬、瑶琴中的1个贡品</v>
      </c>
      <c r="M294" s="59" t="str">
        <f>IF([2]道具信息!M294="","",[2]道具信息!M294)</f>
        <v/>
      </c>
      <c r="N294" s="59" t="str">
        <f>IF([2]道具信息!N294="","",[2]道具信息!N294)</f>
        <v/>
      </c>
      <c r="O294" s="59" t="str">
        <f>IF([2]道具信息!O294="","",[2]道具信息!O294)</f>
        <v/>
      </c>
      <c r="P294" s="59" t="str">
        <f>IF([2]道具信息!P294="","",[2]道具信息!P294)</f>
        <v/>
      </c>
      <c r="Q294" s="59" t="str">
        <f>IF([2]道具信息!Q294="","",[2]道具信息!Q294)</f>
        <v/>
      </c>
      <c r="R294" s="59" t="str">
        <f>IF([2]道具信息!R294="","",[2]道具信息!R294)</f>
        <v/>
      </c>
      <c r="S294" s="59" t="str">
        <f>IF([2]道具信息!S294="","",[2]道具信息!S294)</f>
        <v/>
      </c>
      <c r="T294" s="59" t="str">
        <f>IF([2]道具信息!T294="","",[2]道具信息!T294)</f>
        <v/>
      </c>
      <c r="U294" s="59" t="str">
        <f>IF([2]道具信息!U294="","",[2]道具信息!U294)</f>
        <v/>
      </c>
      <c r="V294" s="59" t="str">
        <f>IF([2]道具信息!V294="","",[2]道具信息!V294)</f>
        <v/>
      </c>
      <c r="W294" s="59" t="str">
        <f>IF([2]道具信息!W294="","",[2]道具信息!W294)</f>
        <v/>
      </c>
      <c r="X294" s="59" t="str">
        <f>IF([2]道具信息!X294="","",[2]道具信息!X294)</f>
        <v/>
      </c>
      <c r="Y294" s="59" t="str">
        <f>IF([2]道具信息!Y294="","",[2]道具信息!Y294)</f>
        <v/>
      </c>
      <c r="Z294" s="59" t="str">
        <f>IF([2]道具信息!Z294="","",[2]道具信息!Z294)</f>
        <v/>
      </c>
    </row>
    <row r="295" spans="1:26" x14ac:dyDescent="0.15">
      <c r="A295" s="59" t="str">
        <f>IF([2]道具信息!A295="","",[2]道具信息!A295)</f>
        <v/>
      </c>
      <c r="B295" s="59" t="str">
        <f>IF([2]道具信息!B295="","",[2]道具信息!B295)</f>
        <v/>
      </c>
      <c r="C295" s="59">
        <f>IF([2]道具信息!C295="","",[2]道具信息!C295)</f>
        <v>26557</v>
      </c>
      <c r="D295" s="59" t="str">
        <f>IF([2]道具信息!D295="","",[2]道具信息!D295)</f>
        <v>6级贡品宝箱</v>
      </c>
      <c r="E295" s="59">
        <f>IF([2]道具信息!E295="","",[2]道具信息!E295)</f>
        <v>140</v>
      </c>
      <c r="F295" s="59">
        <f>IF([2]道具信息!F295="","",[2]道具信息!F295)</f>
        <v>1</v>
      </c>
      <c r="G295" s="59">
        <f>IF([2]道具信息!G295="","",[2]道具信息!G295)</f>
        <v>1</v>
      </c>
      <c r="H295" s="59">
        <f>IF([2]道具信息!H295="","",[2]道具信息!H295)</f>
        <v>1</v>
      </c>
      <c r="I295" s="59">
        <f>IF([2]道具信息!I295="","",[2]道具信息!I295)</f>
        <v>140</v>
      </c>
      <c r="J295" s="59">
        <f>IF([2]道具信息!J295="","",[2]道具信息!J295)</f>
        <v>140</v>
      </c>
      <c r="K295" s="59">
        <f>IF([2]道具信息!K295="","",[2]道具信息!K295)</f>
        <v>140</v>
      </c>
      <c r="L295" s="59" t="str">
        <f>IF([2]道具信息!L295="","",[2]道具信息!L295)</f>
        <v>使用后随机获得青圭、赤璋、白琥、玄璜中的1个贡品</v>
      </c>
      <c r="M295" s="59" t="str">
        <f>IF([2]道具信息!M295="","",[2]道具信息!M295)</f>
        <v/>
      </c>
      <c r="N295" s="59" t="str">
        <f>IF([2]道具信息!N295="","",[2]道具信息!N295)</f>
        <v/>
      </c>
      <c r="O295" s="59" t="str">
        <f>IF([2]道具信息!O295="","",[2]道具信息!O295)</f>
        <v/>
      </c>
      <c r="P295" s="59" t="str">
        <f>IF([2]道具信息!P295="","",[2]道具信息!P295)</f>
        <v/>
      </c>
      <c r="Q295" s="59" t="str">
        <f>IF([2]道具信息!Q295="","",[2]道具信息!Q295)</f>
        <v/>
      </c>
      <c r="R295" s="59" t="str">
        <f>IF([2]道具信息!R295="","",[2]道具信息!R295)</f>
        <v/>
      </c>
      <c r="S295" s="59" t="str">
        <f>IF([2]道具信息!S295="","",[2]道具信息!S295)</f>
        <v/>
      </c>
      <c r="T295" s="59" t="str">
        <f>IF([2]道具信息!T295="","",[2]道具信息!T295)</f>
        <v/>
      </c>
      <c r="U295" s="59" t="str">
        <f>IF([2]道具信息!U295="","",[2]道具信息!U295)</f>
        <v/>
      </c>
      <c r="V295" s="59" t="str">
        <f>IF([2]道具信息!V295="","",[2]道具信息!V295)</f>
        <v/>
      </c>
      <c r="W295" s="59" t="str">
        <f>IF([2]道具信息!W295="","",[2]道具信息!W295)</f>
        <v/>
      </c>
      <c r="X295" s="59" t="str">
        <f>IF([2]道具信息!X295="","",[2]道具信息!X295)</f>
        <v/>
      </c>
      <c r="Y295" s="59" t="str">
        <f>IF([2]道具信息!Y295="","",[2]道具信息!Y295)</f>
        <v/>
      </c>
      <c r="Z295" s="59" t="str">
        <f>IF([2]道具信息!Z295="","",[2]道具信息!Z295)</f>
        <v/>
      </c>
    </row>
    <row r="296" spans="1:26" x14ac:dyDescent="0.15">
      <c r="A296" s="59" t="str">
        <f>IF([2]道具信息!A296="","",[2]道具信息!A296)</f>
        <v/>
      </c>
      <c r="B296" s="59" t="str">
        <f>IF([2]道具信息!B296="","",[2]道具信息!B296)</f>
        <v/>
      </c>
      <c r="C296" s="59" t="str">
        <f>IF([2]道具信息!C296="","",[2]道具信息!C296)</f>
        <v/>
      </c>
      <c r="D296" s="59" t="str">
        <f>IF([2]道具信息!D296="","",[2]道具信息!D296)</f>
        <v/>
      </c>
      <c r="E296" s="59" t="str">
        <f>IF([2]道具信息!E296="","",[2]道具信息!E296)</f>
        <v/>
      </c>
      <c r="F296" s="59" t="str">
        <f>IF([2]道具信息!F296="","",[2]道具信息!F296)</f>
        <v/>
      </c>
      <c r="G296" s="59" t="str">
        <f>IF([2]道具信息!G296="","",[2]道具信息!G296)</f>
        <v/>
      </c>
      <c r="H296" s="59" t="str">
        <f>IF([2]道具信息!H296="","",[2]道具信息!H296)</f>
        <v/>
      </c>
      <c r="I296" s="59" t="str">
        <f>IF([2]道具信息!I296="","",[2]道具信息!I296)</f>
        <v/>
      </c>
      <c r="J296" s="59" t="str">
        <f>IF([2]道具信息!J296="","",[2]道具信息!J296)</f>
        <v/>
      </c>
      <c r="K296" s="59" t="str">
        <f>IF([2]道具信息!K296="","",[2]道具信息!K296)</f>
        <v/>
      </c>
      <c r="L296" s="59" t="str">
        <f>IF([2]道具信息!L296="","",[2]道具信息!L296)</f>
        <v/>
      </c>
      <c r="M296" s="59" t="str">
        <f>IF([2]道具信息!M296="","",[2]道具信息!M296)</f>
        <v/>
      </c>
      <c r="N296" s="59" t="str">
        <f>IF([2]道具信息!N296="","",[2]道具信息!N296)</f>
        <v/>
      </c>
      <c r="O296" s="59" t="str">
        <f>IF([2]道具信息!O296="","",[2]道具信息!O296)</f>
        <v/>
      </c>
      <c r="P296" s="59" t="str">
        <f>IF([2]道具信息!P296="","",[2]道具信息!P296)</f>
        <v/>
      </c>
      <c r="Q296" s="59" t="str">
        <f>IF([2]道具信息!Q296="","",[2]道具信息!Q296)</f>
        <v/>
      </c>
      <c r="R296" s="59" t="str">
        <f>IF([2]道具信息!R296="","",[2]道具信息!R296)</f>
        <v/>
      </c>
      <c r="S296" s="59" t="str">
        <f>IF([2]道具信息!S296="","",[2]道具信息!S296)</f>
        <v/>
      </c>
      <c r="T296" s="59" t="str">
        <f>IF([2]道具信息!T296="","",[2]道具信息!T296)</f>
        <v/>
      </c>
      <c r="U296" s="59" t="str">
        <f>IF([2]道具信息!U296="","",[2]道具信息!U296)</f>
        <v/>
      </c>
      <c r="V296" s="59" t="str">
        <f>IF([2]道具信息!V296="","",[2]道具信息!V296)</f>
        <v/>
      </c>
      <c r="W296" s="59" t="str">
        <f>IF([2]道具信息!W296="","",[2]道具信息!W296)</f>
        <v/>
      </c>
      <c r="X296" s="59" t="str">
        <f>IF([2]道具信息!X296="","",[2]道具信息!X296)</f>
        <v/>
      </c>
      <c r="Y296" s="59" t="str">
        <f>IF([2]道具信息!Y296="","",[2]道具信息!Y296)</f>
        <v/>
      </c>
      <c r="Z296" s="59" t="str">
        <f>IF([2]道具信息!Z296="","",[2]道具信息!Z296)</f>
        <v/>
      </c>
    </row>
    <row r="297" spans="1:26" x14ac:dyDescent="0.15">
      <c r="A297" s="59" t="str">
        <f>IF([2]道具信息!A297="","",[2]道具信息!A297)</f>
        <v/>
      </c>
      <c r="B297" s="59" t="str">
        <f>IF([2]道具信息!B297="","",[2]道具信息!B297)</f>
        <v/>
      </c>
      <c r="C297" s="59">
        <f>IF([2]道具信息!C297="","",[2]道具信息!C297)</f>
        <v>21251</v>
      </c>
      <c r="D297" s="59" t="str">
        <f>IF([2]道具信息!D297="","",[2]道具信息!D297)</f>
        <v>绿色装备宝箱</v>
      </c>
      <c r="E297" s="59">
        <f>IF([2]道具信息!E297="","",[2]道具信息!E297)</f>
        <v>35</v>
      </c>
      <c r="F297" s="59">
        <f>IF([2]道具信息!F297="","",[2]道具信息!F297)</f>
        <v>1</v>
      </c>
      <c r="G297" s="59">
        <f>IF([2]道具信息!G297="","",[2]道具信息!G297)</f>
        <v>1</v>
      </c>
      <c r="H297" s="59">
        <f>IF([2]道具信息!H297="","",[2]道具信息!H297)</f>
        <v>1</v>
      </c>
      <c r="I297" s="59">
        <f>IF([2]道具信息!I297="","",[2]道具信息!I297)</f>
        <v>35</v>
      </c>
      <c r="J297" s="59">
        <f>IF([2]道具信息!J297="","",[2]道具信息!J297)</f>
        <v>35</v>
      </c>
      <c r="K297" s="59">
        <f>IF([2]道具信息!K297="","",[2]道具信息!K297)</f>
        <v>35</v>
      </c>
      <c r="L297" s="59" t="str">
        <f>IF([2]道具信息!L297="","",[2]道具信息!L297)</f>
        <v>使用后随机获得1件品质为绿色的装备</v>
      </c>
      <c r="M297" s="59" t="str">
        <f>IF([2]道具信息!M297="","",[2]道具信息!M297)</f>
        <v/>
      </c>
      <c r="N297" s="59" t="str">
        <f>IF([2]道具信息!N297="","",[2]道具信息!N297)</f>
        <v/>
      </c>
      <c r="O297" s="59" t="str">
        <f>IF([2]道具信息!O297="","",[2]道具信息!O297)</f>
        <v/>
      </c>
      <c r="P297" s="59" t="str">
        <f>IF([2]道具信息!P297="","",[2]道具信息!P297)</f>
        <v/>
      </c>
      <c r="Q297" s="59" t="str">
        <f>IF([2]道具信息!Q297="","",[2]道具信息!Q297)</f>
        <v/>
      </c>
      <c r="R297" s="59" t="str">
        <f>IF([2]道具信息!R297="","",[2]道具信息!R297)</f>
        <v/>
      </c>
      <c r="S297" s="59" t="str">
        <f>IF([2]道具信息!S297="","",[2]道具信息!S297)</f>
        <v/>
      </c>
      <c r="T297" s="59" t="str">
        <f>IF([2]道具信息!T297="","",[2]道具信息!T297)</f>
        <v/>
      </c>
      <c r="U297" s="59" t="str">
        <f>IF([2]道具信息!U297="","",[2]道具信息!U297)</f>
        <v/>
      </c>
      <c r="V297" s="59" t="str">
        <f>IF([2]道具信息!V297="","",[2]道具信息!V297)</f>
        <v/>
      </c>
      <c r="W297" s="59" t="str">
        <f>IF([2]道具信息!W297="","",[2]道具信息!W297)</f>
        <v/>
      </c>
      <c r="X297" s="59" t="str">
        <f>IF([2]道具信息!X297="","",[2]道具信息!X297)</f>
        <v/>
      </c>
      <c r="Y297" s="59" t="str">
        <f>IF([2]道具信息!Y297="","",[2]道具信息!Y297)</f>
        <v/>
      </c>
      <c r="Z297" s="59" t="str">
        <f>IF([2]道具信息!Z297="","",[2]道具信息!Z297)</f>
        <v/>
      </c>
    </row>
    <row r="298" spans="1:26" x14ac:dyDescent="0.15">
      <c r="A298" s="59" t="str">
        <f>IF([2]道具信息!A298="","",[2]道具信息!A298)</f>
        <v/>
      </c>
      <c r="B298" s="59" t="str">
        <f>IF([2]道具信息!B298="","",[2]道具信息!B298)</f>
        <v/>
      </c>
      <c r="C298" s="59">
        <f>IF([2]道具信息!C298="","",[2]道具信息!C298)</f>
        <v>21252</v>
      </c>
      <c r="D298" s="59" t="str">
        <f>IF([2]道具信息!D298="","",[2]道具信息!D298)</f>
        <v>蓝色装备宝箱</v>
      </c>
      <c r="E298" s="59">
        <f>IF([2]道具信息!E298="","",[2]道具信息!E298)</f>
        <v>75</v>
      </c>
      <c r="F298" s="59">
        <f>IF([2]道具信息!F298="","",[2]道具信息!F298)</f>
        <v>1</v>
      </c>
      <c r="G298" s="59">
        <f>IF([2]道具信息!G298="","",[2]道具信息!G298)</f>
        <v>1</v>
      </c>
      <c r="H298" s="59">
        <f>IF([2]道具信息!H298="","",[2]道具信息!H298)</f>
        <v>1</v>
      </c>
      <c r="I298" s="59">
        <f>IF([2]道具信息!I298="","",[2]道具信息!I298)</f>
        <v>75</v>
      </c>
      <c r="J298" s="59">
        <f>IF([2]道具信息!J298="","",[2]道具信息!J298)</f>
        <v>75</v>
      </c>
      <c r="K298" s="59">
        <f>IF([2]道具信息!K298="","",[2]道具信息!K298)</f>
        <v>75</v>
      </c>
      <c r="L298" s="59" t="str">
        <f>IF([2]道具信息!L298="","",[2]道具信息!L298)</f>
        <v>使用后随机获得1件品质为蓝色的装备</v>
      </c>
      <c r="M298" s="59" t="str">
        <f>IF([2]道具信息!M298="","",[2]道具信息!M298)</f>
        <v/>
      </c>
      <c r="N298" s="59" t="str">
        <f>IF([2]道具信息!N298="","",[2]道具信息!N298)</f>
        <v/>
      </c>
      <c r="O298" s="59" t="str">
        <f>IF([2]道具信息!O298="","",[2]道具信息!O298)</f>
        <v/>
      </c>
      <c r="P298" s="59" t="str">
        <f>IF([2]道具信息!P298="","",[2]道具信息!P298)</f>
        <v/>
      </c>
      <c r="Q298" s="59" t="str">
        <f>IF([2]道具信息!Q298="","",[2]道具信息!Q298)</f>
        <v/>
      </c>
      <c r="R298" s="59" t="str">
        <f>IF([2]道具信息!R298="","",[2]道具信息!R298)</f>
        <v/>
      </c>
      <c r="S298" s="59" t="str">
        <f>IF([2]道具信息!S298="","",[2]道具信息!S298)</f>
        <v/>
      </c>
      <c r="T298" s="59" t="str">
        <f>IF([2]道具信息!T298="","",[2]道具信息!T298)</f>
        <v/>
      </c>
      <c r="U298" s="59" t="str">
        <f>IF([2]道具信息!U298="","",[2]道具信息!U298)</f>
        <v/>
      </c>
      <c r="V298" s="59" t="str">
        <f>IF([2]道具信息!V298="","",[2]道具信息!V298)</f>
        <v/>
      </c>
      <c r="W298" s="59" t="str">
        <f>IF([2]道具信息!W298="","",[2]道具信息!W298)</f>
        <v/>
      </c>
      <c r="X298" s="59" t="str">
        <f>IF([2]道具信息!X298="","",[2]道具信息!X298)</f>
        <v/>
      </c>
      <c r="Y298" s="59" t="str">
        <f>IF([2]道具信息!Y298="","",[2]道具信息!Y298)</f>
        <v/>
      </c>
      <c r="Z298" s="59" t="str">
        <f>IF([2]道具信息!Z298="","",[2]道具信息!Z298)</f>
        <v/>
      </c>
    </row>
    <row r="299" spans="1:26" x14ac:dyDescent="0.15">
      <c r="A299" s="59" t="str">
        <f>IF([2]道具信息!A299="","",[2]道具信息!A299)</f>
        <v/>
      </c>
      <c r="B299" s="59" t="str">
        <f>IF([2]道具信息!B299="","",[2]道具信息!B299)</f>
        <v/>
      </c>
      <c r="C299" s="59">
        <f>IF([2]道具信息!C299="","",[2]道具信息!C299)</f>
        <v>21253</v>
      </c>
      <c r="D299" s="59" t="str">
        <f>IF([2]道具信息!D299="","",[2]道具信息!D299)</f>
        <v>紫色装备宝箱</v>
      </c>
      <c r="E299" s="59">
        <f>IF([2]道具信息!E299="","",[2]道具信息!E299)</f>
        <v>150</v>
      </c>
      <c r="F299" s="59">
        <f>IF([2]道具信息!F299="","",[2]道具信息!F299)</f>
        <v>1</v>
      </c>
      <c r="G299" s="59">
        <f>IF([2]道具信息!G299="","",[2]道具信息!G299)</f>
        <v>1</v>
      </c>
      <c r="H299" s="59">
        <f>IF([2]道具信息!H299="","",[2]道具信息!H299)</f>
        <v>1</v>
      </c>
      <c r="I299" s="59">
        <f>IF([2]道具信息!I299="","",[2]道具信息!I299)</f>
        <v>150</v>
      </c>
      <c r="J299" s="59">
        <f>IF([2]道具信息!J299="","",[2]道具信息!J299)</f>
        <v>150</v>
      </c>
      <c r="K299" s="59">
        <f>IF([2]道具信息!K299="","",[2]道具信息!K299)</f>
        <v>150</v>
      </c>
      <c r="L299" s="59" t="str">
        <f>IF([2]道具信息!L299="","",[2]道具信息!L299)</f>
        <v>使用后随机获得1件品质为紫色的装备</v>
      </c>
      <c r="M299" s="59" t="str">
        <f>IF([2]道具信息!M299="","",[2]道具信息!M299)</f>
        <v/>
      </c>
      <c r="N299" s="59" t="str">
        <f>IF([2]道具信息!N299="","",[2]道具信息!N299)</f>
        <v/>
      </c>
      <c r="O299" s="59" t="str">
        <f>IF([2]道具信息!O299="","",[2]道具信息!O299)</f>
        <v/>
      </c>
      <c r="P299" s="59" t="str">
        <f>IF([2]道具信息!P299="","",[2]道具信息!P299)</f>
        <v/>
      </c>
      <c r="Q299" s="59" t="str">
        <f>IF([2]道具信息!Q299="","",[2]道具信息!Q299)</f>
        <v/>
      </c>
      <c r="R299" s="59" t="str">
        <f>IF([2]道具信息!R299="","",[2]道具信息!R299)</f>
        <v/>
      </c>
      <c r="S299" s="59" t="str">
        <f>IF([2]道具信息!S299="","",[2]道具信息!S299)</f>
        <v/>
      </c>
      <c r="T299" s="59" t="str">
        <f>IF([2]道具信息!T299="","",[2]道具信息!T299)</f>
        <v/>
      </c>
      <c r="U299" s="59" t="str">
        <f>IF([2]道具信息!U299="","",[2]道具信息!U299)</f>
        <v/>
      </c>
      <c r="V299" s="59" t="str">
        <f>IF([2]道具信息!V299="","",[2]道具信息!V299)</f>
        <v/>
      </c>
      <c r="W299" s="59" t="str">
        <f>IF([2]道具信息!W299="","",[2]道具信息!W299)</f>
        <v/>
      </c>
      <c r="X299" s="59" t="str">
        <f>IF([2]道具信息!X299="","",[2]道具信息!X299)</f>
        <v/>
      </c>
      <c r="Y299" s="59" t="str">
        <f>IF([2]道具信息!Y299="","",[2]道具信息!Y299)</f>
        <v/>
      </c>
      <c r="Z299" s="59" t="str">
        <f>IF([2]道具信息!Z299="","",[2]道具信息!Z299)</f>
        <v/>
      </c>
    </row>
    <row r="300" spans="1:26" x14ac:dyDescent="0.15">
      <c r="A300" s="59" t="str">
        <f>IF([2]道具信息!A300="","",[2]道具信息!A300)</f>
        <v/>
      </c>
      <c r="B300" s="59" t="str">
        <f>IF([2]道具信息!B300="","",[2]道具信息!B300)</f>
        <v/>
      </c>
      <c r="C300" s="59">
        <f>IF([2]道具信息!C300="","",[2]道具信息!C300)</f>
        <v>21254</v>
      </c>
      <c r="D300" s="59" t="str">
        <f>IF([2]道具信息!D300="","",[2]道具信息!D300)</f>
        <v>橙色装备宝箱</v>
      </c>
      <c r="E300" s="59">
        <f>IF([2]道具信息!E300="","",[2]道具信息!E300)</f>
        <v>320</v>
      </c>
      <c r="F300" s="59">
        <f>IF([2]道具信息!F300="","",[2]道具信息!F300)</f>
        <v>1</v>
      </c>
      <c r="G300" s="59">
        <f>IF([2]道具信息!G300="","",[2]道具信息!G300)</f>
        <v>1</v>
      </c>
      <c r="H300" s="59">
        <f>IF([2]道具信息!H300="","",[2]道具信息!H300)</f>
        <v>1</v>
      </c>
      <c r="I300" s="59">
        <f>IF([2]道具信息!I300="","",[2]道具信息!I300)</f>
        <v>320</v>
      </c>
      <c r="J300" s="59">
        <f>IF([2]道具信息!J300="","",[2]道具信息!J300)</f>
        <v>320</v>
      </c>
      <c r="K300" s="59">
        <f>IF([2]道具信息!K300="","",[2]道具信息!K300)</f>
        <v>320</v>
      </c>
      <c r="L300" s="59" t="str">
        <f>IF([2]道具信息!L300="","",[2]道具信息!L300)</f>
        <v>使用后随机获得1件品质为橙色的装备</v>
      </c>
      <c r="M300" s="59" t="str">
        <f>IF([2]道具信息!M300="","",[2]道具信息!M300)</f>
        <v/>
      </c>
      <c r="N300" s="59" t="str">
        <f>IF([2]道具信息!N300="","",[2]道具信息!N300)</f>
        <v/>
      </c>
      <c r="O300" s="59" t="str">
        <f>IF([2]道具信息!O300="","",[2]道具信息!O300)</f>
        <v/>
      </c>
      <c r="P300" s="59" t="str">
        <f>IF([2]道具信息!P300="","",[2]道具信息!P300)</f>
        <v/>
      </c>
      <c r="Q300" s="59" t="str">
        <f>IF([2]道具信息!Q300="","",[2]道具信息!Q300)</f>
        <v/>
      </c>
      <c r="R300" s="59" t="str">
        <f>IF([2]道具信息!R300="","",[2]道具信息!R300)</f>
        <v/>
      </c>
      <c r="S300" s="59" t="str">
        <f>IF([2]道具信息!S300="","",[2]道具信息!S300)</f>
        <v/>
      </c>
      <c r="T300" s="59" t="str">
        <f>IF([2]道具信息!T300="","",[2]道具信息!T300)</f>
        <v/>
      </c>
      <c r="U300" s="59" t="str">
        <f>IF([2]道具信息!U300="","",[2]道具信息!U300)</f>
        <v/>
      </c>
      <c r="V300" s="59" t="str">
        <f>IF([2]道具信息!V300="","",[2]道具信息!V300)</f>
        <v/>
      </c>
      <c r="W300" s="59" t="str">
        <f>IF([2]道具信息!W300="","",[2]道具信息!W300)</f>
        <v/>
      </c>
      <c r="X300" s="59" t="str">
        <f>IF([2]道具信息!X300="","",[2]道具信息!X300)</f>
        <v/>
      </c>
      <c r="Y300" s="59" t="str">
        <f>IF([2]道具信息!Y300="","",[2]道具信息!Y300)</f>
        <v/>
      </c>
      <c r="Z300" s="59" t="str">
        <f>IF([2]道具信息!Z300="","",[2]道具信息!Z300)</f>
        <v/>
      </c>
    </row>
    <row r="301" spans="1:26" x14ac:dyDescent="0.15">
      <c r="A301" s="59" t="str">
        <f>IF([2]道具信息!A301="","",[2]道具信息!A301)</f>
        <v/>
      </c>
      <c r="B301" s="59" t="str">
        <f>IF([2]道具信息!B301="","",[2]道具信息!B301)</f>
        <v/>
      </c>
      <c r="C301" s="59">
        <f>IF([2]道具信息!C301="","",[2]道具信息!C301)</f>
        <v>21255</v>
      </c>
      <c r="D301" s="59" t="str">
        <f>IF([2]道具信息!D301="","",[2]道具信息!D301)</f>
        <v>红色装备宝箱</v>
      </c>
      <c r="E301" s="59">
        <f>IF([2]道具信息!E301="","",[2]道具信息!E301)</f>
        <v>2400</v>
      </c>
      <c r="F301" s="59">
        <f>IF([2]道具信息!F301="","",[2]道具信息!F301)</f>
        <v>1</v>
      </c>
      <c r="G301" s="59">
        <f>IF([2]道具信息!G301="","",[2]道具信息!G301)</f>
        <v>1</v>
      </c>
      <c r="H301" s="59">
        <f>IF([2]道具信息!H301="","",[2]道具信息!H301)</f>
        <v>1</v>
      </c>
      <c r="I301" s="59">
        <f>IF([2]道具信息!I301="","",[2]道具信息!I301)</f>
        <v>2400</v>
      </c>
      <c r="J301" s="59">
        <f>IF([2]道具信息!J301="","",[2]道具信息!J301)</f>
        <v>2400</v>
      </c>
      <c r="K301" s="59">
        <f>IF([2]道具信息!K301="","",[2]道具信息!K301)</f>
        <v>2400</v>
      </c>
      <c r="L301" s="59" t="str">
        <f>IF([2]道具信息!L301="","",[2]道具信息!L301)</f>
        <v>使用后随机获得1件品质为红色的装备</v>
      </c>
      <c r="M301" s="59" t="str">
        <f>IF([2]道具信息!M301="","",[2]道具信息!M301)</f>
        <v/>
      </c>
      <c r="N301" s="59" t="str">
        <f>IF([2]道具信息!N301="","",[2]道具信息!N301)</f>
        <v/>
      </c>
      <c r="O301" s="59" t="str">
        <f>IF([2]道具信息!O301="","",[2]道具信息!O301)</f>
        <v/>
      </c>
      <c r="P301" s="59" t="str">
        <f>IF([2]道具信息!P301="","",[2]道具信息!P301)</f>
        <v/>
      </c>
      <c r="Q301" s="59" t="str">
        <f>IF([2]道具信息!Q301="","",[2]道具信息!Q301)</f>
        <v/>
      </c>
      <c r="R301" s="59" t="str">
        <f>IF([2]道具信息!R301="","",[2]道具信息!R301)</f>
        <v/>
      </c>
      <c r="S301" s="59" t="str">
        <f>IF([2]道具信息!S301="","",[2]道具信息!S301)</f>
        <v/>
      </c>
      <c r="T301" s="59" t="str">
        <f>IF([2]道具信息!T301="","",[2]道具信息!T301)</f>
        <v/>
      </c>
      <c r="U301" s="59" t="str">
        <f>IF([2]道具信息!U301="","",[2]道具信息!U301)</f>
        <v/>
      </c>
      <c r="V301" s="59" t="str">
        <f>IF([2]道具信息!V301="","",[2]道具信息!V301)</f>
        <v/>
      </c>
      <c r="W301" s="59" t="str">
        <f>IF([2]道具信息!W301="","",[2]道具信息!W301)</f>
        <v/>
      </c>
      <c r="X301" s="59" t="str">
        <f>IF([2]道具信息!X301="","",[2]道具信息!X301)</f>
        <v/>
      </c>
      <c r="Y301" s="59" t="str">
        <f>IF([2]道具信息!Y301="","",[2]道具信息!Y301)</f>
        <v/>
      </c>
      <c r="Z301" s="59" t="str">
        <f>IF([2]道具信息!Z301="","",[2]道具信息!Z301)</f>
        <v/>
      </c>
    </row>
    <row r="302" spans="1:26" x14ac:dyDescent="0.15">
      <c r="A302" s="59" t="str">
        <f>IF([2]道具信息!A302="","",[2]道具信息!A302)</f>
        <v/>
      </c>
      <c r="B302" s="59" t="str">
        <f>IF([2]道具信息!B302="","",[2]道具信息!B302)</f>
        <v/>
      </c>
      <c r="C302" s="59" t="str">
        <f>IF([2]道具信息!C302="","",[2]道具信息!C302)</f>
        <v/>
      </c>
      <c r="D302" s="59" t="str">
        <f>IF([2]道具信息!D302="","",[2]道具信息!D302)</f>
        <v/>
      </c>
      <c r="E302" s="59" t="str">
        <f>IF([2]道具信息!E302="","",[2]道具信息!E302)</f>
        <v/>
      </c>
      <c r="F302" s="59" t="str">
        <f>IF([2]道具信息!F302="","",[2]道具信息!F302)</f>
        <v/>
      </c>
      <c r="G302" s="59" t="str">
        <f>IF([2]道具信息!G302="","",[2]道具信息!G302)</f>
        <v/>
      </c>
      <c r="H302" s="59" t="str">
        <f>IF([2]道具信息!H302="","",[2]道具信息!H302)</f>
        <v/>
      </c>
      <c r="I302" s="59" t="str">
        <f>IF([2]道具信息!I302="","",[2]道具信息!I302)</f>
        <v/>
      </c>
      <c r="J302" s="59" t="str">
        <f>IF([2]道具信息!J302="","",[2]道具信息!J302)</f>
        <v/>
      </c>
      <c r="K302" s="59" t="str">
        <f>IF([2]道具信息!K302="","",[2]道具信息!K302)</f>
        <v/>
      </c>
      <c r="L302" s="59" t="str">
        <f>IF([2]道具信息!L302="","",[2]道具信息!L302)</f>
        <v/>
      </c>
      <c r="M302" s="59" t="str">
        <f>IF([2]道具信息!M302="","",[2]道具信息!M302)</f>
        <v/>
      </c>
      <c r="N302" s="59" t="str">
        <f>IF([2]道具信息!N302="","",[2]道具信息!N302)</f>
        <v/>
      </c>
      <c r="O302" s="59" t="str">
        <f>IF([2]道具信息!O302="","",[2]道具信息!O302)</f>
        <v/>
      </c>
      <c r="P302" s="59" t="str">
        <f>IF([2]道具信息!P302="","",[2]道具信息!P302)</f>
        <v/>
      </c>
      <c r="Q302" s="59" t="str">
        <f>IF([2]道具信息!Q302="","",[2]道具信息!Q302)</f>
        <v/>
      </c>
      <c r="R302" s="59" t="str">
        <f>IF([2]道具信息!R302="","",[2]道具信息!R302)</f>
        <v/>
      </c>
      <c r="S302" s="59" t="str">
        <f>IF([2]道具信息!S302="","",[2]道具信息!S302)</f>
        <v/>
      </c>
      <c r="T302" s="59" t="str">
        <f>IF([2]道具信息!T302="","",[2]道具信息!T302)</f>
        <v/>
      </c>
      <c r="U302" s="59" t="str">
        <f>IF([2]道具信息!U302="","",[2]道具信息!U302)</f>
        <v/>
      </c>
      <c r="V302" s="59" t="str">
        <f>IF([2]道具信息!V302="","",[2]道具信息!V302)</f>
        <v/>
      </c>
      <c r="W302" s="59" t="str">
        <f>IF([2]道具信息!W302="","",[2]道具信息!W302)</f>
        <v/>
      </c>
      <c r="X302" s="59" t="str">
        <f>IF([2]道具信息!X302="","",[2]道具信息!X302)</f>
        <v/>
      </c>
      <c r="Y302" s="59" t="str">
        <f>IF([2]道具信息!Y302="","",[2]道具信息!Y302)</f>
        <v/>
      </c>
      <c r="Z302" s="59" t="str">
        <f>IF([2]道具信息!Z302="","",[2]道具信息!Z302)</f>
        <v/>
      </c>
    </row>
    <row r="303" spans="1:26" x14ac:dyDescent="0.15">
      <c r="A303" s="59" t="str">
        <f>IF([2]道具信息!A303="","",[2]道具信息!A303)</f>
        <v/>
      </c>
      <c r="B303" s="59" t="str">
        <f>IF([2]道具信息!B303="","",[2]道具信息!B303)</f>
        <v/>
      </c>
      <c r="C303" s="59">
        <f>IF([2]道具信息!C303="","",[2]道具信息!C303)</f>
        <v>20052</v>
      </c>
      <c r="D303" s="59" t="str">
        <f>IF([2]道具信息!D303="","",[2]道具信息!D303)</f>
        <v>练军心得·觉</v>
      </c>
      <c r="E303" s="59">
        <f>IF([2]道具信息!E303="","",[2]道具信息!E303)</f>
        <v>40</v>
      </c>
      <c r="F303" s="59">
        <f>IF([2]道具信息!F303="","",[2]道具信息!F303)</f>
        <v>1</v>
      </c>
      <c r="G303" s="59">
        <f>IF([2]道具信息!G303="","",[2]道具信息!G303)</f>
        <v>1</v>
      </c>
      <c r="H303" s="59">
        <f>IF([2]道具信息!H303="","",[2]道具信息!H303)</f>
        <v>1</v>
      </c>
      <c r="I303" s="59">
        <f>IF([2]道具信息!I303="","",[2]道具信息!I303)</f>
        <v>40</v>
      </c>
      <c r="J303" s="59">
        <f>IF([2]道具信息!J303="","",[2]道具信息!J303)</f>
        <v>40</v>
      </c>
      <c r="K303" s="59">
        <f>IF([2]道具信息!K303="","",[2]道具信息!K303)</f>
        <v>40</v>
      </c>
      <c r="L303" s="59" t="str">
        <f>IF([2]道具信息!L303="","",[2]道具信息!L303)</f>
        <v>掌军之策，厉兵秣马，可用于武将觉醒</v>
      </c>
      <c r="M303" s="59" t="str">
        <f>IF([2]道具信息!M303="","",[2]道具信息!M303)</f>
        <v/>
      </c>
      <c r="N303" s="59" t="str">
        <f>IF([2]道具信息!N303="","",[2]道具信息!N303)</f>
        <v/>
      </c>
      <c r="O303" s="59" t="str">
        <f>IF([2]道具信息!O303="","",[2]道具信息!O303)</f>
        <v/>
      </c>
      <c r="P303" s="59" t="str">
        <f>IF([2]道具信息!P303="","",[2]道具信息!P303)</f>
        <v/>
      </c>
      <c r="Q303" s="59" t="str">
        <f>IF([2]道具信息!Q303="","",[2]道具信息!Q303)</f>
        <v/>
      </c>
      <c r="R303" s="59" t="str">
        <f>IF([2]道具信息!R303="","",[2]道具信息!R303)</f>
        <v/>
      </c>
      <c r="S303" s="59" t="str">
        <f>IF([2]道具信息!S303="","",[2]道具信息!S303)</f>
        <v/>
      </c>
      <c r="T303" s="59" t="str">
        <f>IF([2]道具信息!T303="","",[2]道具信息!T303)</f>
        <v/>
      </c>
      <c r="U303" s="59" t="str">
        <f>IF([2]道具信息!U303="","",[2]道具信息!U303)</f>
        <v/>
      </c>
      <c r="V303" s="59" t="str">
        <f>IF([2]道具信息!V303="","",[2]道具信息!V303)</f>
        <v/>
      </c>
      <c r="W303" s="59" t="str">
        <f>IF([2]道具信息!W303="","",[2]道具信息!W303)</f>
        <v/>
      </c>
      <c r="X303" s="59" t="str">
        <f>IF([2]道具信息!X303="","",[2]道具信息!X303)</f>
        <v/>
      </c>
      <c r="Y303" s="59" t="str">
        <f>IF([2]道具信息!Y303="","",[2]道具信息!Y303)</f>
        <v/>
      </c>
      <c r="Z303" s="59" t="str">
        <f>IF([2]道具信息!Z303="","",[2]道具信息!Z303)</f>
        <v/>
      </c>
    </row>
    <row r="304" spans="1:26" x14ac:dyDescent="0.15">
      <c r="A304" s="59" t="str">
        <f>IF([2]道具信息!A304="","",[2]道具信息!A304)</f>
        <v/>
      </c>
      <c r="B304" s="59" t="str">
        <f>IF([2]道具信息!B304="","",[2]道具信息!B304)</f>
        <v/>
      </c>
      <c r="C304" s="59">
        <f>IF([2]道具信息!C304="","",[2]道具信息!C304)</f>
        <v>20053</v>
      </c>
      <c r="D304" s="59" t="str">
        <f>IF([2]道具信息!D304="","",[2]道具信息!D304)</f>
        <v>策论心得·觉</v>
      </c>
      <c r="E304" s="59">
        <f>IF([2]道具信息!E304="","",[2]道具信息!E304)</f>
        <v>40</v>
      </c>
      <c r="F304" s="59">
        <f>IF([2]道具信息!F304="","",[2]道具信息!F304)</f>
        <v>1</v>
      </c>
      <c r="G304" s="59">
        <f>IF([2]道具信息!G304="","",[2]道具信息!G304)</f>
        <v>1</v>
      </c>
      <c r="H304" s="59">
        <f>IF([2]道具信息!H304="","",[2]道具信息!H304)</f>
        <v>1</v>
      </c>
      <c r="I304" s="59">
        <f>IF([2]道具信息!I304="","",[2]道具信息!I304)</f>
        <v>40</v>
      </c>
      <c r="J304" s="59">
        <f>IF([2]道具信息!J304="","",[2]道具信息!J304)</f>
        <v>40</v>
      </c>
      <c r="K304" s="59">
        <f>IF([2]道具信息!K304="","",[2]道具信息!K304)</f>
        <v>40</v>
      </c>
      <c r="L304" s="59" t="str">
        <f>IF([2]道具信息!L304="","",[2]道具信息!L304)</f>
        <v>书山万卷，算无遗策，可用于武将觉醒</v>
      </c>
      <c r="M304" s="59" t="str">
        <f>IF([2]道具信息!M304="","",[2]道具信息!M304)</f>
        <v/>
      </c>
      <c r="N304" s="59" t="str">
        <f>IF([2]道具信息!N304="","",[2]道具信息!N304)</f>
        <v/>
      </c>
      <c r="O304" s="59" t="str">
        <f>IF([2]道具信息!O304="","",[2]道具信息!O304)</f>
        <v/>
      </c>
      <c r="P304" s="59" t="str">
        <f>IF([2]道具信息!P304="","",[2]道具信息!P304)</f>
        <v/>
      </c>
      <c r="Q304" s="59" t="str">
        <f>IF([2]道具信息!Q304="","",[2]道具信息!Q304)</f>
        <v/>
      </c>
      <c r="R304" s="59" t="str">
        <f>IF([2]道具信息!R304="","",[2]道具信息!R304)</f>
        <v/>
      </c>
      <c r="S304" s="59" t="str">
        <f>IF([2]道具信息!S304="","",[2]道具信息!S304)</f>
        <v/>
      </c>
      <c r="T304" s="59" t="str">
        <f>IF([2]道具信息!T304="","",[2]道具信息!T304)</f>
        <v/>
      </c>
      <c r="U304" s="59" t="str">
        <f>IF([2]道具信息!U304="","",[2]道具信息!U304)</f>
        <v/>
      </c>
      <c r="V304" s="59" t="str">
        <f>IF([2]道具信息!V304="","",[2]道具信息!V304)</f>
        <v/>
      </c>
      <c r="W304" s="59" t="str">
        <f>IF([2]道具信息!W304="","",[2]道具信息!W304)</f>
        <v/>
      </c>
      <c r="X304" s="59" t="str">
        <f>IF([2]道具信息!X304="","",[2]道具信息!X304)</f>
        <v/>
      </c>
      <c r="Y304" s="59" t="str">
        <f>IF([2]道具信息!Y304="","",[2]道具信息!Y304)</f>
        <v/>
      </c>
      <c r="Z304" s="59" t="str">
        <f>IF([2]道具信息!Z304="","",[2]道具信息!Z304)</f>
        <v/>
      </c>
    </row>
    <row r="305" spans="1:26" x14ac:dyDescent="0.15">
      <c r="A305" s="59" t="str">
        <f>IF([2]道具信息!A305="","",[2]道具信息!A305)</f>
        <v/>
      </c>
      <c r="B305" s="59" t="str">
        <f>IF([2]道具信息!B305="","",[2]道具信息!B305)</f>
        <v/>
      </c>
      <c r="C305" s="59">
        <f>IF([2]道具信息!C305="","",[2]道具信息!C305)</f>
        <v>20054</v>
      </c>
      <c r="D305" s="59" t="str">
        <f>IF([2]道具信息!D305="","",[2]道具信息!D305)</f>
        <v>兵书心得·觉</v>
      </c>
      <c r="E305" s="59">
        <f>IF([2]道具信息!E305="","",[2]道具信息!E305)</f>
        <v>40</v>
      </c>
      <c r="F305" s="59">
        <f>IF([2]道具信息!F305="","",[2]道具信息!F305)</f>
        <v>1</v>
      </c>
      <c r="G305" s="59">
        <f>IF([2]道具信息!G305="","",[2]道具信息!G305)</f>
        <v>1</v>
      </c>
      <c r="H305" s="59">
        <f>IF([2]道具信息!H305="","",[2]道具信息!H305)</f>
        <v>1</v>
      </c>
      <c r="I305" s="59">
        <f>IF([2]道具信息!I305="","",[2]道具信息!I305)</f>
        <v>40</v>
      </c>
      <c r="J305" s="59">
        <f>IF([2]道具信息!J305="","",[2]道具信息!J305)</f>
        <v>40</v>
      </c>
      <c r="K305" s="59">
        <f>IF([2]道具信息!K305="","",[2]道具信息!K305)</f>
        <v>40</v>
      </c>
      <c r="L305" s="59" t="str">
        <f>IF([2]道具信息!L305="","",[2]道具信息!L305)</f>
        <v>千军万马，文韬武略，可用于武将觉醒</v>
      </c>
      <c r="M305" s="59" t="str">
        <f>IF([2]道具信息!M305="","",[2]道具信息!M305)</f>
        <v/>
      </c>
      <c r="N305" s="59" t="str">
        <f>IF([2]道具信息!N305="","",[2]道具信息!N305)</f>
        <v/>
      </c>
      <c r="O305" s="59" t="str">
        <f>IF([2]道具信息!O305="","",[2]道具信息!O305)</f>
        <v/>
      </c>
      <c r="P305" s="59" t="str">
        <f>IF([2]道具信息!P305="","",[2]道具信息!P305)</f>
        <v/>
      </c>
      <c r="Q305" s="59" t="str">
        <f>IF([2]道具信息!Q305="","",[2]道具信息!Q305)</f>
        <v/>
      </c>
      <c r="R305" s="59" t="str">
        <f>IF([2]道具信息!R305="","",[2]道具信息!R305)</f>
        <v/>
      </c>
      <c r="S305" s="59" t="str">
        <f>IF([2]道具信息!S305="","",[2]道具信息!S305)</f>
        <v/>
      </c>
      <c r="T305" s="59" t="str">
        <f>IF([2]道具信息!T305="","",[2]道具信息!T305)</f>
        <v/>
      </c>
      <c r="U305" s="59" t="str">
        <f>IF([2]道具信息!U305="","",[2]道具信息!U305)</f>
        <v/>
      </c>
      <c r="V305" s="59" t="str">
        <f>IF([2]道具信息!V305="","",[2]道具信息!V305)</f>
        <v/>
      </c>
      <c r="W305" s="59" t="str">
        <f>IF([2]道具信息!W305="","",[2]道具信息!W305)</f>
        <v/>
      </c>
      <c r="X305" s="59" t="str">
        <f>IF([2]道具信息!X305="","",[2]道具信息!X305)</f>
        <v/>
      </c>
      <c r="Y305" s="59" t="str">
        <f>IF([2]道具信息!Y305="","",[2]道具信息!Y305)</f>
        <v/>
      </c>
      <c r="Z305" s="59" t="str">
        <f>IF([2]道具信息!Z305="","",[2]道具信息!Z305)</f>
        <v/>
      </c>
    </row>
    <row r="306" spans="1:26" x14ac:dyDescent="0.15">
      <c r="A306" s="59" t="str">
        <f>IF([2]道具信息!A306="","",[2]道具信息!A306)</f>
        <v/>
      </c>
      <c r="B306" s="59" t="str">
        <f>IF([2]道具信息!B306="","",[2]道具信息!B306)</f>
        <v/>
      </c>
      <c r="C306" s="59" t="str">
        <f>IF([2]道具信息!C306="","",[2]道具信息!C306)</f>
        <v/>
      </c>
      <c r="D306" s="59" t="str">
        <f>IF([2]道具信息!D306="","",[2]道具信息!D306)</f>
        <v/>
      </c>
      <c r="E306" s="59" t="str">
        <f>IF([2]道具信息!E306="","",[2]道具信息!E306)</f>
        <v/>
      </c>
      <c r="F306" s="59" t="str">
        <f>IF([2]道具信息!F306="","",[2]道具信息!F306)</f>
        <v/>
      </c>
      <c r="G306" s="59" t="str">
        <f>IF([2]道具信息!G306="","",[2]道具信息!G306)</f>
        <v/>
      </c>
      <c r="H306" s="59" t="str">
        <f>IF([2]道具信息!H306="","",[2]道具信息!H306)</f>
        <v/>
      </c>
      <c r="I306" s="59" t="str">
        <f>IF([2]道具信息!I306="","",[2]道具信息!I306)</f>
        <v/>
      </c>
      <c r="J306" s="59" t="str">
        <f>IF([2]道具信息!J306="","",[2]道具信息!J306)</f>
        <v/>
      </c>
      <c r="K306" s="59" t="str">
        <f>IF([2]道具信息!K306="","",[2]道具信息!K306)</f>
        <v/>
      </c>
      <c r="L306" s="59" t="str">
        <f>IF([2]道具信息!L306="","",[2]道具信息!L306)</f>
        <v/>
      </c>
      <c r="M306" s="59" t="str">
        <f>IF([2]道具信息!M306="","",[2]道具信息!M306)</f>
        <v/>
      </c>
      <c r="N306" s="59" t="str">
        <f>IF([2]道具信息!N306="","",[2]道具信息!N306)</f>
        <v/>
      </c>
      <c r="O306" s="59" t="str">
        <f>IF([2]道具信息!O306="","",[2]道具信息!O306)</f>
        <v/>
      </c>
      <c r="P306" s="59" t="str">
        <f>IF([2]道具信息!P306="","",[2]道具信息!P306)</f>
        <v/>
      </c>
      <c r="Q306" s="59" t="str">
        <f>IF([2]道具信息!Q306="","",[2]道具信息!Q306)</f>
        <v/>
      </c>
      <c r="R306" s="59" t="str">
        <f>IF([2]道具信息!R306="","",[2]道具信息!R306)</f>
        <v/>
      </c>
      <c r="S306" s="59" t="str">
        <f>IF([2]道具信息!S306="","",[2]道具信息!S306)</f>
        <v/>
      </c>
      <c r="T306" s="59" t="str">
        <f>IF([2]道具信息!T306="","",[2]道具信息!T306)</f>
        <v/>
      </c>
      <c r="U306" s="59" t="str">
        <f>IF([2]道具信息!U306="","",[2]道具信息!U306)</f>
        <v/>
      </c>
      <c r="V306" s="59" t="str">
        <f>IF([2]道具信息!V306="","",[2]道具信息!V306)</f>
        <v/>
      </c>
      <c r="W306" s="59" t="str">
        <f>IF([2]道具信息!W306="","",[2]道具信息!W306)</f>
        <v/>
      </c>
      <c r="X306" s="59" t="str">
        <f>IF([2]道具信息!X306="","",[2]道具信息!X306)</f>
        <v/>
      </c>
      <c r="Y306" s="59" t="str">
        <f>IF([2]道具信息!Y306="","",[2]道具信息!Y306)</f>
        <v/>
      </c>
      <c r="Z306" s="59" t="str">
        <f>IF([2]道具信息!Z306="","",[2]道具信息!Z306)</f>
        <v/>
      </c>
    </row>
    <row r="307" spans="1:26" x14ac:dyDescent="0.15">
      <c r="A307" s="59" t="str">
        <f>IF([2]道具信息!A307="","",[2]道具信息!A307)</f>
        <v/>
      </c>
      <c r="B307" s="59" t="str">
        <f>IF([2]道具信息!B307="","",[2]道具信息!B307)</f>
        <v/>
      </c>
      <c r="C307" s="59">
        <f>IF([2]道具信息!C307="","",[2]道具信息!C307)</f>
        <v>20055</v>
      </c>
      <c r="D307" s="59" t="str">
        <f>IF([2]道具信息!D307="","",[2]道具信息!D307)</f>
        <v>虎咬佩剑·觉</v>
      </c>
      <c r="E307" s="59">
        <f>IF([2]道具信息!E307="","",[2]道具信息!E307)</f>
        <v>60</v>
      </c>
      <c r="F307" s="59">
        <f>IF([2]道具信息!F307="","",[2]道具信息!F307)</f>
        <v>1</v>
      </c>
      <c r="G307" s="59">
        <f>IF([2]道具信息!G307="","",[2]道具信息!G307)</f>
        <v>1</v>
      </c>
      <c r="H307" s="59">
        <f>IF([2]道具信息!H307="","",[2]道具信息!H307)</f>
        <v>1</v>
      </c>
      <c r="I307" s="59">
        <f>IF([2]道具信息!I307="","",[2]道具信息!I307)</f>
        <v>60</v>
      </c>
      <c r="J307" s="59">
        <f>IF([2]道具信息!J307="","",[2]道具信息!J307)</f>
        <v>60</v>
      </c>
      <c r="K307" s="59">
        <f>IF([2]道具信息!K307="","",[2]道具信息!K307)</f>
        <v>60</v>
      </c>
      <c r="L307" s="59" t="str">
        <f>IF([2]道具信息!L307="","",[2]道具信息!L307)</f>
        <v>卧虎藏龙，剑及履及，可用于武将觉醒</v>
      </c>
      <c r="M307" s="59" t="str">
        <f>IF([2]道具信息!M307="","",[2]道具信息!M307)</f>
        <v/>
      </c>
      <c r="N307" s="59" t="str">
        <f>IF([2]道具信息!N307="","",[2]道具信息!N307)</f>
        <v/>
      </c>
      <c r="O307" s="59" t="str">
        <f>IF([2]道具信息!O307="","",[2]道具信息!O307)</f>
        <v/>
      </c>
      <c r="P307" s="59" t="str">
        <f>IF([2]道具信息!P307="","",[2]道具信息!P307)</f>
        <v/>
      </c>
      <c r="Q307" s="59" t="str">
        <f>IF([2]道具信息!Q307="","",[2]道具信息!Q307)</f>
        <v/>
      </c>
      <c r="R307" s="59" t="str">
        <f>IF([2]道具信息!R307="","",[2]道具信息!R307)</f>
        <v/>
      </c>
      <c r="S307" s="59" t="str">
        <f>IF([2]道具信息!S307="","",[2]道具信息!S307)</f>
        <v/>
      </c>
      <c r="T307" s="59" t="str">
        <f>IF([2]道具信息!T307="","",[2]道具信息!T307)</f>
        <v/>
      </c>
      <c r="U307" s="59" t="str">
        <f>IF([2]道具信息!U307="","",[2]道具信息!U307)</f>
        <v/>
      </c>
      <c r="V307" s="59" t="str">
        <f>IF([2]道具信息!V307="","",[2]道具信息!V307)</f>
        <v/>
      </c>
      <c r="W307" s="59" t="str">
        <f>IF([2]道具信息!W307="","",[2]道具信息!W307)</f>
        <v/>
      </c>
      <c r="X307" s="59" t="str">
        <f>IF([2]道具信息!X307="","",[2]道具信息!X307)</f>
        <v/>
      </c>
      <c r="Y307" s="59" t="str">
        <f>IF([2]道具信息!Y307="","",[2]道具信息!Y307)</f>
        <v/>
      </c>
      <c r="Z307" s="59" t="str">
        <f>IF([2]道具信息!Z307="","",[2]道具信息!Z307)</f>
        <v/>
      </c>
    </row>
    <row r="308" spans="1:26" x14ac:dyDescent="0.15">
      <c r="A308" s="59" t="str">
        <f>IF([2]道具信息!A308="","",[2]道具信息!A308)</f>
        <v/>
      </c>
      <c r="B308" s="59" t="str">
        <f>IF([2]道具信息!B308="","",[2]道具信息!B308)</f>
        <v/>
      </c>
      <c r="C308" s="59">
        <f>IF([2]道具信息!C308="","",[2]道具信息!C308)</f>
        <v>20056</v>
      </c>
      <c r="D308" s="59" t="str">
        <f>IF([2]道具信息!D308="","",[2]道具信息!D308)</f>
        <v>灵蛇佩剑·觉</v>
      </c>
      <c r="E308" s="59">
        <f>IF([2]道具信息!E308="","",[2]道具信息!E308)</f>
        <v>60</v>
      </c>
      <c r="F308" s="59">
        <f>IF([2]道具信息!F308="","",[2]道具信息!F308)</f>
        <v>1</v>
      </c>
      <c r="G308" s="59">
        <f>IF([2]道具信息!G308="","",[2]道具信息!G308)</f>
        <v>1</v>
      </c>
      <c r="H308" s="59">
        <f>IF([2]道具信息!H308="","",[2]道具信息!H308)</f>
        <v>1</v>
      </c>
      <c r="I308" s="59">
        <f>IF([2]道具信息!I308="","",[2]道具信息!I308)</f>
        <v>60</v>
      </c>
      <c r="J308" s="59">
        <f>IF([2]道具信息!J308="","",[2]道具信息!J308)</f>
        <v>60</v>
      </c>
      <c r="K308" s="59">
        <f>IF([2]道具信息!K308="","",[2]道具信息!K308)</f>
        <v>60</v>
      </c>
      <c r="L308" s="59" t="str">
        <f>IF([2]道具信息!L308="","",[2]道具信息!L308)</f>
        <v>灵蛇之珠，剑态箫心，可用于武将觉醒</v>
      </c>
      <c r="M308" s="59" t="str">
        <f>IF([2]道具信息!M308="","",[2]道具信息!M308)</f>
        <v/>
      </c>
      <c r="N308" s="59" t="str">
        <f>IF([2]道具信息!N308="","",[2]道具信息!N308)</f>
        <v/>
      </c>
      <c r="O308" s="59" t="str">
        <f>IF([2]道具信息!O308="","",[2]道具信息!O308)</f>
        <v/>
      </c>
      <c r="P308" s="59" t="str">
        <f>IF([2]道具信息!P308="","",[2]道具信息!P308)</f>
        <v/>
      </c>
      <c r="Q308" s="59" t="str">
        <f>IF([2]道具信息!Q308="","",[2]道具信息!Q308)</f>
        <v/>
      </c>
      <c r="R308" s="59" t="str">
        <f>IF([2]道具信息!R308="","",[2]道具信息!R308)</f>
        <v/>
      </c>
      <c r="S308" s="59" t="str">
        <f>IF([2]道具信息!S308="","",[2]道具信息!S308)</f>
        <v/>
      </c>
      <c r="T308" s="59" t="str">
        <f>IF([2]道具信息!T308="","",[2]道具信息!T308)</f>
        <v/>
      </c>
      <c r="U308" s="59" t="str">
        <f>IF([2]道具信息!U308="","",[2]道具信息!U308)</f>
        <v/>
      </c>
      <c r="V308" s="59" t="str">
        <f>IF([2]道具信息!V308="","",[2]道具信息!V308)</f>
        <v/>
      </c>
      <c r="W308" s="59" t="str">
        <f>IF([2]道具信息!W308="","",[2]道具信息!W308)</f>
        <v/>
      </c>
      <c r="X308" s="59" t="str">
        <f>IF([2]道具信息!X308="","",[2]道具信息!X308)</f>
        <v/>
      </c>
      <c r="Y308" s="59" t="str">
        <f>IF([2]道具信息!Y308="","",[2]道具信息!Y308)</f>
        <v/>
      </c>
      <c r="Z308" s="59" t="str">
        <f>IF([2]道具信息!Z308="","",[2]道具信息!Z308)</f>
        <v/>
      </c>
    </row>
    <row r="309" spans="1:26" x14ac:dyDescent="0.15">
      <c r="A309" s="59" t="str">
        <f>IF([2]道具信息!A309="","",[2]道具信息!A309)</f>
        <v/>
      </c>
      <c r="B309" s="59" t="str">
        <f>IF([2]道具信息!B309="","",[2]道具信息!B309)</f>
        <v/>
      </c>
      <c r="C309" s="59">
        <f>IF([2]道具信息!C309="","",[2]道具信息!C309)</f>
        <v>20057</v>
      </c>
      <c r="D309" s="59" t="str">
        <f>IF([2]道具信息!D309="","",[2]道具信息!D309)</f>
        <v>狼头佩剑·觉</v>
      </c>
      <c r="E309" s="59">
        <f>IF([2]道具信息!E309="","",[2]道具信息!E309)</f>
        <v>60</v>
      </c>
      <c r="F309" s="59">
        <f>IF([2]道具信息!F309="","",[2]道具信息!F309)</f>
        <v>1</v>
      </c>
      <c r="G309" s="59">
        <f>IF([2]道具信息!G309="","",[2]道具信息!G309)</f>
        <v>1</v>
      </c>
      <c r="H309" s="59">
        <f>IF([2]道具信息!H309="","",[2]道具信息!H309)</f>
        <v>1</v>
      </c>
      <c r="I309" s="59">
        <f>IF([2]道具信息!I309="","",[2]道具信息!I309)</f>
        <v>60</v>
      </c>
      <c r="J309" s="59">
        <f>IF([2]道具信息!J309="","",[2]道具信息!J309)</f>
        <v>60</v>
      </c>
      <c r="K309" s="59">
        <f>IF([2]道具信息!K309="","",[2]道具信息!K309)</f>
        <v>60</v>
      </c>
      <c r="L309" s="59" t="str">
        <f>IF([2]道具信息!L309="","",[2]道具信息!L309)</f>
        <v>封狼居胥，剑气纵横，可用于武将觉醒</v>
      </c>
      <c r="M309" s="59" t="str">
        <f>IF([2]道具信息!M309="","",[2]道具信息!M309)</f>
        <v/>
      </c>
      <c r="N309" s="59" t="str">
        <f>IF([2]道具信息!N309="","",[2]道具信息!N309)</f>
        <v/>
      </c>
      <c r="O309" s="59" t="str">
        <f>IF([2]道具信息!O309="","",[2]道具信息!O309)</f>
        <v/>
      </c>
      <c r="P309" s="59" t="str">
        <f>IF([2]道具信息!P309="","",[2]道具信息!P309)</f>
        <v/>
      </c>
      <c r="Q309" s="59" t="str">
        <f>IF([2]道具信息!Q309="","",[2]道具信息!Q309)</f>
        <v/>
      </c>
      <c r="R309" s="59" t="str">
        <f>IF([2]道具信息!R309="","",[2]道具信息!R309)</f>
        <v/>
      </c>
      <c r="S309" s="59" t="str">
        <f>IF([2]道具信息!S309="","",[2]道具信息!S309)</f>
        <v/>
      </c>
      <c r="T309" s="59" t="str">
        <f>IF([2]道具信息!T309="","",[2]道具信息!T309)</f>
        <v/>
      </c>
      <c r="U309" s="59" t="str">
        <f>IF([2]道具信息!U309="","",[2]道具信息!U309)</f>
        <v/>
      </c>
      <c r="V309" s="59" t="str">
        <f>IF([2]道具信息!V309="","",[2]道具信息!V309)</f>
        <v/>
      </c>
      <c r="W309" s="59" t="str">
        <f>IF([2]道具信息!W309="","",[2]道具信息!W309)</f>
        <v/>
      </c>
      <c r="X309" s="59" t="str">
        <f>IF([2]道具信息!X309="","",[2]道具信息!X309)</f>
        <v/>
      </c>
      <c r="Y309" s="59" t="str">
        <f>IF([2]道具信息!Y309="","",[2]道具信息!Y309)</f>
        <v/>
      </c>
      <c r="Z309" s="59" t="str">
        <f>IF([2]道具信息!Z309="","",[2]道具信息!Z309)</f>
        <v/>
      </c>
    </row>
    <row r="310" spans="1:26" x14ac:dyDescent="0.15">
      <c r="A310" s="59" t="str">
        <f>IF([2]道具信息!A310="","",[2]道具信息!A310)</f>
        <v/>
      </c>
      <c r="B310" s="59" t="str">
        <f>IF([2]道具信息!B310="","",[2]道具信息!B310)</f>
        <v/>
      </c>
      <c r="C310" s="59" t="str">
        <f>IF([2]道具信息!C310="","",[2]道具信息!C310)</f>
        <v/>
      </c>
      <c r="D310" s="59" t="str">
        <f>IF([2]道具信息!D310="","",[2]道具信息!D310)</f>
        <v/>
      </c>
      <c r="E310" s="59" t="str">
        <f>IF([2]道具信息!E310="","",[2]道具信息!E310)</f>
        <v/>
      </c>
      <c r="F310" s="59" t="str">
        <f>IF([2]道具信息!F310="","",[2]道具信息!F310)</f>
        <v/>
      </c>
      <c r="G310" s="59" t="str">
        <f>IF([2]道具信息!G310="","",[2]道具信息!G310)</f>
        <v/>
      </c>
      <c r="H310" s="59" t="str">
        <f>IF([2]道具信息!H310="","",[2]道具信息!H310)</f>
        <v/>
      </c>
      <c r="I310" s="59" t="str">
        <f>IF([2]道具信息!I310="","",[2]道具信息!I310)</f>
        <v/>
      </c>
      <c r="J310" s="59" t="str">
        <f>IF([2]道具信息!J310="","",[2]道具信息!J310)</f>
        <v/>
      </c>
      <c r="K310" s="59" t="str">
        <f>IF([2]道具信息!K310="","",[2]道具信息!K310)</f>
        <v/>
      </c>
      <c r="L310" s="59" t="str">
        <f>IF([2]道具信息!L310="","",[2]道具信息!L310)</f>
        <v/>
      </c>
      <c r="M310" s="59" t="str">
        <f>IF([2]道具信息!M310="","",[2]道具信息!M310)</f>
        <v/>
      </c>
      <c r="N310" s="59" t="str">
        <f>IF([2]道具信息!N310="","",[2]道具信息!N310)</f>
        <v/>
      </c>
      <c r="O310" s="59" t="str">
        <f>IF([2]道具信息!O310="","",[2]道具信息!O310)</f>
        <v/>
      </c>
      <c r="P310" s="59" t="str">
        <f>IF([2]道具信息!P310="","",[2]道具信息!P310)</f>
        <v/>
      </c>
      <c r="Q310" s="59" t="str">
        <f>IF([2]道具信息!Q310="","",[2]道具信息!Q310)</f>
        <v/>
      </c>
      <c r="R310" s="59" t="str">
        <f>IF([2]道具信息!R310="","",[2]道具信息!R310)</f>
        <v/>
      </c>
      <c r="S310" s="59" t="str">
        <f>IF([2]道具信息!S310="","",[2]道具信息!S310)</f>
        <v/>
      </c>
      <c r="T310" s="59" t="str">
        <f>IF([2]道具信息!T310="","",[2]道具信息!T310)</f>
        <v/>
      </c>
      <c r="U310" s="59" t="str">
        <f>IF([2]道具信息!U310="","",[2]道具信息!U310)</f>
        <v/>
      </c>
      <c r="V310" s="59" t="str">
        <f>IF([2]道具信息!V310="","",[2]道具信息!V310)</f>
        <v/>
      </c>
      <c r="W310" s="59" t="str">
        <f>IF([2]道具信息!W310="","",[2]道具信息!W310)</f>
        <v/>
      </c>
      <c r="X310" s="59" t="str">
        <f>IF([2]道具信息!X310="","",[2]道具信息!X310)</f>
        <v/>
      </c>
      <c r="Y310" s="59" t="str">
        <f>IF([2]道具信息!Y310="","",[2]道具信息!Y310)</f>
        <v/>
      </c>
      <c r="Z310" s="59" t="str">
        <f>IF([2]道具信息!Z310="","",[2]道具信息!Z310)</f>
        <v/>
      </c>
    </row>
    <row r="311" spans="1:26" x14ac:dyDescent="0.15">
      <c r="A311" s="59" t="str">
        <f>IF([2]道具信息!A311="","",[2]道具信息!A311)</f>
        <v/>
      </c>
      <c r="B311" s="59" t="str">
        <f>IF([2]道具信息!B311="","",[2]道具信息!B311)</f>
        <v/>
      </c>
      <c r="C311" s="59">
        <f>IF([2]道具信息!C311="","",[2]道具信息!C311)</f>
        <v>20059</v>
      </c>
      <c r="D311" s="59" t="str">
        <f>IF([2]道具信息!D311="","",[2]道具信息!D311)</f>
        <v>勇之授印·觉</v>
      </c>
      <c r="E311" s="59">
        <f>IF([2]道具信息!E311="","",[2]道具信息!E311)</f>
        <v>80</v>
      </c>
      <c r="F311" s="59">
        <f>IF([2]道具信息!F311="","",[2]道具信息!F311)</f>
        <v>1</v>
      </c>
      <c r="G311" s="59">
        <f>IF([2]道具信息!G311="","",[2]道具信息!G311)</f>
        <v>1</v>
      </c>
      <c r="H311" s="59">
        <f>IF([2]道具信息!H311="","",[2]道具信息!H311)</f>
        <v>1</v>
      </c>
      <c r="I311" s="59">
        <f>IF([2]道具信息!I311="","",[2]道具信息!I311)</f>
        <v>80</v>
      </c>
      <c r="J311" s="59">
        <f>IF([2]道具信息!J311="","",[2]道具信息!J311)</f>
        <v>80</v>
      </c>
      <c r="K311" s="59">
        <f>IF([2]道具信息!K311="","",[2]道具信息!K311)</f>
        <v>80</v>
      </c>
      <c r="L311" s="59" t="str">
        <f>IF([2]道具信息!L311="","",[2]道具信息!L311)</f>
        <v>拔山盖世，气吞山河，可用于武将觉醒</v>
      </c>
      <c r="M311" s="59" t="str">
        <f>IF([2]道具信息!M311="","",[2]道具信息!M311)</f>
        <v/>
      </c>
      <c r="N311" s="59" t="str">
        <f>IF([2]道具信息!N311="","",[2]道具信息!N311)</f>
        <v/>
      </c>
      <c r="O311" s="59" t="str">
        <f>IF([2]道具信息!O311="","",[2]道具信息!O311)</f>
        <v/>
      </c>
      <c r="P311" s="59" t="str">
        <f>IF([2]道具信息!P311="","",[2]道具信息!P311)</f>
        <v/>
      </c>
      <c r="Q311" s="59" t="str">
        <f>IF([2]道具信息!Q311="","",[2]道具信息!Q311)</f>
        <v/>
      </c>
      <c r="R311" s="59" t="str">
        <f>IF([2]道具信息!R311="","",[2]道具信息!R311)</f>
        <v/>
      </c>
      <c r="S311" s="59" t="str">
        <f>IF([2]道具信息!S311="","",[2]道具信息!S311)</f>
        <v/>
      </c>
      <c r="T311" s="59" t="str">
        <f>IF([2]道具信息!T311="","",[2]道具信息!T311)</f>
        <v/>
      </c>
      <c r="U311" s="59" t="str">
        <f>IF([2]道具信息!U311="","",[2]道具信息!U311)</f>
        <v/>
      </c>
      <c r="V311" s="59" t="str">
        <f>IF([2]道具信息!V311="","",[2]道具信息!V311)</f>
        <v/>
      </c>
      <c r="W311" s="59" t="str">
        <f>IF([2]道具信息!W311="","",[2]道具信息!W311)</f>
        <v/>
      </c>
      <c r="X311" s="59" t="str">
        <f>IF([2]道具信息!X311="","",[2]道具信息!X311)</f>
        <v/>
      </c>
      <c r="Y311" s="59" t="str">
        <f>IF([2]道具信息!Y311="","",[2]道具信息!Y311)</f>
        <v/>
      </c>
      <c r="Z311" s="59" t="str">
        <f>IF([2]道具信息!Z311="","",[2]道具信息!Z311)</f>
        <v/>
      </c>
    </row>
    <row r="312" spans="1:26" x14ac:dyDescent="0.15">
      <c r="A312" s="59" t="str">
        <f>IF([2]道具信息!A312="","",[2]道具信息!A312)</f>
        <v/>
      </c>
      <c r="B312" s="59" t="str">
        <f>IF([2]道具信息!B312="","",[2]道具信息!B312)</f>
        <v/>
      </c>
      <c r="C312" s="59">
        <f>IF([2]道具信息!C312="","",[2]道具信息!C312)</f>
        <v>20060</v>
      </c>
      <c r="D312" s="59" t="str">
        <f>IF([2]道具信息!D312="","",[2]道具信息!D312)</f>
        <v>谋之授印·觉</v>
      </c>
      <c r="E312" s="59">
        <f>IF([2]道具信息!E312="","",[2]道具信息!E312)</f>
        <v>80</v>
      </c>
      <c r="F312" s="59">
        <f>IF([2]道具信息!F312="","",[2]道具信息!F312)</f>
        <v>1</v>
      </c>
      <c r="G312" s="59">
        <f>IF([2]道具信息!G312="","",[2]道具信息!G312)</f>
        <v>1</v>
      </c>
      <c r="H312" s="59">
        <f>IF([2]道具信息!H312="","",[2]道具信息!H312)</f>
        <v>1</v>
      </c>
      <c r="I312" s="59">
        <f>IF([2]道具信息!I312="","",[2]道具信息!I312)</f>
        <v>80</v>
      </c>
      <c r="J312" s="59">
        <f>IF([2]道具信息!J312="","",[2]道具信息!J312)</f>
        <v>80</v>
      </c>
      <c r="K312" s="59">
        <f>IF([2]道具信息!K312="","",[2]道具信息!K312)</f>
        <v>80</v>
      </c>
      <c r="L312" s="59" t="str">
        <f>IF([2]道具信息!L312="","",[2]道具信息!L312)</f>
        <v>渊谋远略，运筹帷幄，可用于武将觉醒</v>
      </c>
      <c r="M312" s="59" t="str">
        <f>IF([2]道具信息!M312="","",[2]道具信息!M312)</f>
        <v/>
      </c>
      <c r="N312" s="59" t="str">
        <f>IF([2]道具信息!N312="","",[2]道具信息!N312)</f>
        <v/>
      </c>
      <c r="O312" s="59" t="str">
        <f>IF([2]道具信息!O312="","",[2]道具信息!O312)</f>
        <v/>
      </c>
      <c r="P312" s="59" t="str">
        <f>IF([2]道具信息!P312="","",[2]道具信息!P312)</f>
        <v/>
      </c>
      <c r="Q312" s="59" t="str">
        <f>IF([2]道具信息!Q312="","",[2]道具信息!Q312)</f>
        <v/>
      </c>
      <c r="R312" s="59" t="str">
        <f>IF([2]道具信息!R312="","",[2]道具信息!R312)</f>
        <v/>
      </c>
      <c r="S312" s="59" t="str">
        <f>IF([2]道具信息!S312="","",[2]道具信息!S312)</f>
        <v/>
      </c>
      <c r="T312" s="59" t="str">
        <f>IF([2]道具信息!T312="","",[2]道具信息!T312)</f>
        <v/>
      </c>
      <c r="U312" s="59" t="str">
        <f>IF([2]道具信息!U312="","",[2]道具信息!U312)</f>
        <v/>
      </c>
      <c r="V312" s="59" t="str">
        <f>IF([2]道具信息!V312="","",[2]道具信息!V312)</f>
        <v/>
      </c>
      <c r="W312" s="59" t="str">
        <f>IF([2]道具信息!W312="","",[2]道具信息!W312)</f>
        <v/>
      </c>
      <c r="X312" s="59" t="str">
        <f>IF([2]道具信息!X312="","",[2]道具信息!X312)</f>
        <v/>
      </c>
      <c r="Y312" s="59" t="str">
        <f>IF([2]道具信息!Y312="","",[2]道具信息!Y312)</f>
        <v/>
      </c>
      <c r="Z312" s="59" t="str">
        <f>IF([2]道具信息!Z312="","",[2]道具信息!Z312)</f>
        <v/>
      </c>
    </row>
    <row r="313" spans="1:26" x14ac:dyDescent="0.15">
      <c r="A313" s="59" t="str">
        <f>IF([2]道具信息!A313="","",[2]道具信息!A313)</f>
        <v/>
      </c>
      <c r="B313" s="59" t="str">
        <f>IF([2]道具信息!B313="","",[2]道具信息!B313)</f>
        <v/>
      </c>
      <c r="C313" s="59">
        <f>IF([2]道具信息!C313="","",[2]道具信息!C313)</f>
        <v>20061</v>
      </c>
      <c r="D313" s="59" t="str">
        <f>IF([2]道具信息!D313="","",[2]道具信息!D313)</f>
        <v>御之授印·觉</v>
      </c>
      <c r="E313" s="59">
        <f>IF([2]道具信息!E313="","",[2]道具信息!E313)</f>
        <v>80</v>
      </c>
      <c r="F313" s="59">
        <f>IF([2]道具信息!F313="","",[2]道具信息!F313)</f>
        <v>1</v>
      </c>
      <c r="G313" s="59">
        <f>IF([2]道具信息!G313="","",[2]道具信息!G313)</f>
        <v>1</v>
      </c>
      <c r="H313" s="59">
        <f>IF([2]道具信息!H313="","",[2]道具信息!H313)</f>
        <v>1</v>
      </c>
      <c r="I313" s="59">
        <f>IF([2]道具信息!I313="","",[2]道具信息!I313)</f>
        <v>80</v>
      </c>
      <c r="J313" s="59">
        <f>IF([2]道具信息!J313="","",[2]道具信息!J313)</f>
        <v>80</v>
      </c>
      <c r="K313" s="59">
        <f>IF([2]道具信息!K313="","",[2]道具信息!K313)</f>
        <v>80</v>
      </c>
      <c r="L313" s="59" t="str">
        <f>IF([2]道具信息!L313="","",[2]道具信息!L313)</f>
        <v>御下有方，论功行赏，可用于武将觉醒</v>
      </c>
      <c r="M313" s="59" t="str">
        <f>IF([2]道具信息!M313="","",[2]道具信息!M313)</f>
        <v/>
      </c>
      <c r="N313" s="59" t="str">
        <f>IF([2]道具信息!N313="","",[2]道具信息!N313)</f>
        <v/>
      </c>
      <c r="O313" s="59" t="str">
        <f>IF([2]道具信息!O313="","",[2]道具信息!O313)</f>
        <v/>
      </c>
      <c r="P313" s="59" t="str">
        <f>IF([2]道具信息!P313="","",[2]道具信息!P313)</f>
        <v/>
      </c>
      <c r="Q313" s="59" t="str">
        <f>IF([2]道具信息!Q313="","",[2]道具信息!Q313)</f>
        <v/>
      </c>
      <c r="R313" s="59" t="str">
        <f>IF([2]道具信息!R313="","",[2]道具信息!R313)</f>
        <v/>
      </c>
      <c r="S313" s="59" t="str">
        <f>IF([2]道具信息!S313="","",[2]道具信息!S313)</f>
        <v/>
      </c>
      <c r="T313" s="59" t="str">
        <f>IF([2]道具信息!T313="","",[2]道具信息!T313)</f>
        <v/>
      </c>
      <c r="U313" s="59" t="str">
        <f>IF([2]道具信息!U313="","",[2]道具信息!U313)</f>
        <v/>
      </c>
      <c r="V313" s="59" t="str">
        <f>IF([2]道具信息!V313="","",[2]道具信息!V313)</f>
        <v/>
      </c>
      <c r="W313" s="59" t="str">
        <f>IF([2]道具信息!W313="","",[2]道具信息!W313)</f>
        <v/>
      </c>
      <c r="X313" s="59" t="str">
        <f>IF([2]道具信息!X313="","",[2]道具信息!X313)</f>
        <v/>
      </c>
      <c r="Y313" s="59" t="str">
        <f>IF([2]道具信息!Y313="","",[2]道具信息!Y313)</f>
        <v/>
      </c>
      <c r="Z313" s="59" t="str">
        <f>IF([2]道具信息!Z313="","",[2]道具信息!Z313)</f>
        <v/>
      </c>
    </row>
    <row r="314" spans="1:26" x14ac:dyDescent="0.15">
      <c r="A314" s="59" t="str">
        <f>IF([2]道具信息!A314="","",[2]道具信息!A314)</f>
        <v/>
      </c>
      <c r="B314" s="59" t="str">
        <f>IF([2]道具信息!B314="","",[2]道具信息!B314)</f>
        <v/>
      </c>
      <c r="C314" s="59" t="str">
        <f>IF([2]道具信息!C314="","",[2]道具信息!C314)</f>
        <v/>
      </c>
      <c r="D314" s="59" t="str">
        <f>IF([2]道具信息!D314="","",[2]道具信息!D314)</f>
        <v/>
      </c>
      <c r="E314" s="59" t="str">
        <f>IF([2]道具信息!E314="","",[2]道具信息!E314)</f>
        <v/>
      </c>
      <c r="F314" s="59" t="str">
        <f>IF([2]道具信息!F314="","",[2]道具信息!F314)</f>
        <v/>
      </c>
      <c r="G314" s="59" t="str">
        <f>IF([2]道具信息!G314="","",[2]道具信息!G314)</f>
        <v/>
      </c>
      <c r="H314" s="59" t="str">
        <f>IF([2]道具信息!H314="","",[2]道具信息!H314)</f>
        <v/>
      </c>
      <c r="I314" s="59" t="str">
        <f>IF([2]道具信息!I314="","",[2]道具信息!I314)</f>
        <v/>
      </c>
      <c r="J314" s="59" t="str">
        <f>IF([2]道具信息!J314="","",[2]道具信息!J314)</f>
        <v/>
      </c>
      <c r="K314" s="59" t="str">
        <f>IF([2]道具信息!K314="","",[2]道具信息!K314)</f>
        <v/>
      </c>
      <c r="L314" s="59" t="str">
        <f>IF([2]道具信息!L314="","",[2]道具信息!L314)</f>
        <v/>
      </c>
      <c r="M314" s="59" t="str">
        <f>IF([2]道具信息!M314="","",[2]道具信息!M314)</f>
        <v/>
      </c>
      <c r="N314" s="59" t="str">
        <f>IF([2]道具信息!N314="","",[2]道具信息!N314)</f>
        <v/>
      </c>
      <c r="O314" s="59" t="str">
        <f>IF([2]道具信息!O314="","",[2]道具信息!O314)</f>
        <v/>
      </c>
      <c r="P314" s="59" t="str">
        <f>IF([2]道具信息!P314="","",[2]道具信息!P314)</f>
        <v/>
      </c>
      <c r="Q314" s="59" t="str">
        <f>IF([2]道具信息!Q314="","",[2]道具信息!Q314)</f>
        <v/>
      </c>
      <c r="R314" s="59" t="str">
        <f>IF([2]道具信息!R314="","",[2]道具信息!R314)</f>
        <v/>
      </c>
      <c r="S314" s="59" t="str">
        <f>IF([2]道具信息!S314="","",[2]道具信息!S314)</f>
        <v/>
      </c>
      <c r="T314" s="59" t="str">
        <f>IF([2]道具信息!T314="","",[2]道具信息!T314)</f>
        <v/>
      </c>
      <c r="U314" s="59" t="str">
        <f>IF([2]道具信息!U314="","",[2]道具信息!U314)</f>
        <v/>
      </c>
      <c r="V314" s="59" t="str">
        <f>IF([2]道具信息!V314="","",[2]道具信息!V314)</f>
        <v/>
      </c>
      <c r="W314" s="59" t="str">
        <f>IF([2]道具信息!W314="","",[2]道具信息!W314)</f>
        <v/>
      </c>
      <c r="X314" s="59" t="str">
        <f>IF([2]道具信息!X314="","",[2]道具信息!X314)</f>
        <v/>
      </c>
      <c r="Y314" s="59" t="str">
        <f>IF([2]道具信息!Y314="","",[2]道具信息!Y314)</f>
        <v/>
      </c>
      <c r="Z314" s="59" t="str">
        <f>IF([2]道具信息!Z314="","",[2]道具信息!Z314)</f>
        <v/>
      </c>
    </row>
    <row r="315" spans="1:26" x14ac:dyDescent="0.15">
      <c r="A315" s="59" t="str">
        <f>IF([2]道具信息!A315="","",[2]道具信息!A315)</f>
        <v/>
      </c>
      <c r="B315" s="59" t="str">
        <f>IF([2]道具信息!B315="","",[2]道具信息!B315)</f>
        <v/>
      </c>
      <c r="C315" s="59">
        <f>IF([2]道具信息!C315="","",[2]道具信息!C315)</f>
        <v>20064</v>
      </c>
      <c r="D315" s="59" t="str">
        <f>IF([2]道具信息!D315="","",[2]道具信息!D315)</f>
        <v>战阵精研·极</v>
      </c>
      <c r="E315" s="59">
        <f>IF([2]道具信息!E315="","",[2]道具信息!E315)</f>
        <v>100</v>
      </c>
      <c r="F315" s="59">
        <f>IF([2]道具信息!F315="","",[2]道具信息!F315)</f>
        <v>1</v>
      </c>
      <c r="G315" s="59">
        <f>IF([2]道具信息!G315="","",[2]道具信息!G315)</f>
        <v>1</v>
      </c>
      <c r="H315" s="59">
        <f>IF([2]道具信息!H315="","",[2]道具信息!H315)</f>
        <v>1</v>
      </c>
      <c r="I315" s="59">
        <f>IF([2]道具信息!I315="","",[2]道具信息!I315)</f>
        <v>100</v>
      </c>
      <c r="J315" s="59">
        <f>IF([2]道具信息!J315="","",[2]道具信息!J315)</f>
        <v>100</v>
      </c>
      <c r="K315" s="59">
        <f>IF([2]道具信息!K315="","",[2]道具信息!K315)</f>
        <v>100</v>
      </c>
      <c r="L315" s="59" t="str">
        <f>IF([2]道具信息!L315="","",[2]道具信息!L315)</f>
        <v>行兵布阵，勇往直前，可用于武将觉醒</v>
      </c>
      <c r="M315" s="59" t="str">
        <f>IF([2]道具信息!M315="","",[2]道具信息!M315)</f>
        <v/>
      </c>
      <c r="N315" s="59" t="str">
        <f>IF([2]道具信息!N315="","",[2]道具信息!N315)</f>
        <v/>
      </c>
      <c r="O315" s="59" t="str">
        <f>IF([2]道具信息!O315="","",[2]道具信息!O315)</f>
        <v/>
      </c>
      <c r="P315" s="59" t="str">
        <f>IF([2]道具信息!P315="","",[2]道具信息!P315)</f>
        <v/>
      </c>
      <c r="Q315" s="59" t="str">
        <f>IF([2]道具信息!Q315="","",[2]道具信息!Q315)</f>
        <v/>
      </c>
      <c r="R315" s="59" t="str">
        <f>IF([2]道具信息!R315="","",[2]道具信息!R315)</f>
        <v/>
      </c>
      <c r="S315" s="59" t="str">
        <f>IF([2]道具信息!S315="","",[2]道具信息!S315)</f>
        <v/>
      </c>
      <c r="T315" s="59" t="str">
        <f>IF([2]道具信息!T315="","",[2]道具信息!T315)</f>
        <v/>
      </c>
      <c r="U315" s="59" t="str">
        <f>IF([2]道具信息!U315="","",[2]道具信息!U315)</f>
        <v/>
      </c>
      <c r="V315" s="59" t="str">
        <f>IF([2]道具信息!V315="","",[2]道具信息!V315)</f>
        <v/>
      </c>
      <c r="W315" s="59" t="str">
        <f>IF([2]道具信息!W315="","",[2]道具信息!W315)</f>
        <v/>
      </c>
      <c r="X315" s="59" t="str">
        <f>IF([2]道具信息!X315="","",[2]道具信息!X315)</f>
        <v/>
      </c>
      <c r="Y315" s="59" t="str">
        <f>IF([2]道具信息!Y315="","",[2]道具信息!Y315)</f>
        <v/>
      </c>
      <c r="Z315" s="59" t="str">
        <f>IF([2]道具信息!Z315="","",[2]道具信息!Z315)</f>
        <v/>
      </c>
    </row>
    <row r="316" spans="1:26" x14ac:dyDescent="0.15">
      <c r="A316" s="59" t="str">
        <f>IF([2]道具信息!A316="","",[2]道具信息!A316)</f>
        <v/>
      </c>
      <c r="B316" s="59" t="str">
        <f>IF([2]道具信息!B316="","",[2]道具信息!B316)</f>
        <v/>
      </c>
      <c r="C316" s="59">
        <f>IF([2]道具信息!C316="","",[2]道具信息!C316)</f>
        <v>20065</v>
      </c>
      <c r="D316" s="59" t="str">
        <f>IF([2]道具信息!D316="","",[2]道具信息!D316)</f>
        <v>谋略精研·极</v>
      </c>
      <c r="E316" s="59">
        <f>IF([2]道具信息!E316="","",[2]道具信息!E316)</f>
        <v>100</v>
      </c>
      <c r="F316" s="59">
        <f>IF([2]道具信息!F316="","",[2]道具信息!F316)</f>
        <v>1</v>
      </c>
      <c r="G316" s="59">
        <f>IF([2]道具信息!G316="","",[2]道具信息!G316)</f>
        <v>1</v>
      </c>
      <c r="H316" s="59">
        <f>IF([2]道具信息!H316="","",[2]道具信息!H316)</f>
        <v>1</v>
      </c>
      <c r="I316" s="59">
        <f>IF([2]道具信息!I316="","",[2]道具信息!I316)</f>
        <v>100</v>
      </c>
      <c r="J316" s="59">
        <f>IF([2]道具信息!J316="","",[2]道具信息!J316)</f>
        <v>100</v>
      </c>
      <c r="K316" s="59">
        <f>IF([2]道具信息!K316="","",[2]道具信息!K316)</f>
        <v>100</v>
      </c>
      <c r="L316" s="59" t="str">
        <f>IF([2]道具信息!L316="","",[2]道具信息!L316)</f>
        <v>目达耳通，上兵伐谋，可用于武将觉醒</v>
      </c>
      <c r="M316" s="59" t="str">
        <f>IF([2]道具信息!M316="","",[2]道具信息!M316)</f>
        <v/>
      </c>
      <c r="N316" s="59" t="str">
        <f>IF([2]道具信息!N316="","",[2]道具信息!N316)</f>
        <v/>
      </c>
      <c r="O316" s="59" t="str">
        <f>IF([2]道具信息!O316="","",[2]道具信息!O316)</f>
        <v/>
      </c>
      <c r="P316" s="59" t="str">
        <f>IF([2]道具信息!P316="","",[2]道具信息!P316)</f>
        <v/>
      </c>
      <c r="Q316" s="59" t="str">
        <f>IF([2]道具信息!Q316="","",[2]道具信息!Q316)</f>
        <v/>
      </c>
      <c r="R316" s="59" t="str">
        <f>IF([2]道具信息!R316="","",[2]道具信息!R316)</f>
        <v/>
      </c>
      <c r="S316" s="59" t="str">
        <f>IF([2]道具信息!S316="","",[2]道具信息!S316)</f>
        <v/>
      </c>
      <c r="T316" s="59" t="str">
        <f>IF([2]道具信息!T316="","",[2]道具信息!T316)</f>
        <v/>
      </c>
      <c r="U316" s="59" t="str">
        <f>IF([2]道具信息!U316="","",[2]道具信息!U316)</f>
        <v/>
      </c>
      <c r="V316" s="59" t="str">
        <f>IF([2]道具信息!V316="","",[2]道具信息!V316)</f>
        <v/>
      </c>
      <c r="W316" s="59" t="str">
        <f>IF([2]道具信息!W316="","",[2]道具信息!W316)</f>
        <v/>
      </c>
      <c r="X316" s="59" t="str">
        <f>IF([2]道具信息!X316="","",[2]道具信息!X316)</f>
        <v/>
      </c>
      <c r="Y316" s="59" t="str">
        <f>IF([2]道具信息!Y316="","",[2]道具信息!Y316)</f>
        <v/>
      </c>
      <c r="Z316" s="59" t="str">
        <f>IF([2]道具信息!Z316="","",[2]道具信息!Z316)</f>
        <v/>
      </c>
    </row>
    <row r="317" spans="1:26" x14ac:dyDescent="0.15">
      <c r="A317" s="59" t="str">
        <f>IF([2]道具信息!A317="","",[2]道具信息!A317)</f>
        <v/>
      </c>
      <c r="B317" s="59" t="str">
        <f>IF([2]道具信息!B317="","",[2]道具信息!B317)</f>
        <v/>
      </c>
      <c r="C317" s="59">
        <f>IF([2]道具信息!C317="","",[2]道具信息!C317)</f>
        <v>20066</v>
      </c>
      <c r="D317" s="59" t="str">
        <f>IF([2]道具信息!D317="","",[2]道具信息!D317)</f>
        <v>御军精研·极</v>
      </c>
      <c r="E317" s="59">
        <f>IF([2]道具信息!E317="","",[2]道具信息!E317)</f>
        <v>100</v>
      </c>
      <c r="F317" s="59">
        <f>IF([2]道具信息!F317="","",[2]道具信息!F317)</f>
        <v>1</v>
      </c>
      <c r="G317" s="59">
        <f>IF([2]道具信息!G317="","",[2]道具信息!G317)</f>
        <v>1</v>
      </c>
      <c r="H317" s="59">
        <f>IF([2]道具信息!H317="","",[2]道具信息!H317)</f>
        <v>1</v>
      </c>
      <c r="I317" s="59">
        <f>IF([2]道具信息!I317="","",[2]道具信息!I317)</f>
        <v>100</v>
      </c>
      <c r="J317" s="59">
        <f>IF([2]道具信息!J317="","",[2]道具信息!J317)</f>
        <v>100</v>
      </c>
      <c r="K317" s="59">
        <f>IF([2]道具信息!K317="","",[2]道具信息!K317)</f>
        <v>100</v>
      </c>
      <c r="L317" s="59" t="str">
        <f>IF([2]道具信息!L317="","",[2]道具信息!L317)</f>
        <v>持筹握算，精兵简政，可用于武将觉醒</v>
      </c>
      <c r="M317" s="59" t="str">
        <f>IF([2]道具信息!M317="","",[2]道具信息!M317)</f>
        <v/>
      </c>
      <c r="N317" s="59" t="str">
        <f>IF([2]道具信息!N317="","",[2]道具信息!N317)</f>
        <v/>
      </c>
      <c r="O317" s="59" t="str">
        <f>IF([2]道具信息!O317="","",[2]道具信息!O317)</f>
        <v/>
      </c>
      <c r="P317" s="59" t="str">
        <f>IF([2]道具信息!P317="","",[2]道具信息!P317)</f>
        <v/>
      </c>
      <c r="Q317" s="59" t="str">
        <f>IF([2]道具信息!Q317="","",[2]道具信息!Q317)</f>
        <v/>
      </c>
      <c r="R317" s="59" t="str">
        <f>IF([2]道具信息!R317="","",[2]道具信息!R317)</f>
        <v/>
      </c>
      <c r="S317" s="59" t="str">
        <f>IF([2]道具信息!S317="","",[2]道具信息!S317)</f>
        <v/>
      </c>
      <c r="T317" s="59" t="str">
        <f>IF([2]道具信息!T317="","",[2]道具信息!T317)</f>
        <v/>
      </c>
      <c r="U317" s="59" t="str">
        <f>IF([2]道具信息!U317="","",[2]道具信息!U317)</f>
        <v/>
      </c>
      <c r="V317" s="59" t="str">
        <f>IF([2]道具信息!V317="","",[2]道具信息!V317)</f>
        <v/>
      </c>
      <c r="W317" s="59" t="str">
        <f>IF([2]道具信息!W317="","",[2]道具信息!W317)</f>
        <v/>
      </c>
      <c r="X317" s="59" t="str">
        <f>IF([2]道具信息!X317="","",[2]道具信息!X317)</f>
        <v/>
      </c>
      <c r="Y317" s="59" t="str">
        <f>IF([2]道具信息!Y317="","",[2]道具信息!Y317)</f>
        <v/>
      </c>
      <c r="Z317" s="59" t="str">
        <f>IF([2]道具信息!Z317="","",[2]道具信息!Z317)</f>
        <v/>
      </c>
    </row>
    <row r="318" spans="1:26" x14ac:dyDescent="0.15">
      <c r="A318" s="59" t="str">
        <f>IF([2]道具信息!A318="","",[2]道具信息!A318)</f>
        <v/>
      </c>
      <c r="B318" s="59" t="str">
        <f>IF([2]道具信息!B318="","",[2]道具信息!B318)</f>
        <v/>
      </c>
      <c r="C318" s="59" t="str">
        <f>IF([2]道具信息!C318="","",[2]道具信息!C318)</f>
        <v/>
      </c>
      <c r="D318" s="59" t="str">
        <f>IF([2]道具信息!D318="","",[2]道具信息!D318)</f>
        <v/>
      </c>
      <c r="E318" s="59" t="str">
        <f>IF([2]道具信息!E318="","",[2]道具信息!E318)</f>
        <v/>
      </c>
      <c r="F318" s="59" t="str">
        <f>IF([2]道具信息!F318="","",[2]道具信息!F318)</f>
        <v/>
      </c>
      <c r="G318" s="59" t="str">
        <f>IF([2]道具信息!G318="","",[2]道具信息!G318)</f>
        <v/>
      </c>
      <c r="H318" s="59" t="str">
        <f>IF([2]道具信息!H318="","",[2]道具信息!H318)</f>
        <v/>
      </c>
      <c r="I318" s="59" t="str">
        <f>IF([2]道具信息!I318="","",[2]道具信息!I318)</f>
        <v/>
      </c>
      <c r="J318" s="59" t="str">
        <f>IF([2]道具信息!J318="","",[2]道具信息!J318)</f>
        <v/>
      </c>
      <c r="K318" s="59" t="str">
        <f>IF([2]道具信息!K318="","",[2]道具信息!K318)</f>
        <v/>
      </c>
      <c r="L318" s="59" t="str">
        <f>IF([2]道具信息!L318="","",[2]道具信息!L318)</f>
        <v/>
      </c>
      <c r="M318" s="59" t="str">
        <f>IF([2]道具信息!M318="","",[2]道具信息!M318)</f>
        <v/>
      </c>
      <c r="N318" s="59" t="str">
        <f>IF([2]道具信息!N318="","",[2]道具信息!N318)</f>
        <v/>
      </c>
      <c r="O318" s="59" t="str">
        <f>IF([2]道具信息!O318="","",[2]道具信息!O318)</f>
        <v/>
      </c>
      <c r="P318" s="59" t="str">
        <f>IF([2]道具信息!P318="","",[2]道具信息!P318)</f>
        <v/>
      </c>
      <c r="Q318" s="59" t="str">
        <f>IF([2]道具信息!Q318="","",[2]道具信息!Q318)</f>
        <v/>
      </c>
      <c r="R318" s="59" t="str">
        <f>IF([2]道具信息!R318="","",[2]道具信息!R318)</f>
        <v/>
      </c>
      <c r="S318" s="59" t="str">
        <f>IF([2]道具信息!S318="","",[2]道具信息!S318)</f>
        <v/>
      </c>
      <c r="T318" s="59" t="str">
        <f>IF([2]道具信息!T318="","",[2]道具信息!T318)</f>
        <v/>
      </c>
      <c r="U318" s="59" t="str">
        <f>IF([2]道具信息!U318="","",[2]道具信息!U318)</f>
        <v/>
      </c>
      <c r="V318" s="59" t="str">
        <f>IF([2]道具信息!V318="","",[2]道具信息!V318)</f>
        <v/>
      </c>
      <c r="W318" s="59" t="str">
        <f>IF([2]道具信息!W318="","",[2]道具信息!W318)</f>
        <v/>
      </c>
      <c r="X318" s="59" t="str">
        <f>IF([2]道具信息!X318="","",[2]道具信息!X318)</f>
        <v/>
      </c>
      <c r="Y318" s="59" t="str">
        <f>IF([2]道具信息!Y318="","",[2]道具信息!Y318)</f>
        <v/>
      </c>
      <c r="Z318" s="59" t="str">
        <f>IF([2]道具信息!Z318="","",[2]道具信息!Z318)</f>
        <v/>
      </c>
    </row>
    <row r="319" spans="1:26" x14ac:dyDescent="0.15">
      <c r="A319" s="59" t="str">
        <f>IF([2]道具信息!A319="","",[2]道具信息!A319)</f>
        <v/>
      </c>
      <c r="B319" s="59" t="str">
        <f>IF([2]道具信息!B319="","",[2]道具信息!B319)</f>
        <v/>
      </c>
      <c r="C319" s="59">
        <f>IF([2]道具信息!C319="","",[2]道具信息!C319)</f>
        <v>20070</v>
      </c>
      <c r="D319" s="59" t="str">
        <f>IF([2]道具信息!D319="","",[2]道具信息!D319)</f>
        <v>白虎白琥·极</v>
      </c>
      <c r="E319" s="59">
        <f>IF([2]道具信息!E319="","",[2]道具信息!E319)</f>
        <v>120</v>
      </c>
      <c r="F319" s="59">
        <f>IF([2]道具信息!F319="","",[2]道具信息!F319)</f>
        <v>1</v>
      </c>
      <c r="G319" s="59">
        <f>IF([2]道具信息!G319="","",[2]道具信息!G319)</f>
        <v>1</v>
      </c>
      <c r="H319" s="59">
        <f>IF([2]道具信息!H319="","",[2]道具信息!H319)</f>
        <v>1</v>
      </c>
      <c r="I319" s="59">
        <f>IF([2]道具信息!I319="","",[2]道具信息!I319)</f>
        <v>120</v>
      </c>
      <c r="J319" s="59">
        <f>IF([2]道具信息!J319="","",[2]道具信息!J319)</f>
        <v>120</v>
      </c>
      <c r="K319" s="59">
        <f>IF([2]道具信息!K319="","",[2]道具信息!K319)</f>
        <v>120</v>
      </c>
      <c r="L319" s="59" t="str">
        <f>IF([2]道具信息!L319="","",[2]道具信息!L319)</f>
        <v>形神兼备，虎啸龙吟，可用于武将觉醒</v>
      </c>
      <c r="M319" s="59" t="str">
        <f>IF([2]道具信息!M319="","",[2]道具信息!M319)</f>
        <v/>
      </c>
      <c r="N319" s="59" t="str">
        <f>IF([2]道具信息!N319="","",[2]道具信息!N319)</f>
        <v/>
      </c>
      <c r="O319" s="59" t="str">
        <f>IF([2]道具信息!O319="","",[2]道具信息!O319)</f>
        <v/>
      </c>
      <c r="P319" s="59" t="str">
        <f>IF([2]道具信息!P319="","",[2]道具信息!P319)</f>
        <v/>
      </c>
      <c r="Q319" s="59" t="str">
        <f>IF([2]道具信息!Q319="","",[2]道具信息!Q319)</f>
        <v/>
      </c>
      <c r="R319" s="59" t="str">
        <f>IF([2]道具信息!R319="","",[2]道具信息!R319)</f>
        <v/>
      </c>
      <c r="S319" s="59" t="str">
        <f>IF([2]道具信息!S319="","",[2]道具信息!S319)</f>
        <v/>
      </c>
      <c r="T319" s="59" t="str">
        <f>IF([2]道具信息!T319="","",[2]道具信息!T319)</f>
        <v/>
      </c>
      <c r="U319" s="59" t="str">
        <f>IF([2]道具信息!U319="","",[2]道具信息!U319)</f>
        <v/>
      </c>
      <c r="V319" s="59" t="str">
        <f>IF([2]道具信息!V319="","",[2]道具信息!V319)</f>
        <v/>
      </c>
      <c r="W319" s="59" t="str">
        <f>IF([2]道具信息!W319="","",[2]道具信息!W319)</f>
        <v/>
      </c>
      <c r="X319" s="59" t="str">
        <f>IF([2]道具信息!X319="","",[2]道具信息!X319)</f>
        <v/>
      </c>
      <c r="Y319" s="59" t="str">
        <f>IF([2]道具信息!Y319="","",[2]道具信息!Y319)</f>
        <v/>
      </c>
      <c r="Z319" s="59" t="str">
        <f>IF([2]道具信息!Z319="","",[2]道具信息!Z319)</f>
        <v/>
      </c>
    </row>
    <row r="320" spans="1:26" x14ac:dyDescent="0.15">
      <c r="A320" s="59" t="str">
        <f>IF([2]道具信息!A320="","",[2]道具信息!A320)</f>
        <v/>
      </c>
      <c r="B320" s="59" t="str">
        <f>IF([2]道具信息!B320="","",[2]道具信息!B320)</f>
        <v/>
      </c>
      <c r="C320" s="59">
        <f>IF([2]道具信息!C320="","",[2]道具信息!C320)</f>
        <v>20071</v>
      </c>
      <c r="D320" s="59" t="str">
        <f>IF([2]道具信息!D320="","",[2]道具信息!D320)</f>
        <v>朱雀赤璋·极</v>
      </c>
      <c r="E320" s="59">
        <f>IF([2]道具信息!E320="","",[2]道具信息!E320)</f>
        <v>120</v>
      </c>
      <c r="F320" s="59">
        <f>IF([2]道具信息!F320="","",[2]道具信息!F320)</f>
        <v>1</v>
      </c>
      <c r="G320" s="59">
        <f>IF([2]道具信息!G320="","",[2]道具信息!G320)</f>
        <v>1</v>
      </c>
      <c r="H320" s="59">
        <f>IF([2]道具信息!H320="","",[2]道具信息!H320)</f>
        <v>1</v>
      </c>
      <c r="I320" s="59">
        <f>IF([2]道具信息!I320="","",[2]道具信息!I320)</f>
        <v>120</v>
      </c>
      <c r="J320" s="59">
        <f>IF([2]道具信息!J320="","",[2]道具信息!J320)</f>
        <v>120</v>
      </c>
      <c r="K320" s="59">
        <f>IF([2]道具信息!K320="","",[2]道具信息!K320)</f>
        <v>120</v>
      </c>
      <c r="L320" s="59" t="str">
        <f>IF([2]道具信息!L320="","",[2]道具信息!L320)</f>
        <v>烈火真金，朱雀玄武，可用于武将觉醒</v>
      </c>
      <c r="M320" s="59" t="str">
        <f>IF([2]道具信息!M320="","",[2]道具信息!M320)</f>
        <v/>
      </c>
      <c r="N320" s="59" t="str">
        <f>IF([2]道具信息!N320="","",[2]道具信息!N320)</f>
        <v/>
      </c>
      <c r="O320" s="59" t="str">
        <f>IF([2]道具信息!O320="","",[2]道具信息!O320)</f>
        <v/>
      </c>
      <c r="P320" s="59" t="str">
        <f>IF([2]道具信息!P320="","",[2]道具信息!P320)</f>
        <v/>
      </c>
      <c r="Q320" s="59" t="str">
        <f>IF([2]道具信息!Q320="","",[2]道具信息!Q320)</f>
        <v/>
      </c>
      <c r="R320" s="59" t="str">
        <f>IF([2]道具信息!R320="","",[2]道具信息!R320)</f>
        <v/>
      </c>
      <c r="S320" s="59" t="str">
        <f>IF([2]道具信息!S320="","",[2]道具信息!S320)</f>
        <v/>
      </c>
      <c r="T320" s="59" t="str">
        <f>IF([2]道具信息!T320="","",[2]道具信息!T320)</f>
        <v/>
      </c>
      <c r="U320" s="59" t="str">
        <f>IF([2]道具信息!U320="","",[2]道具信息!U320)</f>
        <v/>
      </c>
      <c r="V320" s="59" t="str">
        <f>IF([2]道具信息!V320="","",[2]道具信息!V320)</f>
        <v/>
      </c>
      <c r="W320" s="59" t="str">
        <f>IF([2]道具信息!W320="","",[2]道具信息!W320)</f>
        <v/>
      </c>
      <c r="X320" s="59" t="str">
        <f>IF([2]道具信息!X320="","",[2]道具信息!X320)</f>
        <v/>
      </c>
      <c r="Y320" s="59" t="str">
        <f>IF([2]道具信息!Y320="","",[2]道具信息!Y320)</f>
        <v/>
      </c>
      <c r="Z320" s="59" t="str">
        <f>IF([2]道具信息!Z320="","",[2]道具信息!Z320)</f>
        <v/>
      </c>
    </row>
    <row r="321" spans="1:26" x14ac:dyDescent="0.15">
      <c r="A321" s="59" t="str">
        <f>IF([2]道具信息!A321="","",[2]道具信息!A321)</f>
        <v/>
      </c>
      <c r="B321" s="59" t="str">
        <f>IF([2]道具信息!B321="","",[2]道具信息!B321)</f>
        <v/>
      </c>
      <c r="C321" s="59">
        <f>IF([2]道具信息!C321="","",[2]道具信息!C321)</f>
        <v>20072</v>
      </c>
      <c r="D321" s="59" t="str">
        <f>IF([2]道具信息!D321="","",[2]道具信息!D321)</f>
        <v>青龙青圭·极</v>
      </c>
      <c r="E321" s="59">
        <f>IF([2]道具信息!E321="","",[2]道具信息!E321)</f>
        <v>120</v>
      </c>
      <c r="F321" s="59">
        <f>IF([2]道具信息!F321="","",[2]道具信息!F321)</f>
        <v>1</v>
      </c>
      <c r="G321" s="59">
        <f>IF([2]道具信息!G321="","",[2]道具信息!G321)</f>
        <v>1</v>
      </c>
      <c r="H321" s="59">
        <f>IF([2]道具信息!H321="","",[2]道具信息!H321)</f>
        <v>1</v>
      </c>
      <c r="I321" s="59">
        <f>IF([2]道具信息!I321="","",[2]道具信息!I321)</f>
        <v>120</v>
      </c>
      <c r="J321" s="59">
        <f>IF([2]道具信息!J321="","",[2]道具信息!J321)</f>
        <v>120</v>
      </c>
      <c r="K321" s="59">
        <f>IF([2]道具信息!K321="","",[2]道具信息!K321)</f>
        <v>120</v>
      </c>
      <c r="L321" s="59" t="str">
        <f>IF([2]道具信息!L321="","",[2]道具信息!L321)</f>
        <v>青云直上，龙飞凤舞，可用于武将觉醒</v>
      </c>
      <c r="M321" s="59" t="str">
        <f>IF([2]道具信息!M321="","",[2]道具信息!M321)</f>
        <v/>
      </c>
      <c r="N321" s="59" t="str">
        <f>IF([2]道具信息!N321="","",[2]道具信息!N321)</f>
        <v/>
      </c>
      <c r="O321" s="59" t="str">
        <f>IF([2]道具信息!O321="","",[2]道具信息!O321)</f>
        <v/>
      </c>
      <c r="P321" s="59" t="str">
        <f>IF([2]道具信息!P321="","",[2]道具信息!P321)</f>
        <v/>
      </c>
      <c r="Q321" s="59" t="str">
        <f>IF([2]道具信息!Q321="","",[2]道具信息!Q321)</f>
        <v/>
      </c>
      <c r="R321" s="59" t="str">
        <f>IF([2]道具信息!R321="","",[2]道具信息!R321)</f>
        <v/>
      </c>
      <c r="S321" s="59" t="str">
        <f>IF([2]道具信息!S321="","",[2]道具信息!S321)</f>
        <v/>
      </c>
      <c r="T321" s="59" t="str">
        <f>IF([2]道具信息!T321="","",[2]道具信息!T321)</f>
        <v/>
      </c>
      <c r="U321" s="59" t="str">
        <f>IF([2]道具信息!U321="","",[2]道具信息!U321)</f>
        <v/>
      </c>
      <c r="V321" s="59" t="str">
        <f>IF([2]道具信息!V321="","",[2]道具信息!V321)</f>
        <v/>
      </c>
      <c r="W321" s="59" t="str">
        <f>IF([2]道具信息!W321="","",[2]道具信息!W321)</f>
        <v/>
      </c>
      <c r="X321" s="59" t="str">
        <f>IF([2]道具信息!X321="","",[2]道具信息!X321)</f>
        <v/>
      </c>
      <c r="Y321" s="59" t="str">
        <f>IF([2]道具信息!Y321="","",[2]道具信息!Y321)</f>
        <v/>
      </c>
      <c r="Z321" s="59" t="str">
        <f>IF([2]道具信息!Z321="","",[2]道具信息!Z321)</f>
        <v/>
      </c>
    </row>
    <row r="322" spans="1:26" x14ac:dyDescent="0.15">
      <c r="A322" s="59" t="str">
        <f>IF([2]道具信息!A322="","",[2]道具信息!A322)</f>
        <v/>
      </c>
      <c r="B322" s="59" t="str">
        <f>IF([2]道具信息!B322="","",[2]道具信息!B322)</f>
        <v/>
      </c>
      <c r="C322" s="59" t="str">
        <f>IF([2]道具信息!C322="","",[2]道具信息!C322)</f>
        <v/>
      </c>
      <c r="D322" s="59" t="str">
        <f>IF([2]道具信息!D322="","",[2]道具信息!D322)</f>
        <v/>
      </c>
      <c r="E322" s="59" t="str">
        <f>IF([2]道具信息!E322="","",[2]道具信息!E322)</f>
        <v/>
      </c>
      <c r="F322" s="59" t="str">
        <f>IF([2]道具信息!F322="","",[2]道具信息!F322)</f>
        <v/>
      </c>
      <c r="G322" s="59" t="str">
        <f>IF([2]道具信息!G322="","",[2]道具信息!G322)</f>
        <v/>
      </c>
      <c r="H322" s="59" t="str">
        <f>IF([2]道具信息!H322="","",[2]道具信息!H322)</f>
        <v/>
      </c>
      <c r="I322" s="59" t="str">
        <f>IF([2]道具信息!I322="","",[2]道具信息!I322)</f>
        <v/>
      </c>
      <c r="J322" s="59" t="str">
        <f>IF([2]道具信息!J322="","",[2]道具信息!J322)</f>
        <v/>
      </c>
      <c r="K322" s="59" t="str">
        <f>IF([2]道具信息!K322="","",[2]道具信息!K322)</f>
        <v/>
      </c>
      <c r="L322" s="59" t="str">
        <f>IF([2]道具信息!L322="","",[2]道具信息!L322)</f>
        <v/>
      </c>
      <c r="M322" s="59" t="str">
        <f>IF([2]道具信息!M322="","",[2]道具信息!M322)</f>
        <v/>
      </c>
      <c r="N322" s="59" t="str">
        <f>IF([2]道具信息!N322="","",[2]道具信息!N322)</f>
        <v/>
      </c>
      <c r="O322" s="59" t="str">
        <f>IF([2]道具信息!O322="","",[2]道具信息!O322)</f>
        <v/>
      </c>
      <c r="P322" s="59" t="str">
        <f>IF([2]道具信息!P322="","",[2]道具信息!P322)</f>
        <v/>
      </c>
      <c r="Q322" s="59" t="str">
        <f>IF([2]道具信息!Q322="","",[2]道具信息!Q322)</f>
        <v/>
      </c>
      <c r="R322" s="59" t="str">
        <f>IF([2]道具信息!R322="","",[2]道具信息!R322)</f>
        <v/>
      </c>
      <c r="S322" s="59" t="str">
        <f>IF([2]道具信息!S322="","",[2]道具信息!S322)</f>
        <v/>
      </c>
      <c r="T322" s="59" t="str">
        <f>IF([2]道具信息!T322="","",[2]道具信息!T322)</f>
        <v/>
      </c>
      <c r="U322" s="59" t="str">
        <f>IF([2]道具信息!U322="","",[2]道具信息!U322)</f>
        <v/>
      </c>
      <c r="V322" s="59" t="str">
        <f>IF([2]道具信息!V322="","",[2]道具信息!V322)</f>
        <v/>
      </c>
      <c r="W322" s="59" t="str">
        <f>IF([2]道具信息!W322="","",[2]道具信息!W322)</f>
        <v/>
      </c>
      <c r="X322" s="59" t="str">
        <f>IF([2]道具信息!X322="","",[2]道具信息!X322)</f>
        <v/>
      </c>
      <c r="Y322" s="59" t="str">
        <f>IF([2]道具信息!Y322="","",[2]道具信息!Y322)</f>
        <v/>
      </c>
      <c r="Z322" s="59" t="str">
        <f>IF([2]道具信息!Z322="","",[2]道具信息!Z322)</f>
        <v/>
      </c>
    </row>
    <row r="323" spans="1:26" x14ac:dyDescent="0.15">
      <c r="A323" s="59" t="str">
        <f>IF([2]道具信息!A323="","",[2]道具信息!A323)</f>
        <v/>
      </c>
      <c r="B323" s="59" t="str">
        <f>IF([2]道具信息!B323="","",[2]道具信息!B323)</f>
        <v/>
      </c>
      <c r="C323" s="59">
        <f>IF([2]道具信息!C323="","",[2]道具信息!C323)</f>
        <v>20077</v>
      </c>
      <c r="D323" s="59" t="str">
        <f>IF([2]道具信息!D323="","",[2]道具信息!D323)</f>
        <v>战将护符·极</v>
      </c>
      <c r="E323" s="59">
        <f>IF([2]道具信息!E323="","",[2]道具信息!E323)</f>
        <v>140</v>
      </c>
      <c r="F323" s="59">
        <f>IF([2]道具信息!F323="","",[2]道具信息!F323)</f>
        <v>1</v>
      </c>
      <c r="G323" s="59">
        <f>IF([2]道具信息!G323="","",[2]道具信息!G323)</f>
        <v>1</v>
      </c>
      <c r="H323" s="59">
        <f>IF([2]道具信息!H323="","",[2]道具信息!H323)</f>
        <v>1</v>
      </c>
      <c r="I323" s="59">
        <f>IF([2]道具信息!I323="","",[2]道具信息!I323)</f>
        <v>140</v>
      </c>
      <c r="J323" s="59">
        <f>IF([2]道具信息!J323="","",[2]道具信息!J323)</f>
        <v>140</v>
      </c>
      <c r="K323" s="59">
        <f>IF([2]道具信息!K323="","",[2]道具信息!K323)</f>
        <v>140</v>
      </c>
      <c r="L323" s="59" t="str">
        <f>IF([2]道具信息!L323="","",[2]道具信息!L323)</f>
        <v>王侯将相，功成名就，可用于武将觉醒</v>
      </c>
      <c r="M323" s="59" t="str">
        <f>IF([2]道具信息!M323="","",[2]道具信息!M323)</f>
        <v/>
      </c>
      <c r="N323" s="59" t="str">
        <f>IF([2]道具信息!N323="","",[2]道具信息!N323)</f>
        <v/>
      </c>
      <c r="O323" s="59" t="str">
        <f>IF([2]道具信息!O323="","",[2]道具信息!O323)</f>
        <v/>
      </c>
      <c r="P323" s="59" t="str">
        <f>IF([2]道具信息!P323="","",[2]道具信息!P323)</f>
        <v/>
      </c>
      <c r="Q323" s="59" t="str">
        <f>IF([2]道具信息!Q323="","",[2]道具信息!Q323)</f>
        <v/>
      </c>
      <c r="R323" s="59" t="str">
        <f>IF([2]道具信息!R323="","",[2]道具信息!R323)</f>
        <v/>
      </c>
      <c r="S323" s="59" t="str">
        <f>IF([2]道具信息!S323="","",[2]道具信息!S323)</f>
        <v/>
      </c>
      <c r="T323" s="59" t="str">
        <f>IF([2]道具信息!T323="","",[2]道具信息!T323)</f>
        <v/>
      </c>
      <c r="U323" s="59" t="str">
        <f>IF([2]道具信息!U323="","",[2]道具信息!U323)</f>
        <v/>
      </c>
      <c r="V323" s="59" t="str">
        <f>IF([2]道具信息!V323="","",[2]道具信息!V323)</f>
        <v/>
      </c>
      <c r="W323" s="59" t="str">
        <f>IF([2]道具信息!W323="","",[2]道具信息!W323)</f>
        <v/>
      </c>
      <c r="X323" s="59" t="str">
        <f>IF([2]道具信息!X323="","",[2]道具信息!X323)</f>
        <v/>
      </c>
      <c r="Y323" s="59" t="str">
        <f>IF([2]道具信息!Y323="","",[2]道具信息!Y323)</f>
        <v/>
      </c>
      <c r="Z323" s="59" t="str">
        <f>IF([2]道具信息!Z323="","",[2]道具信息!Z323)</f>
        <v/>
      </c>
    </row>
    <row r="324" spans="1:26" x14ac:dyDescent="0.15">
      <c r="A324" s="59" t="str">
        <f>IF([2]道具信息!A324="","",[2]道具信息!A324)</f>
        <v/>
      </c>
      <c r="B324" s="59" t="str">
        <f>IF([2]道具信息!B324="","",[2]道具信息!B324)</f>
        <v/>
      </c>
      <c r="C324" s="59">
        <f>IF([2]道具信息!C324="","",[2]道具信息!C324)</f>
        <v>20078</v>
      </c>
      <c r="D324" s="59" t="str">
        <f>IF([2]道具信息!D324="","",[2]道具信息!D324)</f>
        <v>军师护符·极</v>
      </c>
      <c r="E324" s="59">
        <f>IF([2]道具信息!E324="","",[2]道具信息!E324)</f>
        <v>140</v>
      </c>
      <c r="F324" s="59">
        <f>IF([2]道具信息!F324="","",[2]道具信息!F324)</f>
        <v>1</v>
      </c>
      <c r="G324" s="59">
        <f>IF([2]道具信息!G324="","",[2]道具信息!G324)</f>
        <v>1</v>
      </c>
      <c r="H324" s="59">
        <f>IF([2]道具信息!H324="","",[2]道具信息!H324)</f>
        <v>1</v>
      </c>
      <c r="I324" s="59">
        <f>IF([2]道具信息!I324="","",[2]道具信息!I324)</f>
        <v>140</v>
      </c>
      <c r="J324" s="59">
        <f>IF([2]道具信息!J324="","",[2]道具信息!J324)</f>
        <v>140</v>
      </c>
      <c r="K324" s="59">
        <f>IF([2]道具信息!K324="","",[2]道具信息!K324)</f>
        <v>140</v>
      </c>
      <c r="L324" s="59" t="str">
        <f>IF([2]道具信息!L324="","",[2]道具信息!L324)</f>
        <v>神机妙算，才华横溢，可用于武将觉醒</v>
      </c>
      <c r="M324" s="59" t="str">
        <f>IF([2]道具信息!M324="","",[2]道具信息!M324)</f>
        <v/>
      </c>
      <c r="N324" s="59" t="str">
        <f>IF([2]道具信息!N324="","",[2]道具信息!N324)</f>
        <v/>
      </c>
      <c r="O324" s="59" t="str">
        <f>IF([2]道具信息!O324="","",[2]道具信息!O324)</f>
        <v/>
      </c>
      <c r="P324" s="59" t="str">
        <f>IF([2]道具信息!P324="","",[2]道具信息!P324)</f>
        <v/>
      </c>
      <c r="Q324" s="59" t="str">
        <f>IF([2]道具信息!Q324="","",[2]道具信息!Q324)</f>
        <v/>
      </c>
      <c r="R324" s="59" t="str">
        <f>IF([2]道具信息!R324="","",[2]道具信息!R324)</f>
        <v/>
      </c>
      <c r="S324" s="59" t="str">
        <f>IF([2]道具信息!S324="","",[2]道具信息!S324)</f>
        <v/>
      </c>
      <c r="T324" s="59" t="str">
        <f>IF([2]道具信息!T324="","",[2]道具信息!T324)</f>
        <v/>
      </c>
      <c r="U324" s="59" t="str">
        <f>IF([2]道具信息!U324="","",[2]道具信息!U324)</f>
        <v/>
      </c>
      <c r="V324" s="59" t="str">
        <f>IF([2]道具信息!V324="","",[2]道具信息!V324)</f>
        <v/>
      </c>
      <c r="W324" s="59" t="str">
        <f>IF([2]道具信息!W324="","",[2]道具信息!W324)</f>
        <v/>
      </c>
      <c r="X324" s="59" t="str">
        <f>IF([2]道具信息!X324="","",[2]道具信息!X324)</f>
        <v/>
      </c>
      <c r="Y324" s="59" t="str">
        <f>IF([2]道具信息!Y324="","",[2]道具信息!Y324)</f>
        <v/>
      </c>
      <c r="Z324" s="59" t="str">
        <f>IF([2]道具信息!Z324="","",[2]道具信息!Z324)</f>
        <v/>
      </c>
    </row>
    <row r="325" spans="1:26" x14ac:dyDescent="0.15">
      <c r="A325" s="59" t="str">
        <f>IF([2]道具信息!A325="","",[2]道具信息!A325)</f>
        <v/>
      </c>
      <c r="B325" s="59" t="str">
        <f>IF([2]道具信息!B325="","",[2]道具信息!B325)</f>
        <v/>
      </c>
      <c r="C325" s="59">
        <f>IF([2]道具信息!C325="","",[2]道具信息!C325)</f>
        <v>20079</v>
      </c>
      <c r="D325" s="59" t="str">
        <f>IF([2]道具信息!D325="","",[2]道具信息!D325)</f>
        <v>统帅护符·极</v>
      </c>
      <c r="E325" s="59">
        <f>IF([2]道具信息!E325="","",[2]道具信息!E325)</f>
        <v>140</v>
      </c>
      <c r="F325" s="59">
        <f>IF([2]道具信息!F325="","",[2]道具信息!F325)</f>
        <v>1</v>
      </c>
      <c r="G325" s="59">
        <f>IF([2]道具信息!G325="","",[2]道具信息!G325)</f>
        <v>1</v>
      </c>
      <c r="H325" s="59">
        <f>IF([2]道具信息!H325="","",[2]道具信息!H325)</f>
        <v>1</v>
      </c>
      <c r="I325" s="59">
        <f>IF([2]道具信息!I325="","",[2]道具信息!I325)</f>
        <v>140</v>
      </c>
      <c r="J325" s="59">
        <f>IF([2]道具信息!J325="","",[2]道具信息!J325)</f>
        <v>140</v>
      </c>
      <c r="K325" s="59">
        <f>IF([2]道具信息!K325="","",[2]道具信息!K325)</f>
        <v>140</v>
      </c>
      <c r="L325" s="59" t="str">
        <f>IF([2]道具信息!L325="","",[2]道具信息!L325)</f>
        <v>号令如山，统帅三军，可用于武将觉醒</v>
      </c>
      <c r="M325" s="59" t="str">
        <f>IF([2]道具信息!M325="","",[2]道具信息!M325)</f>
        <v/>
      </c>
      <c r="N325" s="59" t="str">
        <f>IF([2]道具信息!N325="","",[2]道具信息!N325)</f>
        <v/>
      </c>
      <c r="O325" s="59" t="str">
        <f>IF([2]道具信息!O325="","",[2]道具信息!O325)</f>
        <v/>
      </c>
      <c r="P325" s="59" t="str">
        <f>IF([2]道具信息!P325="","",[2]道具信息!P325)</f>
        <v/>
      </c>
      <c r="Q325" s="59" t="str">
        <f>IF([2]道具信息!Q325="","",[2]道具信息!Q325)</f>
        <v/>
      </c>
      <c r="R325" s="59" t="str">
        <f>IF([2]道具信息!R325="","",[2]道具信息!R325)</f>
        <v/>
      </c>
      <c r="S325" s="59" t="str">
        <f>IF([2]道具信息!S325="","",[2]道具信息!S325)</f>
        <v/>
      </c>
      <c r="T325" s="59" t="str">
        <f>IF([2]道具信息!T325="","",[2]道具信息!T325)</f>
        <v/>
      </c>
      <c r="U325" s="59" t="str">
        <f>IF([2]道具信息!U325="","",[2]道具信息!U325)</f>
        <v/>
      </c>
      <c r="V325" s="59" t="str">
        <f>IF([2]道具信息!V325="","",[2]道具信息!V325)</f>
        <v/>
      </c>
      <c r="W325" s="59" t="str">
        <f>IF([2]道具信息!W325="","",[2]道具信息!W325)</f>
        <v/>
      </c>
      <c r="X325" s="59" t="str">
        <f>IF([2]道具信息!X325="","",[2]道具信息!X325)</f>
        <v/>
      </c>
      <c r="Y325" s="59" t="str">
        <f>IF([2]道具信息!Y325="","",[2]道具信息!Y325)</f>
        <v/>
      </c>
      <c r="Z325" s="59" t="str">
        <f>IF([2]道具信息!Z325="","",[2]道具信息!Z325)</f>
        <v/>
      </c>
    </row>
    <row r="326" spans="1:26" x14ac:dyDescent="0.15">
      <c r="A326" s="59" t="str">
        <f>IF([2]道具信息!A326="","",[2]道具信息!A326)</f>
        <v/>
      </c>
      <c r="B326" s="59" t="str">
        <f>IF([2]道具信息!B326="","",[2]道具信息!B326)</f>
        <v/>
      </c>
      <c r="C326" s="59" t="str">
        <f>IF([2]道具信息!C326="","",[2]道具信息!C326)</f>
        <v/>
      </c>
      <c r="D326" s="59" t="str">
        <f>IF([2]道具信息!D326="","",[2]道具信息!D326)</f>
        <v/>
      </c>
      <c r="E326" s="59" t="str">
        <f>IF([2]道具信息!E326="","",[2]道具信息!E326)</f>
        <v/>
      </c>
      <c r="F326" s="59" t="str">
        <f>IF([2]道具信息!F326="","",[2]道具信息!F326)</f>
        <v/>
      </c>
      <c r="G326" s="59" t="str">
        <f>IF([2]道具信息!G326="","",[2]道具信息!G326)</f>
        <v/>
      </c>
      <c r="H326" s="59" t="str">
        <f>IF([2]道具信息!H326="","",[2]道具信息!H326)</f>
        <v/>
      </c>
      <c r="I326" s="59" t="str">
        <f>IF([2]道具信息!I326="","",[2]道具信息!I326)</f>
        <v/>
      </c>
      <c r="J326" s="59" t="str">
        <f>IF([2]道具信息!J326="","",[2]道具信息!J326)</f>
        <v/>
      </c>
      <c r="K326" s="59" t="str">
        <f>IF([2]道具信息!K326="","",[2]道具信息!K326)</f>
        <v/>
      </c>
      <c r="L326" s="59" t="str">
        <f>IF([2]道具信息!L326="","",[2]道具信息!L326)</f>
        <v/>
      </c>
      <c r="M326" s="59" t="str">
        <f>IF([2]道具信息!M326="","",[2]道具信息!M326)</f>
        <v/>
      </c>
      <c r="N326" s="59" t="str">
        <f>IF([2]道具信息!N326="","",[2]道具信息!N326)</f>
        <v/>
      </c>
      <c r="O326" s="59" t="str">
        <f>IF([2]道具信息!O326="","",[2]道具信息!O326)</f>
        <v/>
      </c>
      <c r="P326" s="59" t="str">
        <f>IF([2]道具信息!P326="","",[2]道具信息!P326)</f>
        <v/>
      </c>
      <c r="Q326" s="59" t="str">
        <f>IF([2]道具信息!Q326="","",[2]道具信息!Q326)</f>
        <v/>
      </c>
      <c r="R326" s="59" t="str">
        <f>IF([2]道具信息!R326="","",[2]道具信息!R326)</f>
        <v/>
      </c>
      <c r="S326" s="59" t="str">
        <f>IF([2]道具信息!S326="","",[2]道具信息!S326)</f>
        <v/>
      </c>
      <c r="T326" s="59" t="str">
        <f>IF([2]道具信息!T326="","",[2]道具信息!T326)</f>
        <v/>
      </c>
      <c r="U326" s="59" t="str">
        <f>IF([2]道具信息!U326="","",[2]道具信息!U326)</f>
        <v/>
      </c>
      <c r="V326" s="59" t="str">
        <f>IF([2]道具信息!V326="","",[2]道具信息!V326)</f>
        <v/>
      </c>
      <c r="W326" s="59" t="str">
        <f>IF([2]道具信息!W326="","",[2]道具信息!W326)</f>
        <v/>
      </c>
      <c r="X326" s="59" t="str">
        <f>IF([2]道具信息!X326="","",[2]道具信息!X326)</f>
        <v/>
      </c>
      <c r="Y326" s="59" t="str">
        <f>IF([2]道具信息!Y326="","",[2]道具信息!Y326)</f>
        <v/>
      </c>
      <c r="Z326" s="59" t="str">
        <f>IF([2]道具信息!Z326="","",[2]道具信息!Z326)</f>
        <v/>
      </c>
    </row>
    <row r="327" spans="1:26" x14ac:dyDescent="0.15">
      <c r="A327" s="59" t="str">
        <f>IF([2]道具信息!A327="","",[2]道具信息!A327)</f>
        <v/>
      </c>
      <c r="B327" s="59" t="str">
        <f>IF([2]道具信息!B327="","",[2]道具信息!B327)</f>
        <v/>
      </c>
      <c r="C327" s="59" t="str">
        <f>IF([2]道具信息!C327="","",[2]道具信息!C327)</f>
        <v/>
      </c>
      <c r="D327" s="59" t="str">
        <f>IF([2]道具信息!D327="","",[2]道具信息!D327)</f>
        <v/>
      </c>
      <c r="E327" s="59" t="str">
        <f>IF([2]道具信息!E327="","",[2]道具信息!E327)</f>
        <v/>
      </c>
      <c r="F327" s="59" t="str">
        <f>IF([2]道具信息!F327="","",[2]道具信息!F327)</f>
        <v/>
      </c>
      <c r="G327" s="59" t="str">
        <f>IF([2]道具信息!G327="","",[2]道具信息!G327)</f>
        <v/>
      </c>
      <c r="H327" s="59" t="str">
        <f>IF([2]道具信息!H327="","",[2]道具信息!H327)</f>
        <v/>
      </c>
      <c r="I327" s="59" t="str">
        <f>IF([2]道具信息!I327="","",[2]道具信息!I327)</f>
        <v/>
      </c>
      <c r="J327" s="59" t="str">
        <f>IF([2]道具信息!J327="","",[2]道具信息!J327)</f>
        <v/>
      </c>
      <c r="K327" s="59" t="str">
        <f>IF([2]道具信息!K327="","",[2]道具信息!K327)</f>
        <v/>
      </c>
      <c r="L327" s="59" t="str">
        <f>IF([2]道具信息!L327="","",[2]道具信息!L327)</f>
        <v/>
      </c>
      <c r="M327" s="59" t="str">
        <f>IF([2]道具信息!M327="","",[2]道具信息!M327)</f>
        <v/>
      </c>
      <c r="N327" s="59" t="str">
        <f>IF([2]道具信息!N327="","",[2]道具信息!N327)</f>
        <v/>
      </c>
      <c r="O327" s="59" t="str">
        <f>IF([2]道具信息!O327="","",[2]道具信息!O327)</f>
        <v/>
      </c>
      <c r="P327" s="59" t="str">
        <f>IF([2]道具信息!P327="","",[2]道具信息!P327)</f>
        <v/>
      </c>
      <c r="Q327" s="59" t="str">
        <f>IF([2]道具信息!Q327="","",[2]道具信息!Q327)</f>
        <v/>
      </c>
      <c r="R327" s="59" t="str">
        <f>IF([2]道具信息!R327="","",[2]道具信息!R327)</f>
        <v/>
      </c>
      <c r="S327" s="59" t="str">
        <f>IF([2]道具信息!S327="","",[2]道具信息!S327)</f>
        <v/>
      </c>
      <c r="T327" s="59" t="str">
        <f>IF([2]道具信息!T327="","",[2]道具信息!T327)</f>
        <v/>
      </c>
      <c r="U327" s="59" t="str">
        <f>IF([2]道具信息!U327="","",[2]道具信息!U327)</f>
        <v/>
      </c>
      <c r="V327" s="59" t="str">
        <f>IF([2]道具信息!V327="","",[2]道具信息!V327)</f>
        <v/>
      </c>
      <c r="W327" s="59" t="str">
        <f>IF([2]道具信息!W327="","",[2]道具信息!W327)</f>
        <v/>
      </c>
      <c r="X327" s="59" t="str">
        <f>IF([2]道具信息!X327="","",[2]道具信息!X327)</f>
        <v/>
      </c>
      <c r="Y327" s="59" t="str">
        <f>IF([2]道具信息!Y327="","",[2]道具信息!Y327)</f>
        <v/>
      </c>
      <c r="Z327" s="59" t="str">
        <f>IF([2]道具信息!Z327="","",[2]道具信息!Z327)</f>
        <v/>
      </c>
    </row>
    <row r="328" spans="1:26" x14ac:dyDescent="0.15">
      <c r="A328" s="59" t="str">
        <f>IF([2]道具信息!A328="","",[2]道具信息!A328)</f>
        <v/>
      </c>
      <c r="B328" s="59" t="str">
        <f>IF([2]道具信息!B328="","",[2]道具信息!B328)</f>
        <v/>
      </c>
      <c r="C328" s="59">
        <f>IF([2]道具信息!C328="","",[2]道具信息!C328)</f>
        <v>23001</v>
      </c>
      <c r="D328" s="59" t="str">
        <f>IF([2]道具信息!D328="","",[2]道具信息!D328)</f>
        <v>紫色步将自选宝箱</v>
      </c>
      <c r="E328" s="59">
        <f>IF([2]道具信息!E328="","",[2]道具信息!E328)</f>
        <v>600</v>
      </c>
      <c r="F328" s="59">
        <f>IF([2]道具信息!F328="","",[2]道具信息!F328)</f>
        <v>1</v>
      </c>
      <c r="G328" s="59">
        <f>IF([2]道具信息!G328="","",[2]道具信息!G328)</f>
        <v>1</v>
      </c>
      <c r="H328" s="59">
        <f>IF([2]道具信息!H328="","",[2]道具信息!H328)</f>
        <v>1</v>
      </c>
      <c r="I328" s="59">
        <f>IF([2]道具信息!I328="","",[2]道具信息!I328)</f>
        <v>600</v>
      </c>
      <c r="J328" s="59">
        <f>IF([2]道具信息!J328="","",[2]道具信息!J328)</f>
        <v>600</v>
      </c>
      <c r="K328" s="59">
        <f>IF([2]道具信息!K328="","",[2]道具信息!K328)</f>
        <v>600</v>
      </c>
      <c r="L328" s="59" t="str">
        <f>IF([2]道具信息!L328="","",[2]道具信息!L328)</f>
        <v>使用后选择获得一个紫色步将</v>
      </c>
      <c r="M328" s="59" t="str">
        <f>IF([2]道具信息!M328="","",[2]道具信息!M328)</f>
        <v/>
      </c>
      <c r="N328" s="59" t="str">
        <f>IF([2]道具信息!N328="","",[2]道具信息!N328)</f>
        <v/>
      </c>
      <c r="O328" s="59" t="str">
        <f>IF([2]道具信息!O328="","",[2]道具信息!O328)</f>
        <v/>
      </c>
      <c r="P328" s="59" t="str">
        <f>IF([2]道具信息!P328="","",[2]道具信息!P328)</f>
        <v/>
      </c>
      <c r="Q328" s="59" t="str">
        <f>IF([2]道具信息!Q328="","",[2]道具信息!Q328)</f>
        <v/>
      </c>
      <c r="R328" s="59" t="str">
        <f>IF([2]道具信息!R328="","",[2]道具信息!R328)</f>
        <v/>
      </c>
      <c r="S328" s="59" t="str">
        <f>IF([2]道具信息!S328="","",[2]道具信息!S328)</f>
        <v/>
      </c>
      <c r="T328" s="59" t="str">
        <f>IF([2]道具信息!T328="","",[2]道具信息!T328)</f>
        <v/>
      </c>
      <c r="U328" s="59" t="str">
        <f>IF([2]道具信息!U328="","",[2]道具信息!U328)</f>
        <v/>
      </c>
      <c r="V328" s="59" t="str">
        <f>IF([2]道具信息!V328="","",[2]道具信息!V328)</f>
        <v/>
      </c>
      <c r="W328" s="59" t="str">
        <f>IF([2]道具信息!W328="","",[2]道具信息!W328)</f>
        <v/>
      </c>
      <c r="X328" s="59" t="str">
        <f>IF([2]道具信息!X328="","",[2]道具信息!X328)</f>
        <v/>
      </c>
      <c r="Y328" s="59" t="str">
        <f>IF([2]道具信息!Y328="","",[2]道具信息!Y328)</f>
        <v/>
      </c>
      <c r="Z328" s="59" t="str">
        <f>IF([2]道具信息!Z328="","",[2]道具信息!Z328)</f>
        <v/>
      </c>
    </row>
    <row r="329" spans="1:26" x14ac:dyDescent="0.15">
      <c r="A329" s="59" t="str">
        <f>IF([2]道具信息!A329="","",[2]道具信息!A329)</f>
        <v/>
      </c>
      <c r="B329" s="59" t="str">
        <f>IF([2]道具信息!B329="","",[2]道具信息!B329)</f>
        <v/>
      </c>
      <c r="C329" s="59">
        <f>IF([2]道具信息!C329="","",[2]道具信息!C329)</f>
        <v>23002</v>
      </c>
      <c r="D329" s="59" t="str">
        <f>IF([2]道具信息!D329="","",[2]道具信息!D329)</f>
        <v>橙色步将自选宝箱</v>
      </c>
      <c r="E329" s="59">
        <f>IF([2]道具信息!E329="","",[2]道具信息!E329)</f>
        <v>4800</v>
      </c>
      <c r="F329" s="59">
        <f>IF([2]道具信息!F329="","",[2]道具信息!F329)</f>
        <v>1</v>
      </c>
      <c r="G329" s="59">
        <f>IF([2]道具信息!G329="","",[2]道具信息!G329)</f>
        <v>1</v>
      </c>
      <c r="H329" s="59">
        <f>IF([2]道具信息!H329="","",[2]道具信息!H329)</f>
        <v>1</v>
      </c>
      <c r="I329" s="59">
        <f>IF([2]道具信息!I329="","",[2]道具信息!I329)</f>
        <v>4800</v>
      </c>
      <c r="J329" s="59">
        <f>IF([2]道具信息!J329="","",[2]道具信息!J329)</f>
        <v>4800</v>
      </c>
      <c r="K329" s="59">
        <f>IF([2]道具信息!K329="","",[2]道具信息!K329)</f>
        <v>4800</v>
      </c>
      <c r="L329" s="59" t="str">
        <f>IF([2]道具信息!L329="","",[2]道具信息!L329)</f>
        <v>使用后选择获得一个橙色武将</v>
      </c>
      <c r="M329" s="59" t="str">
        <f>IF([2]道具信息!M329="","",[2]道具信息!M329)</f>
        <v/>
      </c>
      <c r="N329" s="59" t="str">
        <f>IF([2]道具信息!N329="","",[2]道具信息!N329)</f>
        <v/>
      </c>
      <c r="O329" s="59" t="str">
        <f>IF([2]道具信息!O329="","",[2]道具信息!O329)</f>
        <v/>
      </c>
      <c r="P329" s="59" t="str">
        <f>IF([2]道具信息!P329="","",[2]道具信息!P329)</f>
        <v/>
      </c>
      <c r="Q329" s="59" t="str">
        <f>IF([2]道具信息!Q329="","",[2]道具信息!Q329)</f>
        <v/>
      </c>
      <c r="R329" s="59" t="str">
        <f>IF([2]道具信息!R329="","",[2]道具信息!R329)</f>
        <v/>
      </c>
      <c r="S329" s="59" t="str">
        <f>IF([2]道具信息!S329="","",[2]道具信息!S329)</f>
        <v/>
      </c>
      <c r="T329" s="59" t="str">
        <f>IF([2]道具信息!T329="","",[2]道具信息!T329)</f>
        <v/>
      </c>
      <c r="U329" s="59" t="str">
        <f>IF([2]道具信息!U329="","",[2]道具信息!U329)</f>
        <v/>
      </c>
      <c r="V329" s="59" t="str">
        <f>IF([2]道具信息!V329="","",[2]道具信息!V329)</f>
        <v/>
      </c>
      <c r="W329" s="59" t="str">
        <f>IF([2]道具信息!W329="","",[2]道具信息!W329)</f>
        <v/>
      </c>
      <c r="X329" s="59" t="str">
        <f>IF([2]道具信息!X329="","",[2]道具信息!X329)</f>
        <v/>
      </c>
      <c r="Y329" s="59" t="str">
        <f>IF([2]道具信息!Y329="","",[2]道具信息!Y329)</f>
        <v/>
      </c>
      <c r="Z329" s="59" t="str">
        <f>IF([2]道具信息!Z329="","",[2]道具信息!Z329)</f>
        <v/>
      </c>
    </row>
    <row r="330" spans="1:26" x14ac:dyDescent="0.15">
      <c r="A330" s="59" t="str">
        <f>IF([2]道具信息!A330="","",[2]道具信息!A330)</f>
        <v/>
      </c>
      <c r="B330" s="59" t="str">
        <f>IF([2]道具信息!B330="","",[2]道具信息!B330)</f>
        <v/>
      </c>
      <c r="C330" s="59">
        <f>IF([2]道具信息!C330="","",[2]道具信息!C330)</f>
        <v>23003</v>
      </c>
      <c r="D330" s="59" t="str">
        <f>IF([2]道具信息!D330="","",[2]道具信息!D330)</f>
        <v>红色步将自选宝箱</v>
      </c>
      <c r="E330" s="59">
        <f>IF([2]道具信息!E330="","",[2]道具信息!E330)</f>
        <v>14400</v>
      </c>
      <c r="F330" s="59">
        <f>IF([2]道具信息!F330="","",[2]道具信息!F330)</f>
        <v>1</v>
      </c>
      <c r="G330" s="59">
        <f>IF([2]道具信息!G330="","",[2]道具信息!G330)</f>
        <v>1</v>
      </c>
      <c r="H330" s="59">
        <f>IF([2]道具信息!H330="","",[2]道具信息!H330)</f>
        <v>1</v>
      </c>
      <c r="I330" s="59">
        <f>IF([2]道具信息!I330="","",[2]道具信息!I330)</f>
        <v>14400</v>
      </c>
      <c r="J330" s="59">
        <f>IF([2]道具信息!J330="","",[2]道具信息!J330)</f>
        <v>14400</v>
      </c>
      <c r="K330" s="59">
        <f>IF([2]道具信息!K330="","",[2]道具信息!K330)</f>
        <v>14400</v>
      </c>
      <c r="L330" s="59" t="str">
        <f>IF([2]道具信息!L330="","",[2]道具信息!L330)</f>
        <v>使用后选择获得一个红色步将</v>
      </c>
      <c r="M330" s="59" t="str">
        <f>IF([2]道具信息!M330="","",[2]道具信息!M330)</f>
        <v/>
      </c>
      <c r="N330" s="59" t="str">
        <f>IF([2]道具信息!N330="","",[2]道具信息!N330)</f>
        <v/>
      </c>
      <c r="O330" s="59" t="str">
        <f>IF([2]道具信息!O330="","",[2]道具信息!O330)</f>
        <v/>
      </c>
      <c r="P330" s="59" t="str">
        <f>IF([2]道具信息!P330="","",[2]道具信息!P330)</f>
        <v/>
      </c>
      <c r="Q330" s="59" t="str">
        <f>IF([2]道具信息!Q330="","",[2]道具信息!Q330)</f>
        <v/>
      </c>
      <c r="R330" s="59" t="str">
        <f>IF([2]道具信息!R330="","",[2]道具信息!R330)</f>
        <v/>
      </c>
      <c r="S330" s="59" t="str">
        <f>IF([2]道具信息!S330="","",[2]道具信息!S330)</f>
        <v/>
      </c>
      <c r="T330" s="59" t="str">
        <f>IF([2]道具信息!T330="","",[2]道具信息!T330)</f>
        <v/>
      </c>
      <c r="U330" s="59" t="str">
        <f>IF([2]道具信息!U330="","",[2]道具信息!U330)</f>
        <v/>
      </c>
      <c r="V330" s="59" t="str">
        <f>IF([2]道具信息!V330="","",[2]道具信息!V330)</f>
        <v/>
      </c>
      <c r="W330" s="59" t="str">
        <f>IF([2]道具信息!W330="","",[2]道具信息!W330)</f>
        <v/>
      </c>
      <c r="X330" s="59" t="str">
        <f>IF([2]道具信息!X330="","",[2]道具信息!X330)</f>
        <v/>
      </c>
      <c r="Y330" s="59" t="str">
        <f>IF([2]道具信息!Y330="","",[2]道具信息!Y330)</f>
        <v/>
      </c>
      <c r="Z330" s="59" t="str">
        <f>IF([2]道具信息!Z330="","",[2]道具信息!Z330)</f>
        <v/>
      </c>
    </row>
    <row r="331" spans="1:26" x14ac:dyDescent="0.15">
      <c r="A331" s="59" t="str">
        <f>IF([2]道具信息!A331="","",[2]道具信息!A331)</f>
        <v/>
      </c>
      <c r="B331" s="59" t="str">
        <f>IF([2]道具信息!B331="","",[2]道具信息!B331)</f>
        <v/>
      </c>
      <c r="C331" s="59">
        <f>IF([2]道具信息!C331="","",[2]道具信息!C331)</f>
        <v>23004</v>
      </c>
      <c r="D331" s="59" t="str">
        <f>IF([2]道具信息!D331="","",[2]道具信息!D331)</f>
        <v>紫色骑将自选宝箱</v>
      </c>
      <c r="E331" s="59">
        <f>IF([2]道具信息!E331="","",[2]道具信息!E331)</f>
        <v>600</v>
      </c>
      <c r="F331" s="59">
        <f>IF([2]道具信息!F331="","",[2]道具信息!F331)</f>
        <v>1</v>
      </c>
      <c r="G331" s="59">
        <f>IF([2]道具信息!G331="","",[2]道具信息!G331)</f>
        <v>1</v>
      </c>
      <c r="H331" s="59">
        <f>IF([2]道具信息!H331="","",[2]道具信息!H331)</f>
        <v>1</v>
      </c>
      <c r="I331" s="59">
        <f>IF([2]道具信息!I331="","",[2]道具信息!I331)</f>
        <v>600</v>
      </c>
      <c r="J331" s="59">
        <f>IF([2]道具信息!J331="","",[2]道具信息!J331)</f>
        <v>600</v>
      </c>
      <c r="K331" s="59">
        <f>IF([2]道具信息!K331="","",[2]道具信息!K331)</f>
        <v>600</v>
      </c>
      <c r="L331" s="59" t="str">
        <f>IF([2]道具信息!L331="","",[2]道具信息!L331)</f>
        <v>使用后选择获得一个紫色骑将</v>
      </c>
      <c r="M331" s="59" t="str">
        <f>IF([2]道具信息!M331="","",[2]道具信息!M331)</f>
        <v/>
      </c>
      <c r="N331" s="59" t="str">
        <f>IF([2]道具信息!N331="","",[2]道具信息!N331)</f>
        <v/>
      </c>
      <c r="O331" s="59" t="str">
        <f>IF([2]道具信息!O331="","",[2]道具信息!O331)</f>
        <v/>
      </c>
      <c r="P331" s="59" t="str">
        <f>IF([2]道具信息!P331="","",[2]道具信息!P331)</f>
        <v/>
      </c>
      <c r="Q331" s="59" t="str">
        <f>IF([2]道具信息!Q331="","",[2]道具信息!Q331)</f>
        <v/>
      </c>
      <c r="R331" s="59" t="str">
        <f>IF([2]道具信息!R331="","",[2]道具信息!R331)</f>
        <v/>
      </c>
      <c r="S331" s="59" t="str">
        <f>IF([2]道具信息!S331="","",[2]道具信息!S331)</f>
        <v/>
      </c>
      <c r="T331" s="59" t="str">
        <f>IF([2]道具信息!T331="","",[2]道具信息!T331)</f>
        <v/>
      </c>
      <c r="U331" s="59" t="str">
        <f>IF([2]道具信息!U331="","",[2]道具信息!U331)</f>
        <v/>
      </c>
      <c r="V331" s="59" t="str">
        <f>IF([2]道具信息!V331="","",[2]道具信息!V331)</f>
        <v/>
      </c>
      <c r="W331" s="59" t="str">
        <f>IF([2]道具信息!W331="","",[2]道具信息!W331)</f>
        <v/>
      </c>
      <c r="X331" s="59" t="str">
        <f>IF([2]道具信息!X331="","",[2]道具信息!X331)</f>
        <v/>
      </c>
      <c r="Y331" s="59" t="str">
        <f>IF([2]道具信息!Y331="","",[2]道具信息!Y331)</f>
        <v/>
      </c>
      <c r="Z331" s="59" t="str">
        <f>IF([2]道具信息!Z331="","",[2]道具信息!Z331)</f>
        <v/>
      </c>
    </row>
    <row r="332" spans="1:26" x14ac:dyDescent="0.15">
      <c r="A332" s="59" t="str">
        <f>IF([2]道具信息!A332="","",[2]道具信息!A332)</f>
        <v/>
      </c>
      <c r="B332" s="59" t="str">
        <f>IF([2]道具信息!B332="","",[2]道具信息!B332)</f>
        <v/>
      </c>
      <c r="C332" s="59">
        <f>IF([2]道具信息!C332="","",[2]道具信息!C332)</f>
        <v>23005</v>
      </c>
      <c r="D332" s="59" t="str">
        <f>IF([2]道具信息!D332="","",[2]道具信息!D332)</f>
        <v>橙色骑将自选宝箱</v>
      </c>
      <c r="E332" s="59">
        <f>IF([2]道具信息!E332="","",[2]道具信息!E332)</f>
        <v>4800</v>
      </c>
      <c r="F332" s="59">
        <f>IF([2]道具信息!F332="","",[2]道具信息!F332)</f>
        <v>1</v>
      </c>
      <c r="G332" s="59">
        <f>IF([2]道具信息!G332="","",[2]道具信息!G332)</f>
        <v>1</v>
      </c>
      <c r="H332" s="59">
        <f>IF([2]道具信息!H332="","",[2]道具信息!H332)</f>
        <v>1</v>
      </c>
      <c r="I332" s="59">
        <f>IF([2]道具信息!I332="","",[2]道具信息!I332)</f>
        <v>4800</v>
      </c>
      <c r="J332" s="59">
        <f>IF([2]道具信息!J332="","",[2]道具信息!J332)</f>
        <v>4800</v>
      </c>
      <c r="K332" s="59">
        <f>IF([2]道具信息!K332="","",[2]道具信息!K332)</f>
        <v>4800</v>
      </c>
      <c r="L332" s="59" t="str">
        <f>IF([2]道具信息!L332="","",[2]道具信息!L332)</f>
        <v>使用后选择获得一个橙色骑将</v>
      </c>
      <c r="M332" s="59" t="str">
        <f>IF([2]道具信息!M332="","",[2]道具信息!M332)</f>
        <v/>
      </c>
      <c r="N332" s="59" t="str">
        <f>IF([2]道具信息!N332="","",[2]道具信息!N332)</f>
        <v/>
      </c>
      <c r="O332" s="59" t="str">
        <f>IF([2]道具信息!O332="","",[2]道具信息!O332)</f>
        <v/>
      </c>
      <c r="P332" s="59" t="str">
        <f>IF([2]道具信息!P332="","",[2]道具信息!P332)</f>
        <v/>
      </c>
      <c r="Q332" s="59" t="str">
        <f>IF([2]道具信息!Q332="","",[2]道具信息!Q332)</f>
        <v/>
      </c>
      <c r="R332" s="59" t="str">
        <f>IF([2]道具信息!R332="","",[2]道具信息!R332)</f>
        <v/>
      </c>
      <c r="S332" s="59" t="str">
        <f>IF([2]道具信息!S332="","",[2]道具信息!S332)</f>
        <v/>
      </c>
      <c r="T332" s="59" t="str">
        <f>IF([2]道具信息!T332="","",[2]道具信息!T332)</f>
        <v/>
      </c>
      <c r="U332" s="59" t="str">
        <f>IF([2]道具信息!U332="","",[2]道具信息!U332)</f>
        <v/>
      </c>
      <c r="V332" s="59" t="str">
        <f>IF([2]道具信息!V332="","",[2]道具信息!V332)</f>
        <v/>
      </c>
      <c r="W332" s="59" t="str">
        <f>IF([2]道具信息!W332="","",[2]道具信息!W332)</f>
        <v/>
      </c>
      <c r="X332" s="59" t="str">
        <f>IF([2]道具信息!X332="","",[2]道具信息!X332)</f>
        <v/>
      </c>
      <c r="Y332" s="59" t="str">
        <f>IF([2]道具信息!Y332="","",[2]道具信息!Y332)</f>
        <v/>
      </c>
      <c r="Z332" s="59" t="str">
        <f>IF([2]道具信息!Z332="","",[2]道具信息!Z332)</f>
        <v/>
      </c>
    </row>
    <row r="333" spans="1:26" x14ac:dyDescent="0.15">
      <c r="A333" s="59" t="str">
        <f>IF([2]道具信息!A333="","",[2]道具信息!A333)</f>
        <v/>
      </c>
      <c r="B333" s="59" t="str">
        <f>IF([2]道具信息!B333="","",[2]道具信息!B333)</f>
        <v/>
      </c>
      <c r="C333" s="59">
        <f>IF([2]道具信息!C333="","",[2]道具信息!C333)</f>
        <v>23006</v>
      </c>
      <c r="D333" s="59" t="str">
        <f>IF([2]道具信息!D333="","",[2]道具信息!D333)</f>
        <v>红色骑将自选宝箱</v>
      </c>
      <c r="E333" s="59">
        <f>IF([2]道具信息!E333="","",[2]道具信息!E333)</f>
        <v>14400</v>
      </c>
      <c r="F333" s="59">
        <f>IF([2]道具信息!F333="","",[2]道具信息!F333)</f>
        <v>1</v>
      </c>
      <c r="G333" s="59">
        <f>IF([2]道具信息!G333="","",[2]道具信息!G333)</f>
        <v>1</v>
      </c>
      <c r="H333" s="59">
        <f>IF([2]道具信息!H333="","",[2]道具信息!H333)</f>
        <v>1</v>
      </c>
      <c r="I333" s="59">
        <f>IF([2]道具信息!I333="","",[2]道具信息!I333)</f>
        <v>14400</v>
      </c>
      <c r="J333" s="59">
        <f>IF([2]道具信息!J333="","",[2]道具信息!J333)</f>
        <v>14400</v>
      </c>
      <c r="K333" s="59">
        <f>IF([2]道具信息!K333="","",[2]道具信息!K333)</f>
        <v>14400</v>
      </c>
      <c r="L333" s="59" t="str">
        <f>IF([2]道具信息!L333="","",[2]道具信息!L333)</f>
        <v>使用后选择获得一个红色骑将</v>
      </c>
      <c r="M333" s="59" t="str">
        <f>IF([2]道具信息!M333="","",[2]道具信息!M333)</f>
        <v/>
      </c>
      <c r="N333" s="59" t="str">
        <f>IF([2]道具信息!N333="","",[2]道具信息!N333)</f>
        <v/>
      </c>
      <c r="O333" s="59" t="str">
        <f>IF([2]道具信息!O333="","",[2]道具信息!O333)</f>
        <v/>
      </c>
      <c r="P333" s="59" t="str">
        <f>IF([2]道具信息!P333="","",[2]道具信息!P333)</f>
        <v/>
      </c>
      <c r="Q333" s="59" t="str">
        <f>IF([2]道具信息!Q333="","",[2]道具信息!Q333)</f>
        <v/>
      </c>
      <c r="R333" s="59" t="str">
        <f>IF([2]道具信息!R333="","",[2]道具信息!R333)</f>
        <v/>
      </c>
      <c r="S333" s="59" t="str">
        <f>IF([2]道具信息!S333="","",[2]道具信息!S333)</f>
        <v/>
      </c>
      <c r="T333" s="59" t="str">
        <f>IF([2]道具信息!T333="","",[2]道具信息!T333)</f>
        <v/>
      </c>
      <c r="U333" s="59" t="str">
        <f>IF([2]道具信息!U333="","",[2]道具信息!U333)</f>
        <v/>
      </c>
      <c r="V333" s="59" t="str">
        <f>IF([2]道具信息!V333="","",[2]道具信息!V333)</f>
        <v/>
      </c>
      <c r="W333" s="59" t="str">
        <f>IF([2]道具信息!W333="","",[2]道具信息!W333)</f>
        <v/>
      </c>
      <c r="X333" s="59" t="str">
        <f>IF([2]道具信息!X333="","",[2]道具信息!X333)</f>
        <v/>
      </c>
      <c r="Y333" s="59" t="str">
        <f>IF([2]道具信息!Y333="","",[2]道具信息!Y333)</f>
        <v/>
      </c>
      <c r="Z333" s="59" t="str">
        <f>IF([2]道具信息!Z333="","",[2]道具信息!Z333)</f>
        <v/>
      </c>
    </row>
    <row r="334" spans="1:26" x14ac:dyDescent="0.15">
      <c r="A334" s="59" t="str">
        <f>IF([2]道具信息!A334="","",[2]道具信息!A334)</f>
        <v/>
      </c>
      <c r="B334" s="59" t="str">
        <f>IF([2]道具信息!B334="","",[2]道具信息!B334)</f>
        <v/>
      </c>
      <c r="C334" s="59">
        <f>IF([2]道具信息!C334="","",[2]道具信息!C334)</f>
        <v>23007</v>
      </c>
      <c r="D334" s="59" t="str">
        <f>IF([2]道具信息!D334="","",[2]道具信息!D334)</f>
        <v>紫色弓将自选宝箱</v>
      </c>
      <c r="E334" s="59">
        <f>IF([2]道具信息!E334="","",[2]道具信息!E334)</f>
        <v>600</v>
      </c>
      <c r="F334" s="59">
        <f>IF([2]道具信息!F334="","",[2]道具信息!F334)</f>
        <v>1</v>
      </c>
      <c r="G334" s="59">
        <f>IF([2]道具信息!G334="","",[2]道具信息!G334)</f>
        <v>1</v>
      </c>
      <c r="H334" s="59">
        <f>IF([2]道具信息!H334="","",[2]道具信息!H334)</f>
        <v>1</v>
      </c>
      <c r="I334" s="59">
        <f>IF([2]道具信息!I334="","",[2]道具信息!I334)</f>
        <v>600</v>
      </c>
      <c r="J334" s="59">
        <f>IF([2]道具信息!J334="","",[2]道具信息!J334)</f>
        <v>600</v>
      </c>
      <c r="K334" s="59">
        <f>IF([2]道具信息!K334="","",[2]道具信息!K334)</f>
        <v>600</v>
      </c>
      <c r="L334" s="59" t="str">
        <f>IF([2]道具信息!L334="","",[2]道具信息!L334)</f>
        <v>使用后选择获得一个紫色弓将</v>
      </c>
      <c r="M334" s="59" t="str">
        <f>IF([2]道具信息!M334="","",[2]道具信息!M334)</f>
        <v/>
      </c>
      <c r="N334" s="59" t="str">
        <f>IF([2]道具信息!N334="","",[2]道具信息!N334)</f>
        <v/>
      </c>
      <c r="O334" s="59" t="str">
        <f>IF([2]道具信息!O334="","",[2]道具信息!O334)</f>
        <v/>
      </c>
      <c r="P334" s="59" t="str">
        <f>IF([2]道具信息!P334="","",[2]道具信息!P334)</f>
        <v/>
      </c>
      <c r="Q334" s="59" t="str">
        <f>IF([2]道具信息!Q334="","",[2]道具信息!Q334)</f>
        <v/>
      </c>
      <c r="R334" s="59" t="str">
        <f>IF([2]道具信息!R334="","",[2]道具信息!R334)</f>
        <v/>
      </c>
      <c r="S334" s="59" t="str">
        <f>IF([2]道具信息!S334="","",[2]道具信息!S334)</f>
        <v/>
      </c>
      <c r="T334" s="59" t="str">
        <f>IF([2]道具信息!T334="","",[2]道具信息!T334)</f>
        <v/>
      </c>
      <c r="U334" s="59" t="str">
        <f>IF([2]道具信息!U334="","",[2]道具信息!U334)</f>
        <v/>
      </c>
      <c r="V334" s="59" t="str">
        <f>IF([2]道具信息!V334="","",[2]道具信息!V334)</f>
        <v/>
      </c>
      <c r="W334" s="59" t="str">
        <f>IF([2]道具信息!W334="","",[2]道具信息!W334)</f>
        <v/>
      </c>
      <c r="X334" s="59" t="str">
        <f>IF([2]道具信息!X334="","",[2]道具信息!X334)</f>
        <v/>
      </c>
      <c r="Y334" s="59" t="str">
        <f>IF([2]道具信息!Y334="","",[2]道具信息!Y334)</f>
        <v/>
      </c>
      <c r="Z334" s="59" t="str">
        <f>IF([2]道具信息!Z334="","",[2]道具信息!Z334)</f>
        <v/>
      </c>
    </row>
    <row r="335" spans="1:26" x14ac:dyDescent="0.15">
      <c r="A335" s="59" t="str">
        <f>IF([2]道具信息!A335="","",[2]道具信息!A335)</f>
        <v/>
      </c>
      <c r="B335" s="59" t="str">
        <f>IF([2]道具信息!B335="","",[2]道具信息!B335)</f>
        <v/>
      </c>
      <c r="C335" s="59">
        <f>IF([2]道具信息!C335="","",[2]道具信息!C335)</f>
        <v>23008</v>
      </c>
      <c r="D335" s="59" t="str">
        <f>IF([2]道具信息!D335="","",[2]道具信息!D335)</f>
        <v>橙色弓将自选宝箱</v>
      </c>
      <c r="E335" s="59">
        <f>IF([2]道具信息!E335="","",[2]道具信息!E335)</f>
        <v>4800</v>
      </c>
      <c r="F335" s="59">
        <f>IF([2]道具信息!F335="","",[2]道具信息!F335)</f>
        <v>1</v>
      </c>
      <c r="G335" s="59">
        <f>IF([2]道具信息!G335="","",[2]道具信息!G335)</f>
        <v>1</v>
      </c>
      <c r="H335" s="59">
        <f>IF([2]道具信息!H335="","",[2]道具信息!H335)</f>
        <v>1</v>
      </c>
      <c r="I335" s="59">
        <f>IF([2]道具信息!I335="","",[2]道具信息!I335)</f>
        <v>4800</v>
      </c>
      <c r="J335" s="59">
        <f>IF([2]道具信息!J335="","",[2]道具信息!J335)</f>
        <v>4800</v>
      </c>
      <c r="K335" s="59">
        <f>IF([2]道具信息!K335="","",[2]道具信息!K335)</f>
        <v>4800</v>
      </c>
      <c r="L335" s="59" t="str">
        <f>IF([2]道具信息!L335="","",[2]道具信息!L335)</f>
        <v>使用后选择获得一个橙色弓将</v>
      </c>
      <c r="M335" s="59" t="str">
        <f>IF([2]道具信息!M335="","",[2]道具信息!M335)</f>
        <v/>
      </c>
      <c r="N335" s="59" t="str">
        <f>IF([2]道具信息!N335="","",[2]道具信息!N335)</f>
        <v/>
      </c>
      <c r="O335" s="59" t="str">
        <f>IF([2]道具信息!O335="","",[2]道具信息!O335)</f>
        <v/>
      </c>
      <c r="P335" s="59" t="str">
        <f>IF([2]道具信息!P335="","",[2]道具信息!P335)</f>
        <v/>
      </c>
      <c r="Q335" s="59" t="str">
        <f>IF([2]道具信息!Q335="","",[2]道具信息!Q335)</f>
        <v/>
      </c>
      <c r="R335" s="59" t="str">
        <f>IF([2]道具信息!R335="","",[2]道具信息!R335)</f>
        <v/>
      </c>
      <c r="S335" s="59" t="str">
        <f>IF([2]道具信息!S335="","",[2]道具信息!S335)</f>
        <v/>
      </c>
      <c r="T335" s="59" t="str">
        <f>IF([2]道具信息!T335="","",[2]道具信息!T335)</f>
        <v/>
      </c>
      <c r="U335" s="59" t="str">
        <f>IF([2]道具信息!U335="","",[2]道具信息!U335)</f>
        <v/>
      </c>
      <c r="V335" s="59" t="str">
        <f>IF([2]道具信息!V335="","",[2]道具信息!V335)</f>
        <v/>
      </c>
      <c r="W335" s="59" t="str">
        <f>IF([2]道具信息!W335="","",[2]道具信息!W335)</f>
        <v/>
      </c>
      <c r="X335" s="59" t="str">
        <f>IF([2]道具信息!X335="","",[2]道具信息!X335)</f>
        <v/>
      </c>
      <c r="Y335" s="59" t="str">
        <f>IF([2]道具信息!Y335="","",[2]道具信息!Y335)</f>
        <v/>
      </c>
      <c r="Z335" s="59" t="str">
        <f>IF([2]道具信息!Z335="","",[2]道具信息!Z335)</f>
        <v/>
      </c>
    </row>
    <row r="336" spans="1:26" x14ac:dyDescent="0.15">
      <c r="A336" s="59" t="str">
        <f>IF([2]道具信息!A336="","",[2]道具信息!A336)</f>
        <v/>
      </c>
      <c r="B336" s="59" t="str">
        <f>IF([2]道具信息!B336="","",[2]道具信息!B336)</f>
        <v/>
      </c>
      <c r="C336" s="59">
        <f>IF([2]道具信息!C336="","",[2]道具信息!C336)</f>
        <v>23009</v>
      </c>
      <c r="D336" s="59" t="str">
        <f>IF([2]道具信息!D336="","",[2]道具信息!D336)</f>
        <v>红色弓将自选宝箱</v>
      </c>
      <c r="E336" s="59">
        <f>IF([2]道具信息!E336="","",[2]道具信息!E336)</f>
        <v>14400</v>
      </c>
      <c r="F336" s="59">
        <f>IF([2]道具信息!F336="","",[2]道具信息!F336)</f>
        <v>1</v>
      </c>
      <c r="G336" s="59">
        <f>IF([2]道具信息!G336="","",[2]道具信息!G336)</f>
        <v>1</v>
      </c>
      <c r="H336" s="59">
        <f>IF([2]道具信息!H336="","",[2]道具信息!H336)</f>
        <v>1</v>
      </c>
      <c r="I336" s="59">
        <f>IF([2]道具信息!I336="","",[2]道具信息!I336)</f>
        <v>14400</v>
      </c>
      <c r="J336" s="59">
        <f>IF([2]道具信息!J336="","",[2]道具信息!J336)</f>
        <v>14400</v>
      </c>
      <c r="K336" s="59">
        <f>IF([2]道具信息!K336="","",[2]道具信息!K336)</f>
        <v>14400</v>
      </c>
      <c r="L336" s="59" t="str">
        <f>IF([2]道具信息!L336="","",[2]道具信息!L336)</f>
        <v>使用后选择获得一个红色弓将</v>
      </c>
      <c r="M336" s="59" t="str">
        <f>IF([2]道具信息!M336="","",[2]道具信息!M336)</f>
        <v/>
      </c>
      <c r="N336" s="59" t="str">
        <f>IF([2]道具信息!N336="","",[2]道具信息!N336)</f>
        <v/>
      </c>
      <c r="O336" s="59" t="str">
        <f>IF([2]道具信息!O336="","",[2]道具信息!O336)</f>
        <v/>
      </c>
      <c r="P336" s="59" t="str">
        <f>IF([2]道具信息!P336="","",[2]道具信息!P336)</f>
        <v/>
      </c>
      <c r="Q336" s="59" t="str">
        <f>IF([2]道具信息!Q336="","",[2]道具信息!Q336)</f>
        <v/>
      </c>
      <c r="R336" s="59" t="str">
        <f>IF([2]道具信息!R336="","",[2]道具信息!R336)</f>
        <v/>
      </c>
      <c r="S336" s="59" t="str">
        <f>IF([2]道具信息!S336="","",[2]道具信息!S336)</f>
        <v/>
      </c>
      <c r="T336" s="59" t="str">
        <f>IF([2]道具信息!T336="","",[2]道具信息!T336)</f>
        <v/>
      </c>
      <c r="U336" s="59" t="str">
        <f>IF([2]道具信息!U336="","",[2]道具信息!U336)</f>
        <v/>
      </c>
      <c r="V336" s="59" t="str">
        <f>IF([2]道具信息!V336="","",[2]道具信息!V336)</f>
        <v/>
      </c>
      <c r="W336" s="59" t="str">
        <f>IF([2]道具信息!W336="","",[2]道具信息!W336)</f>
        <v/>
      </c>
      <c r="X336" s="59" t="str">
        <f>IF([2]道具信息!X336="","",[2]道具信息!X336)</f>
        <v/>
      </c>
      <c r="Y336" s="59" t="str">
        <f>IF([2]道具信息!Y336="","",[2]道具信息!Y336)</f>
        <v/>
      </c>
      <c r="Z336" s="59" t="str">
        <f>IF([2]道具信息!Z336="","",[2]道具信息!Z336)</f>
        <v/>
      </c>
    </row>
    <row r="337" spans="1:26" x14ac:dyDescent="0.15">
      <c r="A337" s="59" t="str">
        <f>IF([2]道具信息!A337="","",[2]道具信息!A337)</f>
        <v/>
      </c>
      <c r="B337" s="59" t="str">
        <f>IF([2]道具信息!B337="","",[2]道具信息!B337)</f>
        <v/>
      </c>
      <c r="C337" s="59">
        <f>IF([2]道具信息!C337="","",[2]道具信息!C337)</f>
        <v>23010</v>
      </c>
      <c r="D337" s="59" t="str">
        <f>IF([2]道具信息!D337="","",[2]道具信息!D337)</f>
        <v>君主自选宝箱</v>
      </c>
      <c r="E337" s="59">
        <f>IF([2]道具信息!E337="","",[2]道具信息!E337)</f>
        <v>4800</v>
      </c>
      <c r="F337" s="59">
        <f>IF([2]道具信息!F337="","",[2]道具信息!F337)</f>
        <v>1</v>
      </c>
      <c r="G337" s="59">
        <f>IF([2]道具信息!G337="","",[2]道具信息!G337)</f>
        <v>1</v>
      </c>
      <c r="H337" s="59">
        <f>IF([2]道具信息!H337="","",[2]道具信息!H337)</f>
        <v>1</v>
      </c>
      <c r="I337" s="59">
        <f>IF([2]道具信息!I337="","",[2]道具信息!I337)</f>
        <v>4800</v>
      </c>
      <c r="J337" s="59">
        <f>IF([2]道具信息!J337="","",[2]道具信息!J337)</f>
        <v>4800</v>
      </c>
      <c r="K337" s="59">
        <f>IF([2]道具信息!K337="","",[2]道具信息!K337)</f>
        <v>4800</v>
      </c>
      <c r="L337" s="59" t="str">
        <f>IF([2]道具信息!L337="","",[2]道具信息!L337)</f>
        <v>使用后选择获得一个君主武将</v>
      </c>
      <c r="M337" s="59" t="str">
        <f>IF([2]道具信息!M337="","",[2]道具信息!M337)</f>
        <v/>
      </c>
      <c r="N337" s="59" t="str">
        <f>IF([2]道具信息!N337="","",[2]道具信息!N337)</f>
        <v/>
      </c>
      <c r="O337" s="59" t="str">
        <f>IF([2]道具信息!O337="","",[2]道具信息!O337)</f>
        <v/>
      </c>
      <c r="P337" s="59" t="str">
        <f>IF([2]道具信息!P337="","",[2]道具信息!P337)</f>
        <v/>
      </c>
      <c r="Q337" s="59" t="str">
        <f>IF([2]道具信息!Q337="","",[2]道具信息!Q337)</f>
        <v/>
      </c>
      <c r="R337" s="59" t="str">
        <f>IF([2]道具信息!R337="","",[2]道具信息!R337)</f>
        <v/>
      </c>
      <c r="S337" s="59" t="str">
        <f>IF([2]道具信息!S337="","",[2]道具信息!S337)</f>
        <v/>
      </c>
      <c r="T337" s="59" t="str">
        <f>IF([2]道具信息!T337="","",[2]道具信息!T337)</f>
        <v/>
      </c>
      <c r="U337" s="59" t="str">
        <f>IF([2]道具信息!U337="","",[2]道具信息!U337)</f>
        <v/>
      </c>
      <c r="V337" s="59" t="str">
        <f>IF([2]道具信息!V337="","",[2]道具信息!V337)</f>
        <v/>
      </c>
      <c r="W337" s="59" t="str">
        <f>IF([2]道具信息!W337="","",[2]道具信息!W337)</f>
        <v/>
      </c>
      <c r="X337" s="59" t="str">
        <f>IF([2]道具信息!X337="","",[2]道具信息!X337)</f>
        <v/>
      </c>
      <c r="Y337" s="59" t="str">
        <f>IF([2]道具信息!Y337="","",[2]道具信息!Y337)</f>
        <v/>
      </c>
      <c r="Z337" s="59" t="str">
        <f>IF([2]道具信息!Z337="","",[2]道具信息!Z337)</f>
        <v/>
      </c>
    </row>
    <row r="338" spans="1:26" x14ac:dyDescent="0.15">
      <c r="A338" s="59" t="str">
        <f>IF([2]道具信息!A338="","",[2]道具信息!A338)</f>
        <v/>
      </c>
      <c r="B338" s="59" t="str">
        <f>IF([2]道具信息!B338="","",[2]道具信息!B338)</f>
        <v/>
      </c>
      <c r="C338" s="59">
        <f>IF([2]道具信息!C338="","",[2]道具信息!C338)</f>
        <v>23011</v>
      </c>
      <c r="D338" s="59" t="str">
        <f>IF([2]道具信息!D338="","",[2]道具信息!D338)</f>
        <v>紫色武将随机宝箱</v>
      </c>
      <c r="E338" s="59">
        <f>IF([2]道具信息!E338="","",[2]道具信息!E338)</f>
        <v>400</v>
      </c>
      <c r="F338" s="59">
        <f>IF([2]道具信息!F338="","",[2]道具信息!F338)</f>
        <v>1</v>
      </c>
      <c r="G338" s="59">
        <f>IF([2]道具信息!G338="","",[2]道具信息!G338)</f>
        <v>1</v>
      </c>
      <c r="H338" s="59">
        <f>IF([2]道具信息!H338="","",[2]道具信息!H338)</f>
        <v>1</v>
      </c>
      <c r="I338" s="59">
        <f>IF([2]道具信息!I338="","",[2]道具信息!I338)</f>
        <v>400</v>
      </c>
      <c r="J338" s="59">
        <f>IF([2]道具信息!J338="","",[2]道具信息!J338)</f>
        <v>400</v>
      </c>
      <c r="K338" s="59">
        <f>IF([2]道具信息!K338="","",[2]道具信息!K338)</f>
        <v>400</v>
      </c>
      <c r="L338" s="59" t="str">
        <f>IF([2]道具信息!L338="","",[2]道具信息!L338)</f>
        <v>使用后随机获得一个紫色武将</v>
      </c>
      <c r="M338" s="59" t="str">
        <f>IF([2]道具信息!M338="","",[2]道具信息!M338)</f>
        <v/>
      </c>
      <c r="N338" s="59" t="str">
        <f>IF([2]道具信息!N338="","",[2]道具信息!N338)</f>
        <v/>
      </c>
      <c r="O338" s="59" t="str">
        <f>IF([2]道具信息!O338="","",[2]道具信息!O338)</f>
        <v/>
      </c>
      <c r="P338" s="59" t="str">
        <f>IF([2]道具信息!P338="","",[2]道具信息!P338)</f>
        <v/>
      </c>
      <c r="Q338" s="59" t="str">
        <f>IF([2]道具信息!Q338="","",[2]道具信息!Q338)</f>
        <v/>
      </c>
      <c r="R338" s="59" t="str">
        <f>IF([2]道具信息!R338="","",[2]道具信息!R338)</f>
        <v/>
      </c>
      <c r="S338" s="59" t="str">
        <f>IF([2]道具信息!S338="","",[2]道具信息!S338)</f>
        <v/>
      </c>
      <c r="T338" s="59" t="str">
        <f>IF([2]道具信息!T338="","",[2]道具信息!T338)</f>
        <v/>
      </c>
      <c r="U338" s="59" t="str">
        <f>IF([2]道具信息!U338="","",[2]道具信息!U338)</f>
        <v/>
      </c>
      <c r="V338" s="59" t="str">
        <f>IF([2]道具信息!V338="","",[2]道具信息!V338)</f>
        <v/>
      </c>
      <c r="W338" s="59" t="str">
        <f>IF([2]道具信息!W338="","",[2]道具信息!W338)</f>
        <v/>
      </c>
      <c r="X338" s="59" t="str">
        <f>IF([2]道具信息!X338="","",[2]道具信息!X338)</f>
        <v/>
      </c>
      <c r="Y338" s="59" t="str">
        <f>IF([2]道具信息!Y338="","",[2]道具信息!Y338)</f>
        <v/>
      </c>
      <c r="Z338" s="59" t="str">
        <f>IF([2]道具信息!Z338="","",[2]道具信息!Z338)</f>
        <v/>
      </c>
    </row>
    <row r="339" spans="1:26" x14ac:dyDescent="0.15">
      <c r="A339" s="59" t="str">
        <f>IF([2]道具信息!A339="","",[2]道具信息!A339)</f>
        <v/>
      </c>
      <c r="B339" s="59" t="str">
        <f>IF([2]道具信息!B339="","",[2]道具信息!B339)</f>
        <v/>
      </c>
      <c r="C339" s="59">
        <f>IF([2]道具信息!C339="","",[2]道具信息!C339)</f>
        <v>23012</v>
      </c>
      <c r="D339" s="59" t="str">
        <f>IF([2]道具信息!D339="","",[2]道具信息!D339)</f>
        <v>橙色武将随机宝箱</v>
      </c>
      <c r="E339" s="59">
        <f>IF([2]道具信息!E339="","",[2]道具信息!E339)</f>
        <v>1800</v>
      </c>
      <c r="F339" s="59">
        <f>IF([2]道具信息!F339="","",[2]道具信息!F339)</f>
        <v>1</v>
      </c>
      <c r="G339" s="59">
        <f>IF([2]道具信息!G339="","",[2]道具信息!G339)</f>
        <v>1</v>
      </c>
      <c r="H339" s="59">
        <f>IF([2]道具信息!H339="","",[2]道具信息!H339)</f>
        <v>1</v>
      </c>
      <c r="I339" s="59">
        <f>IF([2]道具信息!I339="","",[2]道具信息!I339)</f>
        <v>1800</v>
      </c>
      <c r="J339" s="59">
        <f>IF([2]道具信息!J339="","",[2]道具信息!J339)</f>
        <v>1800</v>
      </c>
      <c r="K339" s="59">
        <f>IF([2]道具信息!K339="","",[2]道具信息!K339)</f>
        <v>1800</v>
      </c>
      <c r="L339" s="59" t="str">
        <f>IF([2]道具信息!L339="","",[2]道具信息!L339)</f>
        <v>使用后随机获得一个橙色武将</v>
      </c>
      <c r="M339" s="59" t="str">
        <f>IF([2]道具信息!M339="","",[2]道具信息!M339)</f>
        <v/>
      </c>
      <c r="N339" s="59" t="str">
        <f>IF([2]道具信息!N339="","",[2]道具信息!N339)</f>
        <v/>
      </c>
      <c r="O339" s="59" t="str">
        <f>IF([2]道具信息!O339="","",[2]道具信息!O339)</f>
        <v/>
      </c>
      <c r="P339" s="59" t="str">
        <f>IF([2]道具信息!P339="","",[2]道具信息!P339)</f>
        <v/>
      </c>
      <c r="Q339" s="59" t="str">
        <f>IF([2]道具信息!Q339="","",[2]道具信息!Q339)</f>
        <v/>
      </c>
      <c r="R339" s="59" t="str">
        <f>IF([2]道具信息!R339="","",[2]道具信息!R339)</f>
        <v/>
      </c>
      <c r="S339" s="59" t="str">
        <f>IF([2]道具信息!S339="","",[2]道具信息!S339)</f>
        <v/>
      </c>
      <c r="T339" s="59" t="str">
        <f>IF([2]道具信息!T339="","",[2]道具信息!T339)</f>
        <v/>
      </c>
      <c r="U339" s="59" t="str">
        <f>IF([2]道具信息!U339="","",[2]道具信息!U339)</f>
        <v/>
      </c>
      <c r="V339" s="59" t="str">
        <f>IF([2]道具信息!V339="","",[2]道具信息!V339)</f>
        <v/>
      </c>
      <c r="W339" s="59" t="str">
        <f>IF([2]道具信息!W339="","",[2]道具信息!W339)</f>
        <v/>
      </c>
      <c r="X339" s="59" t="str">
        <f>IF([2]道具信息!X339="","",[2]道具信息!X339)</f>
        <v/>
      </c>
      <c r="Y339" s="59" t="str">
        <f>IF([2]道具信息!Y339="","",[2]道具信息!Y339)</f>
        <v/>
      </c>
      <c r="Z339" s="59" t="str">
        <f>IF([2]道具信息!Z339="","",[2]道具信息!Z339)</f>
        <v/>
      </c>
    </row>
    <row r="340" spans="1:26" x14ac:dyDescent="0.15">
      <c r="A340" s="59" t="str">
        <f>IF([2]道具信息!A340="","",[2]道具信息!A340)</f>
        <v/>
      </c>
      <c r="B340" s="59" t="str">
        <f>IF([2]道具信息!B340="","",[2]道具信息!B340)</f>
        <v/>
      </c>
      <c r="C340" s="59">
        <f>IF([2]道具信息!C340="","",[2]道具信息!C340)</f>
        <v>23013</v>
      </c>
      <c r="D340" s="59" t="str">
        <f>IF([2]道具信息!D340="","",[2]道具信息!D340)</f>
        <v>红色武将随机宝箱</v>
      </c>
      <c r="E340" s="59">
        <f>IF([2]道具信息!E340="","",[2]道具信息!E340)</f>
        <v>14400</v>
      </c>
      <c r="F340" s="59">
        <f>IF([2]道具信息!F340="","",[2]道具信息!F340)</f>
        <v>1</v>
      </c>
      <c r="G340" s="59">
        <f>IF([2]道具信息!G340="","",[2]道具信息!G340)</f>
        <v>1</v>
      </c>
      <c r="H340" s="59">
        <f>IF([2]道具信息!H340="","",[2]道具信息!H340)</f>
        <v>1</v>
      </c>
      <c r="I340" s="59">
        <f>IF([2]道具信息!I340="","",[2]道具信息!I340)</f>
        <v>14400</v>
      </c>
      <c r="J340" s="59">
        <f>IF([2]道具信息!J340="","",[2]道具信息!J340)</f>
        <v>14400</v>
      </c>
      <c r="K340" s="59">
        <f>IF([2]道具信息!K340="","",[2]道具信息!K340)</f>
        <v>14400</v>
      </c>
      <c r="L340" s="59" t="str">
        <f>IF([2]道具信息!L340="","",[2]道具信息!L340)</f>
        <v>使用后随机获得一个红色武将</v>
      </c>
      <c r="M340" s="59" t="str">
        <f>IF([2]道具信息!M340="","",[2]道具信息!M340)</f>
        <v/>
      </c>
      <c r="N340" s="59" t="str">
        <f>IF([2]道具信息!N340="","",[2]道具信息!N340)</f>
        <v/>
      </c>
      <c r="O340" s="59" t="str">
        <f>IF([2]道具信息!O340="","",[2]道具信息!O340)</f>
        <v/>
      </c>
      <c r="P340" s="59" t="str">
        <f>IF([2]道具信息!P340="","",[2]道具信息!P340)</f>
        <v/>
      </c>
      <c r="Q340" s="59" t="str">
        <f>IF([2]道具信息!Q340="","",[2]道具信息!Q340)</f>
        <v/>
      </c>
      <c r="R340" s="59" t="str">
        <f>IF([2]道具信息!R340="","",[2]道具信息!R340)</f>
        <v/>
      </c>
      <c r="S340" s="59" t="str">
        <f>IF([2]道具信息!S340="","",[2]道具信息!S340)</f>
        <v/>
      </c>
      <c r="T340" s="59" t="str">
        <f>IF([2]道具信息!T340="","",[2]道具信息!T340)</f>
        <v/>
      </c>
      <c r="U340" s="59" t="str">
        <f>IF([2]道具信息!U340="","",[2]道具信息!U340)</f>
        <v/>
      </c>
      <c r="V340" s="59" t="str">
        <f>IF([2]道具信息!V340="","",[2]道具信息!V340)</f>
        <v/>
      </c>
      <c r="W340" s="59" t="str">
        <f>IF([2]道具信息!W340="","",[2]道具信息!W340)</f>
        <v/>
      </c>
      <c r="X340" s="59" t="str">
        <f>IF([2]道具信息!X340="","",[2]道具信息!X340)</f>
        <v/>
      </c>
      <c r="Y340" s="59" t="str">
        <f>IF([2]道具信息!Y340="","",[2]道具信息!Y340)</f>
        <v/>
      </c>
      <c r="Z340" s="59" t="str">
        <f>IF([2]道具信息!Z340="","",[2]道具信息!Z340)</f>
        <v/>
      </c>
    </row>
    <row r="341" spans="1:26" x14ac:dyDescent="0.15">
      <c r="A341" s="59" t="str">
        <f>IF([2]道具信息!A341="","",[2]道具信息!A341)</f>
        <v/>
      </c>
      <c r="B341" s="59" t="str">
        <f>IF([2]道具信息!B341="","",[2]道具信息!B341)</f>
        <v/>
      </c>
      <c r="C341" s="59" t="str">
        <f>IF([2]道具信息!C341="","",[2]道具信息!C341)</f>
        <v/>
      </c>
      <c r="D341" s="59" t="str">
        <f>IF([2]道具信息!D341="","",[2]道具信息!D341)</f>
        <v/>
      </c>
      <c r="E341" s="59" t="str">
        <f>IF([2]道具信息!E341="","",[2]道具信息!E341)</f>
        <v/>
      </c>
      <c r="F341" s="59" t="str">
        <f>IF([2]道具信息!F341="","",[2]道具信息!F341)</f>
        <v/>
      </c>
      <c r="G341" s="59" t="str">
        <f>IF([2]道具信息!G341="","",[2]道具信息!G341)</f>
        <v/>
      </c>
      <c r="H341" s="59" t="str">
        <f>IF([2]道具信息!H341="","",[2]道具信息!H341)</f>
        <v/>
      </c>
      <c r="I341" s="59" t="str">
        <f>IF([2]道具信息!I341="","",[2]道具信息!I341)</f>
        <v/>
      </c>
      <c r="J341" s="59" t="str">
        <f>IF([2]道具信息!J341="","",[2]道具信息!J341)</f>
        <v/>
      </c>
      <c r="K341" s="59" t="str">
        <f>IF([2]道具信息!K341="","",[2]道具信息!K341)</f>
        <v/>
      </c>
      <c r="L341" s="59" t="str">
        <f>IF([2]道具信息!L341="","",[2]道具信息!L341)</f>
        <v/>
      </c>
      <c r="M341" s="59" t="str">
        <f>IF([2]道具信息!M341="","",[2]道具信息!M341)</f>
        <v/>
      </c>
      <c r="N341" s="59" t="str">
        <f>IF([2]道具信息!N341="","",[2]道具信息!N341)</f>
        <v/>
      </c>
      <c r="O341" s="59" t="str">
        <f>IF([2]道具信息!O341="","",[2]道具信息!O341)</f>
        <v/>
      </c>
      <c r="P341" s="59" t="str">
        <f>IF([2]道具信息!P341="","",[2]道具信息!P341)</f>
        <v/>
      </c>
      <c r="Q341" s="59" t="str">
        <f>IF([2]道具信息!Q341="","",[2]道具信息!Q341)</f>
        <v/>
      </c>
      <c r="R341" s="59" t="str">
        <f>IF([2]道具信息!R341="","",[2]道具信息!R341)</f>
        <v/>
      </c>
      <c r="S341" s="59" t="str">
        <f>IF([2]道具信息!S341="","",[2]道具信息!S341)</f>
        <v/>
      </c>
      <c r="T341" s="59" t="str">
        <f>IF([2]道具信息!T341="","",[2]道具信息!T341)</f>
        <v/>
      </c>
      <c r="U341" s="59" t="str">
        <f>IF([2]道具信息!U341="","",[2]道具信息!U341)</f>
        <v/>
      </c>
      <c r="V341" s="59" t="str">
        <f>IF([2]道具信息!V341="","",[2]道具信息!V341)</f>
        <v/>
      </c>
      <c r="W341" s="59" t="str">
        <f>IF([2]道具信息!W341="","",[2]道具信息!W341)</f>
        <v/>
      </c>
      <c r="X341" s="59" t="str">
        <f>IF([2]道具信息!X341="","",[2]道具信息!X341)</f>
        <v/>
      </c>
      <c r="Y341" s="59" t="str">
        <f>IF([2]道具信息!Y341="","",[2]道具信息!Y341)</f>
        <v/>
      </c>
      <c r="Z341" s="59" t="str">
        <f>IF([2]道具信息!Z341="","",[2]道具信息!Z341)</f>
        <v/>
      </c>
    </row>
    <row r="342" spans="1:26" x14ac:dyDescent="0.15">
      <c r="A342" s="59" t="str">
        <f>IF([2]道具信息!A342="","",[2]道具信息!A342)</f>
        <v/>
      </c>
      <c r="B342" s="59" t="str">
        <f>IF([2]道具信息!B342="","",[2]道具信息!B342)</f>
        <v/>
      </c>
      <c r="C342" s="59">
        <f>IF([2]道具信息!C342="","",[2]道具信息!C342)</f>
        <v>23014</v>
      </c>
      <c r="D342" s="59" t="str">
        <f>IF([2]道具信息!D342="","",[2]道具信息!D342)</f>
        <v>橙色武将自选宝箱碎片</v>
      </c>
      <c r="E342" s="59">
        <f>IF([2]道具信息!E342="","",[2]道具信息!E342)</f>
        <v>160</v>
      </c>
      <c r="F342" s="59">
        <f>IF([2]道具信息!F342="","",[2]道具信息!F342)</f>
        <v>1</v>
      </c>
      <c r="G342" s="59">
        <f>IF([2]道具信息!G342="","",[2]道具信息!G342)</f>
        <v>1</v>
      </c>
      <c r="H342" s="59">
        <f>IF([2]道具信息!H342="","",[2]道具信息!H342)</f>
        <v>1</v>
      </c>
      <c r="I342" s="59">
        <f>IF([2]道具信息!I342="","",[2]道具信息!I342)</f>
        <v>160</v>
      </c>
      <c r="J342" s="59">
        <f>IF([2]道具信息!J342="","",[2]道具信息!J342)</f>
        <v>160</v>
      </c>
      <c r="K342" s="59">
        <f>IF([2]道具信息!K342="","",[2]道具信息!K342)</f>
        <v>160</v>
      </c>
      <c r="L342" s="59" t="str">
        <f>IF([2]道具信息!L342="","",[2]道具信息!L342)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342" s="59" t="str">
        <f>IF([2]道具信息!M342="","",[2]道具信息!M342)</f>
        <v/>
      </c>
      <c r="N342" s="59" t="str">
        <f>IF([2]道具信息!N342="","",[2]道具信息!N342)</f>
        <v/>
      </c>
      <c r="O342" s="59" t="str">
        <f>IF([2]道具信息!O342="","",[2]道具信息!O342)</f>
        <v/>
      </c>
      <c r="P342" s="59" t="str">
        <f>IF([2]道具信息!P342="","",[2]道具信息!P342)</f>
        <v/>
      </c>
      <c r="Q342" s="59" t="str">
        <f>IF([2]道具信息!Q342="","",[2]道具信息!Q342)</f>
        <v/>
      </c>
      <c r="R342" s="59" t="str">
        <f>IF([2]道具信息!R342="","",[2]道具信息!R342)</f>
        <v/>
      </c>
      <c r="S342" s="59" t="str">
        <f>IF([2]道具信息!S342="","",[2]道具信息!S342)</f>
        <v/>
      </c>
      <c r="T342" s="59" t="str">
        <f>IF([2]道具信息!T342="","",[2]道具信息!T342)</f>
        <v/>
      </c>
      <c r="U342" s="59" t="str">
        <f>IF([2]道具信息!U342="","",[2]道具信息!U342)</f>
        <v/>
      </c>
      <c r="V342" s="59" t="str">
        <f>IF([2]道具信息!V342="","",[2]道具信息!V342)</f>
        <v/>
      </c>
      <c r="W342" s="59" t="str">
        <f>IF([2]道具信息!W342="","",[2]道具信息!W342)</f>
        <v/>
      </c>
      <c r="X342" s="59" t="str">
        <f>IF([2]道具信息!X342="","",[2]道具信息!X342)</f>
        <v/>
      </c>
      <c r="Y342" s="59" t="str">
        <f>IF([2]道具信息!Y342="","",[2]道具信息!Y342)</f>
        <v/>
      </c>
      <c r="Z342" s="59" t="str">
        <f>IF([2]道具信息!Z342="","",[2]道具信息!Z342)</f>
        <v/>
      </c>
    </row>
    <row r="343" spans="1:26" x14ac:dyDescent="0.15">
      <c r="A343" s="59" t="str">
        <f>IF([2]道具信息!A343="","",[2]道具信息!A343)</f>
        <v/>
      </c>
      <c r="B343" s="59" t="str">
        <f>IF([2]道具信息!B343="","",[2]道具信息!B343)</f>
        <v/>
      </c>
      <c r="C343" s="59">
        <f>IF([2]道具信息!C343="","",[2]道具信息!C343)</f>
        <v>23015</v>
      </c>
      <c r="D343" s="59" t="str">
        <f>IF([2]道具信息!D343="","",[2]道具信息!D343)</f>
        <v>橙色武将随机宝箱碎片</v>
      </c>
      <c r="E343" s="59">
        <f>IF([2]道具信息!E343="","",[2]道具信息!E343)</f>
        <v>60</v>
      </c>
      <c r="F343" s="59">
        <f>IF([2]道具信息!F343="","",[2]道具信息!F343)</f>
        <v>1</v>
      </c>
      <c r="G343" s="59">
        <f>IF([2]道具信息!G343="","",[2]道具信息!G343)</f>
        <v>1</v>
      </c>
      <c r="H343" s="59">
        <f>IF([2]道具信息!H343="","",[2]道具信息!H343)</f>
        <v>1</v>
      </c>
      <c r="I343" s="59">
        <f>IF([2]道具信息!I343="","",[2]道具信息!I343)</f>
        <v>60</v>
      </c>
      <c r="J343" s="59">
        <f>IF([2]道具信息!J343="","",[2]道具信息!J343)</f>
        <v>60</v>
      </c>
      <c r="K343" s="59">
        <f>IF([2]道具信息!K343="","",[2]道具信息!K343)</f>
        <v>60</v>
      </c>
      <c r="L343" s="59" t="str">
        <f>IF([2]道具信息!L343="","",[2]道具信息!L343)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343" s="59" t="str">
        <f>IF([2]道具信息!M343="","",[2]道具信息!M343)</f>
        <v/>
      </c>
      <c r="N343" s="59" t="str">
        <f>IF([2]道具信息!N343="","",[2]道具信息!N343)</f>
        <v/>
      </c>
      <c r="O343" s="59" t="str">
        <f>IF([2]道具信息!O343="","",[2]道具信息!O343)</f>
        <v/>
      </c>
      <c r="P343" s="59" t="str">
        <f>IF([2]道具信息!P343="","",[2]道具信息!P343)</f>
        <v/>
      </c>
      <c r="Q343" s="59" t="str">
        <f>IF([2]道具信息!Q343="","",[2]道具信息!Q343)</f>
        <v/>
      </c>
      <c r="R343" s="59" t="str">
        <f>IF([2]道具信息!R343="","",[2]道具信息!R343)</f>
        <v/>
      </c>
      <c r="S343" s="59" t="str">
        <f>IF([2]道具信息!S343="","",[2]道具信息!S343)</f>
        <v/>
      </c>
      <c r="T343" s="59" t="str">
        <f>IF([2]道具信息!T343="","",[2]道具信息!T343)</f>
        <v/>
      </c>
      <c r="U343" s="59" t="str">
        <f>IF([2]道具信息!U343="","",[2]道具信息!U343)</f>
        <v/>
      </c>
      <c r="V343" s="59" t="str">
        <f>IF([2]道具信息!V343="","",[2]道具信息!V343)</f>
        <v/>
      </c>
      <c r="W343" s="59" t="str">
        <f>IF([2]道具信息!W343="","",[2]道具信息!W343)</f>
        <v/>
      </c>
      <c r="X343" s="59" t="str">
        <f>IF([2]道具信息!X343="","",[2]道具信息!X343)</f>
        <v/>
      </c>
      <c r="Y343" s="59" t="str">
        <f>IF([2]道具信息!Y343="","",[2]道具信息!Y343)</f>
        <v/>
      </c>
      <c r="Z343" s="59" t="str">
        <f>IF([2]道具信息!Z343="","",[2]道具信息!Z343)</f>
        <v/>
      </c>
    </row>
    <row r="344" spans="1:26" x14ac:dyDescent="0.15">
      <c r="A344" s="59" t="str">
        <f>IF([2]道具信息!A344="","",[2]道具信息!A344)</f>
        <v/>
      </c>
      <c r="B344" s="59" t="str">
        <f>IF([2]道具信息!B344="","",[2]道具信息!B344)</f>
        <v/>
      </c>
      <c r="C344" s="59">
        <f>IF([2]道具信息!C344="","",[2]道具信息!C344)</f>
        <v>23016</v>
      </c>
      <c r="D344" s="59" t="str">
        <f>IF([2]道具信息!D344="","",[2]道具信息!D344)</f>
        <v>紫色武将随机宝箱碎片</v>
      </c>
      <c r="E344" s="59">
        <f>IF([2]道具信息!E344="","",[2]道具信息!E344)</f>
        <v>36</v>
      </c>
      <c r="F344" s="59">
        <f>IF([2]道具信息!F344="","",[2]道具信息!F344)</f>
        <v>1</v>
      </c>
      <c r="G344" s="59">
        <f>IF([2]道具信息!G344="","",[2]道具信息!G344)</f>
        <v>1</v>
      </c>
      <c r="H344" s="59">
        <f>IF([2]道具信息!H344="","",[2]道具信息!H344)</f>
        <v>1</v>
      </c>
      <c r="I344" s="59">
        <f>IF([2]道具信息!I344="","",[2]道具信息!I344)</f>
        <v>36</v>
      </c>
      <c r="J344" s="59">
        <f>IF([2]道具信息!J344="","",[2]道具信息!J344)</f>
        <v>36</v>
      </c>
      <c r="K344" s="59">
        <f>IF([2]道具信息!K344="","",[2]道具信息!K344)</f>
        <v>36</v>
      </c>
      <c r="L344" s="59" t="str">
        <f>IF([2]道具信息!L344="","",[2]道具信息!L344)</f>
        <v>集齐10个碎片可以合成，随机获得下列武将中的一个：\n聂荌、专诸、钟无艳、田忌、春申君、莫邪、孙叔敖、西门豹、暴鸢、秦开</v>
      </c>
      <c r="M344" s="59" t="str">
        <f>IF([2]道具信息!M344="","",[2]道具信息!M344)</f>
        <v/>
      </c>
      <c r="N344" s="59" t="str">
        <f>IF([2]道具信息!N344="","",[2]道具信息!N344)</f>
        <v/>
      </c>
      <c r="O344" s="59" t="str">
        <f>IF([2]道具信息!O344="","",[2]道具信息!O344)</f>
        <v/>
      </c>
      <c r="P344" s="59" t="str">
        <f>IF([2]道具信息!P344="","",[2]道具信息!P344)</f>
        <v/>
      </c>
      <c r="Q344" s="59" t="str">
        <f>IF([2]道具信息!Q344="","",[2]道具信息!Q344)</f>
        <v/>
      </c>
      <c r="R344" s="59" t="str">
        <f>IF([2]道具信息!R344="","",[2]道具信息!R344)</f>
        <v/>
      </c>
      <c r="S344" s="59" t="str">
        <f>IF([2]道具信息!S344="","",[2]道具信息!S344)</f>
        <v/>
      </c>
      <c r="T344" s="59" t="str">
        <f>IF([2]道具信息!T344="","",[2]道具信息!T344)</f>
        <v/>
      </c>
      <c r="U344" s="59" t="str">
        <f>IF([2]道具信息!U344="","",[2]道具信息!U344)</f>
        <v/>
      </c>
      <c r="V344" s="59" t="str">
        <f>IF([2]道具信息!V344="","",[2]道具信息!V344)</f>
        <v/>
      </c>
      <c r="W344" s="59" t="str">
        <f>IF([2]道具信息!W344="","",[2]道具信息!W344)</f>
        <v/>
      </c>
      <c r="X344" s="59" t="str">
        <f>IF([2]道具信息!X344="","",[2]道具信息!X344)</f>
        <v/>
      </c>
      <c r="Y344" s="59" t="str">
        <f>IF([2]道具信息!Y344="","",[2]道具信息!Y344)</f>
        <v/>
      </c>
      <c r="Z344" s="59" t="str">
        <f>IF([2]道具信息!Z344="","",[2]道具信息!Z344)</f>
        <v/>
      </c>
    </row>
    <row r="345" spans="1:26" x14ac:dyDescent="0.15">
      <c r="A345" s="59" t="str">
        <f>IF([2]道具信息!A345="","",[2]道具信息!A345)</f>
        <v/>
      </c>
      <c r="B345" s="59" t="str">
        <f>IF([2]道具信息!B345="","",[2]道具信息!B345)</f>
        <v/>
      </c>
      <c r="C345" s="59" t="str">
        <f>IF([2]道具信息!C345="","",[2]道具信息!C345)</f>
        <v/>
      </c>
      <c r="D345" s="59" t="str">
        <f>IF([2]道具信息!D345="","",[2]道具信息!D345)</f>
        <v/>
      </c>
      <c r="E345" s="59" t="str">
        <f>IF([2]道具信息!E345="","",[2]道具信息!E345)</f>
        <v/>
      </c>
      <c r="F345" s="59" t="str">
        <f>IF([2]道具信息!F345="","",[2]道具信息!F345)</f>
        <v/>
      </c>
      <c r="G345" s="59" t="str">
        <f>IF([2]道具信息!G345="","",[2]道具信息!G345)</f>
        <v/>
      </c>
      <c r="H345" s="59" t="str">
        <f>IF([2]道具信息!H345="","",[2]道具信息!H345)</f>
        <v/>
      </c>
      <c r="I345" s="59" t="str">
        <f>IF([2]道具信息!I345="","",[2]道具信息!I345)</f>
        <v/>
      </c>
      <c r="J345" s="59" t="str">
        <f>IF([2]道具信息!J345="","",[2]道具信息!J345)</f>
        <v/>
      </c>
      <c r="K345" s="59" t="str">
        <f>IF([2]道具信息!K345="","",[2]道具信息!K345)</f>
        <v/>
      </c>
      <c r="L345" s="59" t="str">
        <f>IF([2]道具信息!L345="","",[2]道具信息!L345)</f>
        <v/>
      </c>
      <c r="M345" s="59" t="str">
        <f>IF([2]道具信息!M345="","",[2]道具信息!M345)</f>
        <v/>
      </c>
      <c r="N345" s="59" t="str">
        <f>IF([2]道具信息!N345="","",[2]道具信息!N345)</f>
        <v/>
      </c>
      <c r="O345" s="59" t="str">
        <f>IF([2]道具信息!O345="","",[2]道具信息!O345)</f>
        <v/>
      </c>
      <c r="P345" s="59" t="str">
        <f>IF([2]道具信息!P345="","",[2]道具信息!P345)</f>
        <v/>
      </c>
      <c r="Q345" s="59" t="str">
        <f>IF([2]道具信息!Q345="","",[2]道具信息!Q345)</f>
        <v/>
      </c>
      <c r="R345" s="59" t="str">
        <f>IF([2]道具信息!R345="","",[2]道具信息!R345)</f>
        <v/>
      </c>
      <c r="S345" s="59" t="str">
        <f>IF([2]道具信息!S345="","",[2]道具信息!S345)</f>
        <v/>
      </c>
      <c r="T345" s="59" t="str">
        <f>IF([2]道具信息!T345="","",[2]道具信息!T345)</f>
        <v/>
      </c>
      <c r="U345" s="59" t="str">
        <f>IF([2]道具信息!U345="","",[2]道具信息!U345)</f>
        <v/>
      </c>
      <c r="V345" s="59" t="str">
        <f>IF([2]道具信息!V345="","",[2]道具信息!V345)</f>
        <v/>
      </c>
      <c r="W345" s="59" t="str">
        <f>IF([2]道具信息!W345="","",[2]道具信息!W345)</f>
        <v/>
      </c>
      <c r="X345" s="59" t="str">
        <f>IF([2]道具信息!X345="","",[2]道具信息!X345)</f>
        <v/>
      </c>
      <c r="Y345" s="59" t="str">
        <f>IF([2]道具信息!Y345="","",[2]道具信息!Y345)</f>
        <v/>
      </c>
      <c r="Z345" s="59" t="str">
        <f>IF([2]道具信息!Z345="","",[2]道具信息!Z345)</f>
        <v/>
      </c>
    </row>
    <row r="346" spans="1:26" x14ac:dyDescent="0.15">
      <c r="A346" s="59" t="str">
        <f>IF([2]道具信息!A346="","",[2]道具信息!A346)</f>
        <v/>
      </c>
      <c r="B346" s="59" t="str">
        <f>IF([2]道具信息!B346="","",[2]道具信息!B346)</f>
        <v/>
      </c>
      <c r="C346" s="59" t="str">
        <f>IF([2]道具信息!C346="","",[2]道具信息!C346)</f>
        <v/>
      </c>
      <c r="D346" s="59" t="str">
        <f>IF([2]道具信息!D346="","",[2]道具信息!D346)</f>
        <v>指定绿色装备</v>
      </c>
      <c r="E346" s="59">
        <f>IF([2]道具信息!E346="","",[2]道具信息!E346)</f>
        <v>35</v>
      </c>
      <c r="F346" s="59">
        <f>IF([2]道具信息!F346="","",[2]道具信息!F346)</f>
        <v>1</v>
      </c>
      <c r="G346" s="59">
        <f>IF([2]道具信息!G346="","",[2]道具信息!G346)</f>
        <v>1</v>
      </c>
      <c r="H346" s="59">
        <f>IF([2]道具信息!H346="","",[2]道具信息!H346)</f>
        <v>1</v>
      </c>
      <c r="I346" s="59">
        <f>IF([2]道具信息!I346="","",[2]道具信息!I346)</f>
        <v>35</v>
      </c>
      <c r="J346" s="59">
        <f>IF([2]道具信息!J346="","",[2]道具信息!J346)</f>
        <v>35</v>
      </c>
      <c r="K346" s="59">
        <f>IF([2]道具信息!K346="","",[2]道具信息!K346)</f>
        <v>35</v>
      </c>
      <c r="L346" s="59">
        <f>IF([2]道具信息!L346="","",[2]道具信息!L346)</f>
        <v>1</v>
      </c>
      <c r="M346" s="59" t="str">
        <f>IF([2]道具信息!M346="","",[2]道具信息!M346)</f>
        <v/>
      </c>
      <c r="N346" s="59" t="str">
        <f>IF([2]道具信息!N346="","",[2]道具信息!N346)</f>
        <v/>
      </c>
      <c r="O346" s="59" t="str">
        <f>IF([2]道具信息!O346="","",[2]道具信息!O346)</f>
        <v/>
      </c>
      <c r="P346" s="59" t="str">
        <f>IF([2]道具信息!P346="","",[2]道具信息!P346)</f>
        <v/>
      </c>
      <c r="Q346" s="59" t="str">
        <f>IF([2]道具信息!Q346="","",[2]道具信息!Q346)</f>
        <v/>
      </c>
      <c r="R346" s="59" t="str">
        <f>IF([2]道具信息!R346="","",[2]道具信息!R346)</f>
        <v/>
      </c>
      <c r="S346" s="59" t="str">
        <f>IF([2]道具信息!S346="","",[2]道具信息!S346)</f>
        <v/>
      </c>
      <c r="T346" s="59" t="str">
        <f>IF([2]道具信息!T346="","",[2]道具信息!T346)</f>
        <v/>
      </c>
      <c r="U346" s="59" t="str">
        <f>IF([2]道具信息!U346="","",[2]道具信息!U346)</f>
        <v/>
      </c>
      <c r="V346" s="59" t="str">
        <f>IF([2]道具信息!V346="","",[2]道具信息!V346)</f>
        <v/>
      </c>
      <c r="W346" s="59" t="str">
        <f>IF([2]道具信息!W346="","",[2]道具信息!W346)</f>
        <v/>
      </c>
      <c r="X346" s="59" t="str">
        <f>IF([2]道具信息!X346="","",[2]道具信息!X346)</f>
        <v/>
      </c>
      <c r="Y346" s="59" t="str">
        <f>IF([2]道具信息!Y346="","",[2]道具信息!Y346)</f>
        <v/>
      </c>
      <c r="Z346" s="59" t="str">
        <f>IF([2]道具信息!Z346="","",[2]道具信息!Z346)</f>
        <v/>
      </c>
    </row>
    <row r="347" spans="1:26" x14ac:dyDescent="0.15">
      <c r="A347" s="59" t="str">
        <f>IF([2]道具信息!A347="","",[2]道具信息!A347)</f>
        <v/>
      </c>
      <c r="B347" s="59" t="str">
        <f>IF([2]道具信息!B347="","",[2]道具信息!B347)</f>
        <v/>
      </c>
      <c r="C347" s="59" t="str">
        <f>IF([2]道具信息!C347="","",[2]道具信息!C347)</f>
        <v/>
      </c>
      <c r="D347" s="59" t="str">
        <f>IF([2]道具信息!D347="","",[2]道具信息!D347)</f>
        <v>指定蓝色装备</v>
      </c>
      <c r="E347" s="59">
        <f>IF([2]道具信息!E347="","",[2]道具信息!E347)</f>
        <v>120</v>
      </c>
      <c r="F347" s="59">
        <f>IF([2]道具信息!F347="","",[2]道具信息!F347)</f>
        <v>1</v>
      </c>
      <c r="G347" s="59">
        <f>IF([2]道具信息!G347="","",[2]道具信息!G347)</f>
        <v>1</v>
      </c>
      <c r="H347" s="59">
        <f>IF([2]道具信息!H347="","",[2]道具信息!H347)</f>
        <v>1</v>
      </c>
      <c r="I347" s="59">
        <f>IF([2]道具信息!I347="","",[2]道具信息!I347)</f>
        <v>120</v>
      </c>
      <c r="J347" s="59">
        <f>IF([2]道具信息!J347="","",[2]道具信息!J347)</f>
        <v>120</v>
      </c>
      <c r="K347" s="59">
        <f>IF([2]道具信息!K347="","",[2]道具信息!K347)</f>
        <v>120</v>
      </c>
      <c r="L347" s="59">
        <f>IF([2]道具信息!L347="","",[2]道具信息!L347)</f>
        <v>1.5</v>
      </c>
      <c r="M347" s="59" t="str">
        <f>IF([2]道具信息!M347="","",[2]道具信息!M347)</f>
        <v/>
      </c>
      <c r="N347" s="59" t="str">
        <f>IF([2]道具信息!N347="","",[2]道具信息!N347)</f>
        <v/>
      </c>
      <c r="O347" s="59" t="str">
        <f>IF([2]道具信息!O347="","",[2]道具信息!O347)</f>
        <v/>
      </c>
      <c r="P347" s="59" t="str">
        <f>IF([2]道具信息!P347="","",[2]道具信息!P347)</f>
        <v/>
      </c>
      <c r="Q347" s="59" t="str">
        <f>IF([2]道具信息!Q347="","",[2]道具信息!Q347)</f>
        <v/>
      </c>
      <c r="R347" s="59" t="str">
        <f>IF([2]道具信息!R347="","",[2]道具信息!R347)</f>
        <v/>
      </c>
      <c r="S347" s="59" t="str">
        <f>IF([2]道具信息!S347="","",[2]道具信息!S347)</f>
        <v/>
      </c>
      <c r="T347" s="59" t="str">
        <f>IF([2]道具信息!T347="","",[2]道具信息!T347)</f>
        <v/>
      </c>
      <c r="U347" s="59" t="str">
        <f>IF([2]道具信息!U347="","",[2]道具信息!U347)</f>
        <v/>
      </c>
      <c r="V347" s="59" t="str">
        <f>IF([2]道具信息!V347="","",[2]道具信息!V347)</f>
        <v/>
      </c>
      <c r="W347" s="59" t="str">
        <f>IF([2]道具信息!W347="","",[2]道具信息!W347)</f>
        <v/>
      </c>
      <c r="X347" s="59" t="str">
        <f>IF([2]道具信息!X347="","",[2]道具信息!X347)</f>
        <v/>
      </c>
      <c r="Y347" s="59" t="str">
        <f>IF([2]道具信息!Y347="","",[2]道具信息!Y347)</f>
        <v/>
      </c>
      <c r="Z347" s="59" t="str">
        <f>IF([2]道具信息!Z347="","",[2]道具信息!Z347)</f>
        <v/>
      </c>
    </row>
    <row r="348" spans="1:26" x14ac:dyDescent="0.15">
      <c r="A348" s="59" t="str">
        <f>IF([2]道具信息!A348="","",[2]道具信息!A348)</f>
        <v/>
      </c>
      <c r="B348" s="59" t="str">
        <f>IF([2]道具信息!B348="","",[2]道具信息!B348)</f>
        <v/>
      </c>
      <c r="C348" s="59" t="str">
        <f>IF([2]道具信息!C348="","",[2]道具信息!C348)</f>
        <v/>
      </c>
      <c r="D348" s="59" t="str">
        <f>IF([2]道具信息!D348="","",[2]道具信息!D348)</f>
        <v>指定紫色装备</v>
      </c>
      <c r="E348" s="59">
        <f>IF([2]道具信息!E348="","",[2]道具信息!E348)</f>
        <v>300</v>
      </c>
      <c r="F348" s="59">
        <f>IF([2]道具信息!F348="","",[2]道具信息!F348)</f>
        <v>1</v>
      </c>
      <c r="G348" s="59">
        <f>IF([2]道具信息!G348="","",[2]道具信息!G348)</f>
        <v>1</v>
      </c>
      <c r="H348" s="59">
        <f>IF([2]道具信息!H348="","",[2]道具信息!H348)</f>
        <v>1</v>
      </c>
      <c r="I348" s="59">
        <f>IF([2]道具信息!I348="","",[2]道具信息!I348)</f>
        <v>300</v>
      </c>
      <c r="J348" s="59">
        <f>IF([2]道具信息!J348="","",[2]道具信息!J348)</f>
        <v>300</v>
      </c>
      <c r="K348" s="59">
        <f>IF([2]道具信息!K348="","",[2]道具信息!K348)</f>
        <v>300</v>
      </c>
      <c r="L348" s="59">
        <f>IF([2]道具信息!L348="","",[2]道具信息!L348)</f>
        <v>2</v>
      </c>
      <c r="M348" s="59" t="str">
        <f>IF([2]道具信息!M348="","",[2]道具信息!M348)</f>
        <v/>
      </c>
      <c r="N348" s="59" t="str">
        <f>IF([2]道具信息!N348="","",[2]道具信息!N348)</f>
        <v/>
      </c>
      <c r="O348" s="59" t="str">
        <f>IF([2]道具信息!O348="","",[2]道具信息!O348)</f>
        <v/>
      </c>
      <c r="P348" s="59" t="str">
        <f>IF([2]道具信息!P348="","",[2]道具信息!P348)</f>
        <v/>
      </c>
      <c r="Q348" s="59" t="str">
        <f>IF([2]道具信息!Q348="","",[2]道具信息!Q348)</f>
        <v/>
      </c>
      <c r="R348" s="59" t="str">
        <f>IF([2]道具信息!R348="","",[2]道具信息!R348)</f>
        <v/>
      </c>
      <c r="S348" s="59" t="str">
        <f>IF([2]道具信息!S348="","",[2]道具信息!S348)</f>
        <v/>
      </c>
      <c r="T348" s="59" t="str">
        <f>IF([2]道具信息!T348="","",[2]道具信息!T348)</f>
        <v/>
      </c>
      <c r="U348" s="59" t="str">
        <f>IF([2]道具信息!U348="","",[2]道具信息!U348)</f>
        <v/>
      </c>
      <c r="V348" s="59" t="str">
        <f>IF([2]道具信息!V348="","",[2]道具信息!V348)</f>
        <v/>
      </c>
      <c r="W348" s="59" t="str">
        <f>IF([2]道具信息!W348="","",[2]道具信息!W348)</f>
        <v/>
      </c>
      <c r="X348" s="59" t="str">
        <f>IF([2]道具信息!X348="","",[2]道具信息!X348)</f>
        <v/>
      </c>
      <c r="Y348" s="59" t="str">
        <f>IF([2]道具信息!Y348="","",[2]道具信息!Y348)</f>
        <v/>
      </c>
      <c r="Z348" s="59" t="str">
        <f>IF([2]道具信息!Z348="","",[2]道具信息!Z348)</f>
        <v/>
      </c>
    </row>
    <row r="349" spans="1:26" x14ac:dyDescent="0.15">
      <c r="A349" s="59" t="str">
        <f>IF([2]道具信息!A349="","",[2]道具信息!A349)</f>
        <v/>
      </c>
      <c r="B349" s="59" t="str">
        <f>IF([2]道具信息!B349="","",[2]道具信息!B349)</f>
        <v/>
      </c>
      <c r="C349" s="59" t="str">
        <f>IF([2]道具信息!C349="","",[2]道具信息!C349)</f>
        <v/>
      </c>
      <c r="D349" s="59" t="str">
        <f>IF([2]道具信息!D349="","",[2]道具信息!D349)</f>
        <v>指定橙色装备</v>
      </c>
      <c r="E349" s="59">
        <f>IF([2]道具信息!E349="","",[2]道具信息!E349)</f>
        <v>800</v>
      </c>
      <c r="F349" s="59">
        <f>IF([2]道具信息!F349="","",[2]道具信息!F349)</f>
        <v>1</v>
      </c>
      <c r="G349" s="59">
        <f>IF([2]道具信息!G349="","",[2]道具信息!G349)</f>
        <v>1</v>
      </c>
      <c r="H349" s="59">
        <f>IF([2]道具信息!H349="","",[2]道具信息!H349)</f>
        <v>1</v>
      </c>
      <c r="I349" s="59">
        <f>IF([2]道具信息!I349="","",[2]道具信息!I349)</f>
        <v>800</v>
      </c>
      <c r="J349" s="59">
        <f>IF([2]道具信息!J349="","",[2]道具信息!J349)</f>
        <v>800</v>
      </c>
      <c r="K349" s="59">
        <f>IF([2]道具信息!K349="","",[2]道具信息!K349)</f>
        <v>800</v>
      </c>
      <c r="L349" s="59">
        <f>IF([2]道具信息!L349="","",[2]道具信息!L349)</f>
        <v>2.5</v>
      </c>
      <c r="M349" s="59" t="str">
        <f>IF([2]道具信息!M349="","",[2]道具信息!M349)</f>
        <v/>
      </c>
      <c r="N349" s="59" t="str">
        <f>IF([2]道具信息!N349="","",[2]道具信息!N349)</f>
        <v/>
      </c>
      <c r="O349" s="59" t="str">
        <f>IF([2]道具信息!O349="","",[2]道具信息!O349)</f>
        <v/>
      </c>
      <c r="P349" s="59" t="str">
        <f>IF([2]道具信息!P349="","",[2]道具信息!P349)</f>
        <v/>
      </c>
      <c r="Q349" s="59" t="str">
        <f>IF([2]道具信息!Q349="","",[2]道具信息!Q349)</f>
        <v/>
      </c>
      <c r="R349" s="59" t="str">
        <f>IF([2]道具信息!R349="","",[2]道具信息!R349)</f>
        <v/>
      </c>
      <c r="S349" s="59" t="str">
        <f>IF([2]道具信息!S349="","",[2]道具信息!S349)</f>
        <v/>
      </c>
      <c r="T349" s="59" t="str">
        <f>IF([2]道具信息!T349="","",[2]道具信息!T349)</f>
        <v/>
      </c>
      <c r="U349" s="59" t="str">
        <f>IF([2]道具信息!U349="","",[2]道具信息!U349)</f>
        <v/>
      </c>
      <c r="V349" s="59" t="str">
        <f>IF([2]道具信息!V349="","",[2]道具信息!V349)</f>
        <v/>
      </c>
      <c r="W349" s="59" t="str">
        <f>IF([2]道具信息!W349="","",[2]道具信息!W349)</f>
        <v/>
      </c>
      <c r="X349" s="59" t="str">
        <f>IF([2]道具信息!X349="","",[2]道具信息!X349)</f>
        <v/>
      </c>
      <c r="Y349" s="59" t="str">
        <f>IF([2]道具信息!Y349="","",[2]道具信息!Y349)</f>
        <v/>
      </c>
      <c r="Z349" s="59" t="str">
        <f>IF([2]道具信息!Z349="","",[2]道具信息!Z349)</f>
        <v/>
      </c>
    </row>
    <row r="350" spans="1:26" x14ac:dyDescent="0.15">
      <c r="A350" s="59" t="str">
        <f>IF([2]道具信息!A350="","",[2]道具信息!A350)</f>
        <v/>
      </c>
      <c r="B350" s="59" t="str">
        <f>IF([2]道具信息!B350="","",[2]道具信息!B350)</f>
        <v/>
      </c>
      <c r="C350" s="59" t="str">
        <f>IF([2]道具信息!C350="","",[2]道具信息!C350)</f>
        <v/>
      </c>
      <c r="D350" s="59" t="str">
        <f>IF([2]道具信息!D350="","",[2]道具信息!D350)</f>
        <v>指定红色装备</v>
      </c>
      <c r="E350" s="59">
        <f>IF([2]道具信息!E350="","",[2]道具信息!E350)</f>
        <v>7200</v>
      </c>
      <c r="F350" s="59">
        <f>IF([2]道具信息!F350="","",[2]道具信息!F350)</f>
        <v>1</v>
      </c>
      <c r="G350" s="59">
        <f>IF([2]道具信息!G350="","",[2]道具信息!G350)</f>
        <v>1</v>
      </c>
      <c r="H350" s="59">
        <f>IF([2]道具信息!H350="","",[2]道具信息!H350)</f>
        <v>1</v>
      </c>
      <c r="I350" s="59">
        <f>IF([2]道具信息!I350="","",[2]道具信息!I350)</f>
        <v>7200</v>
      </c>
      <c r="J350" s="59">
        <f>IF([2]道具信息!J350="","",[2]道具信息!J350)</f>
        <v>7200</v>
      </c>
      <c r="K350" s="59">
        <f>IF([2]道具信息!K350="","",[2]道具信息!K350)</f>
        <v>7200</v>
      </c>
      <c r="L350" s="59">
        <f>IF([2]道具信息!L350="","",[2]道具信息!L350)</f>
        <v>3</v>
      </c>
      <c r="M350" s="59" t="str">
        <f>IF([2]道具信息!M350="","",[2]道具信息!M350)</f>
        <v/>
      </c>
      <c r="N350" s="59" t="str">
        <f>IF([2]道具信息!N350="","",[2]道具信息!N350)</f>
        <v/>
      </c>
      <c r="O350" s="59" t="str">
        <f>IF([2]道具信息!O350="","",[2]道具信息!O350)</f>
        <v/>
      </c>
      <c r="P350" s="59" t="str">
        <f>IF([2]道具信息!P350="","",[2]道具信息!P350)</f>
        <v/>
      </c>
      <c r="Q350" s="59" t="str">
        <f>IF([2]道具信息!Q350="","",[2]道具信息!Q350)</f>
        <v/>
      </c>
      <c r="R350" s="59" t="str">
        <f>IF([2]道具信息!R350="","",[2]道具信息!R350)</f>
        <v/>
      </c>
      <c r="S350" s="59" t="str">
        <f>IF([2]道具信息!S350="","",[2]道具信息!S350)</f>
        <v/>
      </c>
      <c r="T350" s="59" t="str">
        <f>IF([2]道具信息!T350="","",[2]道具信息!T350)</f>
        <v/>
      </c>
      <c r="U350" s="59" t="str">
        <f>IF([2]道具信息!U350="","",[2]道具信息!U350)</f>
        <v/>
      </c>
      <c r="V350" s="59" t="str">
        <f>IF([2]道具信息!V350="","",[2]道具信息!V350)</f>
        <v/>
      </c>
      <c r="W350" s="59" t="str">
        <f>IF([2]道具信息!W350="","",[2]道具信息!W350)</f>
        <v/>
      </c>
      <c r="X350" s="59" t="str">
        <f>IF([2]道具信息!X350="","",[2]道具信息!X350)</f>
        <v/>
      </c>
      <c r="Y350" s="59" t="str">
        <f>IF([2]道具信息!Y350="","",[2]道具信息!Y350)</f>
        <v/>
      </c>
      <c r="Z350" s="59" t="str">
        <f>IF([2]道具信息!Z350="","",[2]道具信息!Z350)</f>
        <v/>
      </c>
    </row>
    <row r="351" spans="1:26" x14ac:dyDescent="0.15">
      <c r="A351" s="59" t="str">
        <f>IF([2]道具信息!A351="","",[2]道具信息!A351)</f>
        <v/>
      </c>
      <c r="B351" s="59" t="str">
        <f>IF([2]道具信息!B351="","",[2]道具信息!B351)</f>
        <v/>
      </c>
      <c r="C351" s="59" t="str">
        <f>IF([2]道具信息!C351="","",[2]道具信息!C351)</f>
        <v/>
      </c>
      <c r="D351" s="59" t="str">
        <f>IF([2]道具信息!D351="","",[2]道具信息!D351)</f>
        <v>指定红+装备</v>
      </c>
      <c r="E351" s="59">
        <f>IF([2]道具信息!E351="","",[2]道具信息!E351)</f>
        <v>14400</v>
      </c>
      <c r="F351" s="59">
        <f>IF([2]道具信息!F351="","",[2]道具信息!F351)</f>
        <v>1.56</v>
      </c>
      <c r="G351" s="59">
        <f>IF([2]道具信息!G351="","",[2]道具信息!G351)</f>
        <v>1.56</v>
      </c>
      <c r="H351" s="59">
        <f>IF([2]道具信息!H351="","",[2]道具信息!H351)</f>
        <v>1.56</v>
      </c>
      <c r="I351" s="59">
        <f>IF([2]道具信息!I351="","",[2]道具信息!I351)</f>
        <v>22464</v>
      </c>
      <c r="J351" s="59">
        <f>IF([2]道具信息!J351="","",[2]道具信息!J351)</f>
        <v>22464</v>
      </c>
      <c r="K351" s="59">
        <f>IF([2]道具信息!K351="","",[2]道具信息!K351)</f>
        <v>22464</v>
      </c>
      <c r="L351" s="59" t="str">
        <f>IF([2]道具信息!L351="","",[2]道具信息!L351)</f>
        <v/>
      </c>
      <c r="M351" s="59" t="str">
        <f>IF([2]道具信息!M351="","",[2]道具信息!M351)</f>
        <v/>
      </c>
      <c r="N351" s="59" t="str">
        <f>IF([2]道具信息!N351="","",[2]道具信息!N351)</f>
        <v/>
      </c>
      <c r="O351" s="59" t="str">
        <f>IF([2]道具信息!O351="","",[2]道具信息!O351)</f>
        <v/>
      </c>
      <c r="P351" s="59" t="str">
        <f>IF([2]道具信息!P351="","",[2]道具信息!P351)</f>
        <v/>
      </c>
      <c r="Q351" s="59" t="str">
        <f>IF([2]道具信息!Q351="","",[2]道具信息!Q351)</f>
        <v/>
      </c>
      <c r="R351" s="59" t="str">
        <f>IF([2]道具信息!R351="","",[2]道具信息!R351)</f>
        <v/>
      </c>
      <c r="S351" s="59" t="str">
        <f>IF([2]道具信息!S351="","",[2]道具信息!S351)</f>
        <v/>
      </c>
      <c r="T351" s="59" t="str">
        <f>IF([2]道具信息!T351="","",[2]道具信息!T351)</f>
        <v/>
      </c>
      <c r="U351" s="59" t="str">
        <f>IF([2]道具信息!U351="","",[2]道具信息!U351)</f>
        <v/>
      </c>
      <c r="V351" s="59" t="str">
        <f>IF([2]道具信息!V351="","",[2]道具信息!V351)</f>
        <v/>
      </c>
      <c r="W351" s="59" t="str">
        <f>IF([2]道具信息!W351="","",[2]道具信息!W351)</f>
        <v/>
      </c>
      <c r="X351" s="59" t="str">
        <f>IF([2]道具信息!X351="","",[2]道具信息!X351)</f>
        <v/>
      </c>
      <c r="Y351" s="59" t="str">
        <f>IF([2]道具信息!Y351="","",[2]道具信息!Y351)</f>
        <v/>
      </c>
      <c r="Z351" s="59" t="str">
        <f>IF([2]道具信息!Z351="","",[2]道具信息!Z351)</f>
        <v/>
      </c>
    </row>
    <row r="352" spans="1:26" x14ac:dyDescent="0.15">
      <c r="A352" s="59" t="str">
        <f>IF([2]道具信息!A352="","",[2]道具信息!A352)</f>
        <v/>
      </c>
      <c r="B352" s="59" t="str">
        <f>IF([2]道具信息!B352="","",[2]道具信息!B352)</f>
        <v/>
      </c>
      <c r="C352" s="59">
        <f>IF([2]道具信息!C352="","",[2]道具信息!C352)</f>
        <v>23215</v>
      </c>
      <c r="D352" s="59" t="str">
        <f>IF([2]道具信息!D352="","",[2]道具信息!D352)</f>
        <v>紫色武力装备礼包</v>
      </c>
      <c r="E352" s="59" t="str">
        <f>IF([2]道具信息!E352="","",[2]道具信息!E352)</f>
        <v/>
      </c>
      <c r="F352" s="59">
        <f>IF([2]道具信息!F352="","",[2]道具信息!F352)</f>
        <v>1</v>
      </c>
      <c r="G352" s="59">
        <f>IF([2]道具信息!G352="","",[2]道具信息!G352)</f>
        <v>1</v>
      </c>
      <c r="H352" s="59">
        <f>IF([2]道具信息!H352="","",[2]道具信息!H352)</f>
        <v>1</v>
      </c>
      <c r="I352" s="59" t="str">
        <f>IF([2]道具信息!I352="","",[2]道具信息!I352)</f>
        <v/>
      </c>
      <c r="J352" s="59" t="str">
        <f>IF([2]道具信息!J352="","",[2]道具信息!J352)</f>
        <v/>
      </c>
      <c r="K352" s="59" t="str">
        <f>IF([2]道具信息!K352="","",[2]道具信息!K352)</f>
        <v/>
      </c>
      <c r="L352" s="59" t="str">
        <f>IF([2]道具信息!L352="","",[2]道具信息!L352)</f>
        <v/>
      </c>
      <c r="M352" s="59" t="str">
        <f>IF([2]道具信息!M352="","",[2]道具信息!M352)</f>
        <v/>
      </c>
      <c r="N352" s="59" t="str">
        <f>IF([2]道具信息!N352="","",[2]道具信息!N352)</f>
        <v/>
      </c>
      <c r="O352" s="59" t="str">
        <f>IF([2]道具信息!O352="","",[2]道具信息!O352)</f>
        <v/>
      </c>
      <c r="P352" s="59" t="str">
        <f>IF([2]道具信息!P352="","",[2]道具信息!P352)</f>
        <v/>
      </c>
      <c r="Q352" s="59" t="str">
        <f>IF([2]道具信息!Q352="","",[2]道具信息!Q352)</f>
        <v/>
      </c>
      <c r="R352" s="59" t="str">
        <f>IF([2]道具信息!R352="","",[2]道具信息!R352)</f>
        <v/>
      </c>
      <c r="S352" s="59" t="str">
        <f>IF([2]道具信息!S352="","",[2]道具信息!S352)</f>
        <v/>
      </c>
      <c r="T352" s="59" t="str">
        <f>IF([2]道具信息!T352="","",[2]道具信息!T352)</f>
        <v/>
      </c>
      <c r="U352" s="59" t="str">
        <f>IF([2]道具信息!U352="","",[2]道具信息!U352)</f>
        <v/>
      </c>
      <c r="V352" s="59" t="str">
        <f>IF([2]道具信息!V352="","",[2]道具信息!V352)</f>
        <v/>
      </c>
      <c r="W352" s="59" t="str">
        <f>IF([2]道具信息!W352="","",[2]道具信息!W352)</f>
        <v/>
      </c>
      <c r="X352" s="59" t="str">
        <f>IF([2]道具信息!X352="","",[2]道具信息!X352)</f>
        <v/>
      </c>
      <c r="Y352" s="59" t="str">
        <f>IF([2]道具信息!Y352="","",[2]道具信息!Y352)</f>
        <v/>
      </c>
      <c r="Z352" s="59" t="str">
        <f>IF([2]道具信息!Z352="","",[2]道具信息!Z352)</f>
        <v/>
      </c>
    </row>
    <row r="353" spans="1:26" x14ac:dyDescent="0.15">
      <c r="A353" s="59" t="str">
        <f>IF([2]道具信息!A353="","",[2]道具信息!A353)</f>
        <v/>
      </c>
      <c r="B353" s="59" t="str">
        <f>IF([2]道具信息!B353="","",[2]道具信息!B353)</f>
        <v/>
      </c>
      <c r="C353" s="59">
        <f>IF([2]道具信息!C353="","",[2]道具信息!C353)</f>
        <v>23216</v>
      </c>
      <c r="D353" s="59" t="str">
        <f>IF([2]道具信息!D353="","",[2]道具信息!D353)</f>
        <v>紫色智力装备礼包</v>
      </c>
      <c r="E353" s="59" t="str">
        <f>IF([2]道具信息!E353="","",[2]道具信息!E353)</f>
        <v/>
      </c>
      <c r="F353" s="59">
        <f>IF([2]道具信息!F353="","",[2]道具信息!F353)</f>
        <v>1</v>
      </c>
      <c r="G353" s="59">
        <f>IF([2]道具信息!G353="","",[2]道具信息!G353)</f>
        <v>1</v>
      </c>
      <c r="H353" s="59">
        <f>IF([2]道具信息!H353="","",[2]道具信息!H353)</f>
        <v>1</v>
      </c>
      <c r="I353" s="59" t="str">
        <f>IF([2]道具信息!I353="","",[2]道具信息!I353)</f>
        <v/>
      </c>
      <c r="J353" s="59" t="str">
        <f>IF([2]道具信息!J353="","",[2]道具信息!J353)</f>
        <v/>
      </c>
      <c r="K353" s="59" t="str">
        <f>IF([2]道具信息!K353="","",[2]道具信息!K353)</f>
        <v/>
      </c>
      <c r="L353" s="59" t="str">
        <f>IF([2]道具信息!L353="","",[2]道具信息!L353)</f>
        <v/>
      </c>
      <c r="M353" s="59" t="str">
        <f>IF([2]道具信息!M353="","",[2]道具信息!M353)</f>
        <v/>
      </c>
      <c r="N353" s="59" t="str">
        <f>IF([2]道具信息!N353="","",[2]道具信息!N353)</f>
        <v/>
      </c>
      <c r="O353" s="59" t="str">
        <f>IF([2]道具信息!O353="","",[2]道具信息!O353)</f>
        <v/>
      </c>
      <c r="P353" s="59" t="str">
        <f>IF([2]道具信息!P353="","",[2]道具信息!P353)</f>
        <v/>
      </c>
      <c r="Q353" s="59" t="str">
        <f>IF([2]道具信息!Q353="","",[2]道具信息!Q353)</f>
        <v/>
      </c>
      <c r="R353" s="59" t="str">
        <f>IF([2]道具信息!R353="","",[2]道具信息!R353)</f>
        <v/>
      </c>
      <c r="S353" s="59" t="str">
        <f>IF([2]道具信息!S353="","",[2]道具信息!S353)</f>
        <v/>
      </c>
      <c r="T353" s="59" t="str">
        <f>IF([2]道具信息!T353="","",[2]道具信息!T353)</f>
        <v/>
      </c>
      <c r="U353" s="59" t="str">
        <f>IF([2]道具信息!U353="","",[2]道具信息!U353)</f>
        <v/>
      </c>
      <c r="V353" s="59" t="str">
        <f>IF([2]道具信息!V353="","",[2]道具信息!V353)</f>
        <v/>
      </c>
      <c r="W353" s="59" t="str">
        <f>IF([2]道具信息!W353="","",[2]道具信息!W353)</f>
        <v/>
      </c>
      <c r="X353" s="59" t="str">
        <f>IF([2]道具信息!X353="","",[2]道具信息!X353)</f>
        <v/>
      </c>
      <c r="Y353" s="59" t="str">
        <f>IF([2]道具信息!Y353="","",[2]道具信息!Y353)</f>
        <v/>
      </c>
      <c r="Z353" s="59" t="str">
        <f>IF([2]道具信息!Z353="","",[2]道具信息!Z353)</f>
        <v/>
      </c>
    </row>
    <row r="354" spans="1:26" x14ac:dyDescent="0.15">
      <c r="A354" s="59" t="str">
        <f>IF([2]道具信息!A354="","",[2]道具信息!A354)</f>
        <v/>
      </c>
      <c r="B354" s="59" t="str">
        <f>IF([2]道具信息!B354="","",[2]道具信息!B354)</f>
        <v/>
      </c>
      <c r="C354" s="59">
        <f>IF([2]道具信息!C354="","",[2]道具信息!C354)</f>
        <v>23217</v>
      </c>
      <c r="D354" s="59" t="str">
        <f>IF([2]道具信息!D354="","",[2]道具信息!D354)</f>
        <v>橙色统率装备礼包</v>
      </c>
      <c r="E354" s="59" t="str">
        <f>IF([2]道具信息!E354="","",[2]道具信息!E354)</f>
        <v/>
      </c>
      <c r="F354" s="59">
        <f>IF([2]道具信息!F354="","",[2]道具信息!F354)</f>
        <v>1</v>
      </c>
      <c r="G354" s="59">
        <f>IF([2]道具信息!G354="","",[2]道具信息!G354)</f>
        <v>1</v>
      </c>
      <c r="H354" s="59">
        <f>IF([2]道具信息!H354="","",[2]道具信息!H354)</f>
        <v>1</v>
      </c>
      <c r="I354" s="59" t="str">
        <f>IF([2]道具信息!I354="","",[2]道具信息!I354)</f>
        <v/>
      </c>
      <c r="J354" s="59" t="str">
        <f>IF([2]道具信息!J354="","",[2]道具信息!J354)</f>
        <v/>
      </c>
      <c r="K354" s="59" t="str">
        <f>IF([2]道具信息!K354="","",[2]道具信息!K354)</f>
        <v/>
      </c>
      <c r="L354" s="59" t="str">
        <f>IF([2]道具信息!L354="","",[2]道具信息!L354)</f>
        <v/>
      </c>
      <c r="M354" s="59" t="str">
        <f>IF([2]道具信息!M354="","",[2]道具信息!M354)</f>
        <v/>
      </c>
      <c r="N354" s="59" t="str">
        <f>IF([2]道具信息!N354="","",[2]道具信息!N354)</f>
        <v/>
      </c>
      <c r="O354" s="59" t="str">
        <f>IF([2]道具信息!O354="","",[2]道具信息!O354)</f>
        <v/>
      </c>
      <c r="P354" s="59" t="str">
        <f>IF([2]道具信息!P354="","",[2]道具信息!P354)</f>
        <v/>
      </c>
      <c r="Q354" s="59" t="str">
        <f>IF([2]道具信息!Q354="","",[2]道具信息!Q354)</f>
        <v/>
      </c>
      <c r="R354" s="59" t="str">
        <f>IF([2]道具信息!R354="","",[2]道具信息!R354)</f>
        <v/>
      </c>
      <c r="S354" s="59" t="str">
        <f>IF([2]道具信息!S354="","",[2]道具信息!S354)</f>
        <v/>
      </c>
      <c r="T354" s="59" t="str">
        <f>IF([2]道具信息!T354="","",[2]道具信息!T354)</f>
        <v/>
      </c>
      <c r="U354" s="59" t="str">
        <f>IF([2]道具信息!U354="","",[2]道具信息!U354)</f>
        <v/>
      </c>
      <c r="V354" s="59" t="str">
        <f>IF([2]道具信息!V354="","",[2]道具信息!V354)</f>
        <v/>
      </c>
      <c r="W354" s="59" t="str">
        <f>IF([2]道具信息!W354="","",[2]道具信息!W354)</f>
        <v/>
      </c>
      <c r="X354" s="59" t="str">
        <f>IF([2]道具信息!X354="","",[2]道具信息!X354)</f>
        <v/>
      </c>
      <c r="Y354" s="59" t="str">
        <f>IF([2]道具信息!Y354="","",[2]道具信息!Y354)</f>
        <v/>
      </c>
      <c r="Z354" s="59" t="str">
        <f>IF([2]道具信息!Z354="","",[2]道具信息!Z354)</f>
        <v/>
      </c>
    </row>
    <row r="355" spans="1:26" x14ac:dyDescent="0.15">
      <c r="A355" s="59" t="str">
        <f>IF([2]道具信息!A355="","",[2]道具信息!A355)</f>
        <v/>
      </c>
      <c r="B355" s="59" t="str">
        <f>IF([2]道具信息!B355="","",[2]道具信息!B355)</f>
        <v/>
      </c>
      <c r="C355" s="59">
        <f>IF([2]道具信息!C355="","",[2]道具信息!C355)</f>
        <v>23218</v>
      </c>
      <c r="D355" s="59" t="str">
        <f>IF([2]道具信息!D355="","",[2]道具信息!D355)</f>
        <v>橙色智力装备礼包</v>
      </c>
      <c r="E355" s="59" t="str">
        <f>IF([2]道具信息!E355="","",[2]道具信息!E355)</f>
        <v/>
      </c>
      <c r="F355" s="59">
        <f>IF([2]道具信息!F355="","",[2]道具信息!F355)</f>
        <v>1</v>
      </c>
      <c r="G355" s="59">
        <f>IF([2]道具信息!G355="","",[2]道具信息!G355)</f>
        <v>1</v>
      </c>
      <c r="H355" s="59">
        <f>IF([2]道具信息!H355="","",[2]道具信息!H355)</f>
        <v>1</v>
      </c>
      <c r="I355" s="59" t="str">
        <f>IF([2]道具信息!I355="","",[2]道具信息!I355)</f>
        <v/>
      </c>
      <c r="J355" s="59" t="str">
        <f>IF([2]道具信息!J355="","",[2]道具信息!J355)</f>
        <v/>
      </c>
      <c r="K355" s="59" t="str">
        <f>IF([2]道具信息!K355="","",[2]道具信息!K355)</f>
        <v/>
      </c>
      <c r="L355" s="59" t="str">
        <f>IF([2]道具信息!L355="","",[2]道具信息!L355)</f>
        <v/>
      </c>
      <c r="M355" s="59" t="str">
        <f>IF([2]道具信息!M355="","",[2]道具信息!M355)</f>
        <v/>
      </c>
      <c r="N355" s="59" t="str">
        <f>IF([2]道具信息!N355="","",[2]道具信息!N355)</f>
        <v/>
      </c>
      <c r="O355" s="59" t="str">
        <f>IF([2]道具信息!O355="","",[2]道具信息!O355)</f>
        <v/>
      </c>
      <c r="P355" s="59" t="str">
        <f>IF([2]道具信息!P355="","",[2]道具信息!P355)</f>
        <v/>
      </c>
      <c r="Q355" s="59" t="str">
        <f>IF([2]道具信息!Q355="","",[2]道具信息!Q355)</f>
        <v/>
      </c>
      <c r="R355" s="59" t="str">
        <f>IF([2]道具信息!R355="","",[2]道具信息!R355)</f>
        <v/>
      </c>
      <c r="S355" s="59" t="str">
        <f>IF([2]道具信息!S355="","",[2]道具信息!S355)</f>
        <v/>
      </c>
      <c r="T355" s="59" t="str">
        <f>IF([2]道具信息!T355="","",[2]道具信息!T355)</f>
        <v/>
      </c>
      <c r="U355" s="59" t="str">
        <f>IF([2]道具信息!U355="","",[2]道具信息!U355)</f>
        <v/>
      </c>
      <c r="V355" s="59" t="str">
        <f>IF([2]道具信息!V355="","",[2]道具信息!V355)</f>
        <v/>
      </c>
      <c r="W355" s="59" t="str">
        <f>IF([2]道具信息!W355="","",[2]道具信息!W355)</f>
        <v/>
      </c>
      <c r="X355" s="59" t="str">
        <f>IF([2]道具信息!X355="","",[2]道具信息!X355)</f>
        <v/>
      </c>
      <c r="Y355" s="59" t="str">
        <f>IF([2]道具信息!Y355="","",[2]道具信息!Y355)</f>
        <v/>
      </c>
      <c r="Z355" s="59" t="str">
        <f>IF([2]道具信息!Z355="","",[2]道具信息!Z355)</f>
        <v/>
      </c>
    </row>
    <row r="356" spans="1:26" x14ac:dyDescent="0.15">
      <c r="A356" s="59" t="str">
        <f>IF([2]道具信息!A356="","",[2]道具信息!A356)</f>
        <v/>
      </c>
      <c r="B356" s="59" t="str">
        <f>IF([2]道具信息!B356="","",[2]道具信息!B356)</f>
        <v/>
      </c>
      <c r="C356" s="59">
        <f>IF([2]道具信息!C356="","",[2]道具信息!C356)</f>
        <v>23219</v>
      </c>
      <c r="D356" s="59" t="str">
        <f>IF([2]道具信息!D356="","",[2]道具信息!D356)</f>
        <v>橙色武力装备礼包</v>
      </c>
      <c r="E356" s="59" t="str">
        <f>IF([2]道具信息!E356="","",[2]道具信息!E356)</f>
        <v/>
      </c>
      <c r="F356" s="59">
        <f>IF([2]道具信息!F356="","",[2]道具信息!F356)</f>
        <v>1</v>
      </c>
      <c r="G356" s="59">
        <f>IF([2]道具信息!G356="","",[2]道具信息!G356)</f>
        <v>1</v>
      </c>
      <c r="H356" s="59">
        <f>IF([2]道具信息!H356="","",[2]道具信息!H356)</f>
        <v>1</v>
      </c>
      <c r="I356" s="59" t="str">
        <f>IF([2]道具信息!I356="","",[2]道具信息!I356)</f>
        <v/>
      </c>
      <c r="J356" s="59" t="str">
        <f>IF([2]道具信息!J356="","",[2]道具信息!J356)</f>
        <v/>
      </c>
      <c r="K356" s="59" t="str">
        <f>IF([2]道具信息!K356="","",[2]道具信息!K356)</f>
        <v/>
      </c>
      <c r="L356" s="59" t="str">
        <f>IF([2]道具信息!L356="","",[2]道具信息!L356)</f>
        <v/>
      </c>
      <c r="M356" s="59" t="str">
        <f>IF([2]道具信息!M356="","",[2]道具信息!M356)</f>
        <v/>
      </c>
      <c r="N356" s="59" t="str">
        <f>IF([2]道具信息!N356="","",[2]道具信息!N356)</f>
        <v/>
      </c>
      <c r="O356" s="59" t="str">
        <f>IF([2]道具信息!O356="","",[2]道具信息!O356)</f>
        <v/>
      </c>
      <c r="P356" s="59" t="str">
        <f>IF([2]道具信息!P356="","",[2]道具信息!P356)</f>
        <v/>
      </c>
      <c r="Q356" s="59" t="str">
        <f>IF([2]道具信息!Q356="","",[2]道具信息!Q356)</f>
        <v/>
      </c>
      <c r="R356" s="59" t="str">
        <f>IF([2]道具信息!R356="","",[2]道具信息!R356)</f>
        <v/>
      </c>
      <c r="S356" s="59" t="str">
        <f>IF([2]道具信息!S356="","",[2]道具信息!S356)</f>
        <v/>
      </c>
      <c r="T356" s="59" t="str">
        <f>IF([2]道具信息!T356="","",[2]道具信息!T356)</f>
        <v/>
      </c>
      <c r="U356" s="59" t="str">
        <f>IF([2]道具信息!U356="","",[2]道具信息!U356)</f>
        <v/>
      </c>
      <c r="V356" s="59" t="str">
        <f>IF([2]道具信息!V356="","",[2]道具信息!V356)</f>
        <v/>
      </c>
      <c r="W356" s="59" t="str">
        <f>IF([2]道具信息!W356="","",[2]道具信息!W356)</f>
        <v/>
      </c>
      <c r="X356" s="59" t="str">
        <f>IF([2]道具信息!X356="","",[2]道具信息!X356)</f>
        <v/>
      </c>
      <c r="Y356" s="59" t="str">
        <f>IF([2]道具信息!Y356="","",[2]道具信息!Y356)</f>
        <v/>
      </c>
      <c r="Z356" s="59" t="str">
        <f>IF([2]道具信息!Z356="","",[2]道具信息!Z356)</f>
        <v/>
      </c>
    </row>
    <row r="357" spans="1:26" x14ac:dyDescent="0.15">
      <c r="A357" s="59" t="str">
        <f>IF([2]道具信息!A357="","",[2]道具信息!A357)</f>
        <v/>
      </c>
      <c r="B357" s="59" t="str">
        <f>IF([2]道具信息!B357="","",[2]道具信息!B357)</f>
        <v/>
      </c>
      <c r="C357" s="59">
        <f>IF([2]道具信息!C357="","",[2]道具信息!C357)</f>
        <v>22118</v>
      </c>
      <c r="D357" s="59" t="str">
        <f>IF([2]道具信息!D357="","",[2]道具信息!D357)</f>
        <v>负荆请罪武魂</v>
      </c>
      <c r="E357" s="59" t="str">
        <f>IF([2]道具信息!E357="","",[2]道具信息!E357)</f>
        <v/>
      </c>
      <c r="F357" s="59">
        <f>IF([2]道具信息!F357="","",[2]道具信息!F357)</f>
        <v>1</v>
      </c>
      <c r="G357" s="59">
        <f>IF([2]道具信息!G357="","",[2]道具信息!G357)</f>
        <v>1</v>
      </c>
      <c r="H357" s="59">
        <f>IF([2]道具信息!H357="","",[2]道具信息!H357)</f>
        <v>1</v>
      </c>
      <c r="I357" s="59" t="str">
        <f>IF([2]道具信息!I357="","",[2]道具信息!I357)</f>
        <v/>
      </c>
      <c r="J357" s="59" t="str">
        <f>IF([2]道具信息!J357="","",[2]道具信息!J357)</f>
        <v/>
      </c>
      <c r="K357" s="59" t="str">
        <f>IF([2]道具信息!K357="","",[2]道具信息!K357)</f>
        <v/>
      </c>
      <c r="L357" s="59" t="str">
        <f>IF([2]道具信息!L357="","",[2]道具信息!L357)</f>
        <v/>
      </c>
      <c r="M357" s="59" t="str">
        <f>IF([2]道具信息!M357="","",[2]道具信息!M357)</f>
        <v/>
      </c>
      <c r="N357" s="59" t="str">
        <f>IF([2]道具信息!N357="","",[2]道具信息!N357)</f>
        <v/>
      </c>
      <c r="O357" s="59" t="str">
        <f>IF([2]道具信息!O357="","",[2]道具信息!O357)</f>
        <v/>
      </c>
      <c r="P357" s="59" t="str">
        <f>IF([2]道具信息!P357="","",[2]道具信息!P357)</f>
        <v/>
      </c>
      <c r="Q357" s="59" t="str">
        <f>IF([2]道具信息!Q357="","",[2]道具信息!Q357)</f>
        <v/>
      </c>
      <c r="R357" s="59" t="str">
        <f>IF([2]道具信息!R357="","",[2]道具信息!R357)</f>
        <v/>
      </c>
      <c r="S357" s="59" t="str">
        <f>IF([2]道具信息!S357="","",[2]道具信息!S357)</f>
        <v/>
      </c>
      <c r="T357" s="59" t="str">
        <f>IF([2]道具信息!T357="","",[2]道具信息!T357)</f>
        <v/>
      </c>
      <c r="U357" s="59" t="str">
        <f>IF([2]道具信息!U357="","",[2]道具信息!U357)</f>
        <v/>
      </c>
      <c r="V357" s="59" t="str">
        <f>IF([2]道具信息!V357="","",[2]道具信息!V357)</f>
        <v/>
      </c>
      <c r="W357" s="59" t="str">
        <f>IF([2]道具信息!W357="","",[2]道具信息!W357)</f>
        <v/>
      </c>
      <c r="X357" s="59" t="str">
        <f>IF([2]道具信息!X357="","",[2]道具信息!X357)</f>
        <v/>
      </c>
      <c r="Y357" s="59" t="str">
        <f>IF([2]道具信息!Y357="","",[2]道具信息!Y357)</f>
        <v/>
      </c>
      <c r="Z357" s="59" t="str">
        <f>IF([2]道具信息!Z357="","",[2]道具信息!Z357)</f>
        <v/>
      </c>
    </row>
    <row r="358" spans="1:26" x14ac:dyDescent="0.15">
      <c r="A358" s="59" t="str">
        <f>IF([2]道具信息!A358="","",[2]道具信息!A358)</f>
        <v/>
      </c>
      <c r="B358" s="59" t="str">
        <f>IF([2]道具信息!B358="","",[2]道具信息!B358)</f>
        <v/>
      </c>
      <c r="C358" s="59" t="str">
        <f>IF([2]道具信息!C358="","",[2]道具信息!C358)</f>
        <v/>
      </c>
      <c r="D358" s="59" t="str">
        <f>IF([2]道具信息!D358="","",[2]道具信息!D358)</f>
        <v/>
      </c>
      <c r="E358" s="59" t="str">
        <f>IF([2]道具信息!E358="","",[2]道具信息!E358)</f>
        <v/>
      </c>
      <c r="F358" s="59">
        <f>IF([2]道具信息!F358="","",[2]道具信息!F358)</f>
        <v>1</v>
      </c>
      <c r="G358" s="59">
        <f>IF([2]道具信息!G358="","",[2]道具信息!G358)</f>
        <v>1</v>
      </c>
      <c r="H358" s="59">
        <f>IF([2]道具信息!H358="","",[2]道具信息!H358)</f>
        <v>1</v>
      </c>
      <c r="I358" s="59" t="str">
        <f>IF([2]道具信息!I358="","",[2]道具信息!I358)</f>
        <v/>
      </c>
      <c r="J358" s="59" t="str">
        <f>IF([2]道具信息!J358="","",[2]道具信息!J358)</f>
        <v/>
      </c>
      <c r="K358" s="59" t="str">
        <f>IF([2]道具信息!K358="","",[2]道具信息!K358)</f>
        <v/>
      </c>
      <c r="L358" s="59" t="str">
        <f>IF([2]道具信息!L358="","",[2]道具信息!L358)</f>
        <v/>
      </c>
      <c r="M358" s="59" t="str">
        <f>IF([2]道具信息!M358="","",[2]道具信息!M358)</f>
        <v/>
      </c>
      <c r="N358" s="59" t="str">
        <f>IF([2]道具信息!N358="","",[2]道具信息!N358)</f>
        <v/>
      </c>
      <c r="O358" s="59" t="str">
        <f>IF([2]道具信息!O358="","",[2]道具信息!O358)</f>
        <v/>
      </c>
      <c r="P358" s="59" t="str">
        <f>IF([2]道具信息!P358="","",[2]道具信息!P358)</f>
        <v/>
      </c>
      <c r="Q358" s="59" t="str">
        <f>IF([2]道具信息!Q358="","",[2]道具信息!Q358)</f>
        <v/>
      </c>
      <c r="R358" s="59" t="str">
        <f>IF([2]道具信息!R358="","",[2]道具信息!R358)</f>
        <v/>
      </c>
      <c r="S358" s="59" t="str">
        <f>IF([2]道具信息!S358="","",[2]道具信息!S358)</f>
        <v/>
      </c>
      <c r="T358" s="59" t="str">
        <f>IF([2]道具信息!T358="","",[2]道具信息!T358)</f>
        <v/>
      </c>
      <c r="U358" s="59" t="str">
        <f>IF([2]道具信息!U358="","",[2]道具信息!U358)</f>
        <v/>
      </c>
      <c r="V358" s="59" t="str">
        <f>IF([2]道具信息!V358="","",[2]道具信息!V358)</f>
        <v/>
      </c>
      <c r="W358" s="59" t="str">
        <f>IF([2]道具信息!W358="","",[2]道具信息!W358)</f>
        <v/>
      </c>
      <c r="X358" s="59" t="str">
        <f>IF([2]道具信息!X358="","",[2]道具信息!X358)</f>
        <v/>
      </c>
      <c r="Y358" s="59" t="str">
        <f>IF([2]道具信息!Y358="","",[2]道具信息!Y358)</f>
        <v/>
      </c>
      <c r="Z358" s="59" t="str">
        <f>IF([2]道具信息!Z358="","",[2]道具信息!Z358)</f>
        <v/>
      </c>
    </row>
    <row r="359" spans="1:26" x14ac:dyDescent="0.15">
      <c r="A359" s="59" t="str">
        <f>IF([2]道具信息!A359="","",[2]道具信息!A359)</f>
        <v/>
      </c>
      <c r="B359" s="59" t="str">
        <f>IF([2]道具信息!B359="","",[2]道具信息!B359)</f>
        <v/>
      </c>
      <c r="C359" s="59">
        <f>IF([2]道具信息!C359="","",[2]道具信息!C359)</f>
        <v>23348</v>
      </c>
      <c r="D359" s="59" t="str">
        <f>IF([2]道具信息!D359="","",[2]道具信息!D359)</f>
        <v>清剿令</v>
      </c>
      <c r="E359" s="59" t="str">
        <f>IF([2]道具信息!E359="","",[2]道具信息!E359)</f>
        <v/>
      </c>
      <c r="F359" s="59">
        <f>IF([2]道具信息!F359="","",[2]道具信息!F359)</f>
        <v>1</v>
      </c>
      <c r="G359" s="59">
        <f>IF([2]道具信息!G359="","",[2]道具信息!G359)</f>
        <v>1</v>
      </c>
      <c r="H359" s="59">
        <f>IF([2]道具信息!H359="","",[2]道具信息!H359)</f>
        <v>1</v>
      </c>
      <c r="I359" s="59" t="str">
        <f>IF([2]道具信息!I359="","",[2]道具信息!I359)</f>
        <v/>
      </c>
      <c r="J359" s="59" t="str">
        <f>IF([2]道具信息!J359="","",[2]道具信息!J359)</f>
        <v/>
      </c>
      <c r="K359" s="59" t="str">
        <f>IF([2]道具信息!K359="","",[2]道具信息!K359)</f>
        <v/>
      </c>
      <c r="L359" s="59" t="str">
        <f>IF([2]道具信息!L359="","",[2]道具信息!L359)</f>
        <v/>
      </c>
      <c r="M359" s="59" t="str">
        <f>IF([2]道具信息!M359="","",[2]道具信息!M359)</f>
        <v/>
      </c>
      <c r="N359" s="59" t="str">
        <f>IF([2]道具信息!N359="","",[2]道具信息!N359)</f>
        <v/>
      </c>
      <c r="O359" s="59" t="str">
        <f>IF([2]道具信息!O359="","",[2]道具信息!O359)</f>
        <v/>
      </c>
      <c r="P359" s="59" t="str">
        <f>IF([2]道具信息!P359="","",[2]道具信息!P359)</f>
        <v/>
      </c>
      <c r="Q359" s="59" t="str">
        <f>IF([2]道具信息!Q359="","",[2]道具信息!Q359)</f>
        <v/>
      </c>
      <c r="R359" s="59" t="str">
        <f>IF([2]道具信息!R359="","",[2]道具信息!R359)</f>
        <v/>
      </c>
      <c r="S359" s="59" t="str">
        <f>IF([2]道具信息!S359="","",[2]道具信息!S359)</f>
        <v/>
      </c>
      <c r="T359" s="59" t="str">
        <f>IF([2]道具信息!T359="","",[2]道具信息!T359)</f>
        <v/>
      </c>
      <c r="U359" s="59" t="str">
        <f>IF([2]道具信息!U359="","",[2]道具信息!U359)</f>
        <v/>
      </c>
      <c r="V359" s="59" t="str">
        <f>IF([2]道具信息!V359="","",[2]道具信息!V359)</f>
        <v/>
      </c>
      <c r="W359" s="59" t="str">
        <f>IF([2]道具信息!W359="","",[2]道具信息!W359)</f>
        <v/>
      </c>
      <c r="X359" s="59" t="str">
        <f>IF([2]道具信息!X359="","",[2]道具信息!X359)</f>
        <v/>
      </c>
      <c r="Y359" s="59" t="str">
        <f>IF([2]道具信息!Y359="","",[2]道具信息!Y359)</f>
        <v/>
      </c>
      <c r="Z359" s="59" t="str">
        <f>IF([2]道具信息!Z359="","",[2]道具信息!Z359)</f>
        <v/>
      </c>
    </row>
    <row r="360" spans="1:26" x14ac:dyDescent="0.15">
      <c r="A360" s="59" t="str">
        <f>IF([2]道具信息!A360="","",[2]道具信息!A360)</f>
        <v/>
      </c>
      <c r="B360" s="59" t="str">
        <f>IF([2]道具信息!B360="","",[2]道具信息!B360)</f>
        <v/>
      </c>
      <c r="C360" s="59" t="str">
        <f>IF([2]道具信息!C360="","",[2]道具信息!C360)</f>
        <v/>
      </c>
      <c r="D360" s="59" t="str">
        <f>IF([2]道具信息!D360="","",[2]道具信息!D360)</f>
        <v/>
      </c>
      <c r="E360" s="59" t="str">
        <f>IF([2]道具信息!E360="","",[2]道具信息!E360)</f>
        <v/>
      </c>
      <c r="F360" s="59">
        <f>IF([2]道具信息!F360="","",[2]道具信息!F360)</f>
        <v>1</v>
      </c>
      <c r="G360" s="59">
        <f>IF([2]道具信息!G360="","",[2]道具信息!G360)</f>
        <v>1</v>
      </c>
      <c r="H360" s="59">
        <f>IF([2]道具信息!H360="","",[2]道具信息!H360)</f>
        <v>1</v>
      </c>
      <c r="I360" s="59" t="str">
        <f>IF([2]道具信息!I360="","",[2]道具信息!I360)</f>
        <v/>
      </c>
      <c r="J360" s="59" t="str">
        <f>IF([2]道具信息!J360="","",[2]道具信息!J360)</f>
        <v/>
      </c>
      <c r="K360" s="59" t="str">
        <f>IF([2]道具信息!K360="","",[2]道具信息!K360)</f>
        <v/>
      </c>
      <c r="L360" s="59" t="str">
        <f>IF([2]道具信息!L360="","",[2]道具信息!L360)</f>
        <v/>
      </c>
      <c r="M360" s="59" t="str">
        <f>IF([2]道具信息!M360="","",[2]道具信息!M360)</f>
        <v/>
      </c>
      <c r="N360" s="59" t="str">
        <f>IF([2]道具信息!N360="","",[2]道具信息!N360)</f>
        <v/>
      </c>
      <c r="O360" s="59" t="str">
        <f>IF([2]道具信息!O360="","",[2]道具信息!O360)</f>
        <v/>
      </c>
      <c r="P360" s="59" t="str">
        <f>IF([2]道具信息!P360="","",[2]道具信息!P360)</f>
        <v/>
      </c>
      <c r="Q360" s="59" t="str">
        <f>IF([2]道具信息!Q360="","",[2]道具信息!Q360)</f>
        <v/>
      </c>
      <c r="R360" s="59" t="str">
        <f>IF([2]道具信息!R360="","",[2]道具信息!R360)</f>
        <v/>
      </c>
      <c r="S360" s="59" t="str">
        <f>IF([2]道具信息!S360="","",[2]道具信息!S360)</f>
        <v/>
      </c>
      <c r="T360" s="59" t="str">
        <f>IF([2]道具信息!T360="","",[2]道具信息!T360)</f>
        <v/>
      </c>
      <c r="U360" s="59" t="str">
        <f>IF([2]道具信息!U360="","",[2]道具信息!U360)</f>
        <v/>
      </c>
      <c r="V360" s="59" t="str">
        <f>IF([2]道具信息!V360="","",[2]道具信息!V360)</f>
        <v/>
      </c>
      <c r="W360" s="59" t="str">
        <f>IF([2]道具信息!W360="","",[2]道具信息!W360)</f>
        <v/>
      </c>
      <c r="X360" s="59" t="str">
        <f>IF([2]道具信息!X360="","",[2]道具信息!X360)</f>
        <v/>
      </c>
      <c r="Y360" s="59" t="str">
        <f>IF([2]道具信息!Y360="","",[2]道具信息!Y360)</f>
        <v/>
      </c>
      <c r="Z360" s="59" t="str">
        <f>IF([2]道具信息!Z360="","",[2]道具信息!Z360)</f>
        <v/>
      </c>
    </row>
    <row r="361" spans="1:26" x14ac:dyDescent="0.15">
      <c r="A361" s="59" t="str">
        <f>IF([2]道具信息!A361="","",[2]道具信息!A361)</f>
        <v/>
      </c>
      <c r="B361" s="59" t="str">
        <f>IF([2]道具信息!B361="","",[2]道具信息!B361)</f>
        <v/>
      </c>
      <c r="C361" s="59" t="str">
        <f>IF([2]道具信息!C361="","",[2]道具信息!C361)</f>
        <v/>
      </c>
      <c r="D361" s="59" t="str">
        <f>IF([2]道具信息!D361="","",[2]道具信息!D361)</f>
        <v/>
      </c>
      <c r="E361" s="59" t="str">
        <f>IF([2]道具信息!E361="","",[2]道具信息!E361)</f>
        <v/>
      </c>
      <c r="F361" s="59">
        <f>IF([2]道具信息!F361="","",[2]道具信息!F361)</f>
        <v>1</v>
      </c>
      <c r="G361" s="59">
        <f>IF([2]道具信息!G361="","",[2]道具信息!G361)</f>
        <v>1</v>
      </c>
      <c r="H361" s="59">
        <f>IF([2]道具信息!H361="","",[2]道具信息!H361)</f>
        <v>1</v>
      </c>
      <c r="I361" s="59" t="str">
        <f>IF([2]道具信息!I361="","",[2]道具信息!I361)</f>
        <v/>
      </c>
      <c r="J361" s="59" t="str">
        <f>IF([2]道具信息!J361="","",[2]道具信息!J361)</f>
        <v/>
      </c>
      <c r="K361" s="59" t="str">
        <f>IF([2]道具信息!K361="","",[2]道具信息!K361)</f>
        <v/>
      </c>
      <c r="L361" s="59" t="str">
        <f>IF([2]道具信息!L361="","",[2]道具信息!L361)</f>
        <v/>
      </c>
      <c r="M361" s="59" t="str">
        <f>IF([2]道具信息!M361="","",[2]道具信息!M361)</f>
        <v/>
      </c>
      <c r="N361" s="59" t="str">
        <f>IF([2]道具信息!N361="","",[2]道具信息!N361)</f>
        <v/>
      </c>
      <c r="O361" s="59" t="str">
        <f>IF([2]道具信息!O361="","",[2]道具信息!O361)</f>
        <v/>
      </c>
      <c r="P361" s="59" t="str">
        <f>IF([2]道具信息!P361="","",[2]道具信息!P361)</f>
        <v/>
      </c>
      <c r="Q361" s="59" t="str">
        <f>IF([2]道具信息!Q361="","",[2]道具信息!Q361)</f>
        <v/>
      </c>
      <c r="R361" s="59" t="str">
        <f>IF([2]道具信息!R361="","",[2]道具信息!R361)</f>
        <v/>
      </c>
      <c r="S361" s="59" t="str">
        <f>IF([2]道具信息!S361="","",[2]道具信息!S361)</f>
        <v/>
      </c>
      <c r="T361" s="59" t="str">
        <f>IF([2]道具信息!T361="","",[2]道具信息!T361)</f>
        <v/>
      </c>
      <c r="U361" s="59" t="str">
        <f>IF([2]道具信息!U361="","",[2]道具信息!U361)</f>
        <v/>
      </c>
      <c r="V361" s="59" t="str">
        <f>IF([2]道具信息!V361="","",[2]道具信息!V361)</f>
        <v/>
      </c>
      <c r="W361" s="59" t="str">
        <f>IF([2]道具信息!W361="","",[2]道具信息!W361)</f>
        <v/>
      </c>
      <c r="X361" s="59" t="str">
        <f>IF([2]道具信息!X361="","",[2]道具信息!X361)</f>
        <v/>
      </c>
      <c r="Y361" s="59" t="str">
        <f>IF([2]道具信息!Y361="","",[2]道具信息!Y361)</f>
        <v/>
      </c>
      <c r="Z361" s="59" t="str">
        <f>IF([2]道具信息!Z361="","",[2]道具信息!Z361)</f>
        <v/>
      </c>
    </row>
    <row r="362" spans="1:26" x14ac:dyDescent="0.15">
      <c r="A362" s="59" t="str">
        <f>IF([2]道具信息!A362="","",[2]道具信息!A362)</f>
        <v/>
      </c>
      <c r="B362" s="59" t="str">
        <f>IF([2]道具信息!B362="","",[2]道具信息!B362)</f>
        <v/>
      </c>
      <c r="C362" s="59" t="str">
        <f>IF([2]道具信息!C362="","",[2]道具信息!C362)</f>
        <v/>
      </c>
      <c r="D362" s="59" t="str">
        <f>IF([2]道具信息!D362="","",[2]道具信息!D362)</f>
        <v/>
      </c>
      <c r="E362" s="59" t="str">
        <f>IF([2]道具信息!E362="","",[2]道具信息!E362)</f>
        <v/>
      </c>
      <c r="F362" s="59">
        <f>IF([2]道具信息!F362="","",[2]道具信息!F362)</f>
        <v>1</v>
      </c>
      <c r="G362" s="59">
        <f>IF([2]道具信息!G362="","",[2]道具信息!G362)</f>
        <v>1</v>
      </c>
      <c r="H362" s="59">
        <f>IF([2]道具信息!H362="","",[2]道具信息!H362)</f>
        <v>1</v>
      </c>
      <c r="I362" s="59" t="str">
        <f>IF([2]道具信息!I362="","",[2]道具信息!I362)</f>
        <v/>
      </c>
      <c r="J362" s="59" t="str">
        <f>IF([2]道具信息!J362="","",[2]道具信息!J362)</f>
        <v/>
      </c>
      <c r="K362" s="59" t="str">
        <f>IF([2]道具信息!K362="","",[2]道具信息!K362)</f>
        <v/>
      </c>
      <c r="L362" s="59" t="str">
        <f>IF([2]道具信息!L362="","",[2]道具信息!L362)</f>
        <v/>
      </c>
      <c r="M362" s="59" t="str">
        <f>IF([2]道具信息!M362="","",[2]道具信息!M362)</f>
        <v/>
      </c>
      <c r="N362" s="59" t="str">
        <f>IF([2]道具信息!N362="","",[2]道具信息!N362)</f>
        <v/>
      </c>
      <c r="O362" s="59" t="str">
        <f>IF([2]道具信息!O362="","",[2]道具信息!O362)</f>
        <v/>
      </c>
      <c r="P362" s="59" t="str">
        <f>IF([2]道具信息!P362="","",[2]道具信息!P362)</f>
        <v/>
      </c>
      <c r="Q362" s="59" t="str">
        <f>IF([2]道具信息!Q362="","",[2]道具信息!Q362)</f>
        <v/>
      </c>
      <c r="R362" s="59" t="str">
        <f>IF([2]道具信息!R362="","",[2]道具信息!R362)</f>
        <v/>
      </c>
      <c r="S362" s="59" t="str">
        <f>IF([2]道具信息!S362="","",[2]道具信息!S362)</f>
        <v/>
      </c>
      <c r="T362" s="59" t="str">
        <f>IF([2]道具信息!T362="","",[2]道具信息!T362)</f>
        <v/>
      </c>
      <c r="U362" s="59" t="str">
        <f>IF([2]道具信息!U362="","",[2]道具信息!U362)</f>
        <v/>
      </c>
      <c r="V362" s="59" t="str">
        <f>IF([2]道具信息!V362="","",[2]道具信息!V362)</f>
        <v/>
      </c>
      <c r="W362" s="59" t="str">
        <f>IF([2]道具信息!W362="","",[2]道具信息!W362)</f>
        <v/>
      </c>
      <c r="X362" s="59" t="str">
        <f>IF([2]道具信息!X362="","",[2]道具信息!X362)</f>
        <v/>
      </c>
      <c r="Y362" s="59" t="str">
        <f>IF([2]道具信息!Y362="","",[2]道具信息!Y362)</f>
        <v/>
      </c>
      <c r="Z362" s="59" t="str">
        <f>IF([2]道具信息!Z362="","",[2]道具信息!Z362)</f>
        <v/>
      </c>
    </row>
    <row r="363" spans="1:26" x14ac:dyDescent="0.15">
      <c r="A363" s="59" t="str">
        <f>IF([2]道具信息!A363="","",[2]道具信息!A363)</f>
        <v/>
      </c>
      <c r="B363" s="59" t="str">
        <f>IF([2]道具信息!B363="","",[2]道具信息!B363)</f>
        <v/>
      </c>
      <c r="C363" s="59">
        <f>IF([2]道具信息!C363="","",[2]道具信息!C363)</f>
        <v>22116</v>
      </c>
      <c r="D363" s="59" t="str">
        <f>IF([2]道具信息!D363="","",[2]道具信息!D363)</f>
        <v>倾国倾城武魂</v>
      </c>
      <c r="E363" s="59" t="str">
        <f>IF([2]道具信息!E363="","",[2]道具信息!E363)</f>
        <v/>
      </c>
      <c r="F363" s="59">
        <f>IF([2]道具信息!F363="","",[2]道具信息!F363)</f>
        <v>1</v>
      </c>
      <c r="G363" s="59">
        <f>IF([2]道具信息!G363="","",[2]道具信息!G363)</f>
        <v>1</v>
      </c>
      <c r="H363" s="59">
        <f>IF([2]道具信息!H363="","",[2]道具信息!H363)</f>
        <v>1</v>
      </c>
      <c r="I363" s="59" t="str">
        <f>IF([2]道具信息!I363="","",[2]道具信息!I363)</f>
        <v/>
      </c>
      <c r="J363" s="59" t="str">
        <f>IF([2]道具信息!J363="","",[2]道具信息!J363)</f>
        <v/>
      </c>
      <c r="K363" s="59" t="str">
        <f>IF([2]道具信息!K363="","",[2]道具信息!K363)</f>
        <v/>
      </c>
      <c r="L363" s="59" t="str">
        <f>IF([2]道具信息!L363="","",[2]道具信息!L363)</f>
        <v/>
      </c>
      <c r="M363" s="59" t="str">
        <f>IF([2]道具信息!M363="","",[2]道具信息!M363)</f>
        <v/>
      </c>
      <c r="N363" s="59" t="str">
        <f>IF([2]道具信息!N363="","",[2]道具信息!N363)</f>
        <v/>
      </c>
      <c r="O363" s="59" t="str">
        <f>IF([2]道具信息!O363="","",[2]道具信息!O363)</f>
        <v/>
      </c>
      <c r="P363" s="59" t="str">
        <f>IF([2]道具信息!P363="","",[2]道具信息!P363)</f>
        <v/>
      </c>
      <c r="Q363" s="59" t="str">
        <f>IF([2]道具信息!Q363="","",[2]道具信息!Q363)</f>
        <v/>
      </c>
      <c r="R363" s="59" t="str">
        <f>IF([2]道具信息!R363="","",[2]道具信息!R363)</f>
        <v/>
      </c>
      <c r="S363" s="59" t="str">
        <f>IF([2]道具信息!S363="","",[2]道具信息!S363)</f>
        <v/>
      </c>
      <c r="T363" s="59" t="str">
        <f>IF([2]道具信息!T363="","",[2]道具信息!T363)</f>
        <v/>
      </c>
      <c r="U363" s="59" t="str">
        <f>IF([2]道具信息!U363="","",[2]道具信息!U363)</f>
        <v/>
      </c>
      <c r="V363" s="59" t="str">
        <f>IF([2]道具信息!V363="","",[2]道具信息!V363)</f>
        <v/>
      </c>
      <c r="W363" s="59" t="str">
        <f>IF([2]道具信息!W363="","",[2]道具信息!W363)</f>
        <v/>
      </c>
      <c r="X363" s="59" t="str">
        <f>IF([2]道具信息!X363="","",[2]道具信息!X363)</f>
        <v/>
      </c>
      <c r="Y363" s="59" t="str">
        <f>IF([2]道具信息!Y363="","",[2]道具信息!Y363)</f>
        <v/>
      </c>
      <c r="Z363" s="59" t="str">
        <f>IF([2]道具信息!Z363="","",[2]道具信息!Z363)</f>
        <v/>
      </c>
    </row>
    <row r="364" spans="1:26" x14ac:dyDescent="0.15">
      <c r="A364" s="59" t="str">
        <f>IF([2]道具信息!A364="","",[2]道具信息!A364)</f>
        <v/>
      </c>
      <c r="B364" s="59" t="str">
        <f>IF([2]道具信息!B364="","",[2]道具信息!B364)</f>
        <v/>
      </c>
      <c r="C364" s="59">
        <f>IF([2]道具信息!C364="","",[2]道具信息!C364)</f>
        <v>22117</v>
      </c>
      <c r="D364" s="59" t="str">
        <f>IF([2]道具信息!D364="","",[2]道具信息!D364)</f>
        <v>墨行天下武魂</v>
      </c>
      <c r="E364" s="59" t="str">
        <f>IF([2]道具信息!E364="","",[2]道具信息!E364)</f>
        <v/>
      </c>
      <c r="F364" s="59">
        <f>IF([2]道具信息!F364="","",[2]道具信息!F364)</f>
        <v>1</v>
      </c>
      <c r="G364" s="59">
        <f>IF([2]道具信息!G364="","",[2]道具信息!G364)</f>
        <v>1</v>
      </c>
      <c r="H364" s="59">
        <f>IF([2]道具信息!H364="","",[2]道具信息!H364)</f>
        <v>1</v>
      </c>
      <c r="I364" s="59" t="str">
        <f>IF([2]道具信息!I364="","",[2]道具信息!I364)</f>
        <v/>
      </c>
      <c r="J364" s="59" t="str">
        <f>IF([2]道具信息!J364="","",[2]道具信息!J364)</f>
        <v/>
      </c>
      <c r="K364" s="59" t="str">
        <f>IF([2]道具信息!K364="","",[2]道具信息!K364)</f>
        <v/>
      </c>
      <c r="L364" s="59" t="str">
        <f>IF([2]道具信息!L364="","",[2]道具信息!L364)</f>
        <v/>
      </c>
      <c r="M364" s="59" t="str">
        <f>IF([2]道具信息!M364="","",[2]道具信息!M364)</f>
        <v/>
      </c>
      <c r="N364" s="59" t="str">
        <f>IF([2]道具信息!N364="","",[2]道具信息!N364)</f>
        <v/>
      </c>
      <c r="O364" s="59" t="str">
        <f>IF([2]道具信息!O364="","",[2]道具信息!O364)</f>
        <v/>
      </c>
      <c r="P364" s="59" t="str">
        <f>IF([2]道具信息!P364="","",[2]道具信息!P364)</f>
        <v/>
      </c>
      <c r="Q364" s="59" t="str">
        <f>IF([2]道具信息!Q364="","",[2]道具信息!Q364)</f>
        <v/>
      </c>
      <c r="R364" s="59" t="str">
        <f>IF([2]道具信息!R364="","",[2]道具信息!R364)</f>
        <v/>
      </c>
      <c r="S364" s="59" t="str">
        <f>IF([2]道具信息!S364="","",[2]道具信息!S364)</f>
        <v/>
      </c>
      <c r="T364" s="59" t="str">
        <f>IF([2]道具信息!T364="","",[2]道具信息!T364)</f>
        <v/>
      </c>
      <c r="U364" s="59" t="str">
        <f>IF([2]道具信息!U364="","",[2]道具信息!U364)</f>
        <v/>
      </c>
      <c r="V364" s="59" t="str">
        <f>IF([2]道具信息!V364="","",[2]道具信息!V364)</f>
        <v/>
      </c>
      <c r="W364" s="59" t="str">
        <f>IF([2]道具信息!W364="","",[2]道具信息!W364)</f>
        <v/>
      </c>
      <c r="X364" s="59" t="str">
        <f>IF([2]道具信息!X364="","",[2]道具信息!X364)</f>
        <v/>
      </c>
      <c r="Y364" s="59" t="str">
        <f>IF([2]道具信息!Y364="","",[2]道具信息!Y364)</f>
        <v/>
      </c>
      <c r="Z364" s="59" t="str">
        <f>IF([2]道具信息!Z364="","",[2]道具信息!Z364)</f>
        <v/>
      </c>
    </row>
    <row r="365" spans="1:26" x14ac:dyDescent="0.15">
      <c r="A365" s="59" t="str">
        <f>IF([2]道具信息!A365="","",[2]道具信息!A365)</f>
        <v/>
      </c>
      <c r="B365" s="59" t="str">
        <f>IF([2]道具信息!B365="","",[2]道具信息!B365)</f>
        <v/>
      </c>
      <c r="C365" s="59">
        <f>IF([2]道具信息!C365="","",[2]道具信息!C365)</f>
        <v>23220</v>
      </c>
      <c r="D365" s="59" t="str">
        <f>IF([2]道具信息!D365="","",[2]道具信息!D365)</f>
        <v>红色统智装备礼包</v>
      </c>
      <c r="E365" s="59" t="str">
        <f>IF([2]道具信息!E365="","",[2]道具信息!E365)</f>
        <v/>
      </c>
      <c r="F365" s="59">
        <f>IF([2]道具信息!F365="","",[2]道具信息!F365)</f>
        <v>1</v>
      </c>
      <c r="G365" s="59">
        <f>IF([2]道具信息!G365="","",[2]道具信息!G365)</f>
        <v>1</v>
      </c>
      <c r="H365" s="59">
        <f>IF([2]道具信息!H365="","",[2]道具信息!H365)</f>
        <v>1</v>
      </c>
      <c r="I365" s="59" t="str">
        <f>IF([2]道具信息!I365="","",[2]道具信息!I365)</f>
        <v/>
      </c>
      <c r="J365" s="59" t="str">
        <f>IF([2]道具信息!J365="","",[2]道具信息!J365)</f>
        <v/>
      </c>
      <c r="K365" s="59" t="str">
        <f>IF([2]道具信息!K365="","",[2]道具信息!K365)</f>
        <v/>
      </c>
      <c r="L365" s="59" t="str">
        <f>IF([2]道具信息!L365="","",[2]道具信息!L365)</f>
        <v/>
      </c>
      <c r="M365" s="59" t="str">
        <f>IF([2]道具信息!M365="","",[2]道具信息!M365)</f>
        <v/>
      </c>
      <c r="N365" s="59" t="str">
        <f>IF([2]道具信息!N365="","",[2]道具信息!N365)</f>
        <v/>
      </c>
      <c r="O365" s="59" t="str">
        <f>IF([2]道具信息!O365="","",[2]道具信息!O365)</f>
        <v/>
      </c>
      <c r="P365" s="59" t="str">
        <f>IF([2]道具信息!P365="","",[2]道具信息!P365)</f>
        <v/>
      </c>
      <c r="Q365" s="59" t="str">
        <f>IF([2]道具信息!Q365="","",[2]道具信息!Q365)</f>
        <v/>
      </c>
      <c r="R365" s="59" t="str">
        <f>IF([2]道具信息!R365="","",[2]道具信息!R365)</f>
        <v/>
      </c>
      <c r="S365" s="59" t="str">
        <f>IF([2]道具信息!S365="","",[2]道具信息!S365)</f>
        <v/>
      </c>
      <c r="T365" s="59" t="str">
        <f>IF([2]道具信息!T365="","",[2]道具信息!T365)</f>
        <v/>
      </c>
      <c r="U365" s="59" t="str">
        <f>IF([2]道具信息!U365="","",[2]道具信息!U365)</f>
        <v/>
      </c>
      <c r="V365" s="59" t="str">
        <f>IF([2]道具信息!V365="","",[2]道具信息!V365)</f>
        <v/>
      </c>
      <c r="W365" s="59" t="str">
        <f>IF([2]道具信息!W365="","",[2]道具信息!W365)</f>
        <v/>
      </c>
      <c r="X365" s="59" t="str">
        <f>IF([2]道具信息!X365="","",[2]道具信息!X365)</f>
        <v/>
      </c>
      <c r="Y365" s="59" t="str">
        <f>IF([2]道具信息!Y365="","",[2]道具信息!Y365)</f>
        <v/>
      </c>
      <c r="Z365" s="59" t="str">
        <f>IF([2]道具信息!Z365="","",[2]道具信息!Z365)</f>
        <v/>
      </c>
    </row>
    <row r="366" spans="1:26" x14ac:dyDescent="0.15">
      <c r="A366" s="59" t="str">
        <f>IF([2]道具信息!A366="","",[2]道具信息!A366)</f>
        <v/>
      </c>
      <c r="B366" s="59" t="str">
        <f>IF([2]道具信息!B366="","",[2]道具信息!B366)</f>
        <v/>
      </c>
      <c r="C366" s="59">
        <f>IF([2]道具信息!C366="","",[2]道具信息!C366)</f>
        <v>23221</v>
      </c>
      <c r="D366" s="59" t="str">
        <f>IF([2]道具信息!D366="","",[2]道具信息!D366)</f>
        <v>紫色兵法自选宝箱</v>
      </c>
      <c r="E366" s="59" t="str">
        <f>IF([2]道具信息!E366="","",[2]道具信息!E366)</f>
        <v/>
      </c>
      <c r="F366" s="59">
        <f>IF([2]道具信息!F366="","",[2]道具信息!F366)</f>
        <v>1</v>
      </c>
      <c r="G366" s="59">
        <f>IF([2]道具信息!G366="","",[2]道具信息!G366)</f>
        <v>1</v>
      </c>
      <c r="H366" s="59">
        <f>IF([2]道具信息!H366="","",[2]道具信息!H366)</f>
        <v>1</v>
      </c>
      <c r="I366" s="59" t="str">
        <f>IF([2]道具信息!I366="","",[2]道具信息!I366)</f>
        <v/>
      </c>
      <c r="J366" s="59" t="str">
        <f>IF([2]道具信息!J366="","",[2]道具信息!J366)</f>
        <v/>
      </c>
      <c r="K366" s="59" t="str">
        <f>IF([2]道具信息!K366="","",[2]道具信息!K366)</f>
        <v/>
      </c>
      <c r="L366" s="59" t="str">
        <f>IF([2]道具信息!L366="","",[2]道具信息!L366)</f>
        <v/>
      </c>
      <c r="M366" s="59" t="str">
        <f>IF([2]道具信息!M366="","",[2]道具信息!M366)</f>
        <v/>
      </c>
      <c r="N366" s="59" t="str">
        <f>IF([2]道具信息!N366="","",[2]道具信息!N366)</f>
        <v/>
      </c>
      <c r="O366" s="59" t="str">
        <f>IF([2]道具信息!O366="","",[2]道具信息!O366)</f>
        <v/>
      </c>
      <c r="P366" s="59" t="str">
        <f>IF([2]道具信息!P366="","",[2]道具信息!P366)</f>
        <v/>
      </c>
      <c r="Q366" s="59" t="str">
        <f>IF([2]道具信息!Q366="","",[2]道具信息!Q366)</f>
        <v/>
      </c>
      <c r="R366" s="59" t="str">
        <f>IF([2]道具信息!R366="","",[2]道具信息!R366)</f>
        <v/>
      </c>
      <c r="S366" s="59" t="str">
        <f>IF([2]道具信息!S366="","",[2]道具信息!S366)</f>
        <v/>
      </c>
      <c r="T366" s="59" t="str">
        <f>IF([2]道具信息!T366="","",[2]道具信息!T366)</f>
        <v/>
      </c>
      <c r="U366" s="59" t="str">
        <f>IF([2]道具信息!U366="","",[2]道具信息!U366)</f>
        <v/>
      </c>
      <c r="V366" s="59" t="str">
        <f>IF([2]道具信息!V366="","",[2]道具信息!V366)</f>
        <v/>
      </c>
      <c r="W366" s="59" t="str">
        <f>IF([2]道具信息!W366="","",[2]道具信息!W366)</f>
        <v/>
      </c>
      <c r="X366" s="59" t="str">
        <f>IF([2]道具信息!X366="","",[2]道具信息!X366)</f>
        <v/>
      </c>
      <c r="Y366" s="59" t="str">
        <f>IF([2]道具信息!Y366="","",[2]道具信息!Y366)</f>
        <v/>
      </c>
      <c r="Z366" s="59" t="str">
        <f>IF([2]道具信息!Z366="","",[2]道具信息!Z366)</f>
        <v/>
      </c>
    </row>
    <row r="367" spans="1:26" x14ac:dyDescent="0.15">
      <c r="A367" s="59" t="str">
        <f>IF([2]道具信息!A367="","",[2]道具信息!A367)</f>
        <v/>
      </c>
      <c r="B367" s="59" t="str">
        <f>IF([2]道具信息!B367="","",[2]道具信息!B367)</f>
        <v/>
      </c>
      <c r="C367" s="59">
        <f>IF([2]道具信息!C367="","",[2]道具信息!C367)</f>
        <v>23222</v>
      </c>
      <c r="D367" s="59" t="str">
        <f>IF([2]道具信息!D367="","",[2]道具信息!D367)</f>
        <v>橙色兵法自选宝箱</v>
      </c>
      <c r="E367" s="59" t="str">
        <f>IF([2]道具信息!E367="","",[2]道具信息!E367)</f>
        <v/>
      </c>
      <c r="F367" s="59">
        <f>IF([2]道具信息!F367="","",[2]道具信息!F367)</f>
        <v>1</v>
      </c>
      <c r="G367" s="59">
        <f>IF([2]道具信息!G367="","",[2]道具信息!G367)</f>
        <v>1</v>
      </c>
      <c r="H367" s="59">
        <f>IF([2]道具信息!H367="","",[2]道具信息!H367)</f>
        <v>1</v>
      </c>
      <c r="I367" s="59" t="str">
        <f>IF([2]道具信息!I367="","",[2]道具信息!I367)</f>
        <v/>
      </c>
      <c r="J367" s="59" t="str">
        <f>IF([2]道具信息!J367="","",[2]道具信息!J367)</f>
        <v/>
      </c>
      <c r="K367" s="59" t="str">
        <f>IF([2]道具信息!K367="","",[2]道具信息!K367)</f>
        <v/>
      </c>
      <c r="L367" s="59" t="str">
        <f>IF([2]道具信息!L367="","",[2]道具信息!L367)</f>
        <v/>
      </c>
      <c r="M367" s="59" t="str">
        <f>IF([2]道具信息!M367="","",[2]道具信息!M367)</f>
        <v/>
      </c>
      <c r="N367" s="59" t="str">
        <f>IF([2]道具信息!N367="","",[2]道具信息!N367)</f>
        <v/>
      </c>
      <c r="O367" s="59" t="str">
        <f>IF([2]道具信息!O367="","",[2]道具信息!O367)</f>
        <v/>
      </c>
      <c r="P367" s="59" t="str">
        <f>IF([2]道具信息!P367="","",[2]道具信息!P367)</f>
        <v/>
      </c>
      <c r="Q367" s="59" t="str">
        <f>IF([2]道具信息!Q367="","",[2]道具信息!Q367)</f>
        <v/>
      </c>
      <c r="R367" s="59" t="str">
        <f>IF([2]道具信息!R367="","",[2]道具信息!R367)</f>
        <v/>
      </c>
      <c r="S367" s="59" t="str">
        <f>IF([2]道具信息!S367="","",[2]道具信息!S367)</f>
        <v/>
      </c>
      <c r="T367" s="59" t="str">
        <f>IF([2]道具信息!T367="","",[2]道具信息!T367)</f>
        <v/>
      </c>
      <c r="U367" s="59" t="str">
        <f>IF([2]道具信息!U367="","",[2]道具信息!U367)</f>
        <v/>
      </c>
      <c r="V367" s="59" t="str">
        <f>IF([2]道具信息!V367="","",[2]道具信息!V367)</f>
        <v/>
      </c>
      <c r="W367" s="59" t="str">
        <f>IF([2]道具信息!W367="","",[2]道具信息!W367)</f>
        <v/>
      </c>
      <c r="X367" s="59" t="str">
        <f>IF([2]道具信息!X367="","",[2]道具信息!X367)</f>
        <v/>
      </c>
      <c r="Y367" s="59" t="str">
        <f>IF([2]道具信息!Y367="","",[2]道具信息!Y367)</f>
        <v/>
      </c>
      <c r="Z367" s="59" t="str">
        <f>IF([2]道具信息!Z367="","",[2]道具信息!Z367)</f>
        <v/>
      </c>
    </row>
    <row r="368" spans="1:26" x14ac:dyDescent="0.15">
      <c r="A368" s="59" t="str">
        <f>IF([2]道具信息!A368="","",[2]道具信息!A368)</f>
        <v/>
      </c>
      <c r="B368" s="59" t="str">
        <f>IF([2]道具信息!B368="","",[2]道具信息!B368)</f>
        <v/>
      </c>
      <c r="C368" s="59">
        <f>IF([2]道具信息!C368="","",[2]道具信息!C368)</f>
        <v>23364</v>
      </c>
      <c r="D368" s="59" t="str">
        <f>IF([2]道具信息!D368="","",[2]道具信息!D368)</f>
        <v>自选橙色兵法碎片</v>
      </c>
      <c r="E368" s="59" t="str">
        <f>IF([2]道具信息!E368="","",[2]道具信息!E368)</f>
        <v/>
      </c>
      <c r="F368" s="59">
        <f>IF([2]道具信息!F368="","",[2]道具信息!F368)</f>
        <v>1</v>
      </c>
      <c r="G368" s="59">
        <f>IF([2]道具信息!G368="","",[2]道具信息!G368)</f>
        <v>1</v>
      </c>
      <c r="H368" s="59">
        <f>IF([2]道具信息!H368="","",[2]道具信息!H368)</f>
        <v>1</v>
      </c>
      <c r="I368" s="59" t="str">
        <f>IF([2]道具信息!I368="","",[2]道具信息!I368)</f>
        <v/>
      </c>
      <c r="J368" s="59" t="str">
        <f>IF([2]道具信息!J368="","",[2]道具信息!J368)</f>
        <v/>
      </c>
      <c r="K368" s="59" t="str">
        <f>IF([2]道具信息!K368="","",[2]道具信息!K368)</f>
        <v/>
      </c>
      <c r="L368" s="59" t="str">
        <f>IF([2]道具信息!L368="","",[2]道具信息!L368)</f>
        <v/>
      </c>
      <c r="M368" s="59" t="str">
        <f>IF([2]道具信息!M368="","",[2]道具信息!M368)</f>
        <v/>
      </c>
      <c r="N368" s="59" t="str">
        <f>IF([2]道具信息!N368="","",[2]道具信息!N368)</f>
        <v/>
      </c>
      <c r="O368" s="59" t="str">
        <f>IF([2]道具信息!O368="","",[2]道具信息!O368)</f>
        <v/>
      </c>
      <c r="P368" s="59" t="str">
        <f>IF([2]道具信息!P368="","",[2]道具信息!P368)</f>
        <v/>
      </c>
      <c r="Q368" s="59" t="str">
        <f>IF([2]道具信息!Q368="","",[2]道具信息!Q368)</f>
        <v/>
      </c>
      <c r="R368" s="59" t="str">
        <f>IF([2]道具信息!R368="","",[2]道具信息!R368)</f>
        <v/>
      </c>
      <c r="S368" s="59" t="str">
        <f>IF([2]道具信息!S368="","",[2]道具信息!S368)</f>
        <v/>
      </c>
      <c r="T368" s="59" t="str">
        <f>IF([2]道具信息!T368="","",[2]道具信息!T368)</f>
        <v/>
      </c>
      <c r="U368" s="59" t="str">
        <f>IF([2]道具信息!U368="","",[2]道具信息!U368)</f>
        <v/>
      </c>
      <c r="V368" s="59" t="str">
        <f>IF([2]道具信息!V368="","",[2]道具信息!V368)</f>
        <v/>
      </c>
      <c r="W368" s="59" t="str">
        <f>IF([2]道具信息!W368="","",[2]道具信息!W368)</f>
        <v/>
      </c>
      <c r="X368" s="59" t="str">
        <f>IF([2]道具信息!X368="","",[2]道具信息!X368)</f>
        <v/>
      </c>
      <c r="Y368" s="59" t="str">
        <f>IF([2]道具信息!Y368="","",[2]道具信息!Y368)</f>
        <v/>
      </c>
      <c r="Z368" s="59" t="str">
        <f>IF([2]道具信息!Z368="","",[2]道具信息!Z368)</f>
        <v/>
      </c>
    </row>
    <row r="369" spans="1:26" x14ac:dyDescent="0.15">
      <c r="A369" s="59" t="str">
        <f>IF([2]道具信息!A369="","",[2]道具信息!A369)</f>
        <v/>
      </c>
      <c r="B369" s="59" t="str">
        <f>IF([2]道具信息!B369="","",[2]道具信息!B369)</f>
        <v/>
      </c>
      <c r="C369" s="59">
        <f>IF([2]道具信息!C369="","",[2]道具信息!C369)</f>
        <v>23365</v>
      </c>
      <c r="D369" s="59" t="str">
        <f>IF([2]道具信息!D369="","",[2]道具信息!D369)</f>
        <v>自选紫色兵法碎片</v>
      </c>
      <c r="E369" s="59" t="str">
        <f>IF([2]道具信息!E369="","",[2]道具信息!E369)</f>
        <v/>
      </c>
      <c r="F369" s="59">
        <f>IF([2]道具信息!F369="","",[2]道具信息!F369)</f>
        <v>1</v>
      </c>
      <c r="G369" s="59">
        <f>IF([2]道具信息!G369="","",[2]道具信息!G369)</f>
        <v>1</v>
      </c>
      <c r="H369" s="59">
        <f>IF([2]道具信息!H369="","",[2]道具信息!H369)</f>
        <v>1</v>
      </c>
      <c r="I369" s="59" t="str">
        <f>IF([2]道具信息!I369="","",[2]道具信息!I369)</f>
        <v/>
      </c>
      <c r="J369" s="59" t="str">
        <f>IF([2]道具信息!J369="","",[2]道具信息!J369)</f>
        <v/>
      </c>
      <c r="K369" s="59" t="str">
        <f>IF([2]道具信息!K369="","",[2]道具信息!K369)</f>
        <v/>
      </c>
      <c r="L369" s="59" t="str">
        <f>IF([2]道具信息!L369="","",[2]道具信息!L369)</f>
        <v/>
      </c>
      <c r="M369" s="59" t="str">
        <f>IF([2]道具信息!M369="","",[2]道具信息!M369)</f>
        <v/>
      </c>
      <c r="N369" s="59" t="str">
        <f>IF([2]道具信息!N369="","",[2]道具信息!N369)</f>
        <v/>
      </c>
      <c r="O369" s="59" t="str">
        <f>IF([2]道具信息!O369="","",[2]道具信息!O369)</f>
        <v/>
      </c>
      <c r="P369" s="59" t="str">
        <f>IF([2]道具信息!P369="","",[2]道具信息!P369)</f>
        <v/>
      </c>
      <c r="Q369" s="59" t="str">
        <f>IF([2]道具信息!Q369="","",[2]道具信息!Q369)</f>
        <v/>
      </c>
      <c r="R369" s="59" t="str">
        <f>IF([2]道具信息!R369="","",[2]道具信息!R369)</f>
        <v/>
      </c>
      <c r="S369" s="59" t="str">
        <f>IF([2]道具信息!S369="","",[2]道具信息!S369)</f>
        <v/>
      </c>
      <c r="T369" s="59" t="str">
        <f>IF([2]道具信息!T369="","",[2]道具信息!T369)</f>
        <v/>
      </c>
      <c r="U369" s="59" t="str">
        <f>IF([2]道具信息!U369="","",[2]道具信息!U369)</f>
        <v/>
      </c>
      <c r="V369" s="59" t="str">
        <f>IF([2]道具信息!V369="","",[2]道具信息!V369)</f>
        <v/>
      </c>
      <c r="W369" s="59" t="str">
        <f>IF([2]道具信息!W369="","",[2]道具信息!W369)</f>
        <v/>
      </c>
      <c r="X369" s="59" t="str">
        <f>IF([2]道具信息!X369="","",[2]道具信息!X369)</f>
        <v/>
      </c>
      <c r="Y369" s="59" t="str">
        <f>IF([2]道具信息!Y369="","",[2]道具信息!Y369)</f>
        <v/>
      </c>
      <c r="Z369" s="59" t="str">
        <f>IF([2]道具信息!Z369="","",[2]道具信息!Z369)</f>
        <v/>
      </c>
    </row>
    <row r="370" spans="1:26" x14ac:dyDescent="0.15">
      <c r="A370" s="59" t="str">
        <f>IF([2]道具信息!A370="","",[2]道具信息!A370)</f>
        <v/>
      </c>
      <c r="B370" s="59" t="str">
        <f>IF([2]道具信息!B370="","",[2]道具信息!B370)</f>
        <v/>
      </c>
      <c r="C370" s="59" t="str">
        <f>IF([2]道具信息!C370="","",[2]道具信息!C370)</f>
        <v/>
      </c>
      <c r="D370" s="59" t="str">
        <f>IF([2]道具信息!D370="","",[2]道具信息!D370)</f>
        <v/>
      </c>
      <c r="E370" s="59" t="str">
        <f>IF([2]道具信息!E370="","",[2]道具信息!E370)</f>
        <v/>
      </c>
      <c r="F370" s="59">
        <f>IF([2]道具信息!F370="","",[2]道具信息!F370)</f>
        <v>1</v>
      </c>
      <c r="G370" s="59">
        <f>IF([2]道具信息!G370="","",[2]道具信息!G370)</f>
        <v>1</v>
      </c>
      <c r="H370" s="59">
        <f>IF([2]道具信息!H370="","",[2]道具信息!H370)</f>
        <v>1</v>
      </c>
      <c r="I370" s="59" t="str">
        <f>IF([2]道具信息!I370="","",[2]道具信息!I370)</f>
        <v/>
      </c>
      <c r="J370" s="59" t="str">
        <f>IF([2]道具信息!J370="","",[2]道具信息!J370)</f>
        <v/>
      </c>
      <c r="K370" s="59" t="str">
        <f>IF([2]道具信息!K370="","",[2]道具信息!K370)</f>
        <v/>
      </c>
      <c r="L370" s="59" t="str">
        <f>IF([2]道具信息!L370="","",[2]道具信息!L370)</f>
        <v/>
      </c>
      <c r="M370" s="59" t="str">
        <f>IF([2]道具信息!M370="","",[2]道具信息!M370)</f>
        <v/>
      </c>
      <c r="N370" s="59" t="str">
        <f>IF([2]道具信息!N370="","",[2]道具信息!N370)</f>
        <v/>
      </c>
      <c r="O370" s="59" t="str">
        <f>IF([2]道具信息!O370="","",[2]道具信息!O370)</f>
        <v/>
      </c>
      <c r="P370" s="59" t="str">
        <f>IF([2]道具信息!P370="","",[2]道具信息!P370)</f>
        <v/>
      </c>
      <c r="Q370" s="59" t="str">
        <f>IF([2]道具信息!Q370="","",[2]道具信息!Q370)</f>
        <v/>
      </c>
      <c r="R370" s="59" t="str">
        <f>IF([2]道具信息!R370="","",[2]道具信息!R370)</f>
        <v/>
      </c>
      <c r="S370" s="59" t="str">
        <f>IF([2]道具信息!S370="","",[2]道具信息!S370)</f>
        <v/>
      </c>
      <c r="T370" s="59" t="str">
        <f>IF([2]道具信息!T370="","",[2]道具信息!T370)</f>
        <v/>
      </c>
      <c r="U370" s="59" t="str">
        <f>IF([2]道具信息!U370="","",[2]道具信息!U370)</f>
        <v/>
      </c>
      <c r="V370" s="59" t="str">
        <f>IF([2]道具信息!V370="","",[2]道具信息!V370)</f>
        <v/>
      </c>
      <c r="W370" s="59" t="str">
        <f>IF([2]道具信息!W370="","",[2]道具信息!W370)</f>
        <v/>
      </c>
      <c r="X370" s="59" t="str">
        <f>IF([2]道具信息!X370="","",[2]道具信息!X370)</f>
        <v/>
      </c>
      <c r="Y370" s="59" t="str">
        <f>IF([2]道具信息!Y370="","",[2]道具信息!Y370)</f>
        <v/>
      </c>
      <c r="Z370" s="59" t="str">
        <f>IF([2]道具信息!Z370="","",[2]道具信息!Z370)</f>
        <v/>
      </c>
    </row>
    <row r="371" spans="1:26" x14ac:dyDescent="0.15">
      <c r="A371" s="59" t="str">
        <f>IF([2]道具信息!A371="","",[2]道具信息!A371)</f>
        <v/>
      </c>
      <c r="B371" s="59" t="str">
        <f>IF([2]道具信息!B371="","",[2]道具信息!B371)</f>
        <v/>
      </c>
      <c r="C371" s="59">
        <f>IF([2]道具信息!C371="","",[2]道具信息!C371)</f>
        <v>21075</v>
      </c>
      <c r="D371" s="59" t="str">
        <f>IF([2]道具信息!D371="","",[2]道具信息!D371)</f>
        <v>中级免战牌</v>
      </c>
      <c r="E371" s="59">
        <f>IF([2]道具信息!E371="","",[2]道具信息!E371)</f>
        <v>200</v>
      </c>
      <c r="F371" s="59">
        <f>IF([2]道具信息!F371="","",[2]道具信息!F371)</f>
        <v>1</v>
      </c>
      <c r="G371" s="59">
        <f>IF([2]道具信息!G371="","",[2]道具信息!G371)</f>
        <v>1</v>
      </c>
      <c r="H371" s="59">
        <f>IF([2]道具信息!H371="","",[2]道具信息!H371)</f>
        <v>1</v>
      </c>
      <c r="I371" s="59">
        <f>IF([2]道具信息!I371="","",[2]道具信息!I371)</f>
        <v>200</v>
      </c>
      <c r="J371" s="59">
        <f>IF([2]道具信息!J371="","",[2]道具信息!J371)</f>
        <v>200</v>
      </c>
      <c r="K371" s="59">
        <f>IF([2]道具信息!K371="","",[2]道具信息!K371)</f>
        <v>200</v>
      </c>
      <c r="L371" s="59" t="str">
        <f>IF([2]道具信息!L371="","",[2]道具信息!L371)</f>
        <v>使用后城池不会遭受来自其他玩家的攻击，主动进攻其他玩家后失效，持续12小时</v>
      </c>
      <c r="M371" s="59" t="str">
        <f>IF([2]道具信息!M371="","",[2]道具信息!M371)</f>
        <v/>
      </c>
      <c r="N371" s="59" t="str">
        <f>IF([2]道具信息!N371="","",[2]道具信息!N371)</f>
        <v/>
      </c>
      <c r="O371" s="59" t="str">
        <f>IF([2]道具信息!O371="","",[2]道具信息!O371)</f>
        <v/>
      </c>
      <c r="P371" s="59" t="str">
        <f>IF([2]道具信息!P371="","",[2]道具信息!P371)</f>
        <v/>
      </c>
      <c r="Q371" s="59" t="str">
        <f>IF([2]道具信息!Q371="","",[2]道具信息!Q371)</f>
        <v/>
      </c>
      <c r="R371" s="59" t="str">
        <f>IF([2]道具信息!R371="","",[2]道具信息!R371)</f>
        <v/>
      </c>
      <c r="S371" s="59" t="str">
        <f>IF([2]道具信息!S371="","",[2]道具信息!S371)</f>
        <v/>
      </c>
      <c r="T371" s="59" t="str">
        <f>IF([2]道具信息!T371="","",[2]道具信息!T371)</f>
        <v/>
      </c>
      <c r="U371" s="59" t="str">
        <f>IF([2]道具信息!U371="","",[2]道具信息!U371)</f>
        <v/>
      </c>
      <c r="V371" s="59" t="str">
        <f>IF([2]道具信息!V371="","",[2]道具信息!V371)</f>
        <v/>
      </c>
      <c r="W371" s="59" t="str">
        <f>IF([2]道具信息!W371="","",[2]道具信息!W371)</f>
        <v/>
      </c>
      <c r="X371" s="59" t="str">
        <f>IF([2]道具信息!X371="","",[2]道具信息!X371)</f>
        <v/>
      </c>
      <c r="Y371" s="59" t="str">
        <f>IF([2]道具信息!Y371="","",[2]道具信息!Y371)</f>
        <v/>
      </c>
      <c r="Z371" s="59" t="str">
        <f>IF([2]道具信息!Z371="","",[2]道具信息!Z371)</f>
        <v/>
      </c>
    </row>
    <row r="372" spans="1:26" x14ac:dyDescent="0.15">
      <c r="A372" s="59" t="str">
        <f>IF([2]道具信息!A372="","",[2]道具信息!A372)</f>
        <v/>
      </c>
      <c r="B372" s="59" t="str">
        <f>IF([2]道具信息!B372="","",[2]道具信息!B372)</f>
        <v/>
      </c>
      <c r="C372" s="59">
        <f>IF([2]道具信息!C372="","",[2]道具信息!C372)</f>
        <v>21071</v>
      </c>
      <c r="D372" s="59" t="str">
        <f>IF([2]道具信息!D372="","",[2]道具信息!D372)</f>
        <v>高级免战牌</v>
      </c>
      <c r="E372" s="59">
        <f>IF([2]道具信息!E372="","",[2]道具信息!E372)</f>
        <v>500</v>
      </c>
      <c r="F372" s="59">
        <f>IF([2]道具信息!F372="","",[2]道具信息!F372)</f>
        <v>1</v>
      </c>
      <c r="G372" s="59">
        <f>IF([2]道具信息!G372="","",[2]道具信息!G372)</f>
        <v>1</v>
      </c>
      <c r="H372" s="59">
        <f>IF([2]道具信息!H372="","",[2]道具信息!H372)</f>
        <v>1</v>
      </c>
      <c r="I372" s="59">
        <f>IF([2]道具信息!I372="","",[2]道具信息!I372)</f>
        <v>500</v>
      </c>
      <c r="J372" s="59">
        <f>IF([2]道具信息!J372="","",[2]道具信息!J372)</f>
        <v>500</v>
      </c>
      <c r="K372" s="59">
        <f>IF([2]道具信息!K372="","",[2]道具信息!K372)</f>
        <v>500</v>
      </c>
      <c r="L372" s="59" t="str">
        <f>IF([2]道具信息!L372="","",[2]道具信息!L372)</f>
        <v>使用后城池不会遭受来自其他玩家的攻击，主动进攻其他玩家后失效，持续24小时</v>
      </c>
      <c r="M372" s="59" t="str">
        <f>IF([2]道具信息!M372="","",[2]道具信息!M372)</f>
        <v/>
      </c>
      <c r="N372" s="59" t="str">
        <f>IF([2]道具信息!N372="","",[2]道具信息!N372)</f>
        <v/>
      </c>
      <c r="O372" s="59" t="str">
        <f>IF([2]道具信息!O372="","",[2]道具信息!O372)</f>
        <v/>
      </c>
      <c r="P372" s="59" t="str">
        <f>IF([2]道具信息!P372="","",[2]道具信息!P372)</f>
        <v/>
      </c>
      <c r="Q372" s="59" t="str">
        <f>IF([2]道具信息!Q372="","",[2]道具信息!Q372)</f>
        <v/>
      </c>
      <c r="R372" s="59" t="str">
        <f>IF([2]道具信息!R372="","",[2]道具信息!R372)</f>
        <v/>
      </c>
      <c r="S372" s="59" t="str">
        <f>IF([2]道具信息!S372="","",[2]道具信息!S372)</f>
        <v/>
      </c>
      <c r="T372" s="59" t="str">
        <f>IF([2]道具信息!T372="","",[2]道具信息!T372)</f>
        <v/>
      </c>
      <c r="U372" s="59" t="str">
        <f>IF([2]道具信息!U372="","",[2]道具信息!U372)</f>
        <v/>
      </c>
      <c r="V372" s="59" t="str">
        <f>IF([2]道具信息!V372="","",[2]道具信息!V372)</f>
        <v/>
      </c>
      <c r="W372" s="59" t="str">
        <f>IF([2]道具信息!W372="","",[2]道具信息!W372)</f>
        <v/>
      </c>
      <c r="X372" s="59" t="str">
        <f>IF([2]道具信息!X372="","",[2]道具信息!X372)</f>
        <v/>
      </c>
      <c r="Y372" s="59" t="str">
        <f>IF([2]道具信息!Y372="","",[2]道具信息!Y372)</f>
        <v/>
      </c>
      <c r="Z372" s="59" t="str">
        <f>IF([2]道具信息!Z372="","",[2]道具信息!Z372)</f>
        <v/>
      </c>
    </row>
    <row r="373" spans="1:26" x14ac:dyDescent="0.15">
      <c r="A373" s="59" t="str">
        <f>IF([2]道具信息!A373="","",[2]道具信息!A373)</f>
        <v/>
      </c>
      <c r="B373" s="59" t="str">
        <f>IF([2]道具信息!B373="","",[2]道具信息!B373)</f>
        <v/>
      </c>
      <c r="C373" s="59">
        <f>IF([2]道具信息!C373="","",[2]道具信息!C373)</f>
        <v>21072</v>
      </c>
      <c r="D373" s="59" t="str">
        <f>IF([2]道具信息!D373="","",[2]道具信息!D373)</f>
        <v>特级免战牌</v>
      </c>
      <c r="E373" s="59">
        <f>IF([2]道具信息!E373="","",[2]道具信息!E373)</f>
        <v>1800</v>
      </c>
      <c r="F373" s="59">
        <f>IF([2]道具信息!F373="","",[2]道具信息!F373)</f>
        <v>1</v>
      </c>
      <c r="G373" s="59">
        <f>IF([2]道具信息!G373="","",[2]道具信息!G373)</f>
        <v>1</v>
      </c>
      <c r="H373" s="59">
        <f>IF([2]道具信息!H373="","",[2]道具信息!H373)</f>
        <v>1</v>
      </c>
      <c r="I373" s="59">
        <f>IF([2]道具信息!I373="","",[2]道具信息!I373)</f>
        <v>1800</v>
      </c>
      <c r="J373" s="59">
        <f>IF([2]道具信息!J373="","",[2]道具信息!J373)</f>
        <v>1800</v>
      </c>
      <c r="K373" s="59">
        <f>IF([2]道具信息!K373="","",[2]道具信息!K373)</f>
        <v>1800</v>
      </c>
      <c r="L373" s="59" t="str">
        <f>IF([2]道具信息!L373="","",[2]道具信息!L373)</f>
        <v>使用后城池不会遭受来自其他玩家的攻击，主动进攻其他玩家后失效，持续72小时</v>
      </c>
      <c r="M373" s="59" t="str">
        <f>IF([2]道具信息!M373="","",[2]道具信息!M373)</f>
        <v/>
      </c>
      <c r="N373" s="59" t="str">
        <f>IF([2]道具信息!N373="","",[2]道具信息!N373)</f>
        <v/>
      </c>
      <c r="O373" s="59" t="str">
        <f>IF([2]道具信息!O373="","",[2]道具信息!O373)</f>
        <v/>
      </c>
      <c r="P373" s="59" t="str">
        <f>IF([2]道具信息!P373="","",[2]道具信息!P373)</f>
        <v/>
      </c>
      <c r="Q373" s="59" t="str">
        <f>IF([2]道具信息!Q373="","",[2]道具信息!Q373)</f>
        <v/>
      </c>
      <c r="R373" s="59" t="str">
        <f>IF([2]道具信息!R373="","",[2]道具信息!R373)</f>
        <v/>
      </c>
      <c r="S373" s="59" t="str">
        <f>IF([2]道具信息!S373="","",[2]道具信息!S373)</f>
        <v/>
      </c>
      <c r="T373" s="59" t="str">
        <f>IF([2]道具信息!T373="","",[2]道具信息!T373)</f>
        <v/>
      </c>
      <c r="U373" s="59" t="str">
        <f>IF([2]道具信息!U373="","",[2]道具信息!U373)</f>
        <v/>
      </c>
      <c r="V373" s="59" t="str">
        <f>IF([2]道具信息!V373="","",[2]道具信息!V373)</f>
        <v/>
      </c>
      <c r="W373" s="59" t="str">
        <f>IF([2]道具信息!W373="","",[2]道具信息!W373)</f>
        <v/>
      </c>
      <c r="X373" s="59" t="str">
        <f>IF([2]道具信息!X373="","",[2]道具信息!X373)</f>
        <v/>
      </c>
      <c r="Y373" s="59" t="str">
        <f>IF([2]道具信息!Y373="","",[2]道具信息!Y373)</f>
        <v/>
      </c>
      <c r="Z373" s="59" t="str">
        <f>IF([2]道具信息!Z373="","",[2]道具信息!Z373)</f>
        <v/>
      </c>
    </row>
    <row r="374" spans="1:26" x14ac:dyDescent="0.15">
      <c r="A374" s="59" t="str">
        <f>IF([2]道具信息!A374="","",[2]道具信息!A374)</f>
        <v/>
      </c>
      <c r="B374" s="59" t="str">
        <f>IF([2]道具信息!B374="","",[2]道具信息!B374)</f>
        <v/>
      </c>
      <c r="C374" s="59">
        <f>IF([2]道具信息!C374="","",[2]道具信息!C374)</f>
        <v>90512</v>
      </c>
      <c r="D374" s="59" t="str">
        <f>IF([2]道具信息!D374="","",[2]道具信息!D374)</f>
        <v>文心</v>
      </c>
      <c r="E374" s="59" t="str">
        <f>IF([2]道具信息!E374="","",[2]道具信息!E374)</f>
        <v/>
      </c>
      <c r="F374" s="59">
        <f>IF([2]道具信息!F374="","",[2]道具信息!F374)</f>
        <v>1</v>
      </c>
      <c r="G374" s="59">
        <f>IF([2]道具信息!G374="","",[2]道具信息!G374)</f>
        <v>1</v>
      </c>
      <c r="H374" s="59">
        <f>IF([2]道具信息!H374="","",[2]道具信息!H374)</f>
        <v>1</v>
      </c>
      <c r="I374" s="59" t="str">
        <f>IF([2]道具信息!I374="","",[2]道具信息!I374)</f>
        <v/>
      </c>
      <c r="J374" s="59" t="str">
        <f>IF([2]道具信息!J374="","",[2]道具信息!J374)</f>
        <v/>
      </c>
      <c r="K374" s="59" t="str">
        <f>IF([2]道具信息!K374="","",[2]道具信息!K374)</f>
        <v/>
      </c>
      <c r="L374" s="59" t="str">
        <f>IF([2]道具信息!L374="","",[2]道具信息!L374)</f>
        <v>消灭野怪获得，用于宝物温养。</v>
      </c>
      <c r="M374" s="59" t="str">
        <f>IF([2]道具信息!M374="","",[2]道具信息!M374)</f>
        <v/>
      </c>
      <c r="N374" s="59" t="str">
        <f>IF([2]道具信息!N374="","",[2]道具信息!N374)</f>
        <v/>
      </c>
      <c r="O374" s="59" t="str">
        <f>IF([2]道具信息!O374="","",[2]道具信息!O374)</f>
        <v/>
      </c>
      <c r="P374" s="59" t="str">
        <f>IF([2]道具信息!P374="","",[2]道具信息!P374)</f>
        <v/>
      </c>
      <c r="Q374" s="59" t="str">
        <f>IF([2]道具信息!Q374="","",[2]道具信息!Q374)</f>
        <v/>
      </c>
      <c r="R374" s="59" t="str">
        <f>IF([2]道具信息!R374="","",[2]道具信息!R374)</f>
        <v/>
      </c>
      <c r="S374" s="59" t="str">
        <f>IF([2]道具信息!S374="","",[2]道具信息!S374)</f>
        <v/>
      </c>
      <c r="T374" s="59" t="str">
        <f>IF([2]道具信息!T374="","",[2]道具信息!T374)</f>
        <v/>
      </c>
      <c r="U374" s="59" t="str">
        <f>IF([2]道具信息!U374="","",[2]道具信息!U374)</f>
        <v/>
      </c>
      <c r="V374" s="59" t="str">
        <f>IF([2]道具信息!V374="","",[2]道具信息!V374)</f>
        <v/>
      </c>
      <c r="W374" s="59" t="str">
        <f>IF([2]道具信息!W374="","",[2]道具信息!W374)</f>
        <v/>
      </c>
      <c r="X374" s="59" t="str">
        <f>IF([2]道具信息!X374="","",[2]道具信息!X374)</f>
        <v/>
      </c>
      <c r="Y374" s="59" t="str">
        <f>IF([2]道具信息!Y374="","",[2]道具信息!Y374)</f>
        <v/>
      </c>
      <c r="Z374" s="59" t="str">
        <f>IF([2]道具信息!Z374="","",[2]道具信息!Z374)</f>
        <v/>
      </c>
    </row>
    <row r="375" spans="1:26" x14ac:dyDescent="0.15">
      <c r="A375" s="59" t="str">
        <f>IF([2]道具信息!A375="","",[2]道具信息!A375)</f>
        <v/>
      </c>
      <c r="B375" s="59" t="str">
        <f>IF([2]道具信息!B375="","",[2]道具信息!B375)</f>
        <v/>
      </c>
      <c r="C375" s="59">
        <f>IF([2]道具信息!C375="","",[2]道具信息!C375)</f>
        <v>23359</v>
      </c>
      <c r="D375" s="59" t="str">
        <f>IF([2]道具信息!D375="","",[2]道具信息!D375)</f>
        <v>宝鉴</v>
      </c>
      <c r="E375" s="59" t="str">
        <f>IF([2]道具信息!E375="","",[2]道具信息!E375)</f>
        <v/>
      </c>
      <c r="F375" s="59">
        <f>IF([2]道具信息!F375="","",[2]道具信息!F375)</f>
        <v>1</v>
      </c>
      <c r="G375" s="59">
        <f>IF([2]道具信息!G375="","",[2]道具信息!G375)</f>
        <v>1</v>
      </c>
      <c r="H375" s="59">
        <f>IF([2]道具信息!H375="","",[2]道具信息!H375)</f>
        <v>1</v>
      </c>
      <c r="I375" s="59" t="str">
        <f>IF([2]道具信息!I375="","",[2]道具信息!I375)</f>
        <v/>
      </c>
      <c r="J375" s="59" t="str">
        <f>IF([2]道具信息!J375="","",[2]道具信息!J375)</f>
        <v/>
      </c>
      <c r="K375" s="59" t="str">
        <f>IF([2]道具信息!K375="","",[2]道具信息!K375)</f>
        <v/>
      </c>
      <c r="L375" s="59" t="str">
        <f>IF([2]道具信息!L375="","",[2]道具信息!L375)</f>
        <v>持有宝鉴名册，可鉴天下珍宝</v>
      </c>
      <c r="M375" s="59" t="str">
        <f>IF([2]道具信息!M375="","",[2]道具信息!M375)</f>
        <v/>
      </c>
      <c r="N375" s="59" t="str">
        <f>IF([2]道具信息!N375="","",[2]道具信息!N375)</f>
        <v/>
      </c>
      <c r="O375" s="59" t="str">
        <f>IF([2]道具信息!O375="","",[2]道具信息!O375)</f>
        <v/>
      </c>
      <c r="P375" s="59" t="str">
        <f>IF([2]道具信息!P375="","",[2]道具信息!P375)</f>
        <v/>
      </c>
      <c r="Q375" s="59" t="str">
        <f>IF([2]道具信息!Q375="","",[2]道具信息!Q375)</f>
        <v/>
      </c>
      <c r="R375" s="59" t="str">
        <f>IF([2]道具信息!R375="","",[2]道具信息!R375)</f>
        <v/>
      </c>
      <c r="S375" s="59" t="str">
        <f>IF([2]道具信息!S375="","",[2]道具信息!S375)</f>
        <v/>
      </c>
      <c r="T375" s="59" t="str">
        <f>IF([2]道具信息!T375="","",[2]道具信息!T375)</f>
        <v/>
      </c>
      <c r="U375" s="59" t="str">
        <f>IF([2]道具信息!U375="","",[2]道具信息!U375)</f>
        <v/>
      </c>
      <c r="V375" s="59" t="str">
        <f>IF([2]道具信息!V375="","",[2]道具信息!V375)</f>
        <v/>
      </c>
      <c r="W375" s="59" t="str">
        <f>IF([2]道具信息!W375="","",[2]道具信息!W375)</f>
        <v/>
      </c>
      <c r="X375" s="59" t="str">
        <f>IF([2]道具信息!X375="","",[2]道具信息!X375)</f>
        <v/>
      </c>
      <c r="Y375" s="59" t="str">
        <f>IF([2]道具信息!Y375="","",[2]道具信息!Y375)</f>
        <v/>
      </c>
      <c r="Z375" s="59" t="str">
        <f>IF([2]道具信息!Z375="","",[2]道具信息!Z375)</f>
        <v/>
      </c>
    </row>
    <row r="376" spans="1:26" x14ac:dyDescent="0.15">
      <c r="A376" s="59" t="str">
        <f>IF([2]道具信息!A376="","",[2]道具信息!A376)</f>
        <v/>
      </c>
      <c r="B376" s="59" t="str">
        <f>IF([2]道具信息!B376="","",[2]道具信息!B376)</f>
        <v/>
      </c>
      <c r="C376" s="59">
        <f>IF([2]道具信息!C376="","",[2]道具信息!C376)</f>
        <v>23526</v>
      </c>
      <c r="D376" s="59" t="str">
        <f>IF([2]道具信息!D376="","",[2]道具信息!D376)</f>
        <v>极品装备宝箱碎片</v>
      </c>
      <c r="E376" s="59" t="str">
        <f>IF([2]道具信息!E376="","",[2]道具信息!E376)</f>
        <v/>
      </c>
      <c r="F376" s="59">
        <f>IF([2]道具信息!F376="","",[2]道具信息!F376)</f>
        <v>1</v>
      </c>
      <c r="G376" s="59">
        <f>IF([2]道具信息!G376="","",[2]道具信息!G376)</f>
        <v>1</v>
      </c>
      <c r="H376" s="59">
        <f>IF([2]道具信息!H376="","",[2]道具信息!H376)</f>
        <v>1</v>
      </c>
      <c r="I376" s="59" t="str">
        <f>IF([2]道具信息!I376="","",[2]道具信息!I376)</f>
        <v/>
      </c>
      <c r="J376" s="59" t="str">
        <f>IF([2]道具信息!J376="","",[2]道具信息!J376)</f>
        <v/>
      </c>
      <c r="K376" s="59" t="str">
        <f>IF([2]道具信息!K376="","",[2]道具信息!K376)</f>
        <v/>
      </c>
      <c r="L376" s="59" t="str">
        <f>IF([2]道具信息!L376="","",[2]道具信息!L376)</f>
        <v>使用后可以获得一个极品红色装备宝箱</v>
      </c>
      <c r="M376" s="59" t="str">
        <f>IF([2]道具信息!M376="","",[2]道具信息!M376)</f>
        <v/>
      </c>
      <c r="N376" s="59" t="str">
        <f>IF([2]道具信息!N376="","",[2]道具信息!N376)</f>
        <v/>
      </c>
      <c r="O376" s="59" t="str">
        <f>IF([2]道具信息!O376="","",[2]道具信息!O376)</f>
        <v/>
      </c>
      <c r="P376" s="59" t="str">
        <f>IF([2]道具信息!P376="","",[2]道具信息!P376)</f>
        <v/>
      </c>
      <c r="Q376" s="59" t="str">
        <f>IF([2]道具信息!Q376="","",[2]道具信息!Q376)</f>
        <v/>
      </c>
      <c r="R376" s="59" t="str">
        <f>IF([2]道具信息!R376="","",[2]道具信息!R376)</f>
        <v/>
      </c>
      <c r="S376" s="59" t="str">
        <f>IF([2]道具信息!S376="","",[2]道具信息!S376)</f>
        <v/>
      </c>
      <c r="T376" s="59" t="str">
        <f>IF([2]道具信息!T376="","",[2]道具信息!T376)</f>
        <v/>
      </c>
      <c r="U376" s="59" t="str">
        <f>IF([2]道具信息!U376="","",[2]道具信息!U376)</f>
        <v/>
      </c>
      <c r="V376" s="59" t="str">
        <f>IF([2]道具信息!V376="","",[2]道具信息!V376)</f>
        <v/>
      </c>
      <c r="W376" s="59" t="str">
        <f>IF([2]道具信息!W376="","",[2]道具信息!W376)</f>
        <v/>
      </c>
      <c r="X376" s="59" t="str">
        <f>IF([2]道具信息!X376="","",[2]道具信息!X376)</f>
        <v/>
      </c>
      <c r="Y376" s="59" t="str">
        <f>IF([2]道具信息!Y376="","",[2]道具信息!Y376)</f>
        <v/>
      </c>
      <c r="Z376" s="59" t="str">
        <f>IF([2]道具信息!Z376="","",[2]道具信息!Z376)</f>
        <v/>
      </c>
    </row>
    <row r="377" spans="1:26" x14ac:dyDescent="0.15">
      <c r="A377" s="59" t="str">
        <f>IF([2]道具信息!A377="","",[2]道具信息!A377)</f>
        <v/>
      </c>
      <c r="B377" s="59" t="str">
        <f>IF([2]道具信息!B377="","",[2]道具信息!B377)</f>
        <v/>
      </c>
      <c r="C377" s="59">
        <f>IF([2]道具信息!C377="","",[2]道具信息!C377)</f>
        <v>23527</v>
      </c>
      <c r="D377" s="59" t="str">
        <f>IF([2]道具信息!D377="","",[2]道具信息!D377)</f>
        <v>极品装备宝箱</v>
      </c>
      <c r="E377" s="59" t="str">
        <f>IF([2]道具信息!E377="","",[2]道具信息!E377)</f>
        <v/>
      </c>
      <c r="F377" s="59">
        <f>IF([2]道具信息!F377="","",[2]道具信息!F377)</f>
        <v>1</v>
      </c>
      <c r="G377" s="59">
        <f>IF([2]道具信息!G377="","",[2]道具信息!G377)</f>
        <v>1</v>
      </c>
      <c r="H377" s="59">
        <f>IF([2]道具信息!H377="","",[2]道具信息!H377)</f>
        <v>1</v>
      </c>
      <c r="I377" s="59" t="str">
        <f>IF([2]道具信息!I377="","",[2]道具信息!I377)</f>
        <v/>
      </c>
      <c r="J377" s="59" t="str">
        <f>IF([2]道具信息!J377="","",[2]道具信息!J377)</f>
        <v/>
      </c>
      <c r="K377" s="59" t="str">
        <f>IF([2]道具信息!K377="","",[2]道具信息!K377)</f>
        <v/>
      </c>
      <c r="L377" s="59" t="str">
        <f>IF([2]道具信息!L377="","",[2]道具信息!L377)</f>
        <v>使用后可以选择获得一件极品红色装备</v>
      </c>
      <c r="M377" s="59" t="str">
        <f>IF([2]道具信息!M377="","",[2]道具信息!M377)</f>
        <v/>
      </c>
      <c r="N377" s="59" t="str">
        <f>IF([2]道具信息!N377="","",[2]道具信息!N377)</f>
        <v/>
      </c>
      <c r="O377" s="59" t="str">
        <f>IF([2]道具信息!O377="","",[2]道具信息!O377)</f>
        <v/>
      </c>
      <c r="P377" s="59" t="str">
        <f>IF([2]道具信息!P377="","",[2]道具信息!P377)</f>
        <v/>
      </c>
      <c r="Q377" s="59" t="str">
        <f>IF([2]道具信息!Q377="","",[2]道具信息!Q377)</f>
        <v/>
      </c>
      <c r="R377" s="59" t="str">
        <f>IF([2]道具信息!R377="","",[2]道具信息!R377)</f>
        <v/>
      </c>
      <c r="S377" s="59" t="str">
        <f>IF([2]道具信息!S377="","",[2]道具信息!S377)</f>
        <v/>
      </c>
      <c r="T377" s="59" t="str">
        <f>IF([2]道具信息!T377="","",[2]道具信息!T377)</f>
        <v/>
      </c>
      <c r="U377" s="59" t="str">
        <f>IF([2]道具信息!U377="","",[2]道具信息!U377)</f>
        <v/>
      </c>
      <c r="V377" s="59" t="str">
        <f>IF([2]道具信息!V377="","",[2]道具信息!V377)</f>
        <v/>
      </c>
      <c r="W377" s="59" t="str">
        <f>IF([2]道具信息!W377="","",[2]道具信息!W377)</f>
        <v/>
      </c>
      <c r="X377" s="59" t="str">
        <f>IF([2]道具信息!X377="","",[2]道具信息!X377)</f>
        <v/>
      </c>
      <c r="Y377" s="59" t="str">
        <f>IF([2]道具信息!Y377="","",[2]道具信息!Y377)</f>
        <v/>
      </c>
      <c r="Z377" s="59" t="str">
        <f>IF([2]道具信息!Z377="","",[2]道具信息!Z377)</f>
        <v/>
      </c>
    </row>
    <row r="378" spans="1:26" x14ac:dyDescent="0.15">
      <c r="A378" s="59" t="str">
        <f>IF([2]道具信息!A378="","",[2]道具信息!A378)</f>
        <v/>
      </c>
      <c r="B378" s="59" t="str">
        <f>IF([2]道具信息!B378="","",[2]道具信息!B378)</f>
        <v/>
      </c>
      <c r="C378" s="59">
        <f>IF([2]道具信息!C378="","",[2]道具信息!C378)</f>
        <v>23528</v>
      </c>
      <c r="D378" s="59" t="str">
        <f>IF([2]道具信息!D378="","",[2]道具信息!D378)</f>
        <v>极品统武装备宝箱</v>
      </c>
      <c r="E378" s="59" t="str">
        <f>IF([2]道具信息!E378="","",[2]道具信息!E378)</f>
        <v/>
      </c>
      <c r="F378" s="59">
        <f>IF([2]道具信息!F378="","",[2]道具信息!F378)</f>
        <v>1</v>
      </c>
      <c r="G378" s="59">
        <f>IF([2]道具信息!G378="","",[2]道具信息!G378)</f>
        <v>1</v>
      </c>
      <c r="H378" s="59">
        <f>IF([2]道具信息!H378="","",[2]道具信息!H378)</f>
        <v>1</v>
      </c>
      <c r="I378" s="59" t="str">
        <f>IF([2]道具信息!I378="","",[2]道具信息!I378)</f>
        <v/>
      </c>
      <c r="J378" s="59" t="str">
        <f>IF([2]道具信息!J378="","",[2]道具信息!J378)</f>
        <v/>
      </c>
      <c r="K378" s="59" t="str">
        <f>IF([2]道具信息!K378="","",[2]道具信息!K378)</f>
        <v/>
      </c>
      <c r="L378" s="59" t="str">
        <f>IF([2]道具信息!L378="","",[2]道具信息!L378)</f>
        <v>使用后获得十方古璃套装3件套装备</v>
      </c>
      <c r="M378" s="59" t="str">
        <f>IF([2]道具信息!M378="","",[2]道具信息!M378)</f>
        <v/>
      </c>
      <c r="N378" s="59" t="str">
        <f>IF([2]道具信息!N378="","",[2]道具信息!N378)</f>
        <v/>
      </c>
      <c r="O378" s="59" t="str">
        <f>IF([2]道具信息!O378="","",[2]道具信息!O378)</f>
        <v/>
      </c>
      <c r="P378" s="59" t="str">
        <f>IF([2]道具信息!P378="","",[2]道具信息!P378)</f>
        <v/>
      </c>
      <c r="Q378" s="59" t="str">
        <f>IF([2]道具信息!Q378="","",[2]道具信息!Q378)</f>
        <v/>
      </c>
      <c r="R378" s="59" t="str">
        <f>IF([2]道具信息!R378="","",[2]道具信息!R378)</f>
        <v/>
      </c>
      <c r="S378" s="59" t="str">
        <f>IF([2]道具信息!S378="","",[2]道具信息!S378)</f>
        <v/>
      </c>
      <c r="T378" s="59" t="str">
        <f>IF([2]道具信息!T378="","",[2]道具信息!T378)</f>
        <v/>
      </c>
      <c r="U378" s="59" t="str">
        <f>IF([2]道具信息!U378="","",[2]道具信息!U378)</f>
        <v/>
      </c>
      <c r="V378" s="59" t="str">
        <f>IF([2]道具信息!V378="","",[2]道具信息!V378)</f>
        <v/>
      </c>
      <c r="W378" s="59" t="str">
        <f>IF([2]道具信息!W378="","",[2]道具信息!W378)</f>
        <v/>
      </c>
      <c r="X378" s="59" t="str">
        <f>IF([2]道具信息!X378="","",[2]道具信息!X378)</f>
        <v/>
      </c>
      <c r="Y378" s="59" t="str">
        <f>IF([2]道具信息!Y378="","",[2]道具信息!Y378)</f>
        <v/>
      </c>
      <c r="Z378" s="59" t="str">
        <f>IF([2]道具信息!Z378="","",[2]道具信息!Z378)</f>
        <v/>
      </c>
    </row>
    <row r="379" spans="1:26" x14ac:dyDescent="0.15">
      <c r="A379" s="59" t="str">
        <f>IF([2]道具信息!A379="","",[2]道具信息!A379)</f>
        <v/>
      </c>
      <c r="B379" s="59" t="str">
        <f>IF([2]道具信息!B379="","",[2]道具信息!B379)</f>
        <v/>
      </c>
      <c r="C379" s="59">
        <f>IF([2]道具信息!C379="","",[2]道具信息!C379)</f>
        <v>23529</v>
      </c>
      <c r="D379" s="59" t="str">
        <f>IF([2]道具信息!D379="","",[2]道具信息!D379)</f>
        <v>极品统智装备宝箱</v>
      </c>
      <c r="E379" s="59" t="str">
        <f>IF([2]道具信息!E379="","",[2]道具信息!E379)</f>
        <v/>
      </c>
      <c r="F379" s="59">
        <f>IF([2]道具信息!F379="","",[2]道具信息!F379)</f>
        <v>1</v>
      </c>
      <c r="G379" s="59">
        <f>IF([2]道具信息!G379="","",[2]道具信息!G379)</f>
        <v>1</v>
      </c>
      <c r="H379" s="59">
        <f>IF([2]道具信息!H379="","",[2]道具信息!H379)</f>
        <v>1</v>
      </c>
      <c r="I379" s="59" t="str">
        <f>IF([2]道具信息!I379="","",[2]道具信息!I379)</f>
        <v/>
      </c>
      <c r="J379" s="59" t="str">
        <f>IF([2]道具信息!J379="","",[2]道具信息!J379)</f>
        <v/>
      </c>
      <c r="K379" s="59" t="str">
        <f>IF([2]道具信息!K379="","",[2]道具信息!K379)</f>
        <v/>
      </c>
      <c r="L379" s="59" t="str">
        <f>IF([2]道具信息!L379="","",[2]道具信息!L379)</f>
        <v>使用后获得墨霜广焱3件套装备</v>
      </c>
      <c r="M379" s="59" t="str">
        <f>IF([2]道具信息!M379="","",[2]道具信息!M379)</f>
        <v/>
      </c>
      <c r="N379" s="59" t="str">
        <f>IF([2]道具信息!N379="","",[2]道具信息!N379)</f>
        <v/>
      </c>
      <c r="O379" s="59" t="str">
        <f>IF([2]道具信息!O379="","",[2]道具信息!O379)</f>
        <v/>
      </c>
      <c r="P379" s="59" t="str">
        <f>IF([2]道具信息!P379="","",[2]道具信息!P379)</f>
        <v/>
      </c>
      <c r="Q379" s="59" t="str">
        <f>IF([2]道具信息!Q379="","",[2]道具信息!Q379)</f>
        <v/>
      </c>
      <c r="R379" s="59" t="str">
        <f>IF([2]道具信息!R379="","",[2]道具信息!R379)</f>
        <v/>
      </c>
      <c r="S379" s="59" t="str">
        <f>IF([2]道具信息!S379="","",[2]道具信息!S379)</f>
        <v/>
      </c>
      <c r="T379" s="59" t="str">
        <f>IF([2]道具信息!T379="","",[2]道具信息!T379)</f>
        <v/>
      </c>
      <c r="U379" s="59" t="str">
        <f>IF([2]道具信息!U379="","",[2]道具信息!U379)</f>
        <v/>
      </c>
      <c r="V379" s="59" t="str">
        <f>IF([2]道具信息!V379="","",[2]道具信息!V379)</f>
        <v/>
      </c>
      <c r="W379" s="59" t="str">
        <f>IF([2]道具信息!W379="","",[2]道具信息!W379)</f>
        <v/>
      </c>
      <c r="X379" s="59" t="str">
        <f>IF([2]道具信息!X379="","",[2]道具信息!X379)</f>
        <v/>
      </c>
      <c r="Y379" s="59" t="str">
        <f>IF([2]道具信息!Y379="","",[2]道具信息!Y379)</f>
        <v/>
      </c>
      <c r="Z379" s="59" t="str">
        <f>IF([2]道具信息!Z379="","",[2]道具信息!Z379)</f>
        <v/>
      </c>
    </row>
    <row r="380" spans="1:26" x14ac:dyDescent="0.15">
      <c r="A380" s="59" t="str">
        <f>IF([2]道具信息!A380="","",[2]道具信息!A380)</f>
        <v/>
      </c>
      <c r="B380" s="59" t="str">
        <f>IF([2]道具信息!B380="","",[2]道具信息!B380)</f>
        <v/>
      </c>
      <c r="C380" s="59">
        <f>IF([2]道具信息!C380="","",[2]道具信息!C380)</f>
        <v>23530</v>
      </c>
      <c r="D380" s="59" t="str">
        <f>IF([2]道具信息!D380="","",[2]道具信息!D380)</f>
        <v>红色装备宝箱碎片</v>
      </c>
      <c r="E380" s="59" t="str">
        <f>IF([2]道具信息!E380="","",[2]道具信息!E380)</f>
        <v/>
      </c>
      <c r="F380" s="59">
        <f>IF([2]道具信息!F380="","",[2]道具信息!F380)</f>
        <v>1</v>
      </c>
      <c r="G380" s="59">
        <f>IF([2]道具信息!G380="","",[2]道具信息!G380)</f>
        <v>1</v>
      </c>
      <c r="H380" s="59">
        <f>IF([2]道具信息!H380="","",[2]道具信息!H380)</f>
        <v>1</v>
      </c>
      <c r="I380" s="59" t="str">
        <f>IF([2]道具信息!I380="","",[2]道具信息!I380)</f>
        <v/>
      </c>
      <c r="J380" s="59" t="str">
        <f>IF([2]道具信息!J380="","",[2]道具信息!J380)</f>
        <v/>
      </c>
      <c r="K380" s="59" t="str">
        <f>IF([2]道具信息!K380="","",[2]道具信息!K380)</f>
        <v/>
      </c>
      <c r="L380" s="59" t="str">
        <f>IF([2]道具信息!L380="","",[2]道具信息!L380)</f>
        <v>使用后可以获得一个红色装备宝箱</v>
      </c>
      <c r="M380" s="59" t="str">
        <f>IF([2]道具信息!M380="","",[2]道具信息!M380)</f>
        <v/>
      </c>
      <c r="N380" s="59" t="str">
        <f>IF([2]道具信息!N380="","",[2]道具信息!N380)</f>
        <v/>
      </c>
      <c r="O380" s="59" t="str">
        <f>IF([2]道具信息!O380="","",[2]道具信息!O380)</f>
        <v/>
      </c>
      <c r="P380" s="59" t="str">
        <f>IF([2]道具信息!P380="","",[2]道具信息!P380)</f>
        <v/>
      </c>
      <c r="Q380" s="59" t="str">
        <f>IF([2]道具信息!Q380="","",[2]道具信息!Q380)</f>
        <v/>
      </c>
      <c r="R380" s="59" t="str">
        <f>IF([2]道具信息!R380="","",[2]道具信息!R380)</f>
        <v/>
      </c>
      <c r="S380" s="59" t="str">
        <f>IF([2]道具信息!S380="","",[2]道具信息!S380)</f>
        <v/>
      </c>
      <c r="T380" s="59" t="str">
        <f>IF([2]道具信息!T380="","",[2]道具信息!T380)</f>
        <v/>
      </c>
      <c r="U380" s="59" t="str">
        <f>IF([2]道具信息!U380="","",[2]道具信息!U380)</f>
        <v/>
      </c>
      <c r="V380" s="59" t="str">
        <f>IF([2]道具信息!V380="","",[2]道具信息!V380)</f>
        <v/>
      </c>
      <c r="W380" s="59" t="str">
        <f>IF([2]道具信息!W380="","",[2]道具信息!W380)</f>
        <v/>
      </c>
      <c r="X380" s="59" t="str">
        <f>IF([2]道具信息!X380="","",[2]道具信息!X380)</f>
        <v/>
      </c>
      <c r="Y380" s="59" t="str">
        <f>IF([2]道具信息!Y380="","",[2]道具信息!Y380)</f>
        <v/>
      </c>
      <c r="Z380" s="59" t="str">
        <f>IF([2]道具信息!Z380="","",[2]道具信息!Z380)</f>
        <v/>
      </c>
    </row>
    <row r="381" spans="1:26" x14ac:dyDescent="0.15">
      <c r="A381" s="59" t="str">
        <f>IF([2]道具信息!A381="","",[2]道具信息!A381)</f>
        <v/>
      </c>
      <c r="B381" s="59" t="str">
        <f>IF([2]道具信息!B381="","",[2]道具信息!B381)</f>
        <v/>
      </c>
      <c r="C381" s="59">
        <f>IF([2]道具信息!C381="","",[2]道具信息!C381)</f>
        <v>23531</v>
      </c>
      <c r="D381" s="59" t="str">
        <f>IF([2]道具信息!D381="","",[2]道具信息!D381)</f>
        <v>红色装备宝箱</v>
      </c>
      <c r="E381" s="59" t="str">
        <f>IF([2]道具信息!E381="","",[2]道具信息!E381)</f>
        <v/>
      </c>
      <c r="F381" s="59">
        <f>IF([2]道具信息!F381="","",[2]道具信息!F381)</f>
        <v>1</v>
      </c>
      <c r="G381" s="59">
        <f>IF([2]道具信息!G381="","",[2]道具信息!G381)</f>
        <v>1</v>
      </c>
      <c r="H381" s="59">
        <f>IF([2]道具信息!H381="","",[2]道具信息!H381)</f>
        <v>1</v>
      </c>
      <c r="I381" s="59" t="str">
        <f>IF([2]道具信息!I381="","",[2]道具信息!I381)</f>
        <v/>
      </c>
      <c r="J381" s="59" t="str">
        <f>IF([2]道具信息!J381="","",[2]道具信息!J381)</f>
        <v/>
      </c>
      <c r="K381" s="59" t="str">
        <f>IF([2]道具信息!K381="","",[2]道具信息!K381)</f>
        <v/>
      </c>
      <c r="L381" s="59" t="str">
        <f>IF([2]道具信息!L381="","",[2]道具信息!L381)</f>
        <v>使用后可以选择获得一件红色装备</v>
      </c>
      <c r="M381" s="59" t="str">
        <f>IF([2]道具信息!M381="","",[2]道具信息!M381)</f>
        <v/>
      </c>
      <c r="N381" s="59" t="str">
        <f>IF([2]道具信息!N381="","",[2]道具信息!N381)</f>
        <v/>
      </c>
      <c r="O381" s="59" t="str">
        <f>IF([2]道具信息!O381="","",[2]道具信息!O381)</f>
        <v/>
      </c>
      <c r="P381" s="59" t="str">
        <f>IF([2]道具信息!P381="","",[2]道具信息!P381)</f>
        <v/>
      </c>
      <c r="Q381" s="59" t="str">
        <f>IF([2]道具信息!Q381="","",[2]道具信息!Q381)</f>
        <v/>
      </c>
      <c r="R381" s="59" t="str">
        <f>IF([2]道具信息!R381="","",[2]道具信息!R381)</f>
        <v/>
      </c>
      <c r="S381" s="59" t="str">
        <f>IF([2]道具信息!S381="","",[2]道具信息!S381)</f>
        <v/>
      </c>
      <c r="T381" s="59" t="str">
        <f>IF([2]道具信息!T381="","",[2]道具信息!T381)</f>
        <v/>
      </c>
      <c r="U381" s="59" t="str">
        <f>IF([2]道具信息!U381="","",[2]道具信息!U381)</f>
        <v/>
      </c>
      <c r="V381" s="59" t="str">
        <f>IF([2]道具信息!V381="","",[2]道具信息!V381)</f>
        <v/>
      </c>
      <c r="W381" s="59" t="str">
        <f>IF([2]道具信息!W381="","",[2]道具信息!W381)</f>
        <v/>
      </c>
      <c r="X381" s="59" t="str">
        <f>IF([2]道具信息!X381="","",[2]道具信息!X381)</f>
        <v/>
      </c>
      <c r="Y381" s="59" t="str">
        <f>IF([2]道具信息!Y381="","",[2]道具信息!Y381)</f>
        <v/>
      </c>
      <c r="Z381" s="59" t="str">
        <f>IF([2]道具信息!Z381="","",[2]道具信息!Z381)</f>
        <v/>
      </c>
    </row>
    <row r="382" spans="1:26" x14ac:dyDescent="0.15">
      <c r="A382" s="59" t="str">
        <f>IF([2]道具信息!A382="","",[2]道具信息!A382)</f>
        <v/>
      </c>
      <c r="B382" s="59" t="str">
        <f>IF([2]道具信息!B382="","",[2]道具信息!B382)</f>
        <v/>
      </c>
      <c r="C382" s="59">
        <f>IF([2]道具信息!C382="","",[2]道具信息!C382)</f>
        <v>23532</v>
      </c>
      <c r="D382" s="59" t="str">
        <f>IF([2]道具信息!D382="","",[2]道具信息!D382)</f>
        <v>抛砖引玉·极-残片</v>
      </c>
      <c r="E382" s="59" t="str">
        <f>IF([2]道具信息!E382="","",[2]道具信息!E382)</f>
        <v/>
      </c>
      <c r="F382" s="59">
        <f>IF([2]道具信息!F382="","",[2]道具信息!F382)</f>
        <v>1</v>
      </c>
      <c r="G382" s="59">
        <f>IF([2]道具信息!G382="","",[2]道具信息!G382)</f>
        <v>1</v>
      </c>
      <c r="H382" s="59">
        <f>IF([2]道具信息!H382="","",[2]道具信息!H382)</f>
        <v>1</v>
      </c>
      <c r="I382" s="59" t="str">
        <f>IF([2]道具信息!I382="","",[2]道具信息!I382)</f>
        <v/>
      </c>
      <c r="J382" s="59" t="str">
        <f>IF([2]道具信息!J382="","",[2]道具信息!J382)</f>
        <v/>
      </c>
      <c r="K382" s="59" t="str">
        <f>IF([2]道具信息!K382="","",[2]道具信息!K382)</f>
        <v/>
      </c>
      <c r="L382" s="59" t="str">
        <f>IF([2]道具信息!L382="","",[2]道具信息!L382)</f>
        <v/>
      </c>
      <c r="M382" s="59" t="str">
        <f>IF([2]道具信息!M382="","",[2]道具信息!M382)</f>
        <v/>
      </c>
      <c r="N382" s="59" t="str">
        <f>IF([2]道具信息!N382="","",[2]道具信息!N382)</f>
        <v/>
      </c>
      <c r="O382" s="59" t="str">
        <f>IF([2]道具信息!O382="","",[2]道具信息!O382)</f>
        <v/>
      </c>
      <c r="P382" s="59" t="str">
        <f>IF([2]道具信息!P382="","",[2]道具信息!P382)</f>
        <v/>
      </c>
      <c r="Q382" s="59" t="str">
        <f>IF([2]道具信息!Q382="","",[2]道具信息!Q382)</f>
        <v/>
      </c>
      <c r="R382" s="59" t="str">
        <f>IF([2]道具信息!R382="","",[2]道具信息!R382)</f>
        <v/>
      </c>
      <c r="S382" s="59" t="str">
        <f>IF([2]道具信息!S382="","",[2]道具信息!S382)</f>
        <v/>
      </c>
      <c r="T382" s="59" t="str">
        <f>IF([2]道具信息!T382="","",[2]道具信息!T382)</f>
        <v/>
      </c>
      <c r="U382" s="59" t="str">
        <f>IF([2]道具信息!U382="","",[2]道具信息!U382)</f>
        <v/>
      </c>
      <c r="V382" s="59" t="str">
        <f>IF([2]道具信息!V382="","",[2]道具信息!V382)</f>
        <v/>
      </c>
      <c r="W382" s="59" t="str">
        <f>IF([2]道具信息!W382="","",[2]道具信息!W382)</f>
        <v/>
      </c>
      <c r="X382" s="59" t="str">
        <f>IF([2]道具信息!X382="","",[2]道具信息!X382)</f>
        <v/>
      </c>
      <c r="Y382" s="59" t="str">
        <f>IF([2]道具信息!Y382="","",[2]道具信息!Y382)</f>
        <v/>
      </c>
      <c r="Z382" s="59" t="str">
        <f>IF([2]道具信息!Z382="","",[2]道具信息!Z382)</f>
        <v/>
      </c>
    </row>
    <row r="383" spans="1:26" x14ac:dyDescent="0.15">
      <c r="A383" s="59" t="str">
        <f>IF([2]道具信息!A383="","",[2]道具信息!A383)</f>
        <v/>
      </c>
      <c r="B383" s="59" t="str">
        <f>IF([2]道具信息!B383="","",[2]道具信息!B383)</f>
        <v/>
      </c>
      <c r="C383" s="59">
        <f>IF([2]道具信息!C383="","",[2]道具信息!C383)</f>
        <v>23389</v>
      </c>
      <c r="D383" s="59" t="str">
        <f>IF([2]道具信息!D383="","",[2]道具信息!D383)</f>
        <v>秦阳陵虎符碎片</v>
      </c>
      <c r="E383" s="59" t="str">
        <f>IF([2]道具信息!E383="","",[2]道具信息!E383)</f>
        <v/>
      </c>
      <c r="F383" s="59">
        <f>IF([2]道具信息!F383="","",[2]道具信息!F383)</f>
        <v>1</v>
      </c>
      <c r="G383" s="59">
        <f>IF([2]道具信息!G383="","",[2]道具信息!G383)</f>
        <v>1</v>
      </c>
      <c r="H383" s="59">
        <f>IF([2]道具信息!H383="","",[2]道具信息!H383)</f>
        <v>1</v>
      </c>
      <c r="I383" s="59" t="str">
        <f>IF([2]道具信息!I383="","",[2]道具信息!I383)</f>
        <v/>
      </c>
      <c r="J383" s="59" t="str">
        <f>IF([2]道具信息!J383="","",[2]道具信息!J383)</f>
        <v/>
      </c>
      <c r="K383" s="59" t="str">
        <f>IF([2]道具信息!K383="","",[2]道具信息!K383)</f>
        <v/>
      </c>
      <c r="L383" s="59" t="str">
        <f>IF([2]道具信息!L383="","",[2]道具信息!L383)</f>
        <v/>
      </c>
      <c r="M383" s="59" t="str">
        <f>IF([2]道具信息!M383="","",[2]道具信息!M383)</f>
        <v/>
      </c>
      <c r="N383" s="59" t="str">
        <f>IF([2]道具信息!N383="","",[2]道具信息!N383)</f>
        <v/>
      </c>
      <c r="O383" s="59" t="str">
        <f>IF([2]道具信息!O383="","",[2]道具信息!O383)</f>
        <v/>
      </c>
      <c r="P383" s="59" t="str">
        <f>IF([2]道具信息!P383="","",[2]道具信息!P383)</f>
        <v/>
      </c>
      <c r="Q383" s="59" t="str">
        <f>IF([2]道具信息!Q383="","",[2]道具信息!Q383)</f>
        <v/>
      </c>
      <c r="R383" s="59" t="str">
        <f>IF([2]道具信息!R383="","",[2]道具信息!R383)</f>
        <v/>
      </c>
      <c r="S383" s="59" t="str">
        <f>IF([2]道具信息!S383="","",[2]道具信息!S383)</f>
        <v/>
      </c>
      <c r="T383" s="59" t="str">
        <f>IF([2]道具信息!T383="","",[2]道具信息!T383)</f>
        <v/>
      </c>
      <c r="U383" s="59" t="str">
        <f>IF([2]道具信息!U383="","",[2]道具信息!U383)</f>
        <v/>
      </c>
      <c r="V383" s="59" t="str">
        <f>IF([2]道具信息!V383="","",[2]道具信息!V383)</f>
        <v/>
      </c>
      <c r="W383" s="59" t="str">
        <f>IF([2]道具信息!W383="","",[2]道具信息!W383)</f>
        <v/>
      </c>
      <c r="X383" s="59" t="str">
        <f>IF([2]道具信息!X383="","",[2]道具信息!X383)</f>
        <v/>
      </c>
      <c r="Y383" s="59" t="str">
        <f>IF([2]道具信息!Y383="","",[2]道具信息!Y383)</f>
        <v/>
      </c>
      <c r="Z383" s="59" t="str">
        <f>IF([2]道具信息!Z383="","",[2]道具信息!Z383)</f>
        <v/>
      </c>
    </row>
    <row r="384" spans="1:26" x14ac:dyDescent="0.15">
      <c r="A384" s="59" t="str">
        <f>IF([2]道具信息!A384="","",[2]道具信息!A384)</f>
        <v/>
      </c>
      <c r="B384" s="59" t="str">
        <f>IF([2]道具信息!B384="","",[2]道具信息!B384)</f>
        <v/>
      </c>
      <c r="C384" s="59">
        <f>IF([2]道具信息!C384="","",[2]道具信息!C384)</f>
        <v>180024</v>
      </c>
      <c r="D384" s="59" t="str">
        <f>IF([2]道具信息!D384="","",[2]道具信息!D384)</f>
        <v>高级盗贼</v>
      </c>
      <c r="E384" s="59" t="str">
        <f>IF([2]道具信息!E384="","",[2]道具信息!E384)</f>
        <v/>
      </c>
      <c r="F384" s="59">
        <f>IF([2]道具信息!F384="","",[2]道具信息!F384)</f>
        <v>1</v>
      </c>
      <c r="G384" s="59">
        <f>IF([2]道具信息!G384="","",[2]道具信息!G384)</f>
        <v>1</v>
      </c>
      <c r="H384" s="59">
        <f>IF([2]道具信息!H384="","",[2]道具信息!H384)</f>
        <v>1</v>
      </c>
      <c r="I384" s="59" t="str">
        <f>IF([2]道具信息!I384="","",[2]道具信息!I384)</f>
        <v/>
      </c>
      <c r="J384" s="59" t="str">
        <f>IF([2]道具信息!J384="","",[2]道具信息!J384)</f>
        <v/>
      </c>
      <c r="K384" s="59" t="str">
        <f>IF([2]道具信息!K384="","",[2]道具信息!K384)</f>
        <v/>
      </c>
      <c r="L384" s="59" t="str">
        <f>IF([2]道具信息!L384="","",[2]道具信息!L384)</f>
        <v/>
      </c>
      <c r="M384" s="59" t="str">
        <f>IF([2]道具信息!M384="","",[2]道具信息!M384)</f>
        <v/>
      </c>
      <c r="N384" s="59" t="str">
        <f>IF([2]道具信息!N384="","",[2]道具信息!N384)</f>
        <v/>
      </c>
      <c r="O384" s="59" t="str">
        <f>IF([2]道具信息!O384="","",[2]道具信息!O384)</f>
        <v/>
      </c>
      <c r="P384" s="59" t="str">
        <f>IF([2]道具信息!P384="","",[2]道具信息!P384)</f>
        <v/>
      </c>
      <c r="Q384" s="59" t="str">
        <f>IF([2]道具信息!Q384="","",[2]道具信息!Q384)</f>
        <v/>
      </c>
      <c r="R384" s="59" t="str">
        <f>IF([2]道具信息!R384="","",[2]道具信息!R384)</f>
        <v/>
      </c>
      <c r="S384" s="59" t="str">
        <f>IF([2]道具信息!S384="","",[2]道具信息!S384)</f>
        <v/>
      </c>
      <c r="T384" s="59" t="str">
        <f>IF([2]道具信息!T384="","",[2]道具信息!T384)</f>
        <v/>
      </c>
      <c r="U384" s="59" t="str">
        <f>IF([2]道具信息!U384="","",[2]道具信息!U384)</f>
        <v/>
      </c>
      <c r="V384" s="59" t="str">
        <f>IF([2]道具信息!V384="","",[2]道具信息!V384)</f>
        <v/>
      </c>
      <c r="W384" s="59" t="str">
        <f>IF([2]道具信息!W384="","",[2]道具信息!W384)</f>
        <v/>
      </c>
      <c r="X384" s="59" t="str">
        <f>IF([2]道具信息!X384="","",[2]道具信息!X384)</f>
        <v/>
      </c>
      <c r="Y384" s="59" t="str">
        <f>IF([2]道具信息!Y384="","",[2]道具信息!Y384)</f>
        <v/>
      </c>
      <c r="Z384" s="59" t="str">
        <f>IF([2]道具信息!Z384="","",[2]道具信息!Z384)</f>
        <v/>
      </c>
    </row>
    <row r="385" spans="1:26" x14ac:dyDescent="0.15">
      <c r="A385" s="59" t="str">
        <f>IF([2]道具信息!A385="","",[2]道具信息!A385)</f>
        <v/>
      </c>
      <c r="B385" s="59" t="str">
        <f>IF([2]道具信息!B385="","",[2]道具信息!B385)</f>
        <v/>
      </c>
      <c r="C385" s="59">
        <f>IF([2]道具信息!C385="","",[2]道具信息!C385)</f>
        <v>180023</v>
      </c>
      <c r="D385" s="59" t="str">
        <f>IF([2]道具信息!D385="","",[2]道具信息!D385)</f>
        <v>高级间谍</v>
      </c>
      <c r="E385" s="59" t="str">
        <f>IF([2]道具信息!E385="","",[2]道具信息!E385)</f>
        <v/>
      </c>
      <c r="F385" s="59">
        <f>IF([2]道具信息!F385="","",[2]道具信息!F385)</f>
        <v>1</v>
      </c>
      <c r="G385" s="59">
        <f>IF([2]道具信息!G385="","",[2]道具信息!G385)</f>
        <v>1</v>
      </c>
      <c r="H385" s="59">
        <f>IF([2]道具信息!H385="","",[2]道具信息!H385)</f>
        <v>1</v>
      </c>
      <c r="I385" s="59" t="str">
        <f>IF([2]道具信息!I385="","",[2]道具信息!I385)</f>
        <v/>
      </c>
      <c r="J385" s="59" t="str">
        <f>IF([2]道具信息!J385="","",[2]道具信息!J385)</f>
        <v/>
      </c>
      <c r="K385" s="59" t="str">
        <f>IF([2]道具信息!K385="","",[2]道具信息!K385)</f>
        <v/>
      </c>
      <c r="L385" s="59" t="str">
        <f>IF([2]道具信息!L385="","",[2]道具信息!L385)</f>
        <v/>
      </c>
      <c r="M385" s="59" t="str">
        <f>IF([2]道具信息!M385="","",[2]道具信息!M385)</f>
        <v/>
      </c>
      <c r="N385" s="59" t="str">
        <f>IF([2]道具信息!N385="","",[2]道具信息!N385)</f>
        <v/>
      </c>
      <c r="O385" s="59" t="str">
        <f>IF([2]道具信息!O385="","",[2]道具信息!O385)</f>
        <v/>
      </c>
      <c r="P385" s="59" t="str">
        <f>IF([2]道具信息!P385="","",[2]道具信息!P385)</f>
        <v/>
      </c>
      <c r="Q385" s="59" t="str">
        <f>IF([2]道具信息!Q385="","",[2]道具信息!Q385)</f>
        <v/>
      </c>
      <c r="R385" s="59" t="str">
        <f>IF([2]道具信息!R385="","",[2]道具信息!R385)</f>
        <v/>
      </c>
      <c r="S385" s="59" t="str">
        <f>IF([2]道具信息!S385="","",[2]道具信息!S385)</f>
        <v/>
      </c>
      <c r="T385" s="59" t="str">
        <f>IF([2]道具信息!T385="","",[2]道具信息!T385)</f>
        <v/>
      </c>
      <c r="U385" s="59" t="str">
        <f>IF([2]道具信息!U385="","",[2]道具信息!U385)</f>
        <v/>
      </c>
      <c r="V385" s="59" t="str">
        <f>IF([2]道具信息!V385="","",[2]道具信息!V385)</f>
        <v/>
      </c>
      <c r="W385" s="59" t="str">
        <f>IF([2]道具信息!W385="","",[2]道具信息!W385)</f>
        <v/>
      </c>
      <c r="X385" s="59" t="str">
        <f>IF([2]道具信息!X385="","",[2]道具信息!X385)</f>
        <v/>
      </c>
      <c r="Y385" s="59" t="str">
        <f>IF([2]道具信息!Y385="","",[2]道具信息!Y385)</f>
        <v/>
      </c>
      <c r="Z385" s="59" t="str">
        <f>IF([2]道具信息!Z385="","",[2]道具信息!Z385)</f>
        <v/>
      </c>
    </row>
    <row r="386" spans="1:26" x14ac:dyDescent="0.15">
      <c r="A386" s="59" t="str">
        <f>IF([2]道具信息!A386="","",[2]道具信息!A386)</f>
        <v/>
      </c>
      <c r="B386" s="59" t="str">
        <f>IF([2]道具信息!B386="","",[2]道具信息!B386)</f>
        <v/>
      </c>
      <c r="C386" s="59">
        <f>IF([2]道具信息!C386="","",[2]道具信息!C386)</f>
        <v>180022</v>
      </c>
      <c r="D386" s="59" t="str">
        <f>IF([2]道具信息!D386="","",[2]道具信息!D386)</f>
        <v>高级刺客</v>
      </c>
      <c r="E386" s="59" t="str">
        <f>IF([2]道具信息!E386="","",[2]道具信息!E386)</f>
        <v/>
      </c>
      <c r="F386" s="59">
        <f>IF([2]道具信息!F386="","",[2]道具信息!F386)</f>
        <v>1</v>
      </c>
      <c r="G386" s="59">
        <f>IF([2]道具信息!G386="","",[2]道具信息!G386)</f>
        <v>1</v>
      </c>
      <c r="H386" s="59">
        <f>IF([2]道具信息!H386="","",[2]道具信息!H386)</f>
        <v>1</v>
      </c>
      <c r="I386" s="59" t="str">
        <f>IF([2]道具信息!I386="","",[2]道具信息!I386)</f>
        <v/>
      </c>
      <c r="J386" s="59" t="str">
        <f>IF([2]道具信息!J386="","",[2]道具信息!J386)</f>
        <v/>
      </c>
      <c r="K386" s="59" t="str">
        <f>IF([2]道具信息!K386="","",[2]道具信息!K386)</f>
        <v/>
      </c>
      <c r="L386" s="59" t="str">
        <f>IF([2]道具信息!L386="","",[2]道具信息!L386)</f>
        <v/>
      </c>
      <c r="M386" s="59" t="str">
        <f>IF([2]道具信息!M386="","",[2]道具信息!M386)</f>
        <v/>
      </c>
      <c r="N386" s="59" t="str">
        <f>IF([2]道具信息!N386="","",[2]道具信息!N386)</f>
        <v/>
      </c>
      <c r="O386" s="59" t="str">
        <f>IF([2]道具信息!O386="","",[2]道具信息!O386)</f>
        <v/>
      </c>
      <c r="P386" s="59" t="str">
        <f>IF([2]道具信息!P386="","",[2]道具信息!P386)</f>
        <v/>
      </c>
      <c r="Q386" s="59" t="str">
        <f>IF([2]道具信息!Q386="","",[2]道具信息!Q386)</f>
        <v/>
      </c>
      <c r="R386" s="59" t="str">
        <f>IF([2]道具信息!R386="","",[2]道具信息!R386)</f>
        <v/>
      </c>
      <c r="S386" s="59" t="str">
        <f>IF([2]道具信息!S386="","",[2]道具信息!S386)</f>
        <v/>
      </c>
      <c r="T386" s="59" t="str">
        <f>IF([2]道具信息!T386="","",[2]道具信息!T386)</f>
        <v/>
      </c>
      <c r="U386" s="59" t="str">
        <f>IF([2]道具信息!U386="","",[2]道具信息!U386)</f>
        <v/>
      </c>
      <c r="V386" s="59" t="str">
        <f>IF([2]道具信息!V386="","",[2]道具信息!V386)</f>
        <v/>
      </c>
      <c r="W386" s="59" t="str">
        <f>IF([2]道具信息!W386="","",[2]道具信息!W386)</f>
        <v/>
      </c>
      <c r="X386" s="59" t="str">
        <f>IF([2]道具信息!X386="","",[2]道具信息!X386)</f>
        <v/>
      </c>
      <c r="Y386" s="59" t="str">
        <f>IF([2]道具信息!Y386="","",[2]道具信息!Y386)</f>
        <v/>
      </c>
      <c r="Z386" s="59" t="str">
        <f>IF([2]道具信息!Z386="","",[2]道具信息!Z386)</f>
        <v/>
      </c>
    </row>
    <row r="387" spans="1:26" x14ac:dyDescent="0.15">
      <c r="A387" s="59" t="str">
        <f>IF([2]道具信息!A387="","",[2]道具信息!A387)</f>
        <v/>
      </c>
      <c r="B387" s="59" t="str">
        <f>IF([2]道具信息!B387="","",[2]道具信息!B387)</f>
        <v/>
      </c>
      <c r="C387" s="59">
        <f>IF([2]道具信息!C387="","",[2]道具信息!C387)</f>
        <v>23521</v>
      </c>
      <c r="D387" s="59" t="str">
        <f>IF([2]道具信息!D387="","",[2]道具信息!D387)</f>
        <v>将军印碎片</v>
      </c>
      <c r="E387" s="59" t="str">
        <f>IF([2]道具信息!E387="","",[2]道具信息!E387)</f>
        <v/>
      </c>
      <c r="F387" s="59">
        <f>IF([2]道具信息!F387="","",[2]道具信息!F387)</f>
        <v>1</v>
      </c>
      <c r="G387" s="59">
        <f>IF([2]道具信息!G387="","",[2]道具信息!G387)</f>
        <v>1</v>
      </c>
      <c r="H387" s="59">
        <f>IF([2]道具信息!H387="","",[2]道具信息!H387)</f>
        <v>1</v>
      </c>
      <c r="I387" s="59" t="str">
        <f>IF([2]道具信息!I387="","",[2]道具信息!I387)</f>
        <v/>
      </c>
      <c r="J387" s="59" t="str">
        <f>IF([2]道具信息!J387="","",[2]道具信息!J387)</f>
        <v/>
      </c>
      <c r="K387" s="59" t="str">
        <f>IF([2]道具信息!K387="","",[2]道具信息!K387)</f>
        <v/>
      </c>
      <c r="L387" s="59" t="str">
        <f>IF([2]道具信息!L387="","",[2]道具信息!L387)</f>
        <v/>
      </c>
      <c r="M387" s="59" t="str">
        <f>IF([2]道具信息!M387="","",[2]道具信息!M387)</f>
        <v/>
      </c>
      <c r="N387" s="59" t="str">
        <f>IF([2]道具信息!N387="","",[2]道具信息!N387)</f>
        <v/>
      </c>
      <c r="O387" s="59" t="str">
        <f>IF([2]道具信息!O387="","",[2]道具信息!O387)</f>
        <v/>
      </c>
      <c r="P387" s="59" t="str">
        <f>IF([2]道具信息!P387="","",[2]道具信息!P387)</f>
        <v/>
      </c>
      <c r="Q387" s="59" t="str">
        <f>IF([2]道具信息!Q387="","",[2]道具信息!Q387)</f>
        <v/>
      </c>
      <c r="R387" s="59" t="str">
        <f>IF([2]道具信息!R387="","",[2]道具信息!R387)</f>
        <v/>
      </c>
      <c r="S387" s="59" t="str">
        <f>IF([2]道具信息!S387="","",[2]道具信息!S387)</f>
        <v/>
      </c>
      <c r="T387" s="59" t="str">
        <f>IF([2]道具信息!T387="","",[2]道具信息!T387)</f>
        <v/>
      </c>
      <c r="U387" s="59" t="str">
        <f>IF([2]道具信息!U387="","",[2]道具信息!U387)</f>
        <v/>
      </c>
      <c r="V387" s="59" t="str">
        <f>IF([2]道具信息!V387="","",[2]道具信息!V387)</f>
        <v/>
      </c>
      <c r="W387" s="59" t="str">
        <f>IF([2]道具信息!W387="","",[2]道具信息!W387)</f>
        <v/>
      </c>
      <c r="X387" s="59" t="str">
        <f>IF([2]道具信息!X387="","",[2]道具信息!X387)</f>
        <v/>
      </c>
      <c r="Y387" s="59" t="str">
        <f>IF([2]道具信息!Y387="","",[2]道具信息!Y387)</f>
        <v/>
      </c>
      <c r="Z387" s="59" t="str">
        <f>IF([2]道具信息!Z387="","",[2]道具信息!Z387)</f>
        <v/>
      </c>
    </row>
    <row r="388" spans="1:26" x14ac:dyDescent="0.15">
      <c r="A388" s="59" t="str">
        <f>IF([2]道具信息!A388="","",[2]道具信息!A388)</f>
        <v/>
      </c>
      <c r="B388" s="59" t="str">
        <f>IF([2]道具信息!B388="","",[2]道具信息!B388)</f>
        <v/>
      </c>
      <c r="C388" s="59">
        <f>IF([2]道具信息!C388="","",[2]道具信息!C388)</f>
        <v>23542</v>
      </c>
      <c r="D388" s="59" t="str">
        <f>IF([2]道具信息!D388="","",[2]道具信息!D388)</f>
        <v>十方装备宝箱碎片</v>
      </c>
      <c r="E388" s="59" t="str">
        <f>IF([2]道具信息!E388="","",[2]道具信息!E388)</f>
        <v/>
      </c>
      <c r="F388" s="59">
        <f>IF([2]道具信息!F388="","",[2]道具信息!F388)</f>
        <v>1</v>
      </c>
      <c r="G388" s="59">
        <f>IF([2]道具信息!G388="","",[2]道具信息!G388)</f>
        <v>1</v>
      </c>
      <c r="H388" s="59">
        <f>IF([2]道具信息!H388="","",[2]道具信息!H388)</f>
        <v>1</v>
      </c>
      <c r="I388" s="59" t="str">
        <f>IF([2]道具信息!I388="","",[2]道具信息!I388)</f>
        <v/>
      </c>
      <c r="J388" s="59" t="str">
        <f>IF([2]道具信息!J388="","",[2]道具信息!J388)</f>
        <v/>
      </c>
      <c r="K388" s="59" t="str">
        <f>IF([2]道具信息!K388="","",[2]道具信息!K388)</f>
        <v/>
      </c>
      <c r="L388" s="59" t="str">
        <f>IF([2]道具信息!L388="","",[2]道具信息!L388)</f>
        <v/>
      </c>
      <c r="M388" s="59" t="str">
        <f>IF([2]道具信息!M388="","",[2]道具信息!M388)</f>
        <v/>
      </c>
      <c r="N388" s="59" t="str">
        <f>IF([2]道具信息!N388="","",[2]道具信息!N388)</f>
        <v/>
      </c>
      <c r="O388" s="59" t="str">
        <f>IF([2]道具信息!O388="","",[2]道具信息!O388)</f>
        <v/>
      </c>
      <c r="P388" s="59" t="str">
        <f>IF([2]道具信息!P388="","",[2]道具信息!P388)</f>
        <v/>
      </c>
      <c r="Q388" s="59" t="str">
        <f>IF([2]道具信息!Q388="","",[2]道具信息!Q388)</f>
        <v/>
      </c>
      <c r="R388" s="59" t="str">
        <f>IF([2]道具信息!R388="","",[2]道具信息!R388)</f>
        <v/>
      </c>
      <c r="S388" s="59" t="str">
        <f>IF([2]道具信息!S388="","",[2]道具信息!S388)</f>
        <v/>
      </c>
      <c r="T388" s="59" t="str">
        <f>IF([2]道具信息!T388="","",[2]道具信息!T388)</f>
        <v/>
      </c>
      <c r="U388" s="59" t="str">
        <f>IF([2]道具信息!U388="","",[2]道具信息!U388)</f>
        <v/>
      </c>
      <c r="V388" s="59" t="str">
        <f>IF([2]道具信息!V388="","",[2]道具信息!V388)</f>
        <v/>
      </c>
      <c r="W388" s="59" t="str">
        <f>IF([2]道具信息!W388="","",[2]道具信息!W388)</f>
        <v/>
      </c>
      <c r="X388" s="59" t="str">
        <f>IF([2]道具信息!X388="","",[2]道具信息!X388)</f>
        <v/>
      </c>
      <c r="Y388" s="59" t="str">
        <f>IF([2]道具信息!Y388="","",[2]道具信息!Y388)</f>
        <v/>
      </c>
      <c r="Z388" s="59" t="str">
        <f>IF([2]道具信息!Z388="","",[2]道具信息!Z388)</f>
        <v/>
      </c>
    </row>
    <row r="389" spans="1:26" x14ac:dyDescent="0.15">
      <c r="A389" s="59" t="str">
        <f>IF([2]道具信息!A389="","",[2]道具信息!A389)</f>
        <v/>
      </c>
      <c r="B389" s="59" t="str">
        <f>IF([2]道具信息!B389="","",[2]道具信息!B389)</f>
        <v/>
      </c>
      <c r="C389" s="59">
        <f>IF([2]道具信息!C389="","",[2]道具信息!C389)</f>
        <v>23543</v>
      </c>
      <c r="D389" s="59" t="str">
        <f>IF([2]道具信息!D389="","",[2]道具信息!D389)</f>
        <v>墨霜装备宝箱碎片</v>
      </c>
      <c r="E389" s="59" t="str">
        <f>IF([2]道具信息!E389="","",[2]道具信息!E389)</f>
        <v/>
      </c>
      <c r="F389" s="59">
        <f>IF([2]道具信息!F389="","",[2]道具信息!F389)</f>
        <v>1</v>
      </c>
      <c r="G389" s="59">
        <f>IF([2]道具信息!G389="","",[2]道具信息!G389)</f>
        <v>1</v>
      </c>
      <c r="H389" s="59">
        <f>IF([2]道具信息!H389="","",[2]道具信息!H389)</f>
        <v>1</v>
      </c>
      <c r="I389" s="59" t="str">
        <f>IF([2]道具信息!I389="","",[2]道具信息!I389)</f>
        <v/>
      </c>
      <c r="J389" s="59" t="str">
        <f>IF([2]道具信息!J389="","",[2]道具信息!J389)</f>
        <v/>
      </c>
      <c r="K389" s="59" t="str">
        <f>IF([2]道具信息!K389="","",[2]道具信息!K389)</f>
        <v/>
      </c>
      <c r="L389" s="59" t="str">
        <f>IF([2]道具信息!L389="","",[2]道具信息!L389)</f>
        <v/>
      </c>
      <c r="M389" s="59" t="str">
        <f>IF([2]道具信息!M389="","",[2]道具信息!M389)</f>
        <v/>
      </c>
      <c r="N389" s="59" t="str">
        <f>IF([2]道具信息!N389="","",[2]道具信息!N389)</f>
        <v/>
      </c>
      <c r="O389" s="59" t="str">
        <f>IF([2]道具信息!O389="","",[2]道具信息!O389)</f>
        <v/>
      </c>
      <c r="P389" s="59" t="str">
        <f>IF([2]道具信息!P389="","",[2]道具信息!P389)</f>
        <v/>
      </c>
      <c r="Q389" s="59" t="str">
        <f>IF([2]道具信息!Q389="","",[2]道具信息!Q389)</f>
        <v/>
      </c>
      <c r="R389" s="59" t="str">
        <f>IF([2]道具信息!R389="","",[2]道具信息!R389)</f>
        <v/>
      </c>
      <c r="S389" s="59" t="str">
        <f>IF([2]道具信息!S389="","",[2]道具信息!S389)</f>
        <v/>
      </c>
      <c r="T389" s="59" t="str">
        <f>IF([2]道具信息!T389="","",[2]道具信息!T389)</f>
        <v/>
      </c>
      <c r="U389" s="59" t="str">
        <f>IF([2]道具信息!U389="","",[2]道具信息!U389)</f>
        <v/>
      </c>
      <c r="V389" s="59" t="str">
        <f>IF([2]道具信息!V389="","",[2]道具信息!V389)</f>
        <v/>
      </c>
      <c r="W389" s="59" t="str">
        <f>IF([2]道具信息!W389="","",[2]道具信息!W389)</f>
        <v/>
      </c>
      <c r="X389" s="59" t="str">
        <f>IF([2]道具信息!X389="","",[2]道具信息!X389)</f>
        <v/>
      </c>
      <c r="Y389" s="59" t="str">
        <f>IF([2]道具信息!Y389="","",[2]道具信息!Y389)</f>
        <v/>
      </c>
      <c r="Z389" s="59" t="str">
        <f>IF([2]道具信息!Z389="","",[2]道具信息!Z389)</f>
        <v/>
      </c>
    </row>
    <row r="390" spans="1:26" x14ac:dyDescent="0.15">
      <c r="A390" s="59" t="str">
        <f>IF([2]道具信息!A390="","",[2]道具信息!A390)</f>
        <v/>
      </c>
      <c r="B390" s="59" t="str">
        <f>IF([2]道具信息!B390="","",[2]道具信息!B390)</f>
        <v/>
      </c>
      <c r="C390" s="59" t="str">
        <f>IF([2]道具信息!C390="","",[2]道具信息!C390)</f>
        <v/>
      </c>
      <c r="D390" s="59" t="str">
        <f>IF([2]道具信息!D390="","",[2]道具信息!D390)</f>
        <v/>
      </c>
      <c r="E390" s="59" t="str">
        <f>IF([2]道具信息!E390="","",[2]道具信息!E390)</f>
        <v/>
      </c>
      <c r="F390" s="59">
        <f>IF([2]道具信息!F390="","",[2]道具信息!F390)</f>
        <v>1</v>
      </c>
      <c r="G390" s="59">
        <f>IF([2]道具信息!G390="","",[2]道具信息!G390)</f>
        <v>1</v>
      </c>
      <c r="H390" s="59">
        <f>IF([2]道具信息!H390="","",[2]道具信息!H390)</f>
        <v>1</v>
      </c>
      <c r="I390" s="59" t="str">
        <f>IF([2]道具信息!I390="","",[2]道具信息!I390)</f>
        <v/>
      </c>
      <c r="J390" s="59" t="str">
        <f>IF([2]道具信息!J390="","",[2]道具信息!J390)</f>
        <v/>
      </c>
      <c r="K390" s="59" t="str">
        <f>IF([2]道具信息!K390="","",[2]道具信息!K390)</f>
        <v/>
      </c>
      <c r="L390" s="59" t="str">
        <f>IF([2]道具信息!L390="","",[2]道具信息!L390)</f>
        <v/>
      </c>
      <c r="M390" s="59" t="str">
        <f>IF([2]道具信息!M390="","",[2]道具信息!M390)</f>
        <v/>
      </c>
      <c r="N390" s="59" t="str">
        <f>IF([2]道具信息!N390="","",[2]道具信息!N390)</f>
        <v/>
      </c>
      <c r="O390" s="59" t="str">
        <f>IF([2]道具信息!O390="","",[2]道具信息!O390)</f>
        <v/>
      </c>
      <c r="P390" s="59" t="str">
        <f>IF([2]道具信息!P390="","",[2]道具信息!P390)</f>
        <v/>
      </c>
      <c r="Q390" s="59" t="str">
        <f>IF([2]道具信息!Q390="","",[2]道具信息!Q390)</f>
        <v/>
      </c>
      <c r="R390" s="59" t="str">
        <f>IF([2]道具信息!R390="","",[2]道具信息!R390)</f>
        <v/>
      </c>
      <c r="S390" s="59" t="str">
        <f>IF([2]道具信息!S390="","",[2]道具信息!S390)</f>
        <v/>
      </c>
      <c r="T390" s="59" t="str">
        <f>IF([2]道具信息!T390="","",[2]道具信息!T390)</f>
        <v/>
      </c>
      <c r="U390" s="59" t="str">
        <f>IF([2]道具信息!U390="","",[2]道具信息!U390)</f>
        <v/>
      </c>
      <c r="V390" s="59" t="str">
        <f>IF([2]道具信息!V390="","",[2]道具信息!V390)</f>
        <v/>
      </c>
      <c r="W390" s="59" t="str">
        <f>IF([2]道具信息!W390="","",[2]道具信息!W390)</f>
        <v/>
      </c>
      <c r="X390" s="59" t="str">
        <f>IF([2]道具信息!X390="","",[2]道具信息!X390)</f>
        <v/>
      </c>
      <c r="Y390" s="59" t="str">
        <f>IF([2]道具信息!Y390="","",[2]道具信息!Y390)</f>
        <v/>
      </c>
      <c r="Z390" s="59" t="str">
        <f>IF([2]道具信息!Z390="","",[2]道具信息!Z390)</f>
        <v/>
      </c>
    </row>
    <row r="391" spans="1:26" x14ac:dyDescent="0.15">
      <c r="A391" s="59" t="str">
        <f>IF([2]道具信息!A391="","",[2]道具信息!A391)</f>
        <v/>
      </c>
      <c r="B391" s="59" t="str">
        <f>IF([2]道具信息!B391="","",[2]道具信息!B391)</f>
        <v/>
      </c>
      <c r="C391" s="59">
        <f>IF([2]道具信息!C391="","",[2]道具信息!C391)</f>
        <v>23356</v>
      </c>
      <c r="D391" s="59" t="str">
        <f>IF([2]道具信息!D391="","",[2]道具信息!D391)</f>
        <v>紫色藏宝图</v>
      </c>
      <c r="E391" s="59">
        <f>IF([2]道具信息!E391="","",[2]道具信息!E391)</f>
        <v>300</v>
      </c>
      <c r="F391" s="59">
        <f>IF([2]道具信息!F391="","",[2]道具信息!F391)</f>
        <v>1</v>
      </c>
      <c r="G391" s="59">
        <f>IF([2]道具信息!G391="","",[2]道具信息!G391)</f>
        <v>1</v>
      </c>
      <c r="H391" s="59">
        <f>IF([2]道具信息!H391="","",[2]道具信息!H391)</f>
        <v>1</v>
      </c>
      <c r="I391" s="59">
        <f>IF([2]道具信息!I391="","",[2]道具信息!I391)</f>
        <v>300</v>
      </c>
      <c r="J391" s="59">
        <f>IF([2]道具信息!J391="","",[2]道具信息!J391)</f>
        <v>300</v>
      </c>
      <c r="K391" s="59">
        <f>IF([2]道具信息!K391="","",[2]道具信息!K391)</f>
        <v>300</v>
      </c>
      <c r="L391" s="59" t="str">
        <f>IF([2]道具信息!L391="","",[2]道具信息!L391)</f>
        <v/>
      </c>
      <c r="M391" s="59" t="str">
        <f>IF([2]道具信息!M391="","",[2]道具信息!M391)</f>
        <v/>
      </c>
      <c r="N391" s="59" t="str">
        <f>IF([2]道具信息!N391="","",[2]道具信息!N391)</f>
        <v/>
      </c>
      <c r="O391" s="59" t="str">
        <f>IF([2]道具信息!O391="","",[2]道具信息!O391)</f>
        <v/>
      </c>
      <c r="P391" s="59" t="str">
        <f>IF([2]道具信息!P391="","",[2]道具信息!P391)</f>
        <v/>
      </c>
      <c r="Q391" s="59" t="str">
        <f>IF([2]道具信息!Q391="","",[2]道具信息!Q391)</f>
        <v/>
      </c>
      <c r="R391" s="59" t="str">
        <f>IF([2]道具信息!R391="","",[2]道具信息!R391)</f>
        <v/>
      </c>
      <c r="S391" s="59" t="str">
        <f>IF([2]道具信息!S391="","",[2]道具信息!S391)</f>
        <v/>
      </c>
      <c r="T391" s="59" t="str">
        <f>IF([2]道具信息!T391="","",[2]道具信息!T391)</f>
        <v/>
      </c>
      <c r="U391" s="59" t="str">
        <f>IF([2]道具信息!U391="","",[2]道具信息!U391)</f>
        <v/>
      </c>
      <c r="V391" s="59" t="str">
        <f>IF([2]道具信息!V391="","",[2]道具信息!V391)</f>
        <v/>
      </c>
      <c r="W391" s="59" t="str">
        <f>IF([2]道具信息!W391="","",[2]道具信息!W391)</f>
        <v/>
      </c>
      <c r="X391" s="59" t="str">
        <f>IF([2]道具信息!X391="","",[2]道具信息!X391)</f>
        <v/>
      </c>
      <c r="Y391" s="59" t="str">
        <f>IF([2]道具信息!Y391="","",[2]道具信息!Y391)</f>
        <v/>
      </c>
      <c r="Z391" s="59" t="str">
        <f>IF([2]道具信息!Z391="","",[2]道具信息!Z391)</f>
        <v/>
      </c>
    </row>
    <row r="392" spans="1:26" x14ac:dyDescent="0.15">
      <c r="A392" s="59" t="str">
        <f>IF([2]道具信息!A392="","",[2]道具信息!A392)</f>
        <v/>
      </c>
      <c r="B392" s="59" t="str">
        <f>IF([2]道具信息!B392="","",[2]道具信息!B392)</f>
        <v/>
      </c>
      <c r="C392" s="59">
        <f>IF([2]道具信息!C392="","",[2]道具信息!C392)</f>
        <v>23541</v>
      </c>
      <c r="D392" s="59" t="str">
        <f>IF([2]道具信息!D392="","",[2]道具信息!D392)</f>
        <v>宝物精华小宝箱</v>
      </c>
      <c r="E392" s="59">
        <f>IF([2]道具信息!E392="","",[2]道具信息!E392)</f>
        <v>100</v>
      </c>
      <c r="F392" s="59">
        <f>IF([2]道具信息!F392="","",[2]道具信息!F392)</f>
        <v>1</v>
      </c>
      <c r="G392" s="59">
        <f>IF([2]道具信息!G392="","",[2]道具信息!G392)</f>
        <v>1</v>
      </c>
      <c r="H392" s="59">
        <f>IF([2]道具信息!H392="","",[2]道具信息!H392)</f>
        <v>1</v>
      </c>
      <c r="I392" s="59">
        <f>IF([2]道具信息!I392="","",[2]道具信息!I392)</f>
        <v>100</v>
      </c>
      <c r="J392" s="59">
        <f>IF([2]道具信息!J392="","",[2]道具信息!J392)</f>
        <v>100</v>
      </c>
      <c r="K392" s="59">
        <f>IF([2]道具信息!K392="","",[2]道具信息!K392)</f>
        <v>100</v>
      </c>
      <c r="L392" s="59" t="str">
        <f>IF([2]道具信息!L392="","",[2]道具信息!L392)</f>
        <v/>
      </c>
      <c r="M392" s="59" t="str">
        <f>IF([2]道具信息!M392="","",[2]道具信息!M392)</f>
        <v/>
      </c>
      <c r="N392" s="59" t="str">
        <f>IF([2]道具信息!N392="","",[2]道具信息!N392)</f>
        <v/>
      </c>
      <c r="O392" s="59" t="str">
        <f>IF([2]道具信息!O392="","",[2]道具信息!O392)</f>
        <v/>
      </c>
      <c r="P392" s="59" t="str">
        <f>IF([2]道具信息!P392="","",[2]道具信息!P392)</f>
        <v/>
      </c>
      <c r="Q392" s="59" t="str">
        <f>IF([2]道具信息!Q392="","",[2]道具信息!Q392)</f>
        <v/>
      </c>
      <c r="R392" s="59" t="str">
        <f>IF([2]道具信息!R392="","",[2]道具信息!R392)</f>
        <v/>
      </c>
      <c r="S392" s="59" t="str">
        <f>IF([2]道具信息!S392="","",[2]道具信息!S392)</f>
        <v/>
      </c>
      <c r="T392" s="59" t="str">
        <f>IF([2]道具信息!T392="","",[2]道具信息!T392)</f>
        <v/>
      </c>
      <c r="U392" s="59" t="str">
        <f>IF([2]道具信息!U392="","",[2]道具信息!U392)</f>
        <v/>
      </c>
      <c r="V392" s="59" t="str">
        <f>IF([2]道具信息!V392="","",[2]道具信息!V392)</f>
        <v/>
      </c>
      <c r="W392" s="59" t="str">
        <f>IF([2]道具信息!W392="","",[2]道具信息!W392)</f>
        <v/>
      </c>
      <c r="X392" s="59" t="str">
        <f>IF([2]道具信息!X392="","",[2]道具信息!X392)</f>
        <v/>
      </c>
      <c r="Y392" s="59" t="str">
        <f>IF([2]道具信息!Y392="","",[2]道具信息!Y392)</f>
        <v/>
      </c>
      <c r="Z392" s="59" t="str">
        <f>IF([2]道具信息!Z392="","",[2]道具信息!Z392)</f>
        <v/>
      </c>
    </row>
    <row r="393" spans="1:26" x14ac:dyDescent="0.15">
      <c r="A393" s="59" t="str">
        <f>IF([2]道具信息!A393="","",[2]道具信息!A393)</f>
        <v/>
      </c>
      <c r="B393" s="59" t="str">
        <f>IF([2]道具信息!B393="","",[2]道具信息!B393)</f>
        <v/>
      </c>
      <c r="C393" s="59">
        <f>IF([2]道具信息!C393="","",[2]道具信息!C393)</f>
        <v>23537</v>
      </c>
      <c r="D393" s="59" t="str">
        <f>IF([2]道具信息!D393="","",[2]道具信息!D393)</f>
        <v>文心宝箱</v>
      </c>
      <c r="E393" s="59">
        <f>IF([2]道具信息!E393="","",[2]道具信息!E393)</f>
        <v>200</v>
      </c>
      <c r="F393" s="59">
        <f>IF([2]道具信息!F393="","",[2]道具信息!F393)</f>
        <v>1</v>
      </c>
      <c r="G393" s="59">
        <f>IF([2]道具信息!G393="","",[2]道具信息!G393)</f>
        <v>1</v>
      </c>
      <c r="H393" s="59">
        <f>IF([2]道具信息!H393="","",[2]道具信息!H393)</f>
        <v>1</v>
      </c>
      <c r="I393" s="59">
        <f>IF([2]道具信息!I393="","",[2]道具信息!I393)</f>
        <v>200</v>
      </c>
      <c r="J393" s="59">
        <f>IF([2]道具信息!J393="","",[2]道具信息!J393)</f>
        <v>200</v>
      </c>
      <c r="K393" s="59">
        <f>IF([2]道具信息!K393="","",[2]道具信息!K393)</f>
        <v>200</v>
      </c>
      <c r="L393" s="59" t="str">
        <f>IF([2]道具信息!L393="","",[2]道具信息!L393)</f>
        <v/>
      </c>
      <c r="M393" s="59" t="str">
        <f>IF([2]道具信息!M393="","",[2]道具信息!M393)</f>
        <v/>
      </c>
      <c r="N393" s="59" t="str">
        <f>IF([2]道具信息!N393="","",[2]道具信息!N393)</f>
        <v/>
      </c>
      <c r="O393" s="59" t="str">
        <f>IF([2]道具信息!O393="","",[2]道具信息!O393)</f>
        <v/>
      </c>
      <c r="P393" s="59" t="str">
        <f>IF([2]道具信息!P393="","",[2]道具信息!P393)</f>
        <v/>
      </c>
      <c r="Q393" s="59" t="str">
        <f>IF([2]道具信息!Q393="","",[2]道具信息!Q393)</f>
        <v/>
      </c>
      <c r="R393" s="59" t="str">
        <f>IF([2]道具信息!R393="","",[2]道具信息!R393)</f>
        <v/>
      </c>
      <c r="S393" s="59" t="str">
        <f>IF([2]道具信息!S393="","",[2]道具信息!S393)</f>
        <v/>
      </c>
      <c r="T393" s="59" t="str">
        <f>IF([2]道具信息!T393="","",[2]道具信息!T393)</f>
        <v/>
      </c>
      <c r="U393" s="59" t="str">
        <f>IF([2]道具信息!U393="","",[2]道具信息!U393)</f>
        <v/>
      </c>
      <c r="V393" s="59" t="str">
        <f>IF([2]道具信息!V393="","",[2]道具信息!V393)</f>
        <v/>
      </c>
      <c r="W393" s="59" t="str">
        <f>IF([2]道具信息!W393="","",[2]道具信息!W393)</f>
        <v/>
      </c>
      <c r="X393" s="59" t="str">
        <f>IF([2]道具信息!X393="","",[2]道具信息!X393)</f>
        <v/>
      </c>
      <c r="Y393" s="59" t="str">
        <f>IF([2]道具信息!Y393="","",[2]道具信息!Y393)</f>
        <v/>
      </c>
      <c r="Z393" s="59" t="str">
        <f>IF([2]道具信息!Z393="","",[2]道具信息!Z393)</f>
        <v/>
      </c>
    </row>
    <row r="394" spans="1:26" x14ac:dyDescent="0.15">
      <c r="A394" s="59" t="str">
        <f>IF([2]道具信息!A394="","",[2]道具信息!A394)</f>
        <v/>
      </c>
      <c r="B394" s="59" t="str">
        <f>IF([2]道具信息!B394="","",[2]道具信息!B394)</f>
        <v/>
      </c>
      <c r="C394" s="59">
        <f>IF([2]道具信息!C394="","",[2]道具信息!C394)</f>
        <v>23540</v>
      </c>
      <c r="D394" s="59" t="str">
        <f>IF([2]道具信息!D394="","",[2]道具信息!D394)</f>
        <v>500偕作玉宝箱</v>
      </c>
      <c r="E394" s="59">
        <f>IF([2]道具信息!E394="","",[2]道具信息!E394)</f>
        <v>500</v>
      </c>
      <c r="F394" s="59">
        <f>IF([2]道具信息!F394="","",[2]道具信息!F394)</f>
        <v>1</v>
      </c>
      <c r="G394" s="59">
        <f>IF([2]道具信息!G394="","",[2]道具信息!G394)</f>
        <v>1</v>
      </c>
      <c r="H394" s="59">
        <f>IF([2]道具信息!H394="","",[2]道具信息!H394)</f>
        <v>1</v>
      </c>
      <c r="I394" s="59">
        <f>IF([2]道具信息!I394="","",[2]道具信息!I394)</f>
        <v>500</v>
      </c>
      <c r="J394" s="59">
        <f>IF([2]道具信息!J394="","",[2]道具信息!J394)</f>
        <v>500</v>
      </c>
      <c r="K394" s="59">
        <f>IF([2]道具信息!K394="","",[2]道具信息!K394)</f>
        <v>500</v>
      </c>
      <c r="L394" s="59" t="str">
        <f>IF([2]道具信息!L394="","",[2]道具信息!L394)</f>
        <v/>
      </c>
      <c r="M394" s="59" t="str">
        <f>IF([2]道具信息!M394="","",[2]道具信息!M394)</f>
        <v/>
      </c>
      <c r="N394" s="59" t="str">
        <f>IF([2]道具信息!N394="","",[2]道具信息!N394)</f>
        <v/>
      </c>
      <c r="O394" s="59" t="str">
        <f>IF([2]道具信息!O394="","",[2]道具信息!O394)</f>
        <v/>
      </c>
      <c r="P394" s="59" t="str">
        <f>IF([2]道具信息!P394="","",[2]道具信息!P394)</f>
        <v/>
      </c>
      <c r="Q394" s="59" t="str">
        <f>IF([2]道具信息!Q394="","",[2]道具信息!Q394)</f>
        <v/>
      </c>
      <c r="R394" s="59" t="str">
        <f>IF([2]道具信息!R394="","",[2]道具信息!R394)</f>
        <v/>
      </c>
      <c r="S394" s="59" t="str">
        <f>IF([2]道具信息!S394="","",[2]道具信息!S394)</f>
        <v/>
      </c>
      <c r="T394" s="59" t="str">
        <f>IF([2]道具信息!T394="","",[2]道具信息!T394)</f>
        <v/>
      </c>
      <c r="U394" s="59" t="str">
        <f>IF([2]道具信息!U394="","",[2]道具信息!U394)</f>
        <v/>
      </c>
      <c r="V394" s="59" t="str">
        <f>IF([2]道具信息!V394="","",[2]道具信息!V394)</f>
        <v/>
      </c>
      <c r="W394" s="59" t="str">
        <f>IF([2]道具信息!W394="","",[2]道具信息!W394)</f>
        <v/>
      </c>
      <c r="X394" s="59" t="str">
        <f>IF([2]道具信息!X394="","",[2]道具信息!X394)</f>
        <v/>
      </c>
      <c r="Y394" s="59" t="str">
        <f>IF([2]道具信息!Y394="","",[2]道具信息!Y394)</f>
        <v/>
      </c>
      <c r="Z394" s="59" t="str">
        <f>IF([2]道具信息!Z394="","",[2]道具信息!Z394)</f>
        <v/>
      </c>
    </row>
    <row r="395" spans="1:26" x14ac:dyDescent="0.15">
      <c r="A395" s="59" t="str">
        <f>IF([2]道具信息!A395="","",[2]道具信息!A395)</f>
        <v/>
      </c>
      <c r="B395" s="59" t="str">
        <f>IF([2]道具信息!B395="","",[2]道具信息!B395)</f>
        <v/>
      </c>
      <c r="C395" s="59">
        <f>IF([2]道具信息!C395="","",[2]道具信息!C395)</f>
        <v>90510</v>
      </c>
      <c r="D395" s="59" t="str">
        <f>IF([2]道具信息!D395="","",[2]道具信息!D395)</f>
        <v>偕作玉</v>
      </c>
      <c r="E395" s="59">
        <f>IF([2]道具信息!E395="","",[2]道具信息!E395)</f>
        <v>1</v>
      </c>
      <c r="F395" s="59">
        <f>IF([2]道具信息!F395="","",[2]道具信息!F395)</f>
        <v>1</v>
      </c>
      <c r="G395" s="59">
        <f>IF([2]道具信息!G395="","",[2]道具信息!G395)</f>
        <v>1</v>
      </c>
      <c r="H395" s="59">
        <f>IF([2]道具信息!H395="","",[2]道具信息!H395)</f>
        <v>1</v>
      </c>
      <c r="I395" s="59">
        <f>IF([2]道具信息!I395="","",[2]道具信息!I395)</f>
        <v>1</v>
      </c>
      <c r="J395" s="59">
        <f>IF([2]道具信息!J395="","",[2]道具信息!J395)</f>
        <v>1</v>
      </c>
      <c r="K395" s="59">
        <f>IF([2]道具信息!K395="","",[2]道具信息!K395)</f>
        <v>1</v>
      </c>
      <c r="L395" s="59" t="str">
        <f>IF([2]道具信息!L395="","",[2]道具信息!L395)</f>
        <v/>
      </c>
      <c r="M395" s="59" t="str">
        <f>IF([2]道具信息!M395="","",[2]道具信息!M395)</f>
        <v/>
      </c>
      <c r="N395" s="59" t="str">
        <f>IF([2]道具信息!N395="","",[2]道具信息!N395)</f>
        <v/>
      </c>
      <c r="O395" s="59" t="str">
        <f>IF([2]道具信息!O395="","",[2]道具信息!O395)</f>
        <v/>
      </c>
      <c r="P395" s="59" t="str">
        <f>IF([2]道具信息!P395="","",[2]道具信息!P395)</f>
        <v/>
      </c>
      <c r="Q395" s="59" t="str">
        <f>IF([2]道具信息!Q395="","",[2]道具信息!Q395)</f>
        <v/>
      </c>
      <c r="R395" s="59" t="str">
        <f>IF([2]道具信息!R395="","",[2]道具信息!R395)</f>
        <v/>
      </c>
      <c r="S395" s="59" t="str">
        <f>IF([2]道具信息!S395="","",[2]道具信息!S395)</f>
        <v/>
      </c>
      <c r="T395" s="59" t="str">
        <f>IF([2]道具信息!T395="","",[2]道具信息!T395)</f>
        <v/>
      </c>
      <c r="U395" s="59" t="str">
        <f>IF([2]道具信息!U395="","",[2]道具信息!U395)</f>
        <v/>
      </c>
      <c r="V395" s="59" t="str">
        <f>IF([2]道具信息!V395="","",[2]道具信息!V395)</f>
        <v/>
      </c>
      <c r="W395" s="59" t="str">
        <f>IF([2]道具信息!W395="","",[2]道具信息!W395)</f>
        <v/>
      </c>
      <c r="X395" s="59" t="str">
        <f>IF([2]道具信息!X395="","",[2]道具信息!X395)</f>
        <v/>
      </c>
      <c r="Y395" s="59" t="str">
        <f>IF([2]道具信息!Y395="","",[2]道具信息!Y395)</f>
        <v/>
      </c>
      <c r="Z395" s="59" t="str">
        <f>IF([2]道具信息!Z395="","",[2]道具信息!Z395)</f>
        <v/>
      </c>
    </row>
    <row r="396" spans="1:26" x14ac:dyDescent="0.15">
      <c r="A396" s="59" t="str">
        <f>IF([2]道具信息!A396="","",[2]道具信息!A396)</f>
        <v/>
      </c>
      <c r="B396" s="59" t="str">
        <f>IF([2]道具信息!B396="","",[2]道具信息!B396)</f>
        <v/>
      </c>
      <c r="C396" s="59">
        <f>IF([2]道具信息!C396="","",[2]道具信息!C396)</f>
        <v>90512</v>
      </c>
      <c r="D396" s="59" t="str">
        <f>IF([2]道具信息!D396="","",[2]道具信息!D396)</f>
        <v>文心</v>
      </c>
      <c r="E396" s="59">
        <f>IF([2]道具信息!E396="","",[2]道具信息!E396)</f>
        <v>0.33333333333333331</v>
      </c>
      <c r="F396" s="59">
        <f>IF([2]道具信息!F396="","",[2]道具信息!F396)</f>
        <v>1</v>
      </c>
      <c r="G396" s="59">
        <f>IF([2]道具信息!G396="","",[2]道具信息!G396)</f>
        <v>1</v>
      </c>
      <c r="H396" s="59">
        <f>IF([2]道具信息!H396="","",[2]道具信息!H396)</f>
        <v>1</v>
      </c>
      <c r="I396" s="59">
        <f>IF([2]道具信息!I396="","",[2]道具信息!I396)</f>
        <v>0.33333333333333331</v>
      </c>
      <c r="J396" s="59">
        <f>IF([2]道具信息!J396="","",[2]道具信息!J396)</f>
        <v>0.33333333333333331</v>
      </c>
      <c r="K396" s="59">
        <f>IF([2]道具信息!K396="","",[2]道具信息!K396)</f>
        <v>0.33333333333333331</v>
      </c>
      <c r="L396" s="59" t="str">
        <f>IF([2]道具信息!L396="","",[2]道具信息!L396)</f>
        <v/>
      </c>
      <c r="M396" s="59" t="str">
        <f>IF([2]道具信息!M396="","",[2]道具信息!M396)</f>
        <v/>
      </c>
      <c r="N396" s="59" t="str">
        <f>IF([2]道具信息!N396="","",[2]道具信息!N396)</f>
        <v/>
      </c>
      <c r="O396" s="59" t="str">
        <f>IF([2]道具信息!O396="","",[2]道具信息!O396)</f>
        <v/>
      </c>
      <c r="P396" s="59" t="str">
        <f>IF([2]道具信息!P396="","",[2]道具信息!P396)</f>
        <v/>
      </c>
      <c r="Q396" s="59" t="str">
        <f>IF([2]道具信息!Q396="","",[2]道具信息!Q396)</f>
        <v/>
      </c>
      <c r="R396" s="59" t="str">
        <f>IF([2]道具信息!R396="","",[2]道具信息!R396)</f>
        <v/>
      </c>
      <c r="S396" s="59" t="str">
        <f>IF([2]道具信息!S396="","",[2]道具信息!S396)</f>
        <v/>
      </c>
      <c r="T396" s="59" t="str">
        <f>IF([2]道具信息!T396="","",[2]道具信息!T396)</f>
        <v/>
      </c>
      <c r="U396" s="59" t="str">
        <f>IF([2]道具信息!U396="","",[2]道具信息!U396)</f>
        <v/>
      </c>
      <c r="V396" s="59" t="str">
        <f>IF([2]道具信息!V396="","",[2]道具信息!V396)</f>
        <v/>
      </c>
      <c r="W396" s="59" t="str">
        <f>IF([2]道具信息!W396="","",[2]道具信息!W396)</f>
        <v/>
      </c>
      <c r="X396" s="59" t="str">
        <f>IF([2]道具信息!X396="","",[2]道具信息!X396)</f>
        <v/>
      </c>
      <c r="Y396" s="59" t="str">
        <f>IF([2]道具信息!Y396="","",[2]道具信息!Y396)</f>
        <v/>
      </c>
      <c r="Z396" s="59" t="str">
        <f>IF([2]道具信息!Z396="","",[2]道具信息!Z396)</f>
        <v/>
      </c>
    </row>
    <row r="397" spans="1:26" x14ac:dyDescent="0.15">
      <c r="A397" s="59" t="str">
        <f>IF([2]道具信息!A397="","",[2]道具信息!A397)</f>
        <v/>
      </c>
      <c r="B397" s="59" t="str">
        <f>IF([2]道具信息!B397="","",[2]道具信息!B397)</f>
        <v/>
      </c>
      <c r="C397" s="59">
        <f>IF([2]道具信息!C397="","",[2]道具信息!C397)</f>
        <v>90513</v>
      </c>
      <c r="D397" s="59" t="str">
        <f>IF([2]道具信息!D397="","",[2]道具信息!D397)</f>
        <v>宝物精华</v>
      </c>
      <c r="E397" s="59">
        <f>IF([2]道具信息!E397="","",[2]道具信息!E397)</f>
        <v>100</v>
      </c>
      <c r="F397" s="59">
        <f>IF([2]道具信息!F397="","",[2]道具信息!F397)</f>
        <v>1</v>
      </c>
      <c r="G397" s="59">
        <f>IF([2]道具信息!G397="","",[2]道具信息!G397)</f>
        <v>1</v>
      </c>
      <c r="H397" s="59">
        <f>IF([2]道具信息!H397="","",[2]道具信息!H397)</f>
        <v>1</v>
      </c>
      <c r="I397" s="59">
        <f>IF([2]道具信息!I397="","",[2]道具信息!I397)</f>
        <v>100</v>
      </c>
      <c r="J397" s="59">
        <f>IF([2]道具信息!J397="","",[2]道具信息!J397)</f>
        <v>100</v>
      </c>
      <c r="K397" s="59">
        <f>IF([2]道具信息!K397="","",[2]道具信息!K397)</f>
        <v>100</v>
      </c>
      <c r="L397" s="59" t="str">
        <f>IF([2]道具信息!L397="","",[2]道具信息!L397)</f>
        <v/>
      </c>
      <c r="M397" s="59" t="str">
        <f>IF([2]道具信息!M397="","",[2]道具信息!M397)</f>
        <v/>
      </c>
      <c r="N397" s="59" t="str">
        <f>IF([2]道具信息!N397="","",[2]道具信息!N397)</f>
        <v/>
      </c>
      <c r="O397" s="59" t="str">
        <f>IF([2]道具信息!O397="","",[2]道具信息!O397)</f>
        <v/>
      </c>
      <c r="P397" s="59" t="str">
        <f>IF([2]道具信息!P397="","",[2]道具信息!P397)</f>
        <v/>
      </c>
      <c r="Q397" s="59" t="str">
        <f>IF([2]道具信息!Q397="","",[2]道具信息!Q397)</f>
        <v/>
      </c>
      <c r="R397" s="59" t="str">
        <f>IF([2]道具信息!R397="","",[2]道具信息!R397)</f>
        <v/>
      </c>
      <c r="S397" s="59" t="str">
        <f>IF([2]道具信息!S397="","",[2]道具信息!S397)</f>
        <v/>
      </c>
      <c r="T397" s="59" t="str">
        <f>IF([2]道具信息!T397="","",[2]道具信息!T397)</f>
        <v/>
      </c>
      <c r="U397" s="59" t="str">
        <f>IF([2]道具信息!U397="","",[2]道具信息!U397)</f>
        <v/>
      </c>
      <c r="V397" s="59" t="str">
        <f>IF([2]道具信息!V397="","",[2]道具信息!V397)</f>
        <v/>
      </c>
      <c r="W397" s="59" t="str">
        <f>IF([2]道具信息!W397="","",[2]道具信息!W397)</f>
        <v/>
      </c>
      <c r="X397" s="59" t="str">
        <f>IF([2]道具信息!X397="","",[2]道具信息!X397)</f>
        <v/>
      </c>
      <c r="Y397" s="59" t="str">
        <f>IF([2]道具信息!Y397="","",[2]道具信息!Y397)</f>
        <v/>
      </c>
      <c r="Z397" s="59" t="str">
        <f>IF([2]道具信息!Z397="","",[2]道具信息!Z397)</f>
        <v/>
      </c>
    </row>
    <row r="398" spans="1:26" x14ac:dyDescent="0.15">
      <c r="A398" s="59" t="str">
        <f>IF([2]道具信息!A398="","",[2]道具信息!A398)</f>
        <v/>
      </c>
      <c r="B398" s="59" t="str">
        <f>IF([2]道具信息!B398="","",[2]道具信息!B398)</f>
        <v/>
      </c>
      <c r="C398" s="59">
        <f>IF([2]道具信息!C398="","",[2]道具信息!C398)</f>
        <v>23652</v>
      </c>
      <c r="D398" s="59" t="str">
        <f>IF([2]道具信息!D398="","",[2]道具信息!D398)</f>
        <v>流云装备宝箱碎片</v>
      </c>
      <c r="E398" s="59" t="str">
        <f>IF([2]道具信息!E398="","",[2]道具信息!E398)</f>
        <v/>
      </c>
      <c r="F398" s="59">
        <f>IF([2]道具信息!F398="","",[2]道具信息!F398)</f>
        <v>1</v>
      </c>
      <c r="G398" s="59">
        <f>IF([2]道具信息!G398="","",[2]道具信息!G398)</f>
        <v>1</v>
      </c>
      <c r="H398" s="59">
        <f>IF([2]道具信息!H398="","",[2]道具信息!H398)</f>
        <v>1</v>
      </c>
      <c r="I398" s="59" t="str">
        <f>IF([2]道具信息!I398="","",[2]道具信息!I398)</f>
        <v/>
      </c>
      <c r="J398" s="59" t="str">
        <f>IF([2]道具信息!J398="","",[2]道具信息!J398)</f>
        <v/>
      </c>
      <c r="K398" s="59" t="str">
        <f>IF([2]道具信息!K398="","",[2]道具信息!K398)</f>
        <v/>
      </c>
      <c r="L398" s="59" t="str">
        <f>IF([2]道具信息!L398="","",[2]道具信息!L398)</f>
        <v/>
      </c>
      <c r="M398" s="59" t="str">
        <f>IF([2]道具信息!M398="","",[2]道具信息!M398)</f>
        <v/>
      </c>
      <c r="N398" s="59" t="str">
        <f>IF([2]道具信息!N398="","",[2]道具信息!N398)</f>
        <v/>
      </c>
      <c r="O398" s="59" t="str">
        <f>IF([2]道具信息!O398="","",[2]道具信息!O398)</f>
        <v/>
      </c>
      <c r="P398" s="59" t="str">
        <f>IF([2]道具信息!P398="","",[2]道具信息!P398)</f>
        <v/>
      </c>
      <c r="Q398" s="59" t="str">
        <f>IF([2]道具信息!Q398="","",[2]道具信息!Q398)</f>
        <v/>
      </c>
      <c r="R398" s="59" t="str">
        <f>IF([2]道具信息!R398="","",[2]道具信息!R398)</f>
        <v/>
      </c>
      <c r="S398" s="59" t="str">
        <f>IF([2]道具信息!S398="","",[2]道具信息!S398)</f>
        <v/>
      </c>
      <c r="T398" s="59" t="str">
        <f>IF([2]道具信息!T398="","",[2]道具信息!T398)</f>
        <v/>
      </c>
      <c r="U398" s="59" t="str">
        <f>IF([2]道具信息!U398="","",[2]道具信息!U398)</f>
        <v/>
      </c>
      <c r="V398" s="59" t="str">
        <f>IF([2]道具信息!V398="","",[2]道具信息!V398)</f>
        <v/>
      </c>
      <c r="W398" s="59" t="str">
        <f>IF([2]道具信息!W398="","",[2]道具信息!W398)</f>
        <v/>
      </c>
      <c r="X398" s="59" t="str">
        <f>IF([2]道具信息!X398="","",[2]道具信息!X398)</f>
        <v/>
      </c>
      <c r="Y398" s="59" t="str">
        <f>IF([2]道具信息!Y398="","",[2]道具信息!Y398)</f>
        <v/>
      </c>
      <c r="Z398" s="59" t="str">
        <f>IF([2]道具信息!Z398="","",[2]道具信息!Z398)</f>
        <v/>
      </c>
    </row>
    <row r="399" spans="1:26" x14ac:dyDescent="0.15">
      <c r="A399" s="59" t="str">
        <f>IF([2]道具信息!A399="","",[2]道具信息!A399)</f>
        <v/>
      </c>
      <c r="B399" s="59" t="str">
        <f>IF([2]道具信息!B399="","",[2]道具信息!B399)</f>
        <v/>
      </c>
      <c r="C399" s="59">
        <f>IF([2]道具信息!C399="","",[2]道具信息!C399)</f>
        <v>23658</v>
      </c>
      <c r="D399" s="59" t="str">
        <f>IF([2]道具信息!D399="","",[2]道具信息!D399)</f>
        <v>乱世王者碎片</v>
      </c>
      <c r="E399" s="59" t="str">
        <f>IF([2]道具信息!E399="","",[2]道具信息!E399)</f>
        <v/>
      </c>
      <c r="F399" s="59">
        <f>IF([2]道具信息!F399="","",[2]道具信息!F399)</f>
        <v>1</v>
      </c>
      <c r="G399" s="59">
        <f>IF([2]道具信息!G399="","",[2]道具信息!G399)</f>
        <v>1</v>
      </c>
      <c r="H399" s="59">
        <f>IF([2]道具信息!H399="","",[2]道具信息!H399)</f>
        <v>1</v>
      </c>
      <c r="I399" s="59" t="str">
        <f>IF([2]道具信息!I399="","",[2]道具信息!I399)</f>
        <v/>
      </c>
      <c r="J399" s="59" t="str">
        <f>IF([2]道具信息!J399="","",[2]道具信息!J399)</f>
        <v/>
      </c>
      <c r="K399" s="59" t="str">
        <f>IF([2]道具信息!K399="","",[2]道具信息!K399)</f>
        <v/>
      </c>
      <c r="L399" s="59" t="str">
        <f>IF([2]道具信息!L399="","",[2]道具信息!L399)</f>
        <v/>
      </c>
      <c r="M399" s="59" t="str">
        <f>IF([2]道具信息!M399="","",[2]道具信息!M399)</f>
        <v/>
      </c>
      <c r="N399" s="59" t="str">
        <f>IF([2]道具信息!N399="","",[2]道具信息!N399)</f>
        <v/>
      </c>
      <c r="O399" s="59" t="str">
        <f>IF([2]道具信息!O399="","",[2]道具信息!O399)</f>
        <v/>
      </c>
      <c r="P399" s="59" t="str">
        <f>IF([2]道具信息!P399="","",[2]道具信息!P399)</f>
        <v/>
      </c>
      <c r="Q399" s="59" t="str">
        <f>IF([2]道具信息!Q399="","",[2]道具信息!Q399)</f>
        <v/>
      </c>
      <c r="R399" s="59" t="str">
        <f>IF([2]道具信息!R399="","",[2]道具信息!R399)</f>
        <v/>
      </c>
      <c r="S399" s="59" t="str">
        <f>IF([2]道具信息!S399="","",[2]道具信息!S399)</f>
        <v/>
      </c>
      <c r="T399" s="59" t="str">
        <f>IF([2]道具信息!T399="","",[2]道具信息!T399)</f>
        <v/>
      </c>
      <c r="U399" s="59" t="str">
        <f>IF([2]道具信息!U399="","",[2]道具信息!U399)</f>
        <v/>
      </c>
      <c r="V399" s="59" t="str">
        <f>IF([2]道具信息!V399="","",[2]道具信息!V399)</f>
        <v/>
      </c>
      <c r="W399" s="59" t="str">
        <f>IF([2]道具信息!W399="","",[2]道具信息!W399)</f>
        <v/>
      </c>
      <c r="X399" s="59" t="str">
        <f>IF([2]道具信息!X399="","",[2]道具信息!X399)</f>
        <v/>
      </c>
      <c r="Y399" s="59" t="str">
        <f>IF([2]道具信息!Y399="","",[2]道具信息!Y399)</f>
        <v/>
      </c>
      <c r="Z399" s="59" t="str">
        <f>IF([2]道具信息!Z399="","",[2]道具信息!Z399)</f>
        <v/>
      </c>
    </row>
    <row r="400" spans="1:26" x14ac:dyDescent="0.15">
      <c r="A400" s="59" t="str">
        <f>IF([2]道具信息!A400="","",[2]道具信息!A400)</f>
        <v/>
      </c>
      <c r="B400" s="59" t="str">
        <f>IF([2]道具信息!B400="","",[2]道具信息!B400)</f>
        <v/>
      </c>
      <c r="C400" s="59" t="str">
        <f>IF([2]道具信息!C400="","",[2]道具信息!C400)</f>
        <v/>
      </c>
      <c r="D400" s="59" t="str">
        <f>IF([2]道具信息!D400="","",[2]道具信息!D400)</f>
        <v/>
      </c>
      <c r="E400" s="59" t="str">
        <f>IF([2]道具信息!E400="","",[2]道具信息!E400)</f>
        <v/>
      </c>
      <c r="F400" s="59">
        <f>IF([2]道具信息!F400="","",[2]道具信息!F400)</f>
        <v>1</v>
      </c>
      <c r="G400" s="59">
        <f>IF([2]道具信息!G400="","",[2]道具信息!G400)</f>
        <v>1</v>
      </c>
      <c r="H400" s="59">
        <f>IF([2]道具信息!H400="","",[2]道具信息!H400)</f>
        <v>1</v>
      </c>
      <c r="I400" s="59" t="str">
        <f>IF([2]道具信息!I400="","",[2]道具信息!I400)</f>
        <v/>
      </c>
      <c r="J400" s="59" t="str">
        <f>IF([2]道具信息!J400="","",[2]道具信息!J400)</f>
        <v/>
      </c>
      <c r="K400" s="59" t="str">
        <f>IF([2]道具信息!K400="","",[2]道具信息!K400)</f>
        <v/>
      </c>
      <c r="L400" s="59" t="str">
        <f>IF([2]道具信息!L400="","",[2]道具信息!L400)</f>
        <v/>
      </c>
      <c r="M400" s="59" t="str">
        <f>IF([2]道具信息!M400="","",[2]道具信息!M400)</f>
        <v/>
      </c>
      <c r="N400" s="59" t="str">
        <f>IF([2]道具信息!N400="","",[2]道具信息!N400)</f>
        <v/>
      </c>
      <c r="O400" s="59" t="str">
        <f>IF([2]道具信息!O400="","",[2]道具信息!O400)</f>
        <v/>
      </c>
      <c r="P400" s="59" t="str">
        <f>IF([2]道具信息!P400="","",[2]道具信息!P400)</f>
        <v/>
      </c>
      <c r="Q400" s="59" t="str">
        <f>IF([2]道具信息!Q400="","",[2]道具信息!Q400)</f>
        <v/>
      </c>
      <c r="R400" s="59" t="str">
        <f>IF([2]道具信息!R400="","",[2]道具信息!R400)</f>
        <v/>
      </c>
      <c r="S400" s="59" t="str">
        <f>IF([2]道具信息!S400="","",[2]道具信息!S400)</f>
        <v/>
      </c>
      <c r="T400" s="59" t="str">
        <f>IF([2]道具信息!T400="","",[2]道具信息!T400)</f>
        <v/>
      </c>
      <c r="U400" s="59" t="str">
        <f>IF([2]道具信息!U400="","",[2]道具信息!U400)</f>
        <v/>
      </c>
      <c r="V400" s="59" t="str">
        <f>IF([2]道具信息!V400="","",[2]道具信息!V400)</f>
        <v/>
      </c>
      <c r="W400" s="59" t="str">
        <f>IF([2]道具信息!W400="","",[2]道具信息!W400)</f>
        <v/>
      </c>
      <c r="X400" s="59" t="str">
        <f>IF([2]道具信息!X400="","",[2]道具信息!X400)</f>
        <v/>
      </c>
      <c r="Y400" s="59" t="str">
        <f>IF([2]道具信息!Y400="","",[2]道具信息!Y400)</f>
        <v/>
      </c>
      <c r="Z400" s="59" t="str">
        <f>IF([2]道具信息!Z400="","",[2]道具信息!Z400)</f>
        <v/>
      </c>
    </row>
    <row r="401" spans="1:26" x14ac:dyDescent="0.15">
      <c r="A401" s="59" t="str">
        <f>IF([2]道具信息!A401="","",[2]道具信息!A401)</f>
        <v/>
      </c>
      <c r="B401" s="59" t="str">
        <f>IF([2]道具信息!B401="","",[2]道具信息!B401)</f>
        <v/>
      </c>
      <c r="C401" s="59" t="str">
        <f>IF([2]道具信息!C401="","",[2]道具信息!C401)</f>
        <v/>
      </c>
      <c r="D401" s="59" t="str">
        <f>IF([2]道具信息!D401="","",[2]道具信息!D401)</f>
        <v/>
      </c>
      <c r="E401" s="59" t="str">
        <f>IF([2]道具信息!E401="","",[2]道具信息!E401)</f>
        <v/>
      </c>
      <c r="F401" s="59">
        <f>IF([2]道具信息!F401="","",[2]道具信息!F401)</f>
        <v>1</v>
      </c>
      <c r="G401" s="59">
        <f>IF([2]道具信息!G401="","",[2]道具信息!G401)</f>
        <v>1</v>
      </c>
      <c r="H401" s="59">
        <f>IF([2]道具信息!H401="","",[2]道具信息!H401)</f>
        <v>1</v>
      </c>
      <c r="I401" s="59" t="str">
        <f>IF([2]道具信息!I401="","",[2]道具信息!I401)</f>
        <v/>
      </c>
      <c r="J401" s="59" t="str">
        <f>IF([2]道具信息!J401="","",[2]道具信息!J401)</f>
        <v/>
      </c>
      <c r="K401" s="59" t="str">
        <f>IF([2]道具信息!K401="","",[2]道具信息!K401)</f>
        <v/>
      </c>
      <c r="L401" s="59" t="str">
        <f>IF([2]道具信息!L401="","",[2]道具信息!L401)</f>
        <v/>
      </c>
      <c r="M401" s="59" t="str">
        <f>IF([2]道具信息!M401="","",[2]道具信息!M401)</f>
        <v/>
      </c>
      <c r="N401" s="59" t="str">
        <f>IF([2]道具信息!N401="","",[2]道具信息!N401)</f>
        <v/>
      </c>
      <c r="O401" s="59" t="str">
        <f>IF([2]道具信息!O401="","",[2]道具信息!O401)</f>
        <v/>
      </c>
      <c r="P401" s="59" t="str">
        <f>IF([2]道具信息!P401="","",[2]道具信息!P401)</f>
        <v/>
      </c>
      <c r="Q401" s="59" t="str">
        <f>IF([2]道具信息!Q401="","",[2]道具信息!Q401)</f>
        <v/>
      </c>
      <c r="R401" s="59" t="str">
        <f>IF([2]道具信息!R401="","",[2]道具信息!R401)</f>
        <v/>
      </c>
      <c r="S401" s="59" t="str">
        <f>IF([2]道具信息!S401="","",[2]道具信息!S401)</f>
        <v/>
      </c>
      <c r="T401" s="59" t="str">
        <f>IF([2]道具信息!T401="","",[2]道具信息!T401)</f>
        <v/>
      </c>
      <c r="U401" s="59" t="str">
        <f>IF([2]道具信息!U401="","",[2]道具信息!U401)</f>
        <v/>
      </c>
      <c r="V401" s="59" t="str">
        <f>IF([2]道具信息!V401="","",[2]道具信息!V401)</f>
        <v/>
      </c>
      <c r="W401" s="59" t="str">
        <f>IF([2]道具信息!W401="","",[2]道具信息!W401)</f>
        <v/>
      </c>
      <c r="X401" s="59" t="str">
        <f>IF([2]道具信息!X401="","",[2]道具信息!X401)</f>
        <v/>
      </c>
      <c r="Y401" s="59" t="str">
        <f>IF([2]道具信息!Y401="","",[2]道具信息!Y401)</f>
        <v/>
      </c>
      <c r="Z401" s="59" t="str">
        <f>IF([2]道具信息!Z401="","",[2]道具信息!Z401)</f>
        <v/>
      </c>
    </row>
    <row r="402" spans="1:26" x14ac:dyDescent="0.15">
      <c r="A402" s="59" t="str">
        <f>IF([2]道具信息!A402="","",[2]道具信息!A402)</f>
        <v/>
      </c>
      <c r="B402" s="59" t="str">
        <f>IF([2]道具信息!B402="","",[2]道具信息!B402)</f>
        <v/>
      </c>
      <c r="C402" s="59" t="str">
        <f>IF([2]道具信息!C402="","",[2]道具信息!C402)</f>
        <v/>
      </c>
      <c r="D402" s="59" t="str">
        <f>IF([2]道具信息!D402="","",[2]道具信息!D402)</f>
        <v/>
      </c>
      <c r="E402" s="59" t="str">
        <f>IF([2]道具信息!E402="","",[2]道具信息!E402)</f>
        <v/>
      </c>
      <c r="F402" s="59">
        <f>IF([2]道具信息!F402="","",[2]道具信息!F402)</f>
        <v>1</v>
      </c>
      <c r="G402" s="59">
        <f>IF([2]道具信息!G402="","",[2]道具信息!G402)</f>
        <v>1</v>
      </c>
      <c r="H402" s="59">
        <f>IF([2]道具信息!H402="","",[2]道具信息!H402)</f>
        <v>1</v>
      </c>
      <c r="I402" s="59" t="str">
        <f>IF([2]道具信息!I402="","",[2]道具信息!I402)</f>
        <v/>
      </c>
      <c r="J402" s="59" t="str">
        <f>IF([2]道具信息!J402="","",[2]道具信息!J402)</f>
        <v/>
      </c>
      <c r="K402" s="59" t="str">
        <f>IF([2]道具信息!K402="","",[2]道具信息!K402)</f>
        <v/>
      </c>
      <c r="L402" s="59" t="str">
        <f>IF([2]道具信息!L402="","",[2]道具信息!L402)</f>
        <v/>
      </c>
      <c r="M402" s="59" t="str">
        <f>IF([2]道具信息!M402="","",[2]道具信息!M402)</f>
        <v/>
      </c>
      <c r="N402" s="59" t="str">
        <f>IF([2]道具信息!N402="","",[2]道具信息!N402)</f>
        <v/>
      </c>
      <c r="O402" s="59" t="str">
        <f>IF([2]道具信息!O402="","",[2]道具信息!O402)</f>
        <v/>
      </c>
      <c r="P402" s="59" t="str">
        <f>IF([2]道具信息!P402="","",[2]道具信息!P402)</f>
        <v/>
      </c>
      <c r="Q402" s="59" t="str">
        <f>IF([2]道具信息!Q402="","",[2]道具信息!Q402)</f>
        <v/>
      </c>
      <c r="R402" s="59" t="str">
        <f>IF([2]道具信息!R402="","",[2]道具信息!R402)</f>
        <v/>
      </c>
      <c r="S402" s="59" t="str">
        <f>IF([2]道具信息!S402="","",[2]道具信息!S402)</f>
        <v/>
      </c>
      <c r="T402" s="59" t="str">
        <f>IF([2]道具信息!T402="","",[2]道具信息!T402)</f>
        <v/>
      </c>
      <c r="U402" s="59" t="str">
        <f>IF([2]道具信息!U402="","",[2]道具信息!U402)</f>
        <v/>
      </c>
      <c r="V402" s="59" t="str">
        <f>IF([2]道具信息!V402="","",[2]道具信息!V402)</f>
        <v/>
      </c>
      <c r="W402" s="59" t="str">
        <f>IF([2]道具信息!W402="","",[2]道具信息!W402)</f>
        <v/>
      </c>
      <c r="X402" s="59" t="str">
        <f>IF([2]道具信息!X402="","",[2]道具信息!X402)</f>
        <v/>
      </c>
      <c r="Y402" s="59" t="str">
        <f>IF([2]道具信息!Y402="","",[2]道具信息!Y402)</f>
        <v/>
      </c>
      <c r="Z402" s="59" t="str">
        <f>IF([2]道具信息!Z402="","",[2]道具信息!Z402)</f>
        <v/>
      </c>
    </row>
    <row r="403" spans="1:26" x14ac:dyDescent="0.15">
      <c r="A403" s="59" t="str">
        <f>IF([2]道具信息!A403="","",[2]道具信息!A403)</f>
        <v/>
      </c>
      <c r="B403" s="59" t="str">
        <f>IF([2]道具信息!B403="","",[2]道具信息!B403)</f>
        <v/>
      </c>
      <c r="C403" s="59" t="str">
        <f>IF([2]道具信息!C403="","",[2]道具信息!C403)</f>
        <v/>
      </c>
      <c r="D403" s="59" t="str">
        <f>IF([2]道具信息!D403="","",[2]道具信息!D403)</f>
        <v/>
      </c>
      <c r="E403" s="59" t="str">
        <f>IF([2]道具信息!E403="","",[2]道具信息!E403)</f>
        <v/>
      </c>
      <c r="F403" s="59">
        <f>IF([2]道具信息!F403="","",[2]道具信息!F403)</f>
        <v>1</v>
      </c>
      <c r="G403" s="59">
        <f>IF([2]道具信息!G403="","",[2]道具信息!G403)</f>
        <v>1</v>
      </c>
      <c r="H403" s="59">
        <f>IF([2]道具信息!H403="","",[2]道具信息!H403)</f>
        <v>1</v>
      </c>
      <c r="I403" s="59" t="str">
        <f>IF([2]道具信息!I403="","",[2]道具信息!I403)</f>
        <v/>
      </c>
      <c r="J403" s="59" t="str">
        <f>IF([2]道具信息!J403="","",[2]道具信息!J403)</f>
        <v/>
      </c>
      <c r="K403" s="59" t="str">
        <f>IF([2]道具信息!K403="","",[2]道具信息!K403)</f>
        <v/>
      </c>
      <c r="L403" s="59" t="str">
        <f>IF([2]道具信息!L403="","",[2]道具信息!L403)</f>
        <v/>
      </c>
      <c r="M403" s="59" t="str">
        <f>IF([2]道具信息!M403="","",[2]道具信息!M403)</f>
        <v/>
      </c>
      <c r="N403" s="59" t="str">
        <f>IF([2]道具信息!N403="","",[2]道具信息!N403)</f>
        <v/>
      </c>
      <c r="O403" s="59" t="str">
        <f>IF([2]道具信息!O403="","",[2]道具信息!O403)</f>
        <v/>
      </c>
      <c r="P403" s="59" t="str">
        <f>IF([2]道具信息!P403="","",[2]道具信息!P403)</f>
        <v/>
      </c>
      <c r="Q403" s="59" t="str">
        <f>IF([2]道具信息!Q403="","",[2]道具信息!Q403)</f>
        <v/>
      </c>
      <c r="R403" s="59" t="str">
        <f>IF([2]道具信息!R403="","",[2]道具信息!R403)</f>
        <v/>
      </c>
      <c r="S403" s="59" t="str">
        <f>IF([2]道具信息!S403="","",[2]道具信息!S403)</f>
        <v/>
      </c>
      <c r="T403" s="59" t="str">
        <f>IF([2]道具信息!T403="","",[2]道具信息!T403)</f>
        <v/>
      </c>
      <c r="U403" s="59" t="str">
        <f>IF([2]道具信息!U403="","",[2]道具信息!U403)</f>
        <v/>
      </c>
      <c r="V403" s="59" t="str">
        <f>IF([2]道具信息!V403="","",[2]道具信息!V403)</f>
        <v/>
      </c>
      <c r="W403" s="59" t="str">
        <f>IF([2]道具信息!W403="","",[2]道具信息!W403)</f>
        <v/>
      </c>
      <c r="X403" s="59" t="str">
        <f>IF([2]道具信息!X403="","",[2]道具信息!X403)</f>
        <v/>
      </c>
      <c r="Y403" s="59" t="str">
        <f>IF([2]道具信息!Y403="","",[2]道具信息!Y403)</f>
        <v/>
      </c>
      <c r="Z403" s="59" t="str">
        <f>IF([2]道具信息!Z403="","",[2]道具信息!Z403)</f>
        <v/>
      </c>
    </row>
    <row r="404" spans="1:26" x14ac:dyDescent="0.15">
      <c r="A404" s="59" t="str">
        <f>IF([2]道具信息!A404="","",[2]道具信息!A404)</f>
        <v/>
      </c>
      <c r="B404" s="59" t="str">
        <f>IF([2]道具信息!B404="","",[2]道具信息!B404)</f>
        <v/>
      </c>
      <c r="C404" s="59" t="str">
        <f>IF([2]道具信息!C404="","",[2]道具信息!C404)</f>
        <v/>
      </c>
      <c r="D404" s="59" t="str">
        <f>IF([2]道具信息!D404="","",[2]道具信息!D404)</f>
        <v/>
      </c>
      <c r="E404" s="59" t="str">
        <f>IF([2]道具信息!E404="","",[2]道具信息!E404)</f>
        <v/>
      </c>
      <c r="F404" s="59">
        <f>IF([2]道具信息!F404="","",[2]道具信息!F404)</f>
        <v>1</v>
      </c>
      <c r="G404" s="59">
        <f>IF([2]道具信息!G404="","",[2]道具信息!G404)</f>
        <v>1</v>
      </c>
      <c r="H404" s="59">
        <f>IF([2]道具信息!H404="","",[2]道具信息!H404)</f>
        <v>1</v>
      </c>
      <c r="I404" s="59" t="str">
        <f>IF([2]道具信息!I404="","",[2]道具信息!I404)</f>
        <v/>
      </c>
      <c r="J404" s="59" t="str">
        <f>IF([2]道具信息!J404="","",[2]道具信息!J404)</f>
        <v/>
      </c>
      <c r="K404" s="59" t="str">
        <f>IF([2]道具信息!K404="","",[2]道具信息!K404)</f>
        <v/>
      </c>
      <c r="L404" s="59" t="str">
        <f>IF([2]道具信息!L404="","",[2]道具信息!L404)</f>
        <v/>
      </c>
      <c r="M404" s="59" t="str">
        <f>IF([2]道具信息!M404="","",[2]道具信息!M404)</f>
        <v/>
      </c>
      <c r="N404" s="59" t="str">
        <f>IF([2]道具信息!N404="","",[2]道具信息!N404)</f>
        <v/>
      </c>
      <c r="O404" s="59" t="str">
        <f>IF([2]道具信息!O404="","",[2]道具信息!O404)</f>
        <v/>
      </c>
      <c r="P404" s="59" t="str">
        <f>IF([2]道具信息!P404="","",[2]道具信息!P404)</f>
        <v/>
      </c>
      <c r="Q404" s="59" t="str">
        <f>IF([2]道具信息!Q404="","",[2]道具信息!Q404)</f>
        <v/>
      </c>
      <c r="R404" s="59" t="str">
        <f>IF([2]道具信息!R404="","",[2]道具信息!R404)</f>
        <v/>
      </c>
      <c r="S404" s="59" t="str">
        <f>IF([2]道具信息!S404="","",[2]道具信息!S404)</f>
        <v/>
      </c>
      <c r="T404" s="59" t="str">
        <f>IF([2]道具信息!T404="","",[2]道具信息!T404)</f>
        <v/>
      </c>
      <c r="U404" s="59" t="str">
        <f>IF([2]道具信息!U404="","",[2]道具信息!U404)</f>
        <v/>
      </c>
      <c r="V404" s="59" t="str">
        <f>IF([2]道具信息!V404="","",[2]道具信息!V404)</f>
        <v/>
      </c>
      <c r="W404" s="59" t="str">
        <f>IF([2]道具信息!W404="","",[2]道具信息!W404)</f>
        <v/>
      </c>
      <c r="X404" s="59" t="str">
        <f>IF([2]道具信息!X404="","",[2]道具信息!X404)</f>
        <v/>
      </c>
      <c r="Y404" s="59" t="str">
        <f>IF([2]道具信息!Y404="","",[2]道具信息!Y404)</f>
        <v/>
      </c>
      <c r="Z404" s="59" t="str">
        <f>IF([2]道具信息!Z404="","",[2]道具信息!Z404)</f>
        <v/>
      </c>
    </row>
    <row r="405" spans="1:26" x14ac:dyDescent="0.15">
      <c r="A405" s="59" t="str">
        <f>IF([2]道具信息!A405="","",[2]道具信息!A405)</f>
        <v/>
      </c>
      <c r="B405" s="59" t="str">
        <f>IF([2]道具信息!B405="","",[2]道具信息!B405)</f>
        <v/>
      </c>
      <c r="C405" s="59" t="str">
        <f>IF([2]道具信息!C405="","",[2]道具信息!C405)</f>
        <v/>
      </c>
      <c r="D405" s="59" t="str">
        <f>IF([2]道具信息!D405="","",[2]道具信息!D405)</f>
        <v/>
      </c>
      <c r="E405" s="59" t="str">
        <f>IF([2]道具信息!E405="","",[2]道具信息!E405)</f>
        <v/>
      </c>
      <c r="F405" s="59">
        <f>IF([2]道具信息!F405="","",[2]道具信息!F405)</f>
        <v>1</v>
      </c>
      <c r="G405" s="59">
        <f>IF([2]道具信息!G405="","",[2]道具信息!G405)</f>
        <v>1</v>
      </c>
      <c r="H405" s="59">
        <f>IF([2]道具信息!H405="","",[2]道具信息!H405)</f>
        <v>1</v>
      </c>
      <c r="I405" s="59" t="str">
        <f>IF([2]道具信息!I405="","",[2]道具信息!I405)</f>
        <v/>
      </c>
      <c r="J405" s="59" t="str">
        <f>IF([2]道具信息!J405="","",[2]道具信息!J405)</f>
        <v/>
      </c>
      <c r="K405" s="59" t="str">
        <f>IF([2]道具信息!K405="","",[2]道具信息!K405)</f>
        <v/>
      </c>
      <c r="L405" s="59" t="str">
        <f>IF([2]道具信息!L405="","",[2]道具信息!L405)</f>
        <v/>
      </c>
      <c r="M405" s="59" t="str">
        <f>IF([2]道具信息!M405="","",[2]道具信息!M405)</f>
        <v/>
      </c>
      <c r="N405" s="59" t="str">
        <f>IF([2]道具信息!N405="","",[2]道具信息!N405)</f>
        <v/>
      </c>
      <c r="O405" s="59" t="str">
        <f>IF([2]道具信息!O405="","",[2]道具信息!O405)</f>
        <v/>
      </c>
      <c r="P405" s="59" t="str">
        <f>IF([2]道具信息!P405="","",[2]道具信息!P405)</f>
        <v/>
      </c>
      <c r="Q405" s="59" t="str">
        <f>IF([2]道具信息!Q405="","",[2]道具信息!Q405)</f>
        <v/>
      </c>
      <c r="R405" s="59" t="str">
        <f>IF([2]道具信息!R405="","",[2]道具信息!R405)</f>
        <v/>
      </c>
      <c r="S405" s="59" t="str">
        <f>IF([2]道具信息!S405="","",[2]道具信息!S405)</f>
        <v/>
      </c>
      <c r="T405" s="59" t="str">
        <f>IF([2]道具信息!T405="","",[2]道具信息!T405)</f>
        <v/>
      </c>
      <c r="U405" s="59" t="str">
        <f>IF([2]道具信息!U405="","",[2]道具信息!U405)</f>
        <v/>
      </c>
      <c r="V405" s="59" t="str">
        <f>IF([2]道具信息!V405="","",[2]道具信息!V405)</f>
        <v/>
      </c>
      <c r="W405" s="59" t="str">
        <f>IF([2]道具信息!W405="","",[2]道具信息!W405)</f>
        <v/>
      </c>
      <c r="X405" s="59" t="str">
        <f>IF([2]道具信息!X405="","",[2]道具信息!X405)</f>
        <v/>
      </c>
      <c r="Y405" s="59" t="str">
        <f>IF([2]道具信息!Y405="","",[2]道具信息!Y405)</f>
        <v/>
      </c>
      <c r="Z405" s="59" t="str">
        <f>IF([2]道具信息!Z405="","",[2]道具信息!Z405)</f>
        <v/>
      </c>
    </row>
    <row r="406" spans="1:26" x14ac:dyDescent="0.15">
      <c r="A406" s="59" t="str">
        <f>IF([2]道具信息!A406="","",[2]道具信息!A406)</f>
        <v/>
      </c>
      <c r="B406" s="59" t="str">
        <f>IF([2]道具信息!B406="","",[2]道具信息!B406)</f>
        <v/>
      </c>
      <c r="C406" s="59" t="str">
        <f>IF([2]道具信息!C406="","",[2]道具信息!C406)</f>
        <v/>
      </c>
      <c r="D406" s="59" t="str">
        <f>IF([2]道具信息!D406="","",[2]道具信息!D406)</f>
        <v/>
      </c>
      <c r="E406" s="59" t="str">
        <f>IF([2]道具信息!E406="","",[2]道具信息!E406)</f>
        <v/>
      </c>
      <c r="F406" s="59">
        <f>IF([2]道具信息!F406="","",[2]道具信息!F406)</f>
        <v>1</v>
      </c>
      <c r="G406" s="59">
        <f>IF([2]道具信息!G406="","",[2]道具信息!G406)</f>
        <v>1</v>
      </c>
      <c r="H406" s="59">
        <f>IF([2]道具信息!H406="","",[2]道具信息!H406)</f>
        <v>1</v>
      </c>
      <c r="I406" s="59" t="str">
        <f>IF([2]道具信息!I406="","",[2]道具信息!I406)</f>
        <v/>
      </c>
      <c r="J406" s="59" t="str">
        <f>IF([2]道具信息!J406="","",[2]道具信息!J406)</f>
        <v/>
      </c>
      <c r="K406" s="59" t="str">
        <f>IF([2]道具信息!K406="","",[2]道具信息!K406)</f>
        <v/>
      </c>
      <c r="L406" s="59" t="str">
        <f>IF([2]道具信息!L406="","",[2]道具信息!L406)</f>
        <v/>
      </c>
      <c r="M406" s="59" t="str">
        <f>IF([2]道具信息!M406="","",[2]道具信息!M406)</f>
        <v/>
      </c>
      <c r="N406" s="59" t="str">
        <f>IF([2]道具信息!N406="","",[2]道具信息!N406)</f>
        <v/>
      </c>
      <c r="O406" s="59" t="str">
        <f>IF([2]道具信息!O406="","",[2]道具信息!O406)</f>
        <v/>
      </c>
      <c r="P406" s="59" t="str">
        <f>IF([2]道具信息!P406="","",[2]道具信息!P406)</f>
        <v/>
      </c>
      <c r="Q406" s="59" t="str">
        <f>IF([2]道具信息!Q406="","",[2]道具信息!Q406)</f>
        <v/>
      </c>
      <c r="R406" s="59" t="str">
        <f>IF([2]道具信息!R406="","",[2]道具信息!R406)</f>
        <v/>
      </c>
      <c r="S406" s="59" t="str">
        <f>IF([2]道具信息!S406="","",[2]道具信息!S406)</f>
        <v/>
      </c>
      <c r="T406" s="59" t="str">
        <f>IF([2]道具信息!T406="","",[2]道具信息!T406)</f>
        <v/>
      </c>
      <c r="U406" s="59" t="str">
        <f>IF([2]道具信息!U406="","",[2]道具信息!U406)</f>
        <v/>
      </c>
      <c r="V406" s="59" t="str">
        <f>IF([2]道具信息!V406="","",[2]道具信息!V406)</f>
        <v/>
      </c>
      <c r="W406" s="59" t="str">
        <f>IF([2]道具信息!W406="","",[2]道具信息!W406)</f>
        <v/>
      </c>
      <c r="X406" s="59" t="str">
        <f>IF([2]道具信息!X406="","",[2]道具信息!X406)</f>
        <v/>
      </c>
      <c r="Y406" s="59" t="str">
        <f>IF([2]道具信息!Y406="","",[2]道具信息!Y406)</f>
        <v/>
      </c>
      <c r="Z406" s="59" t="str">
        <f>IF([2]道具信息!Z406="","",[2]道具信息!Z406)</f>
        <v/>
      </c>
    </row>
    <row r="407" spans="1:26" x14ac:dyDescent="0.15">
      <c r="A407" s="59" t="str">
        <f>IF([2]道具信息!A407="","",[2]道具信息!A407)</f>
        <v/>
      </c>
      <c r="B407" s="59" t="str">
        <f>IF([2]道具信息!B407="","",[2]道具信息!B407)</f>
        <v/>
      </c>
      <c r="C407" s="59" t="str">
        <f>IF([2]道具信息!C407="","",[2]道具信息!C407)</f>
        <v/>
      </c>
      <c r="D407" s="59" t="str">
        <f>IF([2]道具信息!D407="","",[2]道具信息!D407)</f>
        <v/>
      </c>
      <c r="E407" s="59" t="str">
        <f>IF([2]道具信息!E407="","",[2]道具信息!E407)</f>
        <v/>
      </c>
      <c r="F407" s="59">
        <f>IF([2]道具信息!F407="","",[2]道具信息!F407)</f>
        <v>1</v>
      </c>
      <c r="G407" s="59">
        <f>IF([2]道具信息!G407="","",[2]道具信息!G407)</f>
        <v>1</v>
      </c>
      <c r="H407" s="59">
        <f>IF([2]道具信息!H407="","",[2]道具信息!H407)</f>
        <v>1</v>
      </c>
      <c r="I407" s="59" t="str">
        <f>IF([2]道具信息!I407="","",[2]道具信息!I407)</f>
        <v/>
      </c>
      <c r="J407" s="59" t="str">
        <f>IF([2]道具信息!J407="","",[2]道具信息!J407)</f>
        <v/>
      </c>
      <c r="K407" s="59" t="str">
        <f>IF([2]道具信息!K407="","",[2]道具信息!K407)</f>
        <v/>
      </c>
      <c r="L407" s="59" t="str">
        <f>IF([2]道具信息!L407="","",[2]道具信息!L407)</f>
        <v/>
      </c>
      <c r="M407" s="59" t="str">
        <f>IF([2]道具信息!M407="","",[2]道具信息!M407)</f>
        <v/>
      </c>
      <c r="N407" s="59" t="str">
        <f>IF([2]道具信息!N407="","",[2]道具信息!N407)</f>
        <v/>
      </c>
      <c r="O407" s="59" t="str">
        <f>IF([2]道具信息!O407="","",[2]道具信息!O407)</f>
        <v/>
      </c>
      <c r="P407" s="59" t="str">
        <f>IF([2]道具信息!P407="","",[2]道具信息!P407)</f>
        <v/>
      </c>
      <c r="Q407" s="59" t="str">
        <f>IF([2]道具信息!Q407="","",[2]道具信息!Q407)</f>
        <v/>
      </c>
      <c r="R407" s="59" t="str">
        <f>IF([2]道具信息!R407="","",[2]道具信息!R407)</f>
        <v/>
      </c>
      <c r="S407" s="59" t="str">
        <f>IF([2]道具信息!S407="","",[2]道具信息!S407)</f>
        <v/>
      </c>
      <c r="T407" s="59" t="str">
        <f>IF([2]道具信息!T407="","",[2]道具信息!T407)</f>
        <v/>
      </c>
      <c r="U407" s="59" t="str">
        <f>IF([2]道具信息!U407="","",[2]道具信息!U407)</f>
        <v/>
      </c>
      <c r="V407" s="59" t="str">
        <f>IF([2]道具信息!V407="","",[2]道具信息!V407)</f>
        <v/>
      </c>
      <c r="W407" s="59" t="str">
        <f>IF([2]道具信息!W407="","",[2]道具信息!W407)</f>
        <v/>
      </c>
      <c r="X407" s="59" t="str">
        <f>IF([2]道具信息!X407="","",[2]道具信息!X407)</f>
        <v/>
      </c>
      <c r="Y407" s="59" t="str">
        <f>IF([2]道具信息!Y407="","",[2]道具信息!Y407)</f>
        <v/>
      </c>
      <c r="Z407" s="59" t="str">
        <f>IF([2]道具信息!Z407="","",[2]道具信息!Z407)</f>
        <v/>
      </c>
    </row>
    <row r="408" spans="1:26" x14ac:dyDescent="0.15">
      <c r="A408" s="59" t="str">
        <f>IF([2]道具信息!A408="","",[2]道具信息!A408)</f>
        <v/>
      </c>
      <c r="B408" s="59" t="str">
        <f>IF([2]道具信息!B408="","",[2]道具信息!B408)</f>
        <v/>
      </c>
      <c r="C408" s="59" t="str">
        <f>IF([2]道具信息!C408="","",[2]道具信息!C408)</f>
        <v/>
      </c>
      <c r="D408" s="59" t="str">
        <f>IF([2]道具信息!D408="","",[2]道具信息!D408)</f>
        <v/>
      </c>
      <c r="E408" s="59" t="str">
        <f>IF([2]道具信息!E408="","",[2]道具信息!E408)</f>
        <v/>
      </c>
      <c r="F408" s="59">
        <f>IF([2]道具信息!F408="","",[2]道具信息!F408)</f>
        <v>1</v>
      </c>
      <c r="G408" s="59">
        <f>IF([2]道具信息!G408="","",[2]道具信息!G408)</f>
        <v>1</v>
      </c>
      <c r="H408" s="59">
        <f>IF([2]道具信息!H408="","",[2]道具信息!H408)</f>
        <v>1</v>
      </c>
      <c r="I408" s="59" t="str">
        <f>IF([2]道具信息!I408="","",[2]道具信息!I408)</f>
        <v/>
      </c>
      <c r="J408" s="59" t="str">
        <f>IF([2]道具信息!J408="","",[2]道具信息!J408)</f>
        <v/>
      </c>
      <c r="K408" s="59" t="str">
        <f>IF([2]道具信息!K408="","",[2]道具信息!K408)</f>
        <v/>
      </c>
      <c r="L408" s="59" t="str">
        <f>IF([2]道具信息!L408="","",[2]道具信息!L408)</f>
        <v/>
      </c>
      <c r="M408" s="59" t="str">
        <f>IF([2]道具信息!M408="","",[2]道具信息!M408)</f>
        <v/>
      </c>
      <c r="N408" s="59" t="str">
        <f>IF([2]道具信息!N408="","",[2]道具信息!N408)</f>
        <v/>
      </c>
      <c r="O408" s="59" t="str">
        <f>IF([2]道具信息!O408="","",[2]道具信息!O408)</f>
        <v/>
      </c>
      <c r="P408" s="59" t="str">
        <f>IF([2]道具信息!P408="","",[2]道具信息!P408)</f>
        <v/>
      </c>
      <c r="Q408" s="59" t="str">
        <f>IF([2]道具信息!Q408="","",[2]道具信息!Q408)</f>
        <v/>
      </c>
      <c r="R408" s="59" t="str">
        <f>IF([2]道具信息!R408="","",[2]道具信息!R408)</f>
        <v/>
      </c>
      <c r="S408" s="59" t="str">
        <f>IF([2]道具信息!S408="","",[2]道具信息!S408)</f>
        <v/>
      </c>
      <c r="T408" s="59" t="str">
        <f>IF([2]道具信息!T408="","",[2]道具信息!T408)</f>
        <v/>
      </c>
      <c r="U408" s="59" t="str">
        <f>IF([2]道具信息!U408="","",[2]道具信息!U408)</f>
        <v/>
      </c>
      <c r="V408" s="59" t="str">
        <f>IF([2]道具信息!V408="","",[2]道具信息!V408)</f>
        <v/>
      </c>
      <c r="W408" s="59" t="str">
        <f>IF([2]道具信息!W408="","",[2]道具信息!W408)</f>
        <v/>
      </c>
      <c r="X408" s="59" t="str">
        <f>IF([2]道具信息!X408="","",[2]道具信息!X408)</f>
        <v/>
      </c>
      <c r="Y408" s="59" t="str">
        <f>IF([2]道具信息!Y408="","",[2]道具信息!Y408)</f>
        <v/>
      </c>
      <c r="Z408" s="59" t="str">
        <f>IF([2]道具信息!Z408="","",[2]道具信息!Z408)</f>
        <v/>
      </c>
    </row>
    <row r="409" spans="1:26" x14ac:dyDescent="0.15">
      <c r="A409" s="59" t="str">
        <f>IF([2]道具信息!A409="","",[2]道具信息!A409)</f>
        <v/>
      </c>
      <c r="B409" s="59" t="str">
        <f>IF([2]道具信息!B409="","",[2]道具信息!B409)</f>
        <v/>
      </c>
      <c r="C409" s="59" t="str">
        <f>IF([2]道具信息!C409="","",[2]道具信息!C409)</f>
        <v/>
      </c>
      <c r="D409" s="59" t="str">
        <f>IF([2]道具信息!D409="","",[2]道具信息!D409)</f>
        <v/>
      </c>
      <c r="E409" s="59" t="str">
        <f>IF([2]道具信息!E409="","",[2]道具信息!E409)</f>
        <v/>
      </c>
      <c r="F409" s="59">
        <f>IF([2]道具信息!F409="","",[2]道具信息!F409)</f>
        <v>1</v>
      </c>
      <c r="G409" s="59">
        <f>IF([2]道具信息!G409="","",[2]道具信息!G409)</f>
        <v>1</v>
      </c>
      <c r="H409" s="59">
        <f>IF([2]道具信息!H409="","",[2]道具信息!H409)</f>
        <v>1</v>
      </c>
      <c r="I409" s="59" t="str">
        <f>IF([2]道具信息!I409="","",[2]道具信息!I409)</f>
        <v/>
      </c>
      <c r="J409" s="59" t="str">
        <f>IF([2]道具信息!J409="","",[2]道具信息!J409)</f>
        <v/>
      </c>
      <c r="K409" s="59" t="str">
        <f>IF([2]道具信息!K409="","",[2]道具信息!K409)</f>
        <v/>
      </c>
      <c r="L409" s="59" t="str">
        <f>IF([2]道具信息!L409="","",[2]道具信息!L409)</f>
        <v/>
      </c>
      <c r="M409" s="59" t="str">
        <f>IF([2]道具信息!M409="","",[2]道具信息!M409)</f>
        <v/>
      </c>
      <c r="N409" s="59" t="str">
        <f>IF([2]道具信息!N409="","",[2]道具信息!N409)</f>
        <v/>
      </c>
      <c r="O409" s="59" t="str">
        <f>IF([2]道具信息!O409="","",[2]道具信息!O409)</f>
        <v/>
      </c>
      <c r="P409" s="59" t="str">
        <f>IF([2]道具信息!P409="","",[2]道具信息!P409)</f>
        <v/>
      </c>
      <c r="Q409" s="59" t="str">
        <f>IF([2]道具信息!Q409="","",[2]道具信息!Q409)</f>
        <v/>
      </c>
      <c r="R409" s="59" t="str">
        <f>IF([2]道具信息!R409="","",[2]道具信息!R409)</f>
        <v/>
      </c>
      <c r="S409" s="59" t="str">
        <f>IF([2]道具信息!S409="","",[2]道具信息!S409)</f>
        <v/>
      </c>
      <c r="T409" s="59" t="str">
        <f>IF([2]道具信息!T409="","",[2]道具信息!T409)</f>
        <v/>
      </c>
      <c r="U409" s="59" t="str">
        <f>IF([2]道具信息!U409="","",[2]道具信息!U409)</f>
        <v/>
      </c>
      <c r="V409" s="59" t="str">
        <f>IF([2]道具信息!V409="","",[2]道具信息!V409)</f>
        <v/>
      </c>
      <c r="W409" s="59" t="str">
        <f>IF([2]道具信息!W409="","",[2]道具信息!W409)</f>
        <v/>
      </c>
      <c r="X409" s="59" t="str">
        <f>IF([2]道具信息!X409="","",[2]道具信息!X409)</f>
        <v/>
      </c>
      <c r="Y409" s="59" t="str">
        <f>IF([2]道具信息!Y409="","",[2]道具信息!Y409)</f>
        <v/>
      </c>
      <c r="Z409" s="59" t="str">
        <f>IF([2]道具信息!Z409="","",[2]道具信息!Z409)</f>
        <v/>
      </c>
    </row>
    <row r="410" spans="1:26" x14ac:dyDescent="0.15">
      <c r="A410" s="59" t="str">
        <f>IF([2]道具信息!A410="","",[2]道具信息!A410)</f>
        <v/>
      </c>
      <c r="B410" s="59" t="str">
        <f>IF([2]道具信息!B410="","",[2]道具信息!B410)</f>
        <v/>
      </c>
      <c r="C410" s="59" t="str">
        <f>IF([2]道具信息!C410="","",[2]道具信息!C410)</f>
        <v/>
      </c>
      <c r="D410" s="59" t="str">
        <f>IF([2]道具信息!D410="","",[2]道具信息!D410)</f>
        <v/>
      </c>
      <c r="E410" s="59" t="str">
        <f>IF([2]道具信息!E410="","",[2]道具信息!E410)</f>
        <v/>
      </c>
      <c r="F410" s="59">
        <f>IF([2]道具信息!F410="","",[2]道具信息!F410)</f>
        <v>1</v>
      </c>
      <c r="G410" s="59">
        <f>IF([2]道具信息!G410="","",[2]道具信息!G410)</f>
        <v>1</v>
      </c>
      <c r="H410" s="59">
        <f>IF([2]道具信息!H410="","",[2]道具信息!H410)</f>
        <v>1</v>
      </c>
      <c r="I410" s="59" t="str">
        <f>IF([2]道具信息!I410="","",[2]道具信息!I410)</f>
        <v/>
      </c>
      <c r="J410" s="59" t="str">
        <f>IF([2]道具信息!J410="","",[2]道具信息!J410)</f>
        <v/>
      </c>
      <c r="K410" s="59" t="str">
        <f>IF([2]道具信息!K410="","",[2]道具信息!K410)</f>
        <v/>
      </c>
      <c r="L410" s="59" t="str">
        <f>IF([2]道具信息!L410="","",[2]道具信息!L410)</f>
        <v/>
      </c>
      <c r="M410" s="59" t="str">
        <f>IF([2]道具信息!M410="","",[2]道具信息!M410)</f>
        <v/>
      </c>
      <c r="N410" s="59" t="str">
        <f>IF([2]道具信息!N410="","",[2]道具信息!N410)</f>
        <v/>
      </c>
      <c r="O410" s="59" t="str">
        <f>IF([2]道具信息!O410="","",[2]道具信息!O410)</f>
        <v/>
      </c>
      <c r="P410" s="59" t="str">
        <f>IF([2]道具信息!P410="","",[2]道具信息!P410)</f>
        <v/>
      </c>
      <c r="Q410" s="59" t="str">
        <f>IF([2]道具信息!Q410="","",[2]道具信息!Q410)</f>
        <v/>
      </c>
      <c r="R410" s="59" t="str">
        <f>IF([2]道具信息!R410="","",[2]道具信息!R410)</f>
        <v/>
      </c>
      <c r="S410" s="59" t="str">
        <f>IF([2]道具信息!S410="","",[2]道具信息!S410)</f>
        <v/>
      </c>
      <c r="T410" s="59" t="str">
        <f>IF([2]道具信息!T410="","",[2]道具信息!T410)</f>
        <v/>
      </c>
      <c r="U410" s="59" t="str">
        <f>IF([2]道具信息!U410="","",[2]道具信息!U410)</f>
        <v/>
      </c>
      <c r="V410" s="59" t="str">
        <f>IF([2]道具信息!V410="","",[2]道具信息!V410)</f>
        <v/>
      </c>
      <c r="W410" s="59" t="str">
        <f>IF([2]道具信息!W410="","",[2]道具信息!W410)</f>
        <v/>
      </c>
      <c r="X410" s="59" t="str">
        <f>IF([2]道具信息!X410="","",[2]道具信息!X410)</f>
        <v/>
      </c>
      <c r="Y410" s="59" t="str">
        <f>IF([2]道具信息!Y410="","",[2]道具信息!Y410)</f>
        <v/>
      </c>
      <c r="Z410" s="59" t="str">
        <f>IF([2]道具信息!Z410="","",[2]道具信息!Z410)</f>
        <v/>
      </c>
    </row>
    <row r="411" spans="1:26" x14ac:dyDescent="0.15">
      <c r="A411" s="59" t="str">
        <f>IF([2]道具信息!A411="","",[2]道具信息!A411)</f>
        <v/>
      </c>
      <c r="B411" s="59" t="str">
        <f>IF([2]道具信息!B411="","",[2]道具信息!B411)</f>
        <v/>
      </c>
      <c r="C411" s="59" t="str">
        <f>IF([2]道具信息!C411="","",[2]道具信息!C411)</f>
        <v/>
      </c>
      <c r="D411" s="59" t="str">
        <f>IF([2]道具信息!D411="","",[2]道具信息!D411)</f>
        <v/>
      </c>
      <c r="E411" s="59" t="str">
        <f>IF([2]道具信息!E411="","",[2]道具信息!E411)</f>
        <v/>
      </c>
      <c r="F411" s="59">
        <f>IF([2]道具信息!F411="","",[2]道具信息!F411)</f>
        <v>1</v>
      </c>
      <c r="G411" s="59">
        <f>IF([2]道具信息!G411="","",[2]道具信息!G411)</f>
        <v>1</v>
      </c>
      <c r="H411" s="59">
        <f>IF([2]道具信息!H411="","",[2]道具信息!H411)</f>
        <v>1</v>
      </c>
      <c r="I411" s="59" t="str">
        <f>IF([2]道具信息!I411="","",[2]道具信息!I411)</f>
        <v/>
      </c>
      <c r="J411" s="59" t="str">
        <f>IF([2]道具信息!J411="","",[2]道具信息!J411)</f>
        <v/>
      </c>
      <c r="K411" s="59" t="str">
        <f>IF([2]道具信息!K411="","",[2]道具信息!K411)</f>
        <v/>
      </c>
      <c r="L411" s="59" t="str">
        <f>IF([2]道具信息!L411="","",[2]道具信息!L411)</f>
        <v/>
      </c>
      <c r="M411" s="59" t="str">
        <f>IF([2]道具信息!M411="","",[2]道具信息!M411)</f>
        <v/>
      </c>
      <c r="N411" s="59" t="str">
        <f>IF([2]道具信息!N411="","",[2]道具信息!N411)</f>
        <v/>
      </c>
      <c r="O411" s="59" t="str">
        <f>IF([2]道具信息!O411="","",[2]道具信息!O411)</f>
        <v/>
      </c>
      <c r="P411" s="59" t="str">
        <f>IF([2]道具信息!P411="","",[2]道具信息!P411)</f>
        <v/>
      </c>
      <c r="Q411" s="59" t="str">
        <f>IF([2]道具信息!Q411="","",[2]道具信息!Q411)</f>
        <v/>
      </c>
      <c r="R411" s="59" t="str">
        <f>IF([2]道具信息!R411="","",[2]道具信息!R411)</f>
        <v/>
      </c>
      <c r="S411" s="59" t="str">
        <f>IF([2]道具信息!S411="","",[2]道具信息!S411)</f>
        <v/>
      </c>
      <c r="T411" s="59" t="str">
        <f>IF([2]道具信息!T411="","",[2]道具信息!T411)</f>
        <v/>
      </c>
      <c r="U411" s="59" t="str">
        <f>IF([2]道具信息!U411="","",[2]道具信息!U411)</f>
        <v/>
      </c>
      <c r="V411" s="59" t="str">
        <f>IF([2]道具信息!V411="","",[2]道具信息!V411)</f>
        <v/>
      </c>
      <c r="W411" s="59" t="str">
        <f>IF([2]道具信息!W411="","",[2]道具信息!W411)</f>
        <v/>
      </c>
      <c r="X411" s="59" t="str">
        <f>IF([2]道具信息!X411="","",[2]道具信息!X411)</f>
        <v/>
      </c>
      <c r="Y411" s="59" t="str">
        <f>IF([2]道具信息!Y411="","",[2]道具信息!Y411)</f>
        <v/>
      </c>
      <c r="Z411" s="59" t="str">
        <f>IF([2]道具信息!Z411="","",[2]道具信息!Z411)</f>
        <v/>
      </c>
    </row>
    <row r="412" spans="1:26" x14ac:dyDescent="0.15">
      <c r="A412" s="59" t="str">
        <f>IF([2]道具信息!A412="","",[2]道具信息!A412)</f>
        <v/>
      </c>
      <c r="B412" s="59" t="str">
        <f>IF([2]道具信息!B412="","",[2]道具信息!B412)</f>
        <v/>
      </c>
      <c r="C412" s="59" t="str">
        <f>IF([2]道具信息!C412="","",[2]道具信息!C412)</f>
        <v/>
      </c>
      <c r="D412" s="59" t="str">
        <f>IF([2]道具信息!D412="","",[2]道具信息!D412)</f>
        <v/>
      </c>
      <c r="E412" s="59" t="str">
        <f>IF([2]道具信息!E412="","",[2]道具信息!E412)</f>
        <v/>
      </c>
      <c r="F412" s="59">
        <f>IF([2]道具信息!F412="","",[2]道具信息!F412)</f>
        <v>1</v>
      </c>
      <c r="G412" s="59">
        <f>IF([2]道具信息!G412="","",[2]道具信息!G412)</f>
        <v>1</v>
      </c>
      <c r="H412" s="59">
        <f>IF([2]道具信息!H412="","",[2]道具信息!H412)</f>
        <v>1</v>
      </c>
      <c r="I412" s="59" t="str">
        <f>IF([2]道具信息!I412="","",[2]道具信息!I412)</f>
        <v/>
      </c>
      <c r="J412" s="59" t="str">
        <f>IF([2]道具信息!J412="","",[2]道具信息!J412)</f>
        <v/>
      </c>
      <c r="K412" s="59" t="str">
        <f>IF([2]道具信息!K412="","",[2]道具信息!K412)</f>
        <v/>
      </c>
      <c r="L412" s="59" t="str">
        <f>IF([2]道具信息!L412="","",[2]道具信息!L412)</f>
        <v/>
      </c>
      <c r="M412" s="59" t="str">
        <f>IF([2]道具信息!M412="","",[2]道具信息!M412)</f>
        <v/>
      </c>
      <c r="N412" s="59" t="str">
        <f>IF([2]道具信息!N412="","",[2]道具信息!N412)</f>
        <v/>
      </c>
      <c r="O412" s="59" t="str">
        <f>IF([2]道具信息!O412="","",[2]道具信息!O412)</f>
        <v/>
      </c>
      <c r="P412" s="59" t="str">
        <f>IF([2]道具信息!P412="","",[2]道具信息!P412)</f>
        <v/>
      </c>
      <c r="Q412" s="59" t="str">
        <f>IF([2]道具信息!Q412="","",[2]道具信息!Q412)</f>
        <v/>
      </c>
      <c r="R412" s="59" t="str">
        <f>IF([2]道具信息!R412="","",[2]道具信息!R412)</f>
        <v/>
      </c>
      <c r="S412" s="59" t="str">
        <f>IF([2]道具信息!S412="","",[2]道具信息!S412)</f>
        <v/>
      </c>
      <c r="T412" s="59" t="str">
        <f>IF([2]道具信息!T412="","",[2]道具信息!T412)</f>
        <v/>
      </c>
      <c r="U412" s="59" t="str">
        <f>IF([2]道具信息!U412="","",[2]道具信息!U412)</f>
        <v/>
      </c>
      <c r="V412" s="59" t="str">
        <f>IF([2]道具信息!V412="","",[2]道具信息!V412)</f>
        <v/>
      </c>
      <c r="W412" s="59" t="str">
        <f>IF([2]道具信息!W412="","",[2]道具信息!W412)</f>
        <v/>
      </c>
      <c r="X412" s="59" t="str">
        <f>IF([2]道具信息!X412="","",[2]道具信息!X412)</f>
        <v/>
      </c>
      <c r="Y412" s="59" t="str">
        <f>IF([2]道具信息!Y412="","",[2]道具信息!Y412)</f>
        <v/>
      </c>
      <c r="Z412" s="59" t="str">
        <f>IF([2]道具信息!Z412="","",[2]道具信息!Z412)</f>
        <v/>
      </c>
    </row>
    <row r="413" spans="1:26" x14ac:dyDescent="0.15">
      <c r="A413" s="59" t="str">
        <f>IF([2]道具信息!A413="","",[2]道具信息!A413)</f>
        <v/>
      </c>
      <c r="B413" s="59" t="str">
        <f>IF([2]道具信息!B413="","",[2]道具信息!B413)</f>
        <v/>
      </c>
      <c r="C413" s="59" t="str">
        <f>IF([2]道具信息!C413="","",[2]道具信息!C413)</f>
        <v/>
      </c>
      <c r="D413" s="59" t="str">
        <f>IF([2]道具信息!D413="","",[2]道具信息!D413)</f>
        <v/>
      </c>
      <c r="E413" s="59" t="str">
        <f>IF([2]道具信息!E413="","",[2]道具信息!E413)</f>
        <v/>
      </c>
      <c r="F413" s="59">
        <f>IF([2]道具信息!F413="","",[2]道具信息!F413)</f>
        <v>1</v>
      </c>
      <c r="G413" s="59">
        <f>IF([2]道具信息!G413="","",[2]道具信息!G413)</f>
        <v>1</v>
      </c>
      <c r="H413" s="59">
        <f>IF([2]道具信息!H413="","",[2]道具信息!H413)</f>
        <v>1</v>
      </c>
      <c r="I413" s="59" t="str">
        <f>IF([2]道具信息!I413="","",[2]道具信息!I413)</f>
        <v/>
      </c>
      <c r="J413" s="59" t="str">
        <f>IF([2]道具信息!J413="","",[2]道具信息!J413)</f>
        <v/>
      </c>
      <c r="K413" s="59" t="str">
        <f>IF([2]道具信息!K413="","",[2]道具信息!K413)</f>
        <v/>
      </c>
      <c r="L413" s="59" t="str">
        <f>IF([2]道具信息!L413="","",[2]道具信息!L413)</f>
        <v/>
      </c>
      <c r="M413" s="59" t="str">
        <f>IF([2]道具信息!M413="","",[2]道具信息!M413)</f>
        <v/>
      </c>
      <c r="N413" s="59" t="str">
        <f>IF([2]道具信息!N413="","",[2]道具信息!N413)</f>
        <v/>
      </c>
      <c r="O413" s="59" t="str">
        <f>IF([2]道具信息!O413="","",[2]道具信息!O413)</f>
        <v/>
      </c>
      <c r="P413" s="59" t="str">
        <f>IF([2]道具信息!P413="","",[2]道具信息!P413)</f>
        <v/>
      </c>
      <c r="Q413" s="59" t="str">
        <f>IF([2]道具信息!Q413="","",[2]道具信息!Q413)</f>
        <v/>
      </c>
      <c r="R413" s="59" t="str">
        <f>IF([2]道具信息!R413="","",[2]道具信息!R413)</f>
        <v/>
      </c>
      <c r="S413" s="59" t="str">
        <f>IF([2]道具信息!S413="","",[2]道具信息!S413)</f>
        <v/>
      </c>
      <c r="T413" s="59" t="str">
        <f>IF([2]道具信息!T413="","",[2]道具信息!T413)</f>
        <v/>
      </c>
      <c r="U413" s="59" t="str">
        <f>IF([2]道具信息!U413="","",[2]道具信息!U413)</f>
        <v/>
      </c>
      <c r="V413" s="59" t="str">
        <f>IF([2]道具信息!V413="","",[2]道具信息!V413)</f>
        <v/>
      </c>
      <c r="W413" s="59" t="str">
        <f>IF([2]道具信息!W413="","",[2]道具信息!W413)</f>
        <v/>
      </c>
      <c r="X413" s="59" t="str">
        <f>IF([2]道具信息!X413="","",[2]道具信息!X413)</f>
        <v/>
      </c>
      <c r="Y413" s="59" t="str">
        <f>IF([2]道具信息!Y413="","",[2]道具信息!Y413)</f>
        <v/>
      </c>
      <c r="Z413" s="59" t="str">
        <f>IF([2]道具信息!Z413="","",[2]道具信息!Z413)</f>
        <v/>
      </c>
    </row>
    <row r="414" spans="1:26" x14ac:dyDescent="0.15">
      <c r="A414" s="59" t="str">
        <f>IF([2]道具信息!A414="","",[2]道具信息!A414)</f>
        <v/>
      </c>
      <c r="B414" s="59" t="str">
        <f>IF([2]道具信息!B414="","",[2]道具信息!B414)</f>
        <v/>
      </c>
      <c r="C414" s="59" t="str">
        <f>IF([2]道具信息!C414="","",[2]道具信息!C414)</f>
        <v/>
      </c>
      <c r="D414" s="59" t="str">
        <f>IF([2]道具信息!D414="","",[2]道具信息!D414)</f>
        <v/>
      </c>
      <c r="E414" s="59" t="str">
        <f>IF([2]道具信息!E414="","",[2]道具信息!E414)</f>
        <v/>
      </c>
      <c r="F414" s="59">
        <f>IF([2]道具信息!F414="","",[2]道具信息!F414)</f>
        <v>1</v>
      </c>
      <c r="G414" s="59">
        <f>IF([2]道具信息!G414="","",[2]道具信息!G414)</f>
        <v>1</v>
      </c>
      <c r="H414" s="59">
        <f>IF([2]道具信息!H414="","",[2]道具信息!H414)</f>
        <v>1</v>
      </c>
      <c r="I414" s="59" t="str">
        <f>IF([2]道具信息!I414="","",[2]道具信息!I414)</f>
        <v/>
      </c>
      <c r="J414" s="59" t="str">
        <f>IF([2]道具信息!J414="","",[2]道具信息!J414)</f>
        <v/>
      </c>
      <c r="K414" s="59" t="str">
        <f>IF([2]道具信息!K414="","",[2]道具信息!K414)</f>
        <v/>
      </c>
      <c r="L414" s="59" t="str">
        <f>IF([2]道具信息!L414="","",[2]道具信息!L414)</f>
        <v/>
      </c>
      <c r="M414" s="59" t="str">
        <f>IF([2]道具信息!M414="","",[2]道具信息!M414)</f>
        <v/>
      </c>
      <c r="N414" s="59" t="str">
        <f>IF([2]道具信息!N414="","",[2]道具信息!N414)</f>
        <v/>
      </c>
      <c r="O414" s="59" t="str">
        <f>IF([2]道具信息!O414="","",[2]道具信息!O414)</f>
        <v/>
      </c>
      <c r="P414" s="59" t="str">
        <f>IF([2]道具信息!P414="","",[2]道具信息!P414)</f>
        <v/>
      </c>
      <c r="Q414" s="59" t="str">
        <f>IF([2]道具信息!Q414="","",[2]道具信息!Q414)</f>
        <v/>
      </c>
      <c r="R414" s="59" t="str">
        <f>IF([2]道具信息!R414="","",[2]道具信息!R414)</f>
        <v/>
      </c>
      <c r="S414" s="59" t="str">
        <f>IF([2]道具信息!S414="","",[2]道具信息!S414)</f>
        <v/>
      </c>
      <c r="T414" s="59" t="str">
        <f>IF([2]道具信息!T414="","",[2]道具信息!T414)</f>
        <v/>
      </c>
      <c r="U414" s="59" t="str">
        <f>IF([2]道具信息!U414="","",[2]道具信息!U414)</f>
        <v/>
      </c>
      <c r="V414" s="59" t="str">
        <f>IF([2]道具信息!V414="","",[2]道具信息!V414)</f>
        <v/>
      </c>
      <c r="W414" s="59" t="str">
        <f>IF([2]道具信息!W414="","",[2]道具信息!W414)</f>
        <v/>
      </c>
      <c r="X414" s="59" t="str">
        <f>IF([2]道具信息!X414="","",[2]道具信息!X414)</f>
        <v/>
      </c>
      <c r="Y414" s="59" t="str">
        <f>IF([2]道具信息!Y414="","",[2]道具信息!Y414)</f>
        <v/>
      </c>
      <c r="Z414" s="59" t="str">
        <f>IF([2]道具信息!Z414="","",[2]道具信息!Z414)</f>
        <v/>
      </c>
    </row>
    <row r="415" spans="1:26" x14ac:dyDescent="0.15">
      <c r="A415" s="59" t="str">
        <f>IF([2]道具信息!A415="","",[2]道具信息!A415)</f>
        <v/>
      </c>
      <c r="B415" s="59" t="str">
        <f>IF([2]道具信息!B415="","",[2]道具信息!B415)</f>
        <v/>
      </c>
      <c r="C415" s="59" t="str">
        <f>IF([2]道具信息!C415="","",[2]道具信息!C415)</f>
        <v/>
      </c>
      <c r="D415" s="59" t="str">
        <f>IF([2]道具信息!D415="","",[2]道具信息!D415)</f>
        <v/>
      </c>
      <c r="E415" s="59" t="str">
        <f>IF([2]道具信息!E415="","",[2]道具信息!E415)</f>
        <v/>
      </c>
      <c r="F415" s="59">
        <f>IF([2]道具信息!F415="","",[2]道具信息!F415)</f>
        <v>1</v>
      </c>
      <c r="G415" s="59">
        <f>IF([2]道具信息!G415="","",[2]道具信息!G415)</f>
        <v>1</v>
      </c>
      <c r="H415" s="59">
        <f>IF([2]道具信息!H415="","",[2]道具信息!H415)</f>
        <v>1</v>
      </c>
      <c r="I415" s="59" t="str">
        <f>IF([2]道具信息!I415="","",[2]道具信息!I415)</f>
        <v/>
      </c>
      <c r="J415" s="59" t="str">
        <f>IF([2]道具信息!J415="","",[2]道具信息!J415)</f>
        <v/>
      </c>
      <c r="K415" s="59" t="str">
        <f>IF([2]道具信息!K415="","",[2]道具信息!K415)</f>
        <v/>
      </c>
      <c r="L415" s="59" t="str">
        <f>IF([2]道具信息!L415="","",[2]道具信息!L415)</f>
        <v/>
      </c>
      <c r="M415" s="59" t="str">
        <f>IF([2]道具信息!M415="","",[2]道具信息!M415)</f>
        <v/>
      </c>
      <c r="N415" s="59" t="str">
        <f>IF([2]道具信息!N415="","",[2]道具信息!N415)</f>
        <v/>
      </c>
      <c r="O415" s="59" t="str">
        <f>IF([2]道具信息!O415="","",[2]道具信息!O415)</f>
        <v/>
      </c>
      <c r="P415" s="59" t="str">
        <f>IF([2]道具信息!P415="","",[2]道具信息!P415)</f>
        <v/>
      </c>
      <c r="Q415" s="59" t="str">
        <f>IF([2]道具信息!Q415="","",[2]道具信息!Q415)</f>
        <v/>
      </c>
      <c r="R415" s="59" t="str">
        <f>IF([2]道具信息!R415="","",[2]道具信息!R415)</f>
        <v/>
      </c>
      <c r="S415" s="59" t="str">
        <f>IF([2]道具信息!S415="","",[2]道具信息!S415)</f>
        <v/>
      </c>
      <c r="T415" s="59" t="str">
        <f>IF([2]道具信息!T415="","",[2]道具信息!T415)</f>
        <v/>
      </c>
      <c r="U415" s="59" t="str">
        <f>IF([2]道具信息!U415="","",[2]道具信息!U415)</f>
        <v/>
      </c>
      <c r="V415" s="59" t="str">
        <f>IF([2]道具信息!V415="","",[2]道具信息!V415)</f>
        <v/>
      </c>
      <c r="W415" s="59" t="str">
        <f>IF([2]道具信息!W415="","",[2]道具信息!W415)</f>
        <v/>
      </c>
      <c r="X415" s="59" t="str">
        <f>IF([2]道具信息!X415="","",[2]道具信息!X415)</f>
        <v/>
      </c>
      <c r="Y415" s="59" t="str">
        <f>IF([2]道具信息!Y415="","",[2]道具信息!Y415)</f>
        <v/>
      </c>
      <c r="Z415" s="59" t="str">
        <f>IF([2]道具信息!Z415="","",[2]道具信息!Z415)</f>
        <v/>
      </c>
    </row>
    <row r="416" spans="1:26" x14ac:dyDescent="0.15">
      <c r="A416" s="59" t="str">
        <f>IF([2]道具信息!A416="","",[2]道具信息!A416)</f>
        <v/>
      </c>
      <c r="B416" s="59" t="str">
        <f>IF([2]道具信息!B416="","",[2]道具信息!B416)</f>
        <v/>
      </c>
      <c r="C416" s="59" t="str">
        <f>IF([2]道具信息!C416="","",[2]道具信息!C416)</f>
        <v/>
      </c>
      <c r="D416" s="59" t="str">
        <f>IF([2]道具信息!D416="","",[2]道具信息!D416)</f>
        <v/>
      </c>
      <c r="E416" s="59" t="str">
        <f>IF([2]道具信息!E416="","",[2]道具信息!E416)</f>
        <v/>
      </c>
      <c r="F416" s="59">
        <f>IF([2]道具信息!F416="","",[2]道具信息!F416)</f>
        <v>1</v>
      </c>
      <c r="G416" s="59">
        <f>IF([2]道具信息!G416="","",[2]道具信息!G416)</f>
        <v>1</v>
      </c>
      <c r="H416" s="59">
        <f>IF([2]道具信息!H416="","",[2]道具信息!H416)</f>
        <v>1</v>
      </c>
      <c r="I416" s="59" t="str">
        <f>IF([2]道具信息!I416="","",[2]道具信息!I416)</f>
        <v/>
      </c>
      <c r="J416" s="59" t="str">
        <f>IF([2]道具信息!J416="","",[2]道具信息!J416)</f>
        <v/>
      </c>
      <c r="K416" s="59" t="str">
        <f>IF([2]道具信息!K416="","",[2]道具信息!K416)</f>
        <v/>
      </c>
      <c r="L416" s="59" t="str">
        <f>IF([2]道具信息!L416="","",[2]道具信息!L416)</f>
        <v/>
      </c>
      <c r="M416" s="59" t="str">
        <f>IF([2]道具信息!M416="","",[2]道具信息!M416)</f>
        <v/>
      </c>
      <c r="N416" s="59" t="str">
        <f>IF([2]道具信息!N416="","",[2]道具信息!N416)</f>
        <v/>
      </c>
      <c r="O416" s="59" t="str">
        <f>IF([2]道具信息!O416="","",[2]道具信息!O416)</f>
        <v/>
      </c>
      <c r="P416" s="59" t="str">
        <f>IF([2]道具信息!P416="","",[2]道具信息!P416)</f>
        <v/>
      </c>
      <c r="Q416" s="59" t="str">
        <f>IF([2]道具信息!Q416="","",[2]道具信息!Q416)</f>
        <v/>
      </c>
      <c r="R416" s="59" t="str">
        <f>IF([2]道具信息!R416="","",[2]道具信息!R416)</f>
        <v/>
      </c>
      <c r="S416" s="59" t="str">
        <f>IF([2]道具信息!S416="","",[2]道具信息!S416)</f>
        <v/>
      </c>
      <c r="T416" s="59" t="str">
        <f>IF([2]道具信息!T416="","",[2]道具信息!T416)</f>
        <v/>
      </c>
      <c r="U416" s="59" t="str">
        <f>IF([2]道具信息!U416="","",[2]道具信息!U416)</f>
        <v/>
      </c>
      <c r="V416" s="59" t="str">
        <f>IF([2]道具信息!V416="","",[2]道具信息!V416)</f>
        <v/>
      </c>
      <c r="W416" s="59" t="str">
        <f>IF([2]道具信息!W416="","",[2]道具信息!W416)</f>
        <v/>
      </c>
      <c r="X416" s="59" t="str">
        <f>IF([2]道具信息!X416="","",[2]道具信息!X416)</f>
        <v/>
      </c>
      <c r="Y416" s="59" t="str">
        <f>IF([2]道具信息!Y416="","",[2]道具信息!Y416)</f>
        <v/>
      </c>
      <c r="Z416" s="59" t="str">
        <f>IF([2]道具信息!Z416="","",[2]道具信息!Z416)</f>
        <v/>
      </c>
    </row>
    <row r="417" spans="1:26" x14ac:dyDescent="0.15">
      <c r="A417" s="59" t="str">
        <f>IF([2]道具信息!A417="","",[2]道具信息!A417)</f>
        <v/>
      </c>
      <c r="B417" s="59" t="str">
        <f>IF([2]道具信息!B417="","",[2]道具信息!B417)</f>
        <v/>
      </c>
      <c r="C417" s="59" t="str">
        <f>IF([2]道具信息!C417="","",[2]道具信息!C417)</f>
        <v/>
      </c>
      <c r="D417" s="59" t="str">
        <f>IF([2]道具信息!D417="","",[2]道具信息!D417)</f>
        <v/>
      </c>
      <c r="E417" s="59" t="str">
        <f>IF([2]道具信息!E417="","",[2]道具信息!E417)</f>
        <v/>
      </c>
      <c r="F417" s="59">
        <f>IF([2]道具信息!F417="","",[2]道具信息!F417)</f>
        <v>1</v>
      </c>
      <c r="G417" s="59">
        <f>IF([2]道具信息!G417="","",[2]道具信息!G417)</f>
        <v>1</v>
      </c>
      <c r="H417" s="59">
        <f>IF([2]道具信息!H417="","",[2]道具信息!H417)</f>
        <v>1</v>
      </c>
      <c r="I417" s="59" t="str">
        <f>IF([2]道具信息!I417="","",[2]道具信息!I417)</f>
        <v/>
      </c>
      <c r="J417" s="59" t="str">
        <f>IF([2]道具信息!J417="","",[2]道具信息!J417)</f>
        <v/>
      </c>
      <c r="K417" s="59" t="str">
        <f>IF([2]道具信息!K417="","",[2]道具信息!K417)</f>
        <v/>
      </c>
      <c r="L417" s="59" t="str">
        <f>IF([2]道具信息!L417="","",[2]道具信息!L417)</f>
        <v/>
      </c>
      <c r="M417" s="59" t="str">
        <f>IF([2]道具信息!M417="","",[2]道具信息!M417)</f>
        <v/>
      </c>
      <c r="N417" s="59" t="str">
        <f>IF([2]道具信息!N417="","",[2]道具信息!N417)</f>
        <v/>
      </c>
      <c r="O417" s="59" t="str">
        <f>IF([2]道具信息!O417="","",[2]道具信息!O417)</f>
        <v/>
      </c>
      <c r="P417" s="59" t="str">
        <f>IF([2]道具信息!P417="","",[2]道具信息!P417)</f>
        <v/>
      </c>
      <c r="Q417" s="59" t="str">
        <f>IF([2]道具信息!Q417="","",[2]道具信息!Q417)</f>
        <v/>
      </c>
      <c r="R417" s="59" t="str">
        <f>IF([2]道具信息!R417="","",[2]道具信息!R417)</f>
        <v/>
      </c>
      <c r="S417" s="59" t="str">
        <f>IF([2]道具信息!S417="","",[2]道具信息!S417)</f>
        <v/>
      </c>
      <c r="T417" s="59" t="str">
        <f>IF([2]道具信息!T417="","",[2]道具信息!T417)</f>
        <v/>
      </c>
      <c r="U417" s="59" t="str">
        <f>IF([2]道具信息!U417="","",[2]道具信息!U417)</f>
        <v/>
      </c>
      <c r="V417" s="59" t="str">
        <f>IF([2]道具信息!V417="","",[2]道具信息!V417)</f>
        <v/>
      </c>
      <c r="W417" s="59" t="str">
        <f>IF([2]道具信息!W417="","",[2]道具信息!W417)</f>
        <v/>
      </c>
      <c r="X417" s="59" t="str">
        <f>IF([2]道具信息!X417="","",[2]道具信息!X417)</f>
        <v/>
      </c>
      <c r="Y417" s="59" t="str">
        <f>IF([2]道具信息!Y417="","",[2]道具信息!Y417)</f>
        <v/>
      </c>
      <c r="Z417" s="59" t="str">
        <f>IF([2]道具信息!Z417="","",[2]道具信息!Z417)</f>
        <v/>
      </c>
    </row>
    <row r="418" spans="1:26" x14ac:dyDescent="0.15">
      <c r="A418" s="59" t="str">
        <f>IF([2]道具信息!A418="","",[2]道具信息!A418)</f>
        <v/>
      </c>
      <c r="B418" s="59" t="str">
        <f>IF([2]道具信息!B418="","",[2]道具信息!B418)</f>
        <v/>
      </c>
      <c r="C418" s="59" t="str">
        <f>IF([2]道具信息!C418="","",[2]道具信息!C418)</f>
        <v/>
      </c>
      <c r="D418" s="59" t="str">
        <f>IF([2]道具信息!D418="","",[2]道具信息!D418)</f>
        <v/>
      </c>
      <c r="E418" s="59" t="str">
        <f>IF([2]道具信息!E418="","",[2]道具信息!E418)</f>
        <v/>
      </c>
      <c r="F418" s="59">
        <f>IF([2]道具信息!F418="","",[2]道具信息!F418)</f>
        <v>1</v>
      </c>
      <c r="G418" s="59">
        <f>IF([2]道具信息!G418="","",[2]道具信息!G418)</f>
        <v>1</v>
      </c>
      <c r="H418" s="59">
        <f>IF([2]道具信息!H418="","",[2]道具信息!H418)</f>
        <v>1</v>
      </c>
      <c r="I418" s="59" t="str">
        <f>IF([2]道具信息!I418="","",[2]道具信息!I418)</f>
        <v/>
      </c>
      <c r="J418" s="59" t="str">
        <f>IF([2]道具信息!J418="","",[2]道具信息!J418)</f>
        <v/>
      </c>
      <c r="K418" s="59" t="str">
        <f>IF([2]道具信息!K418="","",[2]道具信息!K418)</f>
        <v/>
      </c>
      <c r="L418" s="59" t="str">
        <f>IF([2]道具信息!L418="","",[2]道具信息!L418)</f>
        <v/>
      </c>
      <c r="M418" s="59" t="str">
        <f>IF([2]道具信息!M418="","",[2]道具信息!M418)</f>
        <v/>
      </c>
      <c r="N418" s="59" t="str">
        <f>IF([2]道具信息!N418="","",[2]道具信息!N418)</f>
        <v/>
      </c>
      <c r="O418" s="59" t="str">
        <f>IF([2]道具信息!O418="","",[2]道具信息!O418)</f>
        <v/>
      </c>
      <c r="P418" s="59" t="str">
        <f>IF([2]道具信息!P418="","",[2]道具信息!P418)</f>
        <v/>
      </c>
      <c r="Q418" s="59" t="str">
        <f>IF([2]道具信息!Q418="","",[2]道具信息!Q418)</f>
        <v/>
      </c>
      <c r="R418" s="59" t="str">
        <f>IF([2]道具信息!R418="","",[2]道具信息!R418)</f>
        <v/>
      </c>
      <c r="S418" s="59" t="str">
        <f>IF([2]道具信息!S418="","",[2]道具信息!S418)</f>
        <v/>
      </c>
      <c r="T418" s="59" t="str">
        <f>IF([2]道具信息!T418="","",[2]道具信息!T418)</f>
        <v/>
      </c>
      <c r="U418" s="59" t="str">
        <f>IF([2]道具信息!U418="","",[2]道具信息!U418)</f>
        <v/>
      </c>
      <c r="V418" s="59" t="str">
        <f>IF([2]道具信息!V418="","",[2]道具信息!V418)</f>
        <v/>
      </c>
      <c r="W418" s="59" t="str">
        <f>IF([2]道具信息!W418="","",[2]道具信息!W418)</f>
        <v/>
      </c>
      <c r="X418" s="59" t="str">
        <f>IF([2]道具信息!X418="","",[2]道具信息!X418)</f>
        <v/>
      </c>
      <c r="Y418" s="59" t="str">
        <f>IF([2]道具信息!Y418="","",[2]道具信息!Y418)</f>
        <v/>
      </c>
      <c r="Z418" s="59" t="str">
        <f>IF([2]道具信息!Z418="","",[2]道具信息!Z418)</f>
        <v/>
      </c>
    </row>
    <row r="419" spans="1:26" x14ac:dyDescent="0.15">
      <c r="A419" s="59" t="str">
        <f>IF([2]道具信息!A419="","",[2]道具信息!A419)</f>
        <v/>
      </c>
      <c r="B419" s="59" t="str">
        <f>IF([2]道具信息!B419="","",[2]道具信息!B419)</f>
        <v/>
      </c>
      <c r="C419" s="59" t="str">
        <f>IF([2]道具信息!C419="","",[2]道具信息!C419)</f>
        <v/>
      </c>
      <c r="D419" s="59" t="str">
        <f>IF([2]道具信息!D419="","",[2]道具信息!D419)</f>
        <v/>
      </c>
      <c r="E419" s="59" t="str">
        <f>IF([2]道具信息!E419="","",[2]道具信息!E419)</f>
        <v/>
      </c>
      <c r="F419" s="59" t="str">
        <f>IF([2]道具信息!F419="","",[2]道具信息!F419)</f>
        <v/>
      </c>
      <c r="G419" s="59" t="str">
        <f>IF([2]道具信息!G419="","",[2]道具信息!G419)</f>
        <v/>
      </c>
      <c r="H419" s="59" t="str">
        <f>IF([2]道具信息!H419="","",[2]道具信息!H419)</f>
        <v/>
      </c>
      <c r="I419" s="59" t="str">
        <f>IF([2]道具信息!I419="","",[2]道具信息!I419)</f>
        <v/>
      </c>
      <c r="J419" s="59" t="str">
        <f>IF([2]道具信息!J419="","",[2]道具信息!J419)</f>
        <v/>
      </c>
      <c r="K419" s="59" t="str">
        <f>IF([2]道具信息!K419="","",[2]道具信息!K419)</f>
        <v/>
      </c>
      <c r="L419" s="59" t="str">
        <f>IF([2]道具信息!L419="","",[2]道具信息!L419)</f>
        <v/>
      </c>
      <c r="M419" s="59" t="str">
        <f>IF([2]道具信息!M419="","",[2]道具信息!M419)</f>
        <v/>
      </c>
      <c r="N419" s="59" t="str">
        <f>IF([2]道具信息!N419="","",[2]道具信息!N419)</f>
        <v/>
      </c>
      <c r="O419" s="59" t="str">
        <f>IF([2]道具信息!O419="","",[2]道具信息!O419)</f>
        <v/>
      </c>
      <c r="P419" s="59" t="str">
        <f>IF([2]道具信息!P419="","",[2]道具信息!P419)</f>
        <v/>
      </c>
      <c r="Q419" s="59" t="str">
        <f>IF([2]道具信息!Q419="","",[2]道具信息!Q419)</f>
        <v/>
      </c>
      <c r="R419" s="59" t="str">
        <f>IF([2]道具信息!R419="","",[2]道具信息!R419)</f>
        <v/>
      </c>
      <c r="S419" s="59" t="str">
        <f>IF([2]道具信息!S419="","",[2]道具信息!S419)</f>
        <v/>
      </c>
      <c r="T419" s="59" t="str">
        <f>IF([2]道具信息!T419="","",[2]道具信息!T419)</f>
        <v/>
      </c>
      <c r="U419" s="59" t="str">
        <f>IF([2]道具信息!U419="","",[2]道具信息!U419)</f>
        <v/>
      </c>
      <c r="V419" s="59" t="str">
        <f>IF([2]道具信息!V419="","",[2]道具信息!V419)</f>
        <v/>
      </c>
      <c r="W419" s="59" t="str">
        <f>IF([2]道具信息!W419="","",[2]道具信息!W419)</f>
        <v/>
      </c>
      <c r="X419" s="59" t="str">
        <f>IF([2]道具信息!X419="","",[2]道具信息!X419)</f>
        <v/>
      </c>
      <c r="Y419" s="59" t="str">
        <f>IF([2]道具信息!Y419="","",[2]道具信息!Y419)</f>
        <v/>
      </c>
      <c r="Z419" s="59" t="str">
        <f>IF([2]道具信息!Z419="","",[2]道具信息!Z419)</f>
        <v/>
      </c>
    </row>
    <row r="420" spans="1:26" x14ac:dyDescent="0.15">
      <c r="A420" s="59" t="str">
        <f>IF([2]道具信息!A420="","",[2]道具信息!A420)</f>
        <v/>
      </c>
      <c r="B420" s="59" t="str">
        <f>IF([2]道具信息!B420="","",[2]道具信息!B420)</f>
        <v/>
      </c>
      <c r="C420" s="59" t="str">
        <f>IF([2]道具信息!C420="","",[2]道具信息!C420)</f>
        <v/>
      </c>
      <c r="D420" s="59" t="str">
        <f>IF([2]道具信息!D420="","",[2]道具信息!D420)</f>
        <v/>
      </c>
      <c r="E420" s="59" t="str">
        <f>IF([2]道具信息!E420="","",[2]道具信息!E420)</f>
        <v/>
      </c>
      <c r="F420" s="59" t="str">
        <f>IF([2]道具信息!F420="","",[2]道具信息!F420)</f>
        <v/>
      </c>
      <c r="G420" s="59" t="str">
        <f>IF([2]道具信息!G420="","",[2]道具信息!G420)</f>
        <v/>
      </c>
      <c r="H420" s="59" t="str">
        <f>IF([2]道具信息!H420="","",[2]道具信息!H420)</f>
        <v/>
      </c>
      <c r="I420" s="59" t="str">
        <f>IF([2]道具信息!I420="","",[2]道具信息!I420)</f>
        <v/>
      </c>
      <c r="J420" s="59" t="str">
        <f>IF([2]道具信息!J420="","",[2]道具信息!J420)</f>
        <v/>
      </c>
      <c r="K420" s="59" t="str">
        <f>IF([2]道具信息!K420="","",[2]道具信息!K420)</f>
        <v/>
      </c>
      <c r="L420" s="59" t="str">
        <f>IF([2]道具信息!L420="","",[2]道具信息!L420)</f>
        <v/>
      </c>
      <c r="M420" s="59" t="str">
        <f>IF([2]道具信息!M420="","",[2]道具信息!M420)</f>
        <v/>
      </c>
      <c r="N420" s="59" t="str">
        <f>IF([2]道具信息!N420="","",[2]道具信息!N420)</f>
        <v/>
      </c>
      <c r="O420" s="59" t="str">
        <f>IF([2]道具信息!O420="","",[2]道具信息!O420)</f>
        <v/>
      </c>
      <c r="P420" s="59" t="str">
        <f>IF([2]道具信息!P420="","",[2]道具信息!P420)</f>
        <v/>
      </c>
      <c r="Q420" s="59" t="str">
        <f>IF([2]道具信息!Q420="","",[2]道具信息!Q420)</f>
        <v/>
      </c>
      <c r="R420" s="59" t="str">
        <f>IF([2]道具信息!R420="","",[2]道具信息!R420)</f>
        <v/>
      </c>
      <c r="S420" s="59" t="str">
        <f>IF([2]道具信息!S420="","",[2]道具信息!S420)</f>
        <v/>
      </c>
      <c r="T420" s="59" t="str">
        <f>IF([2]道具信息!T420="","",[2]道具信息!T420)</f>
        <v/>
      </c>
      <c r="U420" s="59" t="str">
        <f>IF([2]道具信息!U420="","",[2]道具信息!U420)</f>
        <v/>
      </c>
      <c r="V420" s="59" t="str">
        <f>IF([2]道具信息!V420="","",[2]道具信息!V420)</f>
        <v/>
      </c>
      <c r="W420" s="59" t="str">
        <f>IF([2]道具信息!W420="","",[2]道具信息!W420)</f>
        <v/>
      </c>
      <c r="X420" s="59" t="str">
        <f>IF([2]道具信息!X420="","",[2]道具信息!X420)</f>
        <v/>
      </c>
      <c r="Y420" s="59" t="str">
        <f>IF([2]道具信息!Y420="","",[2]道具信息!Y420)</f>
        <v/>
      </c>
      <c r="Z420" s="59" t="str">
        <f>IF([2]道具信息!Z420="","",[2]道具信息!Z420)</f>
        <v/>
      </c>
    </row>
    <row r="421" spans="1:26" x14ac:dyDescent="0.15">
      <c r="A421" s="59" t="str">
        <f>IF([2]道具信息!A421="","",[2]道具信息!A421)</f>
        <v/>
      </c>
      <c r="B421" s="59" t="str">
        <f>IF([2]道具信息!B421="","",[2]道具信息!B421)</f>
        <v/>
      </c>
      <c r="C421" s="59" t="str">
        <f>IF([2]道具信息!C421="","",[2]道具信息!C421)</f>
        <v/>
      </c>
      <c r="D421" s="59" t="str">
        <f>IF([2]道具信息!D421="","",[2]道具信息!D421)</f>
        <v/>
      </c>
      <c r="E421" s="59" t="str">
        <f>IF([2]道具信息!E421="","",[2]道具信息!E421)</f>
        <v/>
      </c>
      <c r="F421" s="59" t="str">
        <f>IF([2]道具信息!F421="","",[2]道具信息!F421)</f>
        <v/>
      </c>
      <c r="G421" s="59" t="str">
        <f>IF([2]道具信息!G421="","",[2]道具信息!G421)</f>
        <v/>
      </c>
      <c r="H421" s="59" t="str">
        <f>IF([2]道具信息!H421="","",[2]道具信息!H421)</f>
        <v/>
      </c>
      <c r="I421" s="59" t="str">
        <f>IF([2]道具信息!I421="","",[2]道具信息!I421)</f>
        <v/>
      </c>
      <c r="J421" s="59" t="str">
        <f>IF([2]道具信息!J421="","",[2]道具信息!J421)</f>
        <v/>
      </c>
      <c r="K421" s="59" t="str">
        <f>IF([2]道具信息!K421="","",[2]道具信息!K421)</f>
        <v/>
      </c>
      <c r="L421" s="59" t="str">
        <f>IF([2]道具信息!L421="","",[2]道具信息!L421)</f>
        <v/>
      </c>
      <c r="M421" s="59" t="str">
        <f>IF([2]道具信息!M421="","",[2]道具信息!M421)</f>
        <v/>
      </c>
      <c r="N421" s="59" t="str">
        <f>IF([2]道具信息!N421="","",[2]道具信息!N421)</f>
        <v/>
      </c>
      <c r="O421" s="59" t="str">
        <f>IF([2]道具信息!O421="","",[2]道具信息!O421)</f>
        <v/>
      </c>
      <c r="P421" s="59" t="str">
        <f>IF([2]道具信息!P421="","",[2]道具信息!P421)</f>
        <v/>
      </c>
      <c r="Q421" s="59" t="str">
        <f>IF([2]道具信息!Q421="","",[2]道具信息!Q421)</f>
        <v/>
      </c>
      <c r="R421" s="59" t="str">
        <f>IF([2]道具信息!R421="","",[2]道具信息!R421)</f>
        <v/>
      </c>
      <c r="S421" s="59" t="str">
        <f>IF([2]道具信息!S421="","",[2]道具信息!S421)</f>
        <v/>
      </c>
      <c r="T421" s="59" t="str">
        <f>IF([2]道具信息!T421="","",[2]道具信息!T421)</f>
        <v/>
      </c>
      <c r="U421" s="59" t="str">
        <f>IF([2]道具信息!U421="","",[2]道具信息!U421)</f>
        <v/>
      </c>
      <c r="V421" s="59" t="str">
        <f>IF([2]道具信息!V421="","",[2]道具信息!V421)</f>
        <v/>
      </c>
      <c r="W421" s="59" t="str">
        <f>IF([2]道具信息!W421="","",[2]道具信息!W421)</f>
        <v/>
      </c>
      <c r="X421" s="59" t="str">
        <f>IF([2]道具信息!X421="","",[2]道具信息!X421)</f>
        <v/>
      </c>
      <c r="Y421" s="59" t="str">
        <f>IF([2]道具信息!Y421="","",[2]道具信息!Y421)</f>
        <v/>
      </c>
      <c r="Z421" s="59" t="str">
        <f>IF([2]道具信息!Z421="","",[2]道具信息!Z421)</f>
        <v/>
      </c>
    </row>
    <row r="422" spans="1:26" x14ac:dyDescent="0.15">
      <c r="A422" s="59" t="str">
        <f>IF([2]道具信息!A422="","",[2]道具信息!A422)</f>
        <v/>
      </c>
      <c r="B422" s="59" t="str">
        <f>IF([2]道具信息!B422="","",[2]道具信息!B422)</f>
        <v/>
      </c>
      <c r="C422" s="59" t="str">
        <f>IF([2]道具信息!C422="","",[2]道具信息!C422)</f>
        <v/>
      </c>
      <c r="D422" s="59" t="str">
        <f>IF([2]道具信息!D422="","",[2]道具信息!D422)</f>
        <v/>
      </c>
      <c r="E422" s="59" t="str">
        <f>IF([2]道具信息!E422="","",[2]道具信息!E422)</f>
        <v/>
      </c>
      <c r="F422" s="59" t="str">
        <f>IF([2]道具信息!F422="","",[2]道具信息!F422)</f>
        <v/>
      </c>
      <c r="G422" s="59" t="str">
        <f>IF([2]道具信息!G422="","",[2]道具信息!G422)</f>
        <v/>
      </c>
      <c r="H422" s="59" t="str">
        <f>IF([2]道具信息!H422="","",[2]道具信息!H422)</f>
        <v/>
      </c>
      <c r="I422" s="59" t="str">
        <f>IF([2]道具信息!I422="","",[2]道具信息!I422)</f>
        <v/>
      </c>
      <c r="J422" s="59" t="str">
        <f>IF([2]道具信息!J422="","",[2]道具信息!J422)</f>
        <v/>
      </c>
      <c r="K422" s="59" t="str">
        <f>IF([2]道具信息!K422="","",[2]道具信息!K422)</f>
        <v/>
      </c>
      <c r="L422" s="59" t="str">
        <f>IF([2]道具信息!L422="","",[2]道具信息!L422)</f>
        <v/>
      </c>
      <c r="M422" s="59" t="str">
        <f>IF([2]道具信息!M422="","",[2]道具信息!M422)</f>
        <v/>
      </c>
      <c r="N422" s="59" t="str">
        <f>IF([2]道具信息!N422="","",[2]道具信息!N422)</f>
        <v/>
      </c>
      <c r="O422" s="59" t="str">
        <f>IF([2]道具信息!O422="","",[2]道具信息!O422)</f>
        <v/>
      </c>
      <c r="P422" s="59" t="str">
        <f>IF([2]道具信息!P422="","",[2]道具信息!P422)</f>
        <v/>
      </c>
      <c r="Q422" s="59" t="str">
        <f>IF([2]道具信息!Q422="","",[2]道具信息!Q422)</f>
        <v/>
      </c>
      <c r="R422" s="59" t="str">
        <f>IF([2]道具信息!R422="","",[2]道具信息!R422)</f>
        <v/>
      </c>
      <c r="S422" s="59" t="str">
        <f>IF([2]道具信息!S422="","",[2]道具信息!S422)</f>
        <v/>
      </c>
      <c r="T422" s="59" t="str">
        <f>IF([2]道具信息!T422="","",[2]道具信息!T422)</f>
        <v/>
      </c>
      <c r="U422" s="59" t="str">
        <f>IF([2]道具信息!U422="","",[2]道具信息!U422)</f>
        <v/>
      </c>
      <c r="V422" s="59" t="str">
        <f>IF([2]道具信息!V422="","",[2]道具信息!V422)</f>
        <v/>
      </c>
      <c r="W422" s="59" t="str">
        <f>IF([2]道具信息!W422="","",[2]道具信息!W422)</f>
        <v/>
      </c>
      <c r="X422" s="59" t="str">
        <f>IF([2]道具信息!X422="","",[2]道具信息!X422)</f>
        <v/>
      </c>
      <c r="Y422" s="59" t="str">
        <f>IF([2]道具信息!Y422="","",[2]道具信息!Y422)</f>
        <v/>
      </c>
      <c r="Z422" s="59" t="str">
        <f>IF([2]道具信息!Z422="","",[2]道具信息!Z422)</f>
        <v/>
      </c>
    </row>
    <row r="423" spans="1:26" x14ac:dyDescent="0.15">
      <c r="A423" s="59" t="str">
        <f>IF([2]道具信息!A423="","",[2]道具信息!A423)</f>
        <v/>
      </c>
      <c r="B423" s="59" t="str">
        <f>IF([2]道具信息!B423="","",[2]道具信息!B423)</f>
        <v/>
      </c>
      <c r="C423" s="59" t="str">
        <f>IF([2]道具信息!C423="","",[2]道具信息!C423)</f>
        <v/>
      </c>
      <c r="D423" s="59" t="str">
        <f>IF([2]道具信息!D423="","",[2]道具信息!D423)</f>
        <v/>
      </c>
      <c r="E423" s="59" t="str">
        <f>IF([2]道具信息!E423="","",[2]道具信息!E423)</f>
        <v/>
      </c>
      <c r="F423" s="59" t="str">
        <f>IF([2]道具信息!F423="","",[2]道具信息!F423)</f>
        <v/>
      </c>
      <c r="G423" s="59" t="str">
        <f>IF([2]道具信息!G423="","",[2]道具信息!G423)</f>
        <v/>
      </c>
      <c r="H423" s="59" t="str">
        <f>IF([2]道具信息!H423="","",[2]道具信息!H423)</f>
        <v/>
      </c>
      <c r="I423" s="59" t="str">
        <f>IF([2]道具信息!I423="","",[2]道具信息!I423)</f>
        <v/>
      </c>
      <c r="J423" s="59" t="str">
        <f>IF([2]道具信息!J423="","",[2]道具信息!J423)</f>
        <v/>
      </c>
      <c r="K423" s="59" t="str">
        <f>IF([2]道具信息!K423="","",[2]道具信息!K423)</f>
        <v/>
      </c>
      <c r="L423" s="59" t="str">
        <f>IF([2]道具信息!L423="","",[2]道具信息!L423)</f>
        <v/>
      </c>
      <c r="M423" s="59" t="str">
        <f>IF([2]道具信息!M423="","",[2]道具信息!M423)</f>
        <v/>
      </c>
      <c r="N423" s="59" t="str">
        <f>IF([2]道具信息!N423="","",[2]道具信息!N423)</f>
        <v/>
      </c>
      <c r="O423" s="59" t="str">
        <f>IF([2]道具信息!O423="","",[2]道具信息!O423)</f>
        <v/>
      </c>
      <c r="P423" s="59" t="str">
        <f>IF([2]道具信息!P423="","",[2]道具信息!P423)</f>
        <v/>
      </c>
      <c r="Q423" s="59" t="str">
        <f>IF([2]道具信息!Q423="","",[2]道具信息!Q423)</f>
        <v/>
      </c>
      <c r="R423" s="59" t="str">
        <f>IF([2]道具信息!R423="","",[2]道具信息!R423)</f>
        <v/>
      </c>
      <c r="S423" s="59" t="str">
        <f>IF([2]道具信息!S423="","",[2]道具信息!S423)</f>
        <v/>
      </c>
      <c r="T423" s="59" t="str">
        <f>IF([2]道具信息!T423="","",[2]道具信息!T423)</f>
        <v/>
      </c>
      <c r="U423" s="59" t="str">
        <f>IF([2]道具信息!U423="","",[2]道具信息!U423)</f>
        <v/>
      </c>
      <c r="V423" s="59" t="str">
        <f>IF([2]道具信息!V423="","",[2]道具信息!V423)</f>
        <v/>
      </c>
      <c r="W423" s="59" t="str">
        <f>IF([2]道具信息!W423="","",[2]道具信息!W423)</f>
        <v/>
      </c>
      <c r="X423" s="59" t="str">
        <f>IF([2]道具信息!X423="","",[2]道具信息!X423)</f>
        <v/>
      </c>
      <c r="Y423" s="59" t="str">
        <f>IF([2]道具信息!Y423="","",[2]道具信息!Y423)</f>
        <v/>
      </c>
      <c r="Z423" s="59" t="str">
        <f>IF([2]道具信息!Z423="","",[2]道具信息!Z423)</f>
        <v/>
      </c>
    </row>
    <row r="424" spans="1:26" x14ac:dyDescent="0.15">
      <c r="A424" s="59" t="str">
        <f>IF([2]道具信息!A424="","",[2]道具信息!A424)</f>
        <v/>
      </c>
      <c r="B424" s="59" t="str">
        <f>IF([2]道具信息!B424="","",[2]道具信息!B424)</f>
        <v/>
      </c>
      <c r="C424" s="59" t="str">
        <f>IF([2]道具信息!C424="","",[2]道具信息!C424)</f>
        <v/>
      </c>
      <c r="D424" s="59" t="str">
        <f>IF([2]道具信息!D424="","",[2]道具信息!D424)</f>
        <v/>
      </c>
      <c r="E424" s="59" t="str">
        <f>IF([2]道具信息!E424="","",[2]道具信息!E424)</f>
        <v/>
      </c>
      <c r="F424" s="59" t="str">
        <f>IF([2]道具信息!F424="","",[2]道具信息!F424)</f>
        <v/>
      </c>
      <c r="G424" s="59" t="str">
        <f>IF([2]道具信息!G424="","",[2]道具信息!G424)</f>
        <v/>
      </c>
      <c r="H424" s="59" t="str">
        <f>IF([2]道具信息!H424="","",[2]道具信息!H424)</f>
        <v/>
      </c>
      <c r="I424" s="59" t="str">
        <f>IF([2]道具信息!I424="","",[2]道具信息!I424)</f>
        <v/>
      </c>
      <c r="J424" s="59" t="str">
        <f>IF([2]道具信息!J424="","",[2]道具信息!J424)</f>
        <v/>
      </c>
      <c r="K424" s="59" t="str">
        <f>IF([2]道具信息!K424="","",[2]道具信息!K424)</f>
        <v/>
      </c>
      <c r="L424" s="59" t="str">
        <f>IF([2]道具信息!L424="","",[2]道具信息!L424)</f>
        <v/>
      </c>
      <c r="M424" s="59" t="str">
        <f>IF([2]道具信息!M424="","",[2]道具信息!M424)</f>
        <v/>
      </c>
      <c r="N424" s="59" t="str">
        <f>IF([2]道具信息!N424="","",[2]道具信息!N424)</f>
        <v/>
      </c>
      <c r="O424" s="59" t="str">
        <f>IF([2]道具信息!O424="","",[2]道具信息!O424)</f>
        <v/>
      </c>
      <c r="P424" s="59" t="str">
        <f>IF([2]道具信息!P424="","",[2]道具信息!P424)</f>
        <v/>
      </c>
      <c r="Q424" s="59" t="str">
        <f>IF([2]道具信息!Q424="","",[2]道具信息!Q424)</f>
        <v/>
      </c>
      <c r="R424" s="59" t="str">
        <f>IF([2]道具信息!R424="","",[2]道具信息!R424)</f>
        <v/>
      </c>
      <c r="S424" s="59" t="str">
        <f>IF([2]道具信息!S424="","",[2]道具信息!S424)</f>
        <v/>
      </c>
      <c r="T424" s="59" t="str">
        <f>IF([2]道具信息!T424="","",[2]道具信息!T424)</f>
        <v/>
      </c>
      <c r="U424" s="59" t="str">
        <f>IF([2]道具信息!U424="","",[2]道具信息!U424)</f>
        <v/>
      </c>
      <c r="V424" s="59" t="str">
        <f>IF([2]道具信息!V424="","",[2]道具信息!V424)</f>
        <v/>
      </c>
      <c r="W424" s="59" t="str">
        <f>IF([2]道具信息!W424="","",[2]道具信息!W424)</f>
        <v/>
      </c>
      <c r="X424" s="59" t="str">
        <f>IF([2]道具信息!X424="","",[2]道具信息!X424)</f>
        <v/>
      </c>
      <c r="Y424" s="59" t="str">
        <f>IF([2]道具信息!Y424="","",[2]道具信息!Y424)</f>
        <v/>
      </c>
      <c r="Z424" s="59" t="str">
        <f>IF([2]道具信息!Z424="","",[2]道具信息!Z424)</f>
        <v/>
      </c>
    </row>
    <row r="425" spans="1:26" x14ac:dyDescent="0.15">
      <c r="A425" s="59" t="str">
        <f>IF([2]道具信息!A425="","",[2]道具信息!A425)</f>
        <v/>
      </c>
      <c r="B425" s="59" t="str">
        <f>IF([2]道具信息!B425="","",[2]道具信息!B425)</f>
        <v/>
      </c>
      <c r="C425" s="59" t="str">
        <f>IF([2]道具信息!C425="","",[2]道具信息!C425)</f>
        <v/>
      </c>
      <c r="D425" s="59" t="str">
        <f>IF([2]道具信息!D425="","",[2]道具信息!D425)</f>
        <v/>
      </c>
      <c r="E425" s="59" t="str">
        <f>IF([2]道具信息!E425="","",[2]道具信息!E425)</f>
        <v/>
      </c>
      <c r="F425" s="59" t="str">
        <f>IF([2]道具信息!F425="","",[2]道具信息!F425)</f>
        <v/>
      </c>
      <c r="G425" s="59" t="str">
        <f>IF([2]道具信息!G425="","",[2]道具信息!G425)</f>
        <v/>
      </c>
      <c r="H425" s="59" t="str">
        <f>IF([2]道具信息!H425="","",[2]道具信息!H425)</f>
        <v/>
      </c>
      <c r="I425" s="59" t="str">
        <f>IF([2]道具信息!I425="","",[2]道具信息!I425)</f>
        <v/>
      </c>
      <c r="J425" s="59" t="str">
        <f>IF([2]道具信息!J425="","",[2]道具信息!J425)</f>
        <v/>
      </c>
      <c r="K425" s="59" t="str">
        <f>IF([2]道具信息!K425="","",[2]道具信息!K425)</f>
        <v/>
      </c>
      <c r="L425" s="59" t="str">
        <f>IF([2]道具信息!L425="","",[2]道具信息!L425)</f>
        <v/>
      </c>
      <c r="M425" s="59" t="str">
        <f>IF([2]道具信息!M425="","",[2]道具信息!M425)</f>
        <v/>
      </c>
      <c r="N425" s="59" t="str">
        <f>IF([2]道具信息!N425="","",[2]道具信息!N425)</f>
        <v/>
      </c>
      <c r="O425" s="59" t="str">
        <f>IF([2]道具信息!O425="","",[2]道具信息!O425)</f>
        <v/>
      </c>
      <c r="P425" s="59" t="str">
        <f>IF([2]道具信息!P425="","",[2]道具信息!P425)</f>
        <v/>
      </c>
      <c r="Q425" s="59" t="str">
        <f>IF([2]道具信息!Q425="","",[2]道具信息!Q425)</f>
        <v/>
      </c>
      <c r="R425" s="59" t="str">
        <f>IF([2]道具信息!R425="","",[2]道具信息!R425)</f>
        <v/>
      </c>
      <c r="S425" s="59" t="str">
        <f>IF([2]道具信息!S425="","",[2]道具信息!S425)</f>
        <v/>
      </c>
      <c r="T425" s="59" t="str">
        <f>IF([2]道具信息!T425="","",[2]道具信息!T425)</f>
        <v/>
      </c>
      <c r="U425" s="59" t="str">
        <f>IF([2]道具信息!U425="","",[2]道具信息!U425)</f>
        <v/>
      </c>
      <c r="V425" s="59" t="str">
        <f>IF([2]道具信息!V425="","",[2]道具信息!V425)</f>
        <v/>
      </c>
      <c r="W425" s="59" t="str">
        <f>IF([2]道具信息!W425="","",[2]道具信息!W425)</f>
        <v/>
      </c>
      <c r="X425" s="59" t="str">
        <f>IF([2]道具信息!X425="","",[2]道具信息!X425)</f>
        <v/>
      </c>
      <c r="Y425" s="59" t="str">
        <f>IF([2]道具信息!Y425="","",[2]道具信息!Y425)</f>
        <v/>
      </c>
      <c r="Z425" s="59" t="str">
        <f>IF([2]道具信息!Z425="","",[2]道具信息!Z425)</f>
        <v/>
      </c>
    </row>
    <row r="426" spans="1:26" x14ac:dyDescent="0.15">
      <c r="A426" s="59" t="str">
        <f>IF([2]道具信息!A426="","",[2]道具信息!A426)</f>
        <v/>
      </c>
      <c r="B426" s="59" t="str">
        <f>IF([2]道具信息!B426="","",[2]道具信息!B426)</f>
        <v/>
      </c>
      <c r="C426" s="59" t="str">
        <f>IF([2]道具信息!C426="","",[2]道具信息!C426)</f>
        <v/>
      </c>
      <c r="D426" s="59" t="str">
        <f>IF([2]道具信息!D426="","",[2]道具信息!D426)</f>
        <v/>
      </c>
      <c r="E426" s="59" t="str">
        <f>IF([2]道具信息!E426="","",[2]道具信息!E426)</f>
        <v/>
      </c>
      <c r="F426" s="59" t="str">
        <f>IF([2]道具信息!F426="","",[2]道具信息!F426)</f>
        <v/>
      </c>
      <c r="G426" s="59" t="str">
        <f>IF([2]道具信息!G426="","",[2]道具信息!G426)</f>
        <v/>
      </c>
      <c r="H426" s="59" t="str">
        <f>IF([2]道具信息!H426="","",[2]道具信息!H426)</f>
        <v/>
      </c>
      <c r="I426" s="59" t="str">
        <f>IF([2]道具信息!I426="","",[2]道具信息!I426)</f>
        <v/>
      </c>
      <c r="J426" s="59" t="str">
        <f>IF([2]道具信息!J426="","",[2]道具信息!J426)</f>
        <v/>
      </c>
      <c r="K426" s="59" t="str">
        <f>IF([2]道具信息!K426="","",[2]道具信息!K426)</f>
        <v/>
      </c>
      <c r="L426" s="59" t="str">
        <f>IF([2]道具信息!L426="","",[2]道具信息!L426)</f>
        <v/>
      </c>
      <c r="M426" s="59" t="str">
        <f>IF([2]道具信息!M426="","",[2]道具信息!M426)</f>
        <v/>
      </c>
      <c r="N426" s="59" t="str">
        <f>IF([2]道具信息!N426="","",[2]道具信息!N426)</f>
        <v/>
      </c>
      <c r="O426" s="59" t="str">
        <f>IF([2]道具信息!O426="","",[2]道具信息!O426)</f>
        <v/>
      </c>
      <c r="P426" s="59" t="str">
        <f>IF([2]道具信息!P426="","",[2]道具信息!P426)</f>
        <v/>
      </c>
      <c r="Q426" s="59" t="str">
        <f>IF([2]道具信息!Q426="","",[2]道具信息!Q426)</f>
        <v/>
      </c>
      <c r="R426" s="59" t="str">
        <f>IF([2]道具信息!R426="","",[2]道具信息!R426)</f>
        <v/>
      </c>
      <c r="S426" s="59" t="str">
        <f>IF([2]道具信息!S426="","",[2]道具信息!S426)</f>
        <v/>
      </c>
      <c r="T426" s="59" t="str">
        <f>IF([2]道具信息!T426="","",[2]道具信息!T426)</f>
        <v/>
      </c>
      <c r="U426" s="59" t="str">
        <f>IF([2]道具信息!U426="","",[2]道具信息!U426)</f>
        <v/>
      </c>
      <c r="V426" s="59" t="str">
        <f>IF([2]道具信息!V426="","",[2]道具信息!V426)</f>
        <v/>
      </c>
      <c r="W426" s="59" t="str">
        <f>IF([2]道具信息!W426="","",[2]道具信息!W426)</f>
        <v/>
      </c>
      <c r="X426" s="59" t="str">
        <f>IF([2]道具信息!X426="","",[2]道具信息!X426)</f>
        <v/>
      </c>
      <c r="Y426" s="59" t="str">
        <f>IF([2]道具信息!Y426="","",[2]道具信息!Y426)</f>
        <v/>
      </c>
      <c r="Z426" s="59" t="str">
        <f>IF([2]道具信息!Z426="","",[2]道具信息!Z426)</f>
        <v/>
      </c>
    </row>
    <row r="427" spans="1:26" x14ac:dyDescent="0.15">
      <c r="A427" s="59" t="str">
        <f>IF([2]道具信息!A427="","",[2]道具信息!A427)</f>
        <v/>
      </c>
      <c r="B427" s="59" t="str">
        <f>IF([2]道具信息!B427="","",[2]道具信息!B427)</f>
        <v/>
      </c>
      <c r="C427" s="59" t="str">
        <f>IF([2]道具信息!C427="","",[2]道具信息!C427)</f>
        <v/>
      </c>
      <c r="D427" s="59" t="str">
        <f>IF([2]道具信息!D427="","",[2]道具信息!D427)</f>
        <v/>
      </c>
      <c r="E427" s="59" t="str">
        <f>IF([2]道具信息!E427="","",[2]道具信息!E427)</f>
        <v/>
      </c>
      <c r="F427" s="59" t="str">
        <f>IF([2]道具信息!F427="","",[2]道具信息!F427)</f>
        <v/>
      </c>
      <c r="G427" s="59" t="str">
        <f>IF([2]道具信息!G427="","",[2]道具信息!G427)</f>
        <v/>
      </c>
      <c r="H427" s="59" t="str">
        <f>IF([2]道具信息!H427="","",[2]道具信息!H427)</f>
        <v/>
      </c>
      <c r="I427" s="59" t="str">
        <f>IF([2]道具信息!I427="","",[2]道具信息!I427)</f>
        <v/>
      </c>
      <c r="J427" s="59" t="str">
        <f>IF([2]道具信息!J427="","",[2]道具信息!J427)</f>
        <v/>
      </c>
      <c r="K427" s="59" t="str">
        <f>IF([2]道具信息!K427="","",[2]道具信息!K427)</f>
        <v/>
      </c>
      <c r="L427" s="59" t="str">
        <f>IF([2]道具信息!L427="","",[2]道具信息!L427)</f>
        <v/>
      </c>
      <c r="M427" s="59" t="str">
        <f>IF([2]道具信息!M427="","",[2]道具信息!M427)</f>
        <v/>
      </c>
      <c r="N427" s="59" t="str">
        <f>IF([2]道具信息!N427="","",[2]道具信息!N427)</f>
        <v/>
      </c>
      <c r="O427" s="59" t="str">
        <f>IF([2]道具信息!O427="","",[2]道具信息!O427)</f>
        <v/>
      </c>
      <c r="P427" s="59" t="str">
        <f>IF([2]道具信息!P427="","",[2]道具信息!P427)</f>
        <v/>
      </c>
      <c r="Q427" s="59" t="str">
        <f>IF([2]道具信息!Q427="","",[2]道具信息!Q427)</f>
        <v/>
      </c>
      <c r="R427" s="59" t="str">
        <f>IF([2]道具信息!R427="","",[2]道具信息!R427)</f>
        <v/>
      </c>
      <c r="S427" s="59" t="str">
        <f>IF([2]道具信息!S427="","",[2]道具信息!S427)</f>
        <v/>
      </c>
      <c r="T427" s="59" t="str">
        <f>IF([2]道具信息!T427="","",[2]道具信息!T427)</f>
        <v/>
      </c>
      <c r="U427" s="59" t="str">
        <f>IF([2]道具信息!U427="","",[2]道具信息!U427)</f>
        <v/>
      </c>
      <c r="V427" s="59" t="str">
        <f>IF([2]道具信息!V427="","",[2]道具信息!V427)</f>
        <v/>
      </c>
      <c r="W427" s="59" t="str">
        <f>IF([2]道具信息!W427="","",[2]道具信息!W427)</f>
        <v/>
      </c>
      <c r="X427" s="59" t="str">
        <f>IF([2]道具信息!X427="","",[2]道具信息!X427)</f>
        <v/>
      </c>
      <c r="Y427" s="59" t="str">
        <f>IF([2]道具信息!Y427="","",[2]道具信息!Y427)</f>
        <v/>
      </c>
      <c r="Z427" s="59" t="str">
        <f>IF([2]道具信息!Z427="","",[2]道具信息!Z427)</f>
        <v/>
      </c>
    </row>
    <row r="428" spans="1:26" x14ac:dyDescent="0.15">
      <c r="A428" s="59" t="str">
        <f>IF([2]道具信息!A428="","",[2]道具信息!A428)</f>
        <v/>
      </c>
      <c r="B428" s="59" t="str">
        <f>IF([2]道具信息!B428="","",[2]道具信息!B428)</f>
        <v/>
      </c>
      <c r="C428" s="59" t="str">
        <f>IF([2]道具信息!C428="","",[2]道具信息!C428)</f>
        <v/>
      </c>
      <c r="D428" s="59" t="str">
        <f>IF([2]道具信息!D428="","",[2]道具信息!D428)</f>
        <v/>
      </c>
      <c r="E428" s="59" t="str">
        <f>IF([2]道具信息!E428="","",[2]道具信息!E428)</f>
        <v/>
      </c>
      <c r="F428" s="59" t="str">
        <f>IF([2]道具信息!F428="","",[2]道具信息!F428)</f>
        <v/>
      </c>
      <c r="G428" s="59" t="str">
        <f>IF([2]道具信息!G428="","",[2]道具信息!G428)</f>
        <v/>
      </c>
      <c r="H428" s="59" t="str">
        <f>IF([2]道具信息!H428="","",[2]道具信息!H428)</f>
        <v/>
      </c>
      <c r="I428" s="59" t="str">
        <f>IF([2]道具信息!I428="","",[2]道具信息!I428)</f>
        <v/>
      </c>
      <c r="J428" s="59" t="str">
        <f>IF([2]道具信息!J428="","",[2]道具信息!J428)</f>
        <v/>
      </c>
      <c r="K428" s="59" t="str">
        <f>IF([2]道具信息!K428="","",[2]道具信息!K428)</f>
        <v/>
      </c>
      <c r="L428" s="59" t="str">
        <f>IF([2]道具信息!L428="","",[2]道具信息!L428)</f>
        <v/>
      </c>
      <c r="M428" s="59" t="str">
        <f>IF([2]道具信息!M428="","",[2]道具信息!M428)</f>
        <v/>
      </c>
      <c r="N428" s="59" t="str">
        <f>IF([2]道具信息!N428="","",[2]道具信息!N428)</f>
        <v/>
      </c>
      <c r="O428" s="59" t="str">
        <f>IF([2]道具信息!O428="","",[2]道具信息!O428)</f>
        <v/>
      </c>
      <c r="P428" s="59" t="str">
        <f>IF([2]道具信息!P428="","",[2]道具信息!P428)</f>
        <v/>
      </c>
      <c r="Q428" s="59" t="str">
        <f>IF([2]道具信息!Q428="","",[2]道具信息!Q428)</f>
        <v/>
      </c>
      <c r="R428" s="59" t="str">
        <f>IF([2]道具信息!R428="","",[2]道具信息!R428)</f>
        <v/>
      </c>
      <c r="S428" s="59" t="str">
        <f>IF([2]道具信息!S428="","",[2]道具信息!S428)</f>
        <v/>
      </c>
      <c r="T428" s="59" t="str">
        <f>IF([2]道具信息!T428="","",[2]道具信息!T428)</f>
        <v/>
      </c>
      <c r="U428" s="59" t="str">
        <f>IF([2]道具信息!U428="","",[2]道具信息!U428)</f>
        <v/>
      </c>
      <c r="V428" s="59" t="str">
        <f>IF([2]道具信息!V428="","",[2]道具信息!V428)</f>
        <v/>
      </c>
      <c r="W428" s="59" t="str">
        <f>IF([2]道具信息!W428="","",[2]道具信息!W428)</f>
        <v/>
      </c>
      <c r="X428" s="59" t="str">
        <f>IF([2]道具信息!X428="","",[2]道具信息!X428)</f>
        <v/>
      </c>
      <c r="Y428" s="59" t="str">
        <f>IF([2]道具信息!Y428="","",[2]道具信息!Y428)</f>
        <v/>
      </c>
      <c r="Z428" s="59" t="str">
        <f>IF([2]道具信息!Z428="","",[2]道具信息!Z428)</f>
        <v/>
      </c>
    </row>
    <row r="429" spans="1:26" x14ac:dyDescent="0.15">
      <c r="A429" s="59" t="str">
        <f>IF([2]道具信息!A429="","",[2]道具信息!A429)</f>
        <v/>
      </c>
      <c r="B429" s="59" t="str">
        <f>IF([2]道具信息!B429="","",[2]道具信息!B429)</f>
        <v/>
      </c>
      <c r="C429" s="59" t="str">
        <f>IF([2]道具信息!C429="","",[2]道具信息!C429)</f>
        <v/>
      </c>
      <c r="D429" s="59" t="str">
        <f>IF([2]道具信息!D429="","",[2]道具信息!D429)</f>
        <v/>
      </c>
      <c r="E429" s="59" t="str">
        <f>IF([2]道具信息!E429="","",[2]道具信息!E429)</f>
        <v/>
      </c>
      <c r="F429" s="59" t="str">
        <f>IF([2]道具信息!F429="","",[2]道具信息!F429)</f>
        <v/>
      </c>
      <c r="G429" s="59" t="str">
        <f>IF([2]道具信息!G429="","",[2]道具信息!G429)</f>
        <v/>
      </c>
      <c r="H429" s="59" t="str">
        <f>IF([2]道具信息!H429="","",[2]道具信息!H429)</f>
        <v/>
      </c>
      <c r="I429" s="59" t="str">
        <f>IF([2]道具信息!I429="","",[2]道具信息!I429)</f>
        <v/>
      </c>
      <c r="J429" s="59" t="str">
        <f>IF([2]道具信息!J429="","",[2]道具信息!J429)</f>
        <v/>
      </c>
      <c r="K429" s="59" t="str">
        <f>IF([2]道具信息!K429="","",[2]道具信息!K429)</f>
        <v/>
      </c>
      <c r="L429" s="59" t="str">
        <f>IF([2]道具信息!L429="","",[2]道具信息!L429)</f>
        <v/>
      </c>
      <c r="M429" s="59" t="str">
        <f>IF([2]道具信息!M429="","",[2]道具信息!M429)</f>
        <v/>
      </c>
      <c r="N429" s="59" t="str">
        <f>IF([2]道具信息!N429="","",[2]道具信息!N429)</f>
        <v/>
      </c>
      <c r="O429" s="59" t="str">
        <f>IF([2]道具信息!O429="","",[2]道具信息!O429)</f>
        <v/>
      </c>
      <c r="P429" s="59" t="str">
        <f>IF([2]道具信息!P429="","",[2]道具信息!P429)</f>
        <v/>
      </c>
      <c r="Q429" s="59" t="str">
        <f>IF([2]道具信息!Q429="","",[2]道具信息!Q429)</f>
        <v/>
      </c>
      <c r="R429" s="59" t="str">
        <f>IF([2]道具信息!R429="","",[2]道具信息!R429)</f>
        <v/>
      </c>
      <c r="S429" s="59" t="str">
        <f>IF([2]道具信息!S429="","",[2]道具信息!S429)</f>
        <v/>
      </c>
      <c r="T429" s="59" t="str">
        <f>IF([2]道具信息!T429="","",[2]道具信息!T429)</f>
        <v/>
      </c>
      <c r="U429" s="59" t="str">
        <f>IF([2]道具信息!U429="","",[2]道具信息!U429)</f>
        <v/>
      </c>
      <c r="V429" s="59" t="str">
        <f>IF([2]道具信息!V429="","",[2]道具信息!V429)</f>
        <v/>
      </c>
      <c r="W429" s="59" t="str">
        <f>IF([2]道具信息!W429="","",[2]道具信息!W429)</f>
        <v/>
      </c>
      <c r="X429" s="59" t="str">
        <f>IF([2]道具信息!X429="","",[2]道具信息!X429)</f>
        <v/>
      </c>
      <c r="Y429" s="59" t="str">
        <f>IF([2]道具信息!Y429="","",[2]道具信息!Y429)</f>
        <v/>
      </c>
      <c r="Z429" s="59" t="str">
        <f>IF([2]道具信息!Z429="","",[2]道具信息!Z429)</f>
        <v/>
      </c>
    </row>
    <row r="430" spans="1:26" x14ac:dyDescent="0.15">
      <c r="A430" s="59" t="str">
        <f>IF([2]道具信息!A430="","",[2]道具信息!A430)</f>
        <v/>
      </c>
      <c r="B430" s="59" t="str">
        <f>IF([2]道具信息!B430="","",[2]道具信息!B430)</f>
        <v/>
      </c>
      <c r="C430" s="59" t="str">
        <f>IF([2]道具信息!C430="","",[2]道具信息!C430)</f>
        <v/>
      </c>
      <c r="D430" s="59" t="str">
        <f>IF([2]道具信息!D430="","",[2]道具信息!D430)</f>
        <v/>
      </c>
      <c r="E430" s="59" t="str">
        <f>IF([2]道具信息!E430="","",[2]道具信息!E430)</f>
        <v/>
      </c>
      <c r="F430" s="59" t="str">
        <f>IF([2]道具信息!F430="","",[2]道具信息!F430)</f>
        <v/>
      </c>
      <c r="G430" s="59" t="str">
        <f>IF([2]道具信息!G430="","",[2]道具信息!G430)</f>
        <v/>
      </c>
      <c r="H430" s="59" t="str">
        <f>IF([2]道具信息!H430="","",[2]道具信息!H430)</f>
        <v/>
      </c>
      <c r="I430" s="59" t="str">
        <f>IF([2]道具信息!I430="","",[2]道具信息!I430)</f>
        <v/>
      </c>
      <c r="J430" s="59" t="str">
        <f>IF([2]道具信息!J430="","",[2]道具信息!J430)</f>
        <v/>
      </c>
      <c r="K430" s="59" t="str">
        <f>IF([2]道具信息!K430="","",[2]道具信息!K430)</f>
        <v/>
      </c>
      <c r="L430" s="59" t="str">
        <f>IF([2]道具信息!L430="","",[2]道具信息!L430)</f>
        <v/>
      </c>
      <c r="M430" s="59" t="str">
        <f>IF([2]道具信息!M430="","",[2]道具信息!M430)</f>
        <v/>
      </c>
      <c r="N430" s="59" t="str">
        <f>IF([2]道具信息!N430="","",[2]道具信息!N430)</f>
        <v/>
      </c>
      <c r="O430" s="59" t="str">
        <f>IF([2]道具信息!O430="","",[2]道具信息!O430)</f>
        <v/>
      </c>
      <c r="P430" s="59" t="str">
        <f>IF([2]道具信息!P430="","",[2]道具信息!P430)</f>
        <v/>
      </c>
      <c r="Q430" s="59" t="str">
        <f>IF([2]道具信息!Q430="","",[2]道具信息!Q430)</f>
        <v/>
      </c>
      <c r="R430" s="59" t="str">
        <f>IF([2]道具信息!R430="","",[2]道具信息!R430)</f>
        <v/>
      </c>
      <c r="S430" s="59" t="str">
        <f>IF([2]道具信息!S430="","",[2]道具信息!S430)</f>
        <v/>
      </c>
      <c r="T430" s="59" t="str">
        <f>IF([2]道具信息!T430="","",[2]道具信息!T430)</f>
        <v/>
      </c>
      <c r="U430" s="59" t="str">
        <f>IF([2]道具信息!U430="","",[2]道具信息!U430)</f>
        <v/>
      </c>
      <c r="V430" s="59" t="str">
        <f>IF([2]道具信息!V430="","",[2]道具信息!V430)</f>
        <v/>
      </c>
      <c r="W430" s="59" t="str">
        <f>IF([2]道具信息!W430="","",[2]道具信息!W430)</f>
        <v/>
      </c>
      <c r="X430" s="59" t="str">
        <f>IF([2]道具信息!X430="","",[2]道具信息!X430)</f>
        <v/>
      </c>
      <c r="Y430" s="59" t="str">
        <f>IF([2]道具信息!Y430="","",[2]道具信息!Y430)</f>
        <v/>
      </c>
      <c r="Z430" s="59" t="str">
        <f>IF([2]道具信息!Z430="","",[2]道具信息!Z430)</f>
        <v/>
      </c>
    </row>
    <row r="431" spans="1:26" x14ac:dyDescent="0.15">
      <c r="A431" s="59" t="str">
        <f>IF([2]道具信息!A431="","",[2]道具信息!A431)</f>
        <v/>
      </c>
      <c r="B431" s="59" t="str">
        <f>IF([2]道具信息!B431="","",[2]道具信息!B431)</f>
        <v/>
      </c>
      <c r="C431" s="59" t="str">
        <f>IF([2]道具信息!C431="","",[2]道具信息!C431)</f>
        <v/>
      </c>
      <c r="D431" s="59" t="str">
        <f>IF([2]道具信息!D431="","",[2]道具信息!D431)</f>
        <v/>
      </c>
      <c r="E431" s="59" t="str">
        <f>IF([2]道具信息!E431="","",[2]道具信息!E431)</f>
        <v/>
      </c>
      <c r="F431" s="59" t="str">
        <f>IF([2]道具信息!F431="","",[2]道具信息!F431)</f>
        <v/>
      </c>
      <c r="G431" s="59" t="str">
        <f>IF([2]道具信息!G431="","",[2]道具信息!G431)</f>
        <v/>
      </c>
      <c r="H431" s="59" t="str">
        <f>IF([2]道具信息!H431="","",[2]道具信息!H431)</f>
        <v/>
      </c>
      <c r="I431" s="59" t="str">
        <f>IF([2]道具信息!I431="","",[2]道具信息!I431)</f>
        <v/>
      </c>
      <c r="J431" s="59" t="str">
        <f>IF([2]道具信息!J431="","",[2]道具信息!J431)</f>
        <v/>
      </c>
      <c r="K431" s="59" t="str">
        <f>IF([2]道具信息!K431="","",[2]道具信息!K431)</f>
        <v/>
      </c>
      <c r="L431" s="59" t="str">
        <f>IF([2]道具信息!L431="","",[2]道具信息!L431)</f>
        <v/>
      </c>
      <c r="M431" s="59" t="str">
        <f>IF([2]道具信息!M431="","",[2]道具信息!M431)</f>
        <v/>
      </c>
      <c r="N431" s="59" t="str">
        <f>IF([2]道具信息!N431="","",[2]道具信息!N431)</f>
        <v/>
      </c>
      <c r="O431" s="59" t="str">
        <f>IF([2]道具信息!O431="","",[2]道具信息!O431)</f>
        <v/>
      </c>
      <c r="P431" s="59" t="str">
        <f>IF([2]道具信息!P431="","",[2]道具信息!P431)</f>
        <v/>
      </c>
      <c r="Q431" s="59" t="str">
        <f>IF([2]道具信息!Q431="","",[2]道具信息!Q431)</f>
        <v/>
      </c>
      <c r="R431" s="59" t="str">
        <f>IF([2]道具信息!R431="","",[2]道具信息!R431)</f>
        <v/>
      </c>
      <c r="S431" s="59" t="str">
        <f>IF([2]道具信息!S431="","",[2]道具信息!S431)</f>
        <v/>
      </c>
      <c r="T431" s="59" t="str">
        <f>IF([2]道具信息!T431="","",[2]道具信息!T431)</f>
        <v/>
      </c>
      <c r="U431" s="59" t="str">
        <f>IF([2]道具信息!U431="","",[2]道具信息!U431)</f>
        <v/>
      </c>
      <c r="V431" s="59" t="str">
        <f>IF([2]道具信息!V431="","",[2]道具信息!V431)</f>
        <v/>
      </c>
      <c r="W431" s="59" t="str">
        <f>IF([2]道具信息!W431="","",[2]道具信息!W431)</f>
        <v/>
      </c>
      <c r="X431" s="59" t="str">
        <f>IF([2]道具信息!X431="","",[2]道具信息!X431)</f>
        <v/>
      </c>
      <c r="Y431" s="59" t="str">
        <f>IF([2]道具信息!Y431="","",[2]道具信息!Y431)</f>
        <v/>
      </c>
      <c r="Z431" s="59" t="str">
        <f>IF([2]道具信息!Z431="","",[2]道具信息!Z431)</f>
        <v/>
      </c>
    </row>
    <row r="432" spans="1:26" x14ac:dyDescent="0.15">
      <c r="A432" s="59" t="str">
        <f>IF([2]道具信息!A432="","",[2]道具信息!A432)</f>
        <v/>
      </c>
      <c r="B432" s="59" t="str">
        <f>IF([2]道具信息!B432="","",[2]道具信息!B432)</f>
        <v/>
      </c>
      <c r="C432" s="59" t="str">
        <f>IF([2]道具信息!C432="","",[2]道具信息!C432)</f>
        <v/>
      </c>
      <c r="D432" s="59" t="str">
        <f>IF([2]道具信息!D432="","",[2]道具信息!D432)</f>
        <v/>
      </c>
      <c r="E432" s="59" t="str">
        <f>IF([2]道具信息!E432="","",[2]道具信息!E432)</f>
        <v/>
      </c>
      <c r="F432" s="59" t="str">
        <f>IF([2]道具信息!F432="","",[2]道具信息!F432)</f>
        <v/>
      </c>
      <c r="G432" s="59" t="str">
        <f>IF([2]道具信息!G432="","",[2]道具信息!G432)</f>
        <v/>
      </c>
      <c r="H432" s="59" t="str">
        <f>IF([2]道具信息!H432="","",[2]道具信息!H432)</f>
        <v/>
      </c>
      <c r="I432" s="59" t="str">
        <f>IF([2]道具信息!I432="","",[2]道具信息!I432)</f>
        <v/>
      </c>
      <c r="J432" s="59" t="str">
        <f>IF([2]道具信息!J432="","",[2]道具信息!J432)</f>
        <v/>
      </c>
      <c r="K432" s="59" t="str">
        <f>IF([2]道具信息!K432="","",[2]道具信息!K432)</f>
        <v/>
      </c>
      <c r="L432" s="59" t="str">
        <f>IF([2]道具信息!L432="","",[2]道具信息!L432)</f>
        <v/>
      </c>
      <c r="M432" s="59" t="str">
        <f>IF([2]道具信息!M432="","",[2]道具信息!M432)</f>
        <v/>
      </c>
      <c r="N432" s="59" t="str">
        <f>IF([2]道具信息!N432="","",[2]道具信息!N432)</f>
        <v/>
      </c>
      <c r="O432" s="59" t="str">
        <f>IF([2]道具信息!O432="","",[2]道具信息!O432)</f>
        <v/>
      </c>
      <c r="P432" s="59" t="str">
        <f>IF([2]道具信息!P432="","",[2]道具信息!P432)</f>
        <v/>
      </c>
      <c r="Q432" s="59" t="str">
        <f>IF([2]道具信息!Q432="","",[2]道具信息!Q432)</f>
        <v/>
      </c>
      <c r="R432" s="59" t="str">
        <f>IF([2]道具信息!R432="","",[2]道具信息!R432)</f>
        <v/>
      </c>
      <c r="S432" s="59" t="str">
        <f>IF([2]道具信息!S432="","",[2]道具信息!S432)</f>
        <v/>
      </c>
      <c r="T432" s="59" t="str">
        <f>IF([2]道具信息!T432="","",[2]道具信息!T432)</f>
        <v/>
      </c>
      <c r="U432" s="59" t="str">
        <f>IF([2]道具信息!U432="","",[2]道具信息!U432)</f>
        <v/>
      </c>
      <c r="V432" s="59" t="str">
        <f>IF([2]道具信息!V432="","",[2]道具信息!V432)</f>
        <v/>
      </c>
      <c r="W432" s="59" t="str">
        <f>IF([2]道具信息!W432="","",[2]道具信息!W432)</f>
        <v/>
      </c>
      <c r="X432" s="59" t="str">
        <f>IF([2]道具信息!X432="","",[2]道具信息!X432)</f>
        <v/>
      </c>
      <c r="Y432" s="59" t="str">
        <f>IF([2]道具信息!Y432="","",[2]道具信息!Y432)</f>
        <v/>
      </c>
      <c r="Z432" s="59" t="str">
        <f>IF([2]道具信息!Z432="","",[2]道具信息!Z432)</f>
        <v/>
      </c>
    </row>
    <row r="433" spans="1:26" x14ac:dyDescent="0.15">
      <c r="A433" s="59" t="str">
        <f>IF([2]道具信息!A433="","",[2]道具信息!A433)</f>
        <v/>
      </c>
      <c r="B433" s="59" t="str">
        <f>IF([2]道具信息!B433="","",[2]道具信息!B433)</f>
        <v/>
      </c>
      <c r="C433" s="59" t="str">
        <f>IF([2]道具信息!C433="","",[2]道具信息!C433)</f>
        <v/>
      </c>
      <c r="D433" s="59" t="str">
        <f>IF([2]道具信息!D433="","",[2]道具信息!D433)</f>
        <v/>
      </c>
      <c r="E433" s="59" t="str">
        <f>IF([2]道具信息!E433="","",[2]道具信息!E433)</f>
        <v/>
      </c>
      <c r="F433" s="59" t="str">
        <f>IF([2]道具信息!F433="","",[2]道具信息!F433)</f>
        <v/>
      </c>
      <c r="G433" s="59" t="str">
        <f>IF([2]道具信息!G433="","",[2]道具信息!G433)</f>
        <v/>
      </c>
      <c r="H433" s="59" t="str">
        <f>IF([2]道具信息!H433="","",[2]道具信息!H433)</f>
        <v/>
      </c>
      <c r="I433" s="59" t="str">
        <f>IF([2]道具信息!I433="","",[2]道具信息!I433)</f>
        <v/>
      </c>
      <c r="J433" s="59" t="str">
        <f>IF([2]道具信息!J433="","",[2]道具信息!J433)</f>
        <v/>
      </c>
      <c r="K433" s="59" t="str">
        <f>IF([2]道具信息!K433="","",[2]道具信息!K433)</f>
        <v/>
      </c>
      <c r="L433" s="59" t="str">
        <f>IF([2]道具信息!L433="","",[2]道具信息!L433)</f>
        <v/>
      </c>
      <c r="M433" s="59" t="str">
        <f>IF([2]道具信息!M433="","",[2]道具信息!M433)</f>
        <v/>
      </c>
      <c r="N433" s="59" t="str">
        <f>IF([2]道具信息!N433="","",[2]道具信息!N433)</f>
        <v/>
      </c>
      <c r="O433" s="59" t="str">
        <f>IF([2]道具信息!O433="","",[2]道具信息!O433)</f>
        <v/>
      </c>
      <c r="P433" s="59" t="str">
        <f>IF([2]道具信息!P433="","",[2]道具信息!P433)</f>
        <v/>
      </c>
      <c r="Q433" s="59" t="str">
        <f>IF([2]道具信息!Q433="","",[2]道具信息!Q433)</f>
        <v/>
      </c>
      <c r="R433" s="59" t="str">
        <f>IF([2]道具信息!R433="","",[2]道具信息!R433)</f>
        <v/>
      </c>
      <c r="S433" s="59" t="str">
        <f>IF([2]道具信息!S433="","",[2]道具信息!S433)</f>
        <v/>
      </c>
      <c r="T433" s="59" t="str">
        <f>IF([2]道具信息!T433="","",[2]道具信息!T433)</f>
        <v/>
      </c>
      <c r="U433" s="59" t="str">
        <f>IF([2]道具信息!U433="","",[2]道具信息!U433)</f>
        <v/>
      </c>
      <c r="V433" s="59" t="str">
        <f>IF([2]道具信息!V433="","",[2]道具信息!V433)</f>
        <v/>
      </c>
      <c r="W433" s="59" t="str">
        <f>IF([2]道具信息!W433="","",[2]道具信息!W433)</f>
        <v/>
      </c>
      <c r="X433" s="59" t="str">
        <f>IF([2]道具信息!X433="","",[2]道具信息!X433)</f>
        <v/>
      </c>
      <c r="Y433" s="59" t="str">
        <f>IF([2]道具信息!Y433="","",[2]道具信息!Y433)</f>
        <v/>
      </c>
      <c r="Z433" s="59" t="str">
        <f>IF([2]道具信息!Z433="","",[2]道具信息!Z433)</f>
        <v/>
      </c>
    </row>
    <row r="434" spans="1:26" x14ac:dyDescent="0.15">
      <c r="A434" s="59" t="str">
        <f>IF([2]道具信息!A434="","",[2]道具信息!A434)</f>
        <v/>
      </c>
      <c r="B434" s="59" t="str">
        <f>IF([2]道具信息!B434="","",[2]道具信息!B434)</f>
        <v/>
      </c>
      <c r="C434" s="59" t="str">
        <f>IF([2]道具信息!C434="","",[2]道具信息!C434)</f>
        <v/>
      </c>
      <c r="D434" s="59" t="str">
        <f>IF([2]道具信息!D434="","",[2]道具信息!D434)</f>
        <v/>
      </c>
      <c r="E434" s="59" t="str">
        <f>IF([2]道具信息!E434="","",[2]道具信息!E434)</f>
        <v/>
      </c>
      <c r="F434" s="59" t="str">
        <f>IF([2]道具信息!F434="","",[2]道具信息!F434)</f>
        <v/>
      </c>
      <c r="G434" s="59" t="str">
        <f>IF([2]道具信息!G434="","",[2]道具信息!G434)</f>
        <v/>
      </c>
      <c r="H434" s="59" t="str">
        <f>IF([2]道具信息!H434="","",[2]道具信息!H434)</f>
        <v/>
      </c>
      <c r="I434" s="59" t="str">
        <f>IF([2]道具信息!I434="","",[2]道具信息!I434)</f>
        <v/>
      </c>
      <c r="J434" s="59" t="str">
        <f>IF([2]道具信息!J434="","",[2]道具信息!J434)</f>
        <v/>
      </c>
      <c r="K434" s="59" t="str">
        <f>IF([2]道具信息!K434="","",[2]道具信息!K434)</f>
        <v/>
      </c>
      <c r="L434" s="59" t="str">
        <f>IF([2]道具信息!L434="","",[2]道具信息!L434)</f>
        <v/>
      </c>
      <c r="M434" s="59" t="str">
        <f>IF([2]道具信息!M434="","",[2]道具信息!M434)</f>
        <v/>
      </c>
      <c r="N434" s="59" t="str">
        <f>IF([2]道具信息!N434="","",[2]道具信息!N434)</f>
        <v/>
      </c>
      <c r="O434" s="59" t="str">
        <f>IF([2]道具信息!O434="","",[2]道具信息!O434)</f>
        <v/>
      </c>
      <c r="P434" s="59" t="str">
        <f>IF([2]道具信息!P434="","",[2]道具信息!P434)</f>
        <v/>
      </c>
      <c r="Q434" s="59" t="str">
        <f>IF([2]道具信息!Q434="","",[2]道具信息!Q434)</f>
        <v/>
      </c>
      <c r="R434" s="59" t="str">
        <f>IF([2]道具信息!R434="","",[2]道具信息!R434)</f>
        <v/>
      </c>
      <c r="S434" s="59" t="str">
        <f>IF([2]道具信息!S434="","",[2]道具信息!S434)</f>
        <v/>
      </c>
      <c r="T434" s="59" t="str">
        <f>IF([2]道具信息!T434="","",[2]道具信息!T434)</f>
        <v/>
      </c>
      <c r="U434" s="59" t="str">
        <f>IF([2]道具信息!U434="","",[2]道具信息!U434)</f>
        <v/>
      </c>
      <c r="V434" s="59" t="str">
        <f>IF([2]道具信息!V434="","",[2]道具信息!V434)</f>
        <v/>
      </c>
      <c r="W434" s="59" t="str">
        <f>IF([2]道具信息!W434="","",[2]道具信息!W434)</f>
        <v/>
      </c>
      <c r="X434" s="59" t="str">
        <f>IF([2]道具信息!X434="","",[2]道具信息!X434)</f>
        <v/>
      </c>
      <c r="Y434" s="59" t="str">
        <f>IF([2]道具信息!Y434="","",[2]道具信息!Y434)</f>
        <v/>
      </c>
      <c r="Z434" s="59" t="str">
        <f>IF([2]道具信息!Z434="","",[2]道具信息!Z434)</f>
        <v/>
      </c>
    </row>
    <row r="435" spans="1:26" x14ac:dyDescent="0.15">
      <c r="A435" s="59" t="str">
        <f>IF([2]道具信息!A435="","",[2]道具信息!A435)</f>
        <v/>
      </c>
      <c r="B435" s="59" t="str">
        <f>IF([2]道具信息!B435="","",[2]道具信息!B435)</f>
        <v/>
      </c>
      <c r="C435" s="59" t="str">
        <f>IF([2]道具信息!C435="","",[2]道具信息!C435)</f>
        <v/>
      </c>
      <c r="D435" s="59" t="str">
        <f>IF([2]道具信息!D435="","",[2]道具信息!D435)</f>
        <v/>
      </c>
      <c r="E435" s="59" t="str">
        <f>IF([2]道具信息!E435="","",[2]道具信息!E435)</f>
        <v/>
      </c>
      <c r="F435" s="59" t="str">
        <f>IF([2]道具信息!F435="","",[2]道具信息!F435)</f>
        <v/>
      </c>
      <c r="G435" s="59" t="str">
        <f>IF([2]道具信息!G435="","",[2]道具信息!G435)</f>
        <v/>
      </c>
      <c r="H435" s="59" t="str">
        <f>IF([2]道具信息!H435="","",[2]道具信息!H435)</f>
        <v/>
      </c>
      <c r="I435" s="59" t="str">
        <f>IF([2]道具信息!I435="","",[2]道具信息!I435)</f>
        <v/>
      </c>
      <c r="J435" s="59" t="str">
        <f>IF([2]道具信息!J435="","",[2]道具信息!J435)</f>
        <v/>
      </c>
      <c r="K435" s="59" t="str">
        <f>IF([2]道具信息!K435="","",[2]道具信息!K435)</f>
        <v/>
      </c>
      <c r="L435" s="59" t="str">
        <f>IF([2]道具信息!L435="","",[2]道具信息!L435)</f>
        <v/>
      </c>
      <c r="M435" s="59" t="str">
        <f>IF([2]道具信息!M435="","",[2]道具信息!M435)</f>
        <v/>
      </c>
      <c r="N435" s="59" t="str">
        <f>IF([2]道具信息!N435="","",[2]道具信息!N435)</f>
        <v/>
      </c>
      <c r="O435" s="59" t="str">
        <f>IF([2]道具信息!O435="","",[2]道具信息!O435)</f>
        <v/>
      </c>
      <c r="P435" s="59" t="str">
        <f>IF([2]道具信息!P435="","",[2]道具信息!P435)</f>
        <v/>
      </c>
      <c r="Q435" s="59" t="str">
        <f>IF([2]道具信息!Q435="","",[2]道具信息!Q435)</f>
        <v/>
      </c>
      <c r="R435" s="59" t="str">
        <f>IF([2]道具信息!R435="","",[2]道具信息!R435)</f>
        <v/>
      </c>
      <c r="S435" s="59" t="str">
        <f>IF([2]道具信息!S435="","",[2]道具信息!S435)</f>
        <v/>
      </c>
      <c r="T435" s="59" t="str">
        <f>IF([2]道具信息!T435="","",[2]道具信息!T435)</f>
        <v/>
      </c>
      <c r="U435" s="59" t="str">
        <f>IF([2]道具信息!U435="","",[2]道具信息!U435)</f>
        <v/>
      </c>
      <c r="V435" s="59" t="str">
        <f>IF([2]道具信息!V435="","",[2]道具信息!V435)</f>
        <v/>
      </c>
      <c r="W435" s="59" t="str">
        <f>IF([2]道具信息!W435="","",[2]道具信息!W435)</f>
        <v/>
      </c>
      <c r="X435" s="59" t="str">
        <f>IF([2]道具信息!X435="","",[2]道具信息!X435)</f>
        <v/>
      </c>
      <c r="Y435" s="59" t="str">
        <f>IF([2]道具信息!Y435="","",[2]道具信息!Y435)</f>
        <v/>
      </c>
      <c r="Z435" s="59" t="str">
        <f>IF([2]道具信息!Z435="","",[2]道具信息!Z435)</f>
        <v/>
      </c>
    </row>
    <row r="436" spans="1:26" x14ac:dyDescent="0.15">
      <c r="A436" s="59" t="str">
        <f>IF([2]道具信息!A436="","",[2]道具信息!A436)</f>
        <v/>
      </c>
      <c r="B436" s="59" t="str">
        <f>IF([2]道具信息!B436="","",[2]道具信息!B436)</f>
        <v/>
      </c>
      <c r="C436" s="59" t="str">
        <f>IF([2]道具信息!C436="","",[2]道具信息!C436)</f>
        <v/>
      </c>
      <c r="D436" s="59" t="str">
        <f>IF([2]道具信息!D436="","",[2]道具信息!D436)</f>
        <v/>
      </c>
      <c r="E436" s="59" t="str">
        <f>IF([2]道具信息!E436="","",[2]道具信息!E436)</f>
        <v/>
      </c>
      <c r="F436" s="59" t="str">
        <f>IF([2]道具信息!F436="","",[2]道具信息!F436)</f>
        <v/>
      </c>
      <c r="G436" s="59" t="str">
        <f>IF([2]道具信息!G436="","",[2]道具信息!G436)</f>
        <v/>
      </c>
      <c r="H436" s="59" t="str">
        <f>IF([2]道具信息!H436="","",[2]道具信息!H436)</f>
        <v/>
      </c>
      <c r="I436" s="59" t="str">
        <f>IF([2]道具信息!I436="","",[2]道具信息!I436)</f>
        <v/>
      </c>
      <c r="J436" s="59" t="str">
        <f>IF([2]道具信息!J436="","",[2]道具信息!J436)</f>
        <v/>
      </c>
      <c r="K436" s="59" t="str">
        <f>IF([2]道具信息!K436="","",[2]道具信息!K436)</f>
        <v/>
      </c>
      <c r="L436" s="59" t="str">
        <f>IF([2]道具信息!L436="","",[2]道具信息!L436)</f>
        <v/>
      </c>
      <c r="M436" s="59" t="str">
        <f>IF([2]道具信息!M436="","",[2]道具信息!M436)</f>
        <v/>
      </c>
      <c r="N436" s="59" t="str">
        <f>IF([2]道具信息!N436="","",[2]道具信息!N436)</f>
        <v/>
      </c>
      <c r="O436" s="59" t="str">
        <f>IF([2]道具信息!O436="","",[2]道具信息!O436)</f>
        <v/>
      </c>
      <c r="P436" s="59" t="str">
        <f>IF([2]道具信息!P436="","",[2]道具信息!P436)</f>
        <v/>
      </c>
      <c r="Q436" s="59" t="str">
        <f>IF([2]道具信息!Q436="","",[2]道具信息!Q436)</f>
        <v/>
      </c>
      <c r="R436" s="59" t="str">
        <f>IF([2]道具信息!R436="","",[2]道具信息!R436)</f>
        <v/>
      </c>
      <c r="S436" s="59" t="str">
        <f>IF([2]道具信息!S436="","",[2]道具信息!S436)</f>
        <v/>
      </c>
      <c r="T436" s="59" t="str">
        <f>IF([2]道具信息!T436="","",[2]道具信息!T436)</f>
        <v/>
      </c>
      <c r="U436" s="59" t="str">
        <f>IF([2]道具信息!U436="","",[2]道具信息!U436)</f>
        <v/>
      </c>
      <c r="V436" s="59" t="str">
        <f>IF([2]道具信息!V436="","",[2]道具信息!V436)</f>
        <v/>
      </c>
      <c r="W436" s="59" t="str">
        <f>IF([2]道具信息!W436="","",[2]道具信息!W436)</f>
        <v/>
      </c>
      <c r="X436" s="59" t="str">
        <f>IF([2]道具信息!X436="","",[2]道具信息!X436)</f>
        <v/>
      </c>
      <c r="Y436" s="59" t="str">
        <f>IF([2]道具信息!Y436="","",[2]道具信息!Y436)</f>
        <v/>
      </c>
      <c r="Z436" s="59" t="str">
        <f>IF([2]道具信息!Z436="","",[2]道具信息!Z436)</f>
        <v/>
      </c>
    </row>
    <row r="437" spans="1:26" x14ac:dyDescent="0.15">
      <c r="A437" s="59" t="str">
        <f>IF([2]道具信息!A437="","",[2]道具信息!A437)</f>
        <v/>
      </c>
      <c r="B437" s="59" t="str">
        <f>IF([2]道具信息!B437="","",[2]道具信息!B437)</f>
        <v/>
      </c>
      <c r="C437" s="59" t="str">
        <f>IF([2]道具信息!C437="","",[2]道具信息!C437)</f>
        <v/>
      </c>
      <c r="D437" s="59" t="str">
        <f>IF([2]道具信息!D437="","",[2]道具信息!D437)</f>
        <v/>
      </c>
      <c r="E437" s="59" t="str">
        <f>IF([2]道具信息!E437="","",[2]道具信息!E437)</f>
        <v/>
      </c>
      <c r="F437" s="59" t="str">
        <f>IF([2]道具信息!F437="","",[2]道具信息!F437)</f>
        <v/>
      </c>
      <c r="G437" s="59" t="str">
        <f>IF([2]道具信息!G437="","",[2]道具信息!G437)</f>
        <v/>
      </c>
      <c r="H437" s="59" t="str">
        <f>IF([2]道具信息!H437="","",[2]道具信息!H437)</f>
        <v/>
      </c>
      <c r="I437" s="59" t="str">
        <f>IF([2]道具信息!I437="","",[2]道具信息!I437)</f>
        <v/>
      </c>
      <c r="J437" s="59" t="str">
        <f>IF([2]道具信息!J437="","",[2]道具信息!J437)</f>
        <v/>
      </c>
      <c r="K437" s="59" t="str">
        <f>IF([2]道具信息!K437="","",[2]道具信息!K437)</f>
        <v/>
      </c>
      <c r="L437" s="59" t="str">
        <f>IF([2]道具信息!L437="","",[2]道具信息!L437)</f>
        <v/>
      </c>
      <c r="M437" s="59" t="str">
        <f>IF([2]道具信息!M437="","",[2]道具信息!M437)</f>
        <v/>
      </c>
      <c r="N437" s="59" t="str">
        <f>IF([2]道具信息!N437="","",[2]道具信息!N437)</f>
        <v/>
      </c>
      <c r="O437" s="59" t="str">
        <f>IF([2]道具信息!O437="","",[2]道具信息!O437)</f>
        <v/>
      </c>
      <c r="P437" s="59" t="str">
        <f>IF([2]道具信息!P437="","",[2]道具信息!P437)</f>
        <v/>
      </c>
      <c r="Q437" s="59" t="str">
        <f>IF([2]道具信息!Q437="","",[2]道具信息!Q437)</f>
        <v/>
      </c>
      <c r="R437" s="59" t="str">
        <f>IF([2]道具信息!R437="","",[2]道具信息!R437)</f>
        <v/>
      </c>
      <c r="S437" s="59" t="str">
        <f>IF([2]道具信息!S437="","",[2]道具信息!S437)</f>
        <v/>
      </c>
      <c r="T437" s="59" t="str">
        <f>IF([2]道具信息!T437="","",[2]道具信息!T437)</f>
        <v/>
      </c>
      <c r="U437" s="59" t="str">
        <f>IF([2]道具信息!U437="","",[2]道具信息!U437)</f>
        <v/>
      </c>
      <c r="V437" s="59" t="str">
        <f>IF([2]道具信息!V437="","",[2]道具信息!V437)</f>
        <v/>
      </c>
      <c r="W437" s="59" t="str">
        <f>IF([2]道具信息!W437="","",[2]道具信息!W437)</f>
        <v/>
      </c>
      <c r="X437" s="59" t="str">
        <f>IF([2]道具信息!X437="","",[2]道具信息!X437)</f>
        <v/>
      </c>
      <c r="Y437" s="59" t="str">
        <f>IF([2]道具信息!Y437="","",[2]道具信息!Y437)</f>
        <v/>
      </c>
      <c r="Z437" s="59" t="str">
        <f>IF([2]道具信息!Z437="","",[2]道具信息!Z437)</f>
        <v/>
      </c>
    </row>
    <row r="438" spans="1:26" x14ac:dyDescent="0.15">
      <c r="A438" s="59" t="str">
        <f>IF([2]道具信息!A438="","",[2]道具信息!A438)</f>
        <v/>
      </c>
      <c r="B438" s="59" t="str">
        <f>IF([2]道具信息!B438="","",[2]道具信息!B438)</f>
        <v/>
      </c>
      <c r="C438" s="59" t="str">
        <f>IF([2]道具信息!C438="","",[2]道具信息!C438)</f>
        <v/>
      </c>
      <c r="D438" s="59" t="str">
        <f>IF([2]道具信息!D438="","",[2]道具信息!D438)</f>
        <v/>
      </c>
      <c r="E438" s="59" t="str">
        <f>IF([2]道具信息!E438="","",[2]道具信息!E438)</f>
        <v/>
      </c>
      <c r="F438" s="59" t="str">
        <f>IF([2]道具信息!F438="","",[2]道具信息!F438)</f>
        <v/>
      </c>
      <c r="G438" s="59" t="str">
        <f>IF([2]道具信息!G438="","",[2]道具信息!G438)</f>
        <v/>
      </c>
      <c r="H438" s="59" t="str">
        <f>IF([2]道具信息!H438="","",[2]道具信息!H438)</f>
        <v/>
      </c>
      <c r="I438" s="59" t="str">
        <f>IF([2]道具信息!I438="","",[2]道具信息!I438)</f>
        <v/>
      </c>
      <c r="J438" s="59" t="str">
        <f>IF([2]道具信息!J438="","",[2]道具信息!J438)</f>
        <v/>
      </c>
      <c r="K438" s="59" t="str">
        <f>IF([2]道具信息!K438="","",[2]道具信息!K438)</f>
        <v/>
      </c>
      <c r="L438" s="59" t="str">
        <f>IF([2]道具信息!L438="","",[2]道具信息!L438)</f>
        <v/>
      </c>
      <c r="M438" s="59" t="str">
        <f>IF([2]道具信息!M438="","",[2]道具信息!M438)</f>
        <v/>
      </c>
      <c r="N438" s="59" t="str">
        <f>IF([2]道具信息!N438="","",[2]道具信息!N438)</f>
        <v/>
      </c>
      <c r="O438" s="59" t="str">
        <f>IF([2]道具信息!O438="","",[2]道具信息!O438)</f>
        <v/>
      </c>
      <c r="P438" s="59" t="str">
        <f>IF([2]道具信息!P438="","",[2]道具信息!P438)</f>
        <v/>
      </c>
      <c r="Q438" s="59" t="str">
        <f>IF([2]道具信息!Q438="","",[2]道具信息!Q438)</f>
        <v/>
      </c>
      <c r="R438" s="59" t="str">
        <f>IF([2]道具信息!R438="","",[2]道具信息!R438)</f>
        <v/>
      </c>
      <c r="S438" s="59" t="str">
        <f>IF([2]道具信息!S438="","",[2]道具信息!S438)</f>
        <v/>
      </c>
      <c r="T438" s="59" t="str">
        <f>IF([2]道具信息!T438="","",[2]道具信息!T438)</f>
        <v/>
      </c>
      <c r="U438" s="59" t="str">
        <f>IF([2]道具信息!U438="","",[2]道具信息!U438)</f>
        <v/>
      </c>
      <c r="V438" s="59" t="str">
        <f>IF([2]道具信息!V438="","",[2]道具信息!V438)</f>
        <v/>
      </c>
      <c r="W438" s="59" t="str">
        <f>IF([2]道具信息!W438="","",[2]道具信息!W438)</f>
        <v/>
      </c>
      <c r="X438" s="59" t="str">
        <f>IF([2]道具信息!X438="","",[2]道具信息!X438)</f>
        <v/>
      </c>
      <c r="Y438" s="59" t="str">
        <f>IF([2]道具信息!Y438="","",[2]道具信息!Y438)</f>
        <v/>
      </c>
      <c r="Z438" s="59" t="str">
        <f>IF([2]道具信息!Z438="","",[2]道具信息!Z438)</f>
        <v/>
      </c>
    </row>
    <row r="439" spans="1:26" x14ac:dyDescent="0.15">
      <c r="A439" s="59" t="str">
        <f>IF([2]道具信息!A439="","",[2]道具信息!A439)</f>
        <v/>
      </c>
      <c r="B439" s="59" t="str">
        <f>IF([2]道具信息!B439="","",[2]道具信息!B439)</f>
        <v/>
      </c>
      <c r="C439" s="59" t="str">
        <f>IF([2]道具信息!C439="","",[2]道具信息!C439)</f>
        <v/>
      </c>
      <c r="D439" s="59" t="str">
        <f>IF([2]道具信息!D439="","",[2]道具信息!D439)</f>
        <v/>
      </c>
      <c r="E439" s="59" t="str">
        <f>IF([2]道具信息!E439="","",[2]道具信息!E439)</f>
        <v/>
      </c>
      <c r="F439" s="59" t="str">
        <f>IF([2]道具信息!F439="","",[2]道具信息!F439)</f>
        <v/>
      </c>
      <c r="G439" s="59" t="str">
        <f>IF([2]道具信息!G439="","",[2]道具信息!G439)</f>
        <v/>
      </c>
      <c r="H439" s="59" t="str">
        <f>IF([2]道具信息!H439="","",[2]道具信息!H439)</f>
        <v/>
      </c>
      <c r="I439" s="59" t="str">
        <f>IF([2]道具信息!I439="","",[2]道具信息!I439)</f>
        <v/>
      </c>
      <c r="J439" s="59" t="str">
        <f>IF([2]道具信息!J439="","",[2]道具信息!J439)</f>
        <v/>
      </c>
      <c r="K439" s="59" t="str">
        <f>IF([2]道具信息!K439="","",[2]道具信息!K439)</f>
        <v/>
      </c>
      <c r="L439" s="59" t="str">
        <f>IF([2]道具信息!L439="","",[2]道具信息!L439)</f>
        <v/>
      </c>
      <c r="M439" s="59" t="str">
        <f>IF([2]道具信息!M439="","",[2]道具信息!M439)</f>
        <v/>
      </c>
      <c r="N439" s="59" t="str">
        <f>IF([2]道具信息!N439="","",[2]道具信息!N439)</f>
        <v/>
      </c>
      <c r="O439" s="59" t="str">
        <f>IF([2]道具信息!O439="","",[2]道具信息!O439)</f>
        <v/>
      </c>
      <c r="P439" s="59" t="str">
        <f>IF([2]道具信息!P439="","",[2]道具信息!P439)</f>
        <v/>
      </c>
      <c r="Q439" s="59" t="str">
        <f>IF([2]道具信息!Q439="","",[2]道具信息!Q439)</f>
        <v/>
      </c>
      <c r="R439" s="59" t="str">
        <f>IF([2]道具信息!R439="","",[2]道具信息!R439)</f>
        <v/>
      </c>
      <c r="S439" s="59" t="str">
        <f>IF([2]道具信息!S439="","",[2]道具信息!S439)</f>
        <v/>
      </c>
      <c r="T439" s="59" t="str">
        <f>IF([2]道具信息!T439="","",[2]道具信息!T439)</f>
        <v/>
      </c>
      <c r="U439" s="59" t="str">
        <f>IF([2]道具信息!U439="","",[2]道具信息!U439)</f>
        <v/>
      </c>
      <c r="V439" s="59" t="str">
        <f>IF([2]道具信息!V439="","",[2]道具信息!V439)</f>
        <v/>
      </c>
      <c r="W439" s="59" t="str">
        <f>IF([2]道具信息!W439="","",[2]道具信息!W439)</f>
        <v/>
      </c>
      <c r="X439" s="59" t="str">
        <f>IF([2]道具信息!X439="","",[2]道具信息!X439)</f>
        <v/>
      </c>
      <c r="Y439" s="59" t="str">
        <f>IF([2]道具信息!Y439="","",[2]道具信息!Y439)</f>
        <v/>
      </c>
      <c r="Z439" s="59" t="str">
        <f>IF([2]道具信息!Z439="","",[2]道具信息!Z439)</f>
        <v/>
      </c>
    </row>
    <row r="440" spans="1:26" x14ac:dyDescent="0.15">
      <c r="A440" s="59" t="str">
        <f>IF([2]道具信息!A440="","",[2]道具信息!A440)</f>
        <v/>
      </c>
      <c r="B440" s="59" t="str">
        <f>IF([2]道具信息!B440="","",[2]道具信息!B440)</f>
        <v/>
      </c>
      <c r="C440" s="59" t="str">
        <f>IF([2]道具信息!C440="","",[2]道具信息!C440)</f>
        <v/>
      </c>
      <c r="D440" s="59" t="str">
        <f>IF([2]道具信息!D440="","",[2]道具信息!D440)</f>
        <v/>
      </c>
      <c r="E440" s="59" t="str">
        <f>IF([2]道具信息!E440="","",[2]道具信息!E440)</f>
        <v/>
      </c>
      <c r="F440" s="59" t="str">
        <f>IF([2]道具信息!F440="","",[2]道具信息!F440)</f>
        <v/>
      </c>
      <c r="G440" s="59" t="str">
        <f>IF([2]道具信息!G440="","",[2]道具信息!G440)</f>
        <v/>
      </c>
      <c r="H440" s="59" t="str">
        <f>IF([2]道具信息!H440="","",[2]道具信息!H440)</f>
        <v/>
      </c>
      <c r="I440" s="59" t="str">
        <f>IF([2]道具信息!I440="","",[2]道具信息!I440)</f>
        <v/>
      </c>
      <c r="J440" s="59" t="str">
        <f>IF([2]道具信息!J440="","",[2]道具信息!J440)</f>
        <v/>
      </c>
      <c r="K440" s="59" t="str">
        <f>IF([2]道具信息!K440="","",[2]道具信息!K440)</f>
        <v/>
      </c>
      <c r="L440" s="59" t="str">
        <f>IF([2]道具信息!L440="","",[2]道具信息!L440)</f>
        <v/>
      </c>
      <c r="M440" s="59" t="str">
        <f>IF([2]道具信息!M440="","",[2]道具信息!M440)</f>
        <v/>
      </c>
      <c r="N440" s="59" t="str">
        <f>IF([2]道具信息!N440="","",[2]道具信息!N440)</f>
        <v/>
      </c>
      <c r="O440" s="59" t="str">
        <f>IF([2]道具信息!O440="","",[2]道具信息!O440)</f>
        <v/>
      </c>
      <c r="P440" s="59" t="str">
        <f>IF([2]道具信息!P440="","",[2]道具信息!P440)</f>
        <v/>
      </c>
      <c r="Q440" s="59" t="str">
        <f>IF([2]道具信息!Q440="","",[2]道具信息!Q440)</f>
        <v/>
      </c>
      <c r="R440" s="59" t="str">
        <f>IF([2]道具信息!R440="","",[2]道具信息!R440)</f>
        <v/>
      </c>
      <c r="S440" s="59" t="str">
        <f>IF([2]道具信息!S440="","",[2]道具信息!S440)</f>
        <v/>
      </c>
      <c r="T440" s="59" t="str">
        <f>IF([2]道具信息!T440="","",[2]道具信息!T440)</f>
        <v/>
      </c>
      <c r="U440" s="59" t="str">
        <f>IF([2]道具信息!U440="","",[2]道具信息!U440)</f>
        <v/>
      </c>
      <c r="V440" s="59" t="str">
        <f>IF([2]道具信息!V440="","",[2]道具信息!V440)</f>
        <v/>
      </c>
      <c r="W440" s="59" t="str">
        <f>IF([2]道具信息!W440="","",[2]道具信息!W440)</f>
        <v/>
      </c>
      <c r="X440" s="59" t="str">
        <f>IF([2]道具信息!X440="","",[2]道具信息!X440)</f>
        <v/>
      </c>
      <c r="Y440" s="59" t="str">
        <f>IF([2]道具信息!Y440="","",[2]道具信息!Y440)</f>
        <v/>
      </c>
      <c r="Z440" s="59" t="str">
        <f>IF([2]道具信息!Z440="","",[2]道具信息!Z440)</f>
        <v/>
      </c>
    </row>
    <row r="441" spans="1:26" x14ac:dyDescent="0.15">
      <c r="A441" s="59" t="str">
        <f>IF([2]道具信息!A441="","",[2]道具信息!A441)</f>
        <v/>
      </c>
      <c r="B441" s="59" t="str">
        <f>IF([2]道具信息!B441="","",[2]道具信息!B441)</f>
        <v/>
      </c>
      <c r="C441" s="59" t="str">
        <f>IF([2]道具信息!C441="","",[2]道具信息!C441)</f>
        <v/>
      </c>
      <c r="D441" s="59" t="str">
        <f>IF([2]道具信息!D441="","",[2]道具信息!D441)</f>
        <v/>
      </c>
      <c r="E441" s="59" t="str">
        <f>IF([2]道具信息!E441="","",[2]道具信息!E441)</f>
        <v/>
      </c>
      <c r="F441" s="59" t="str">
        <f>IF([2]道具信息!F441="","",[2]道具信息!F441)</f>
        <v/>
      </c>
      <c r="G441" s="59" t="str">
        <f>IF([2]道具信息!G441="","",[2]道具信息!G441)</f>
        <v/>
      </c>
      <c r="H441" s="59" t="str">
        <f>IF([2]道具信息!H441="","",[2]道具信息!H441)</f>
        <v/>
      </c>
      <c r="I441" s="59" t="str">
        <f>IF([2]道具信息!I441="","",[2]道具信息!I441)</f>
        <v/>
      </c>
      <c r="J441" s="59" t="str">
        <f>IF([2]道具信息!J441="","",[2]道具信息!J441)</f>
        <v/>
      </c>
      <c r="K441" s="59" t="str">
        <f>IF([2]道具信息!K441="","",[2]道具信息!K441)</f>
        <v/>
      </c>
      <c r="L441" s="59" t="str">
        <f>IF([2]道具信息!L441="","",[2]道具信息!L441)</f>
        <v/>
      </c>
      <c r="M441" s="59" t="str">
        <f>IF([2]道具信息!M441="","",[2]道具信息!M441)</f>
        <v/>
      </c>
      <c r="N441" s="59" t="str">
        <f>IF([2]道具信息!N441="","",[2]道具信息!N441)</f>
        <v/>
      </c>
      <c r="O441" s="59" t="str">
        <f>IF([2]道具信息!O441="","",[2]道具信息!O441)</f>
        <v/>
      </c>
      <c r="P441" s="59" t="str">
        <f>IF([2]道具信息!P441="","",[2]道具信息!P441)</f>
        <v/>
      </c>
      <c r="Q441" s="59" t="str">
        <f>IF([2]道具信息!Q441="","",[2]道具信息!Q441)</f>
        <v/>
      </c>
      <c r="R441" s="59" t="str">
        <f>IF([2]道具信息!R441="","",[2]道具信息!R441)</f>
        <v/>
      </c>
      <c r="S441" s="59" t="str">
        <f>IF([2]道具信息!S441="","",[2]道具信息!S441)</f>
        <v/>
      </c>
      <c r="T441" s="59" t="str">
        <f>IF([2]道具信息!T441="","",[2]道具信息!T441)</f>
        <v/>
      </c>
      <c r="U441" s="59" t="str">
        <f>IF([2]道具信息!U441="","",[2]道具信息!U441)</f>
        <v/>
      </c>
      <c r="V441" s="59" t="str">
        <f>IF([2]道具信息!V441="","",[2]道具信息!V441)</f>
        <v/>
      </c>
      <c r="W441" s="59" t="str">
        <f>IF([2]道具信息!W441="","",[2]道具信息!W441)</f>
        <v/>
      </c>
      <c r="X441" s="59" t="str">
        <f>IF([2]道具信息!X441="","",[2]道具信息!X441)</f>
        <v/>
      </c>
      <c r="Y441" s="59" t="str">
        <f>IF([2]道具信息!Y441="","",[2]道具信息!Y441)</f>
        <v/>
      </c>
      <c r="Z441" s="59" t="str">
        <f>IF([2]道具信息!Z441="","",[2]道具信息!Z441)</f>
        <v/>
      </c>
    </row>
    <row r="442" spans="1:26" x14ac:dyDescent="0.15">
      <c r="A442" s="59" t="str">
        <f>IF([2]道具信息!A442="","",[2]道具信息!A442)</f>
        <v/>
      </c>
      <c r="B442" s="59" t="str">
        <f>IF([2]道具信息!B442="","",[2]道具信息!B442)</f>
        <v/>
      </c>
      <c r="C442" s="59" t="str">
        <f>IF([2]道具信息!C442="","",[2]道具信息!C442)</f>
        <v/>
      </c>
      <c r="D442" s="59" t="str">
        <f>IF([2]道具信息!D442="","",[2]道具信息!D442)</f>
        <v/>
      </c>
      <c r="E442" s="59" t="str">
        <f>IF([2]道具信息!E442="","",[2]道具信息!E442)</f>
        <v/>
      </c>
      <c r="F442" s="59" t="str">
        <f>IF([2]道具信息!F442="","",[2]道具信息!F442)</f>
        <v/>
      </c>
      <c r="G442" s="59" t="str">
        <f>IF([2]道具信息!G442="","",[2]道具信息!G442)</f>
        <v/>
      </c>
      <c r="H442" s="59" t="str">
        <f>IF([2]道具信息!H442="","",[2]道具信息!H442)</f>
        <v/>
      </c>
      <c r="I442" s="59" t="str">
        <f>IF([2]道具信息!I442="","",[2]道具信息!I442)</f>
        <v/>
      </c>
      <c r="J442" s="59" t="str">
        <f>IF([2]道具信息!J442="","",[2]道具信息!J442)</f>
        <v/>
      </c>
      <c r="K442" s="59" t="str">
        <f>IF([2]道具信息!K442="","",[2]道具信息!K442)</f>
        <v/>
      </c>
      <c r="L442" s="59" t="str">
        <f>IF([2]道具信息!L442="","",[2]道具信息!L442)</f>
        <v/>
      </c>
      <c r="M442" s="59" t="str">
        <f>IF([2]道具信息!M442="","",[2]道具信息!M442)</f>
        <v/>
      </c>
      <c r="N442" s="59" t="str">
        <f>IF([2]道具信息!N442="","",[2]道具信息!N442)</f>
        <v/>
      </c>
      <c r="O442" s="59" t="str">
        <f>IF([2]道具信息!O442="","",[2]道具信息!O442)</f>
        <v/>
      </c>
      <c r="P442" s="59" t="str">
        <f>IF([2]道具信息!P442="","",[2]道具信息!P442)</f>
        <v/>
      </c>
      <c r="Q442" s="59" t="str">
        <f>IF([2]道具信息!Q442="","",[2]道具信息!Q442)</f>
        <v/>
      </c>
      <c r="R442" s="59" t="str">
        <f>IF([2]道具信息!R442="","",[2]道具信息!R442)</f>
        <v/>
      </c>
      <c r="S442" s="59" t="str">
        <f>IF([2]道具信息!S442="","",[2]道具信息!S442)</f>
        <v/>
      </c>
      <c r="T442" s="59" t="str">
        <f>IF([2]道具信息!T442="","",[2]道具信息!T442)</f>
        <v/>
      </c>
      <c r="U442" s="59" t="str">
        <f>IF([2]道具信息!U442="","",[2]道具信息!U442)</f>
        <v/>
      </c>
      <c r="V442" s="59" t="str">
        <f>IF([2]道具信息!V442="","",[2]道具信息!V442)</f>
        <v/>
      </c>
      <c r="W442" s="59" t="str">
        <f>IF([2]道具信息!W442="","",[2]道具信息!W442)</f>
        <v/>
      </c>
      <c r="X442" s="59" t="str">
        <f>IF([2]道具信息!X442="","",[2]道具信息!X442)</f>
        <v/>
      </c>
      <c r="Y442" s="59" t="str">
        <f>IF([2]道具信息!Y442="","",[2]道具信息!Y442)</f>
        <v/>
      </c>
      <c r="Z442" s="59" t="str">
        <f>IF([2]道具信息!Z442="","",[2]道具信息!Z442)</f>
        <v/>
      </c>
    </row>
    <row r="443" spans="1:26" x14ac:dyDescent="0.15">
      <c r="A443" s="59" t="str">
        <f>IF([2]道具信息!A443="","",[2]道具信息!A443)</f>
        <v/>
      </c>
      <c r="B443" s="59" t="str">
        <f>IF([2]道具信息!B443="","",[2]道具信息!B443)</f>
        <v/>
      </c>
      <c r="C443" s="59" t="str">
        <f>IF([2]道具信息!C443="","",[2]道具信息!C443)</f>
        <v/>
      </c>
      <c r="D443" s="59" t="str">
        <f>IF([2]道具信息!D443="","",[2]道具信息!D443)</f>
        <v/>
      </c>
      <c r="E443" s="59" t="str">
        <f>IF([2]道具信息!E443="","",[2]道具信息!E443)</f>
        <v/>
      </c>
      <c r="F443" s="59" t="str">
        <f>IF([2]道具信息!F443="","",[2]道具信息!F443)</f>
        <v/>
      </c>
      <c r="G443" s="59" t="str">
        <f>IF([2]道具信息!G443="","",[2]道具信息!G443)</f>
        <v/>
      </c>
      <c r="H443" s="59" t="str">
        <f>IF([2]道具信息!H443="","",[2]道具信息!H443)</f>
        <v/>
      </c>
      <c r="I443" s="59" t="str">
        <f>IF([2]道具信息!I443="","",[2]道具信息!I443)</f>
        <v/>
      </c>
      <c r="J443" s="59" t="str">
        <f>IF([2]道具信息!J443="","",[2]道具信息!J443)</f>
        <v/>
      </c>
      <c r="K443" s="59" t="str">
        <f>IF([2]道具信息!K443="","",[2]道具信息!K443)</f>
        <v/>
      </c>
      <c r="L443" s="59" t="str">
        <f>IF([2]道具信息!L443="","",[2]道具信息!L443)</f>
        <v/>
      </c>
      <c r="M443" s="59" t="str">
        <f>IF([2]道具信息!M443="","",[2]道具信息!M443)</f>
        <v/>
      </c>
      <c r="N443" s="59" t="str">
        <f>IF([2]道具信息!N443="","",[2]道具信息!N443)</f>
        <v/>
      </c>
      <c r="O443" s="59" t="str">
        <f>IF([2]道具信息!O443="","",[2]道具信息!O443)</f>
        <v/>
      </c>
      <c r="P443" s="59" t="str">
        <f>IF([2]道具信息!P443="","",[2]道具信息!P443)</f>
        <v/>
      </c>
      <c r="Q443" s="59" t="str">
        <f>IF([2]道具信息!Q443="","",[2]道具信息!Q443)</f>
        <v/>
      </c>
      <c r="R443" s="59" t="str">
        <f>IF([2]道具信息!R443="","",[2]道具信息!R443)</f>
        <v/>
      </c>
      <c r="S443" s="59" t="str">
        <f>IF([2]道具信息!S443="","",[2]道具信息!S443)</f>
        <v/>
      </c>
      <c r="T443" s="59" t="str">
        <f>IF([2]道具信息!T443="","",[2]道具信息!T443)</f>
        <v/>
      </c>
      <c r="U443" s="59" t="str">
        <f>IF([2]道具信息!U443="","",[2]道具信息!U443)</f>
        <v/>
      </c>
      <c r="V443" s="59" t="str">
        <f>IF([2]道具信息!V443="","",[2]道具信息!V443)</f>
        <v/>
      </c>
      <c r="W443" s="59" t="str">
        <f>IF([2]道具信息!W443="","",[2]道具信息!W443)</f>
        <v/>
      </c>
      <c r="X443" s="59" t="str">
        <f>IF([2]道具信息!X443="","",[2]道具信息!X443)</f>
        <v/>
      </c>
      <c r="Y443" s="59" t="str">
        <f>IF([2]道具信息!Y443="","",[2]道具信息!Y443)</f>
        <v/>
      </c>
      <c r="Z443" s="59" t="str">
        <f>IF([2]道具信息!Z443="","",[2]道具信息!Z443)</f>
        <v/>
      </c>
    </row>
    <row r="444" spans="1:26" x14ac:dyDescent="0.15">
      <c r="A444" s="59" t="str">
        <f>IF([2]道具信息!A444="","",[2]道具信息!A444)</f>
        <v/>
      </c>
      <c r="B444" s="59" t="str">
        <f>IF([2]道具信息!B444="","",[2]道具信息!B444)</f>
        <v/>
      </c>
      <c r="C444" s="59" t="str">
        <f>IF([2]道具信息!C444="","",[2]道具信息!C444)</f>
        <v/>
      </c>
      <c r="D444" s="59" t="str">
        <f>IF([2]道具信息!D444="","",[2]道具信息!D444)</f>
        <v/>
      </c>
      <c r="E444" s="59" t="str">
        <f>IF([2]道具信息!E444="","",[2]道具信息!E444)</f>
        <v/>
      </c>
      <c r="F444" s="59" t="str">
        <f>IF([2]道具信息!F444="","",[2]道具信息!F444)</f>
        <v/>
      </c>
      <c r="G444" s="59" t="str">
        <f>IF([2]道具信息!G444="","",[2]道具信息!G444)</f>
        <v/>
      </c>
      <c r="H444" s="59" t="str">
        <f>IF([2]道具信息!H444="","",[2]道具信息!H444)</f>
        <v/>
      </c>
      <c r="I444" s="59" t="str">
        <f>IF([2]道具信息!I444="","",[2]道具信息!I444)</f>
        <v/>
      </c>
      <c r="J444" s="59" t="str">
        <f>IF([2]道具信息!J444="","",[2]道具信息!J444)</f>
        <v/>
      </c>
      <c r="K444" s="59" t="str">
        <f>IF([2]道具信息!K444="","",[2]道具信息!K444)</f>
        <v/>
      </c>
      <c r="L444" s="59" t="str">
        <f>IF([2]道具信息!L444="","",[2]道具信息!L444)</f>
        <v/>
      </c>
      <c r="M444" s="59" t="str">
        <f>IF([2]道具信息!M444="","",[2]道具信息!M444)</f>
        <v/>
      </c>
      <c r="N444" s="59" t="str">
        <f>IF([2]道具信息!N444="","",[2]道具信息!N444)</f>
        <v/>
      </c>
      <c r="O444" s="59" t="str">
        <f>IF([2]道具信息!O444="","",[2]道具信息!O444)</f>
        <v/>
      </c>
      <c r="P444" s="59" t="str">
        <f>IF([2]道具信息!P444="","",[2]道具信息!P444)</f>
        <v/>
      </c>
      <c r="Q444" s="59" t="str">
        <f>IF([2]道具信息!Q444="","",[2]道具信息!Q444)</f>
        <v/>
      </c>
      <c r="R444" s="59" t="str">
        <f>IF([2]道具信息!R444="","",[2]道具信息!R444)</f>
        <v/>
      </c>
      <c r="S444" s="59" t="str">
        <f>IF([2]道具信息!S444="","",[2]道具信息!S444)</f>
        <v/>
      </c>
      <c r="T444" s="59" t="str">
        <f>IF([2]道具信息!T444="","",[2]道具信息!T444)</f>
        <v/>
      </c>
      <c r="U444" s="59" t="str">
        <f>IF([2]道具信息!U444="","",[2]道具信息!U444)</f>
        <v/>
      </c>
      <c r="V444" s="59" t="str">
        <f>IF([2]道具信息!V444="","",[2]道具信息!V444)</f>
        <v/>
      </c>
      <c r="W444" s="59" t="str">
        <f>IF([2]道具信息!W444="","",[2]道具信息!W444)</f>
        <v/>
      </c>
      <c r="X444" s="59" t="str">
        <f>IF([2]道具信息!X444="","",[2]道具信息!X444)</f>
        <v/>
      </c>
      <c r="Y444" s="59" t="str">
        <f>IF([2]道具信息!Y444="","",[2]道具信息!Y444)</f>
        <v/>
      </c>
      <c r="Z444" s="59" t="str">
        <f>IF([2]道具信息!Z444="","",[2]道具信息!Z444)</f>
        <v/>
      </c>
    </row>
    <row r="445" spans="1:26" x14ac:dyDescent="0.15">
      <c r="A445" s="59" t="str">
        <f>IF([2]道具信息!A445="","",[2]道具信息!A445)</f>
        <v/>
      </c>
      <c r="B445" s="59" t="str">
        <f>IF([2]道具信息!B445="","",[2]道具信息!B445)</f>
        <v/>
      </c>
      <c r="C445" s="59" t="str">
        <f>IF([2]道具信息!C445="","",[2]道具信息!C445)</f>
        <v/>
      </c>
      <c r="D445" s="59" t="str">
        <f>IF([2]道具信息!D445="","",[2]道具信息!D445)</f>
        <v/>
      </c>
      <c r="E445" s="59" t="str">
        <f>IF([2]道具信息!E445="","",[2]道具信息!E445)</f>
        <v/>
      </c>
      <c r="F445" s="59" t="str">
        <f>IF([2]道具信息!F445="","",[2]道具信息!F445)</f>
        <v/>
      </c>
      <c r="G445" s="59" t="str">
        <f>IF([2]道具信息!G445="","",[2]道具信息!G445)</f>
        <v/>
      </c>
      <c r="H445" s="59" t="str">
        <f>IF([2]道具信息!H445="","",[2]道具信息!H445)</f>
        <v/>
      </c>
      <c r="I445" s="59" t="str">
        <f>IF([2]道具信息!I445="","",[2]道具信息!I445)</f>
        <v/>
      </c>
      <c r="J445" s="59" t="str">
        <f>IF([2]道具信息!J445="","",[2]道具信息!J445)</f>
        <v/>
      </c>
      <c r="K445" s="59" t="str">
        <f>IF([2]道具信息!K445="","",[2]道具信息!K445)</f>
        <v/>
      </c>
      <c r="L445" s="59" t="str">
        <f>IF([2]道具信息!L445="","",[2]道具信息!L445)</f>
        <v/>
      </c>
      <c r="M445" s="59" t="str">
        <f>IF([2]道具信息!M445="","",[2]道具信息!M445)</f>
        <v/>
      </c>
      <c r="N445" s="59" t="str">
        <f>IF([2]道具信息!N445="","",[2]道具信息!N445)</f>
        <v/>
      </c>
      <c r="O445" s="59" t="str">
        <f>IF([2]道具信息!O445="","",[2]道具信息!O445)</f>
        <v/>
      </c>
      <c r="P445" s="59" t="str">
        <f>IF([2]道具信息!P445="","",[2]道具信息!P445)</f>
        <v/>
      </c>
      <c r="Q445" s="59" t="str">
        <f>IF([2]道具信息!Q445="","",[2]道具信息!Q445)</f>
        <v/>
      </c>
      <c r="R445" s="59" t="str">
        <f>IF([2]道具信息!R445="","",[2]道具信息!R445)</f>
        <v/>
      </c>
      <c r="S445" s="59" t="str">
        <f>IF([2]道具信息!S445="","",[2]道具信息!S445)</f>
        <v/>
      </c>
      <c r="T445" s="59" t="str">
        <f>IF([2]道具信息!T445="","",[2]道具信息!T445)</f>
        <v/>
      </c>
      <c r="U445" s="59" t="str">
        <f>IF([2]道具信息!U445="","",[2]道具信息!U445)</f>
        <v/>
      </c>
      <c r="V445" s="59" t="str">
        <f>IF([2]道具信息!V445="","",[2]道具信息!V445)</f>
        <v/>
      </c>
      <c r="W445" s="59" t="str">
        <f>IF([2]道具信息!W445="","",[2]道具信息!W445)</f>
        <v/>
      </c>
      <c r="X445" s="59" t="str">
        <f>IF([2]道具信息!X445="","",[2]道具信息!X445)</f>
        <v/>
      </c>
      <c r="Y445" s="59" t="str">
        <f>IF([2]道具信息!Y445="","",[2]道具信息!Y445)</f>
        <v/>
      </c>
      <c r="Z445" s="59" t="str">
        <f>IF([2]道具信息!Z445="","",[2]道具信息!Z445)</f>
        <v/>
      </c>
    </row>
    <row r="446" spans="1:26" x14ac:dyDescent="0.15">
      <c r="A446" s="59" t="str">
        <f>IF([2]道具信息!A446="","",[2]道具信息!A446)</f>
        <v/>
      </c>
      <c r="B446" s="59" t="str">
        <f>IF([2]道具信息!B446="","",[2]道具信息!B446)</f>
        <v/>
      </c>
      <c r="C446" s="59" t="str">
        <f>IF([2]道具信息!C446="","",[2]道具信息!C446)</f>
        <v/>
      </c>
      <c r="D446" s="59" t="str">
        <f>IF([2]道具信息!D446="","",[2]道具信息!D446)</f>
        <v/>
      </c>
      <c r="E446" s="59" t="str">
        <f>IF([2]道具信息!E446="","",[2]道具信息!E446)</f>
        <v/>
      </c>
      <c r="F446" s="59" t="str">
        <f>IF([2]道具信息!F446="","",[2]道具信息!F446)</f>
        <v/>
      </c>
      <c r="G446" s="59" t="str">
        <f>IF([2]道具信息!G446="","",[2]道具信息!G446)</f>
        <v/>
      </c>
      <c r="H446" s="59" t="str">
        <f>IF([2]道具信息!H446="","",[2]道具信息!H446)</f>
        <v/>
      </c>
      <c r="I446" s="59" t="str">
        <f>IF([2]道具信息!I446="","",[2]道具信息!I446)</f>
        <v/>
      </c>
      <c r="J446" s="59" t="str">
        <f>IF([2]道具信息!J446="","",[2]道具信息!J446)</f>
        <v/>
      </c>
      <c r="K446" s="59" t="str">
        <f>IF([2]道具信息!K446="","",[2]道具信息!K446)</f>
        <v/>
      </c>
      <c r="L446" s="59" t="str">
        <f>IF([2]道具信息!L446="","",[2]道具信息!L446)</f>
        <v/>
      </c>
      <c r="M446" s="59" t="str">
        <f>IF([2]道具信息!M446="","",[2]道具信息!M446)</f>
        <v/>
      </c>
      <c r="N446" s="59" t="str">
        <f>IF([2]道具信息!N446="","",[2]道具信息!N446)</f>
        <v/>
      </c>
      <c r="O446" s="59" t="str">
        <f>IF([2]道具信息!O446="","",[2]道具信息!O446)</f>
        <v/>
      </c>
      <c r="P446" s="59" t="str">
        <f>IF([2]道具信息!P446="","",[2]道具信息!P446)</f>
        <v/>
      </c>
      <c r="Q446" s="59" t="str">
        <f>IF([2]道具信息!Q446="","",[2]道具信息!Q446)</f>
        <v/>
      </c>
      <c r="R446" s="59" t="str">
        <f>IF([2]道具信息!R446="","",[2]道具信息!R446)</f>
        <v/>
      </c>
      <c r="S446" s="59" t="str">
        <f>IF([2]道具信息!S446="","",[2]道具信息!S446)</f>
        <v/>
      </c>
      <c r="T446" s="59" t="str">
        <f>IF([2]道具信息!T446="","",[2]道具信息!T446)</f>
        <v/>
      </c>
      <c r="U446" s="59" t="str">
        <f>IF([2]道具信息!U446="","",[2]道具信息!U446)</f>
        <v/>
      </c>
      <c r="V446" s="59" t="str">
        <f>IF([2]道具信息!V446="","",[2]道具信息!V446)</f>
        <v/>
      </c>
      <c r="W446" s="59" t="str">
        <f>IF([2]道具信息!W446="","",[2]道具信息!W446)</f>
        <v/>
      </c>
      <c r="X446" s="59" t="str">
        <f>IF([2]道具信息!X446="","",[2]道具信息!X446)</f>
        <v/>
      </c>
      <c r="Y446" s="59" t="str">
        <f>IF([2]道具信息!Y446="","",[2]道具信息!Y446)</f>
        <v/>
      </c>
      <c r="Z446" s="59" t="str">
        <f>IF([2]道具信息!Z446="","",[2]道具信息!Z446)</f>
        <v/>
      </c>
    </row>
    <row r="447" spans="1:26" x14ac:dyDescent="0.15">
      <c r="A447" s="59" t="str">
        <f>IF([2]道具信息!A447="","",[2]道具信息!A447)</f>
        <v/>
      </c>
      <c r="B447" s="59" t="str">
        <f>IF([2]道具信息!B447="","",[2]道具信息!B447)</f>
        <v/>
      </c>
      <c r="C447" s="59" t="str">
        <f>IF([2]道具信息!C447="","",[2]道具信息!C447)</f>
        <v/>
      </c>
      <c r="D447" s="59" t="str">
        <f>IF([2]道具信息!D447="","",[2]道具信息!D447)</f>
        <v/>
      </c>
      <c r="E447" s="59" t="str">
        <f>IF([2]道具信息!E447="","",[2]道具信息!E447)</f>
        <v/>
      </c>
      <c r="F447" s="59" t="str">
        <f>IF([2]道具信息!F447="","",[2]道具信息!F447)</f>
        <v/>
      </c>
      <c r="G447" s="59" t="str">
        <f>IF([2]道具信息!G447="","",[2]道具信息!G447)</f>
        <v/>
      </c>
      <c r="H447" s="59" t="str">
        <f>IF([2]道具信息!H447="","",[2]道具信息!H447)</f>
        <v/>
      </c>
      <c r="I447" s="59" t="str">
        <f>IF([2]道具信息!I447="","",[2]道具信息!I447)</f>
        <v/>
      </c>
      <c r="J447" s="59" t="str">
        <f>IF([2]道具信息!J447="","",[2]道具信息!J447)</f>
        <v/>
      </c>
      <c r="K447" s="59" t="str">
        <f>IF([2]道具信息!K447="","",[2]道具信息!K447)</f>
        <v/>
      </c>
      <c r="L447" s="59" t="str">
        <f>IF([2]道具信息!L447="","",[2]道具信息!L447)</f>
        <v/>
      </c>
      <c r="M447" s="59" t="str">
        <f>IF([2]道具信息!M447="","",[2]道具信息!M447)</f>
        <v/>
      </c>
      <c r="N447" s="59" t="str">
        <f>IF([2]道具信息!N447="","",[2]道具信息!N447)</f>
        <v/>
      </c>
      <c r="O447" s="59" t="str">
        <f>IF([2]道具信息!O447="","",[2]道具信息!O447)</f>
        <v/>
      </c>
      <c r="P447" s="59" t="str">
        <f>IF([2]道具信息!P447="","",[2]道具信息!P447)</f>
        <v/>
      </c>
      <c r="Q447" s="59" t="str">
        <f>IF([2]道具信息!Q447="","",[2]道具信息!Q447)</f>
        <v/>
      </c>
      <c r="R447" s="59" t="str">
        <f>IF([2]道具信息!R447="","",[2]道具信息!R447)</f>
        <v/>
      </c>
      <c r="S447" s="59" t="str">
        <f>IF([2]道具信息!S447="","",[2]道具信息!S447)</f>
        <v/>
      </c>
      <c r="T447" s="59" t="str">
        <f>IF([2]道具信息!T447="","",[2]道具信息!T447)</f>
        <v/>
      </c>
      <c r="U447" s="59" t="str">
        <f>IF([2]道具信息!U447="","",[2]道具信息!U447)</f>
        <v/>
      </c>
      <c r="V447" s="59" t="str">
        <f>IF([2]道具信息!V447="","",[2]道具信息!V447)</f>
        <v/>
      </c>
      <c r="W447" s="59" t="str">
        <f>IF([2]道具信息!W447="","",[2]道具信息!W447)</f>
        <v/>
      </c>
      <c r="X447" s="59" t="str">
        <f>IF([2]道具信息!X447="","",[2]道具信息!X447)</f>
        <v/>
      </c>
      <c r="Y447" s="59" t="str">
        <f>IF([2]道具信息!Y447="","",[2]道具信息!Y447)</f>
        <v/>
      </c>
      <c r="Z447" s="59" t="str">
        <f>IF([2]道具信息!Z447="","",[2]道具信息!Z447)</f>
        <v/>
      </c>
    </row>
    <row r="448" spans="1:26" x14ac:dyDescent="0.15">
      <c r="A448" s="59" t="str">
        <f>IF([2]道具信息!A448="","",[2]道具信息!A448)</f>
        <v/>
      </c>
      <c r="B448" s="59" t="str">
        <f>IF([2]道具信息!B448="","",[2]道具信息!B448)</f>
        <v/>
      </c>
      <c r="C448" s="59" t="str">
        <f>IF([2]道具信息!C448="","",[2]道具信息!C448)</f>
        <v/>
      </c>
      <c r="D448" s="59" t="str">
        <f>IF([2]道具信息!D448="","",[2]道具信息!D448)</f>
        <v/>
      </c>
      <c r="E448" s="59" t="str">
        <f>IF([2]道具信息!E448="","",[2]道具信息!E448)</f>
        <v/>
      </c>
      <c r="F448" s="59" t="str">
        <f>IF([2]道具信息!F448="","",[2]道具信息!F448)</f>
        <v/>
      </c>
      <c r="G448" s="59" t="str">
        <f>IF([2]道具信息!G448="","",[2]道具信息!G448)</f>
        <v/>
      </c>
      <c r="H448" s="59" t="str">
        <f>IF([2]道具信息!H448="","",[2]道具信息!H448)</f>
        <v/>
      </c>
      <c r="I448" s="59" t="str">
        <f>IF([2]道具信息!I448="","",[2]道具信息!I448)</f>
        <v/>
      </c>
      <c r="J448" s="59" t="str">
        <f>IF([2]道具信息!J448="","",[2]道具信息!J448)</f>
        <v/>
      </c>
      <c r="K448" s="59" t="str">
        <f>IF([2]道具信息!K448="","",[2]道具信息!K448)</f>
        <v/>
      </c>
      <c r="L448" s="59" t="str">
        <f>IF([2]道具信息!L448="","",[2]道具信息!L448)</f>
        <v/>
      </c>
      <c r="M448" s="59" t="str">
        <f>IF([2]道具信息!M448="","",[2]道具信息!M448)</f>
        <v/>
      </c>
      <c r="N448" s="59" t="str">
        <f>IF([2]道具信息!N448="","",[2]道具信息!N448)</f>
        <v/>
      </c>
      <c r="O448" s="59" t="str">
        <f>IF([2]道具信息!O448="","",[2]道具信息!O448)</f>
        <v/>
      </c>
      <c r="P448" s="59" t="str">
        <f>IF([2]道具信息!P448="","",[2]道具信息!P448)</f>
        <v/>
      </c>
      <c r="Q448" s="59" t="str">
        <f>IF([2]道具信息!Q448="","",[2]道具信息!Q448)</f>
        <v/>
      </c>
      <c r="R448" s="59" t="str">
        <f>IF([2]道具信息!R448="","",[2]道具信息!R448)</f>
        <v/>
      </c>
      <c r="S448" s="59" t="str">
        <f>IF([2]道具信息!S448="","",[2]道具信息!S448)</f>
        <v/>
      </c>
      <c r="T448" s="59" t="str">
        <f>IF([2]道具信息!T448="","",[2]道具信息!T448)</f>
        <v/>
      </c>
      <c r="U448" s="59" t="str">
        <f>IF([2]道具信息!U448="","",[2]道具信息!U448)</f>
        <v/>
      </c>
      <c r="V448" s="59" t="str">
        <f>IF([2]道具信息!V448="","",[2]道具信息!V448)</f>
        <v/>
      </c>
      <c r="W448" s="59" t="str">
        <f>IF([2]道具信息!W448="","",[2]道具信息!W448)</f>
        <v/>
      </c>
      <c r="X448" s="59" t="str">
        <f>IF([2]道具信息!X448="","",[2]道具信息!X448)</f>
        <v/>
      </c>
      <c r="Y448" s="59" t="str">
        <f>IF([2]道具信息!Y448="","",[2]道具信息!Y448)</f>
        <v/>
      </c>
      <c r="Z448" s="59" t="str">
        <f>IF([2]道具信息!Z448="","",[2]道具信息!Z448)</f>
        <v/>
      </c>
    </row>
    <row r="449" spans="1:26" x14ac:dyDescent="0.15">
      <c r="A449" s="59" t="str">
        <f>IF([2]道具信息!A449="","",[2]道具信息!A449)</f>
        <v/>
      </c>
      <c r="B449" s="59" t="str">
        <f>IF([2]道具信息!B449="","",[2]道具信息!B449)</f>
        <v/>
      </c>
      <c r="C449" s="59" t="str">
        <f>IF([2]道具信息!C449="","",[2]道具信息!C449)</f>
        <v/>
      </c>
      <c r="D449" s="59" t="str">
        <f>IF([2]道具信息!D449="","",[2]道具信息!D449)</f>
        <v/>
      </c>
      <c r="E449" s="59" t="str">
        <f>IF([2]道具信息!E449="","",[2]道具信息!E449)</f>
        <v/>
      </c>
      <c r="F449" s="59" t="str">
        <f>IF([2]道具信息!F449="","",[2]道具信息!F449)</f>
        <v/>
      </c>
      <c r="G449" s="59" t="str">
        <f>IF([2]道具信息!G449="","",[2]道具信息!G449)</f>
        <v/>
      </c>
      <c r="H449" s="59" t="str">
        <f>IF([2]道具信息!H449="","",[2]道具信息!H449)</f>
        <v/>
      </c>
      <c r="I449" s="59" t="str">
        <f>IF([2]道具信息!I449="","",[2]道具信息!I449)</f>
        <v/>
      </c>
      <c r="J449" s="59" t="str">
        <f>IF([2]道具信息!J449="","",[2]道具信息!J449)</f>
        <v/>
      </c>
      <c r="K449" s="59" t="str">
        <f>IF([2]道具信息!K449="","",[2]道具信息!K449)</f>
        <v/>
      </c>
      <c r="L449" s="59" t="str">
        <f>IF([2]道具信息!L449="","",[2]道具信息!L449)</f>
        <v/>
      </c>
      <c r="M449" s="59" t="str">
        <f>IF([2]道具信息!M449="","",[2]道具信息!M449)</f>
        <v/>
      </c>
      <c r="N449" s="59" t="str">
        <f>IF([2]道具信息!N449="","",[2]道具信息!N449)</f>
        <v/>
      </c>
      <c r="O449" s="59" t="str">
        <f>IF([2]道具信息!O449="","",[2]道具信息!O449)</f>
        <v/>
      </c>
      <c r="P449" s="59" t="str">
        <f>IF([2]道具信息!P449="","",[2]道具信息!P449)</f>
        <v/>
      </c>
      <c r="Q449" s="59" t="str">
        <f>IF([2]道具信息!Q449="","",[2]道具信息!Q449)</f>
        <v/>
      </c>
      <c r="R449" s="59" t="str">
        <f>IF([2]道具信息!R449="","",[2]道具信息!R449)</f>
        <v/>
      </c>
      <c r="S449" s="59" t="str">
        <f>IF([2]道具信息!S449="","",[2]道具信息!S449)</f>
        <v/>
      </c>
      <c r="T449" s="59" t="str">
        <f>IF([2]道具信息!T449="","",[2]道具信息!T449)</f>
        <v/>
      </c>
      <c r="U449" s="59" t="str">
        <f>IF([2]道具信息!U449="","",[2]道具信息!U449)</f>
        <v/>
      </c>
      <c r="V449" s="59" t="str">
        <f>IF([2]道具信息!V449="","",[2]道具信息!V449)</f>
        <v/>
      </c>
      <c r="W449" s="59" t="str">
        <f>IF([2]道具信息!W449="","",[2]道具信息!W449)</f>
        <v/>
      </c>
      <c r="X449" s="59" t="str">
        <f>IF([2]道具信息!X449="","",[2]道具信息!X449)</f>
        <v/>
      </c>
      <c r="Y449" s="59" t="str">
        <f>IF([2]道具信息!Y449="","",[2]道具信息!Y449)</f>
        <v/>
      </c>
      <c r="Z449" s="59" t="str">
        <f>IF([2]道具信息!Z449="","",[2]道具信息!Z449)</f>
        <v/>
      </c>
    </row>
    <row r="450" spans="1:26" x14ac:dyDescent="0.15">
      <c r="A450" s="59" t="str">
        <f>IF([2]道具信息!A450="","",[2]道具信息!A450)</f>
        <v/>
      </c>
      <c r="B450" s="59" t="str">
        <f>IF([2]道具信息!B450="","",[2]道具信息!B450)</f>
        <v/>
      </c>
      <c r="C450" s="59" t="str">
        <f>IF([2]道具信息!C450="","",[2]道具信息!C450)</f>
        <v/>
      </c>
      <c r="D450" s="59" t="str">
        <f>IF([2]道具信息!D450="","",[2]道具信息!D450)</f>
        <v/>
      </c>
      <c r="E450" s="59" t="str">
        <f>IF([2]道具信息!E450="","",[2]道具信息!E450)</f>
        <v/>
      </c>
      <c r="F450" s="59" t="str">
        <f>IF([2]道具信息!F450="","",[2]道具信息!F450)</f>
        <v/>
      </c>
      <c r="G450" s="59" t="str">
        <f>IF([2]道具信息!G450="","",[2]道具信息!G450)</f>
        <v/>
      </c>
      <c r="H450" s="59" t="str">
        <f>IF([2]道具信息!H450="","",[2]道具信息!H450)</f>
        <v/>
      </c>
      <c r="I450" s="59" t="str">
        <f>IF([2]道具信息!I450="","",[2]道具信息!I450)</f>
        <v/>
      </c>
      <c r="J450" s="59" t="str">
        <f>IF([2]道具信息!J450="","",[2]道具信息!J450)</f>
        <v/>
      </c>
      <c r="K450" s="59" t="str">
        <f>IF([2]道具信息!K450="","",[2]道具信息!K450)</f>
        <v/>
      </c>
      <c r="L450" s="59" t="str">
        <f>IF([2]道具信息!L450="","",[2]道具信息!L450)</f>
        <v/>
      </c>
      <c r="M450" s="59" t="str">
        <f>IF([2]道具信息!M450="","",[2]道具信息!M450)</f>
        <v/>
      </c>
      <c r="N450" s="59" t="str">
        <f>IF([2]道具信息!N450="","",[2]道具信息!N450)</f>
        <v/>
      </c>
      <c r="O450" s="59" t="str">
        <f>IF([2]道具信息!O450="","",[2]道具信息!O450)</f>
        <v/>
      </c>
      <c r="P450" s="59" t="str">
        <f>IF([2]道具信息!P450="","",[2]道具信息!P450)</f>
        <v/>
      </c>
      <c r="Q450" s="59" t="str">
        <f>IF([2]道具信息!Q450="","",[2]道具信息!Q450)</f>
        <v/>
      </c>
      <c r="R450" s="59" t="str">
        <f>IF([2]道具信息!R450="","",[2]道具信息!R450)</f>
        <v/>
      </c>
      <c r="S450" s="59" t="str">
        <f>IF([2]道具信息!S450="","",[2]道具信息!S450)</f>
        <v/>
      </c>
      <c r="T450" s="59" t="str">
        <f>IF([2]道具信息!T450="","",[2]道具信息!T450)</f>
        <v/>
      </c>
      <c r="U450" s="59" t="str">
        <f>IF([2]道具信息!U450="","",[2]道具信息!U450)</f>
        <v/>
      </c>
      <c r="V450" s="59" t="str">
        <f>IF([2]道具信息!V450="","",[2]道具信息!V450)</f>
        <v/>
      </c>
      <c r="W450" s="59" t="str">
        <f>IF([2]道具信息!W450="","",[2]道具信息!W450)</f>
        <v/>
      </c>
      <c r="X450" s="59" t="str">
        <f>IF([2]道具信息!X450="","",[2]道具信息!X450)</f>
        <v/>
      </c>
      <c r="Y450" s="59" t="str">
        <f>IF([2]道具信息!Y450="","",[2]道具信息!Y450)</f>
        <v/>
      </c>
      <c r="Z450" s="59" t="str">
        <f>IF([2]道具信息!Z450="","",[2]道具信息!Z450)</f>
        <v/>
      </c>
    </row>
    <row r="451" spans="1:26" x14ac:dyDescent="0.15">
      <c r="A451" s="59" t="str">
        <f>IF([2]道具信息!A451="","",[2]道具信息!A451)</f>
        <v/>
      </c>
      <c r="B451" s="59" t="str">
        <f>IF([2]道具信息!B451="","",[2]道具信息!B451)</f>
        <v/>
      </c>
      <c r="C451" s="59" t="str">
        <f>IF([2]道具信息!C451="","",[2]道具信息!C451)</f>
        <v/>
      </c>
      <c r="D451" s="59" t="str">
        <f>IF([2]道具信息!D451="","",[2]道具信息!D451)</f>
        <v/>
      </c>
      <c r="E451" s="59" t="str">
        <f>IF([2]道具信息!E451="","",[2]道具信息!E451)</f>
        <v/>
      </c>
      <c r="F451" s="59" t="str">
        <f>IF([2]道具信息!F451="","",[2]道具信息!F451)</f>
        <v/>
      </c>
      <c r="G451" s="59" t="str">
        <f>IF([2]道具信息!G451="","",[2]道具信息!G451)</f>
        <v/>
      </c>
      <c r="H451" s="59" t="str">
        <f>IF([2]道具信息!H451="","",[2]道具信息!H451)</f>
        <v/>
      </c>
      <c r="I451" s="59" t="str">
        <f>IF([2]道具信息!I451="","",[2]道具信息!I451)</f>
        <v/>
      </c>
      <c r="J451" s="59" t="str">
        <f>IF([2]道具信息!J451="","",[2]道具信息!J451)</f>
        <v/>
      </c>
      <c r="K451" s="59" t="str">
        <f>IF([2]道具信息!K451="","",[2]道具信息!K451)</f>
        <v/>
      </c>
      <c r="L451" s="59" t="str">
        <f>IF([2]道具信息!L451="","",[2]道具信息!L451)</f>
        <v/>
      </c>
      <c r="M451" s="59" t="str">
        <f>IF([2]道具信息!M451="","",[2]道具信息!M451)</f>
        <v/>
      </c>
      <c r="N451" s="59" t="str">
        <f>IF([2]道具信息!N451="","",[2]道具信息!N451)</f>
        <v/>
      </c>
      <c r="O451" s="59" t="str">
        <f>IF([2]道具信息!O451="","",[2]道具信息!O451)</f>
        <v/>
      </c>
      <c r="P451" s="59" t="str">
        <f>IF([2]道具信息!P451="","",[2]道具信息!P451)</f>
        <v/>
      </c>
      <c r="Q451" s="59" t="str">
        <f>IF([2]道具信息!Q451="","",[2]道具信息!Q451)</f>
        <v/>
      </c>
      <c r="R451" s="59" t="str">
        <f>IF([2]道具信息!R451="","",[2]道具信息!R451)</f>
        <v/>
      </c>
      <c r="S451" s="59" t="str">
        <f>IF([2]道具信息!S451="","",[2]道具信息!S451)</f>
        <v/>
      </c>
      <c r="T451" s="59" t="str">
        <f>IF([2]道具信息!T451="","",[2]道具信息!T451)</f>
        <v/>
      </c>
      <c r="U451" s="59" t="str">
        <f>IF([2]道具信息!U451="","",[2]道具信息!U451)</f>
        <v/>
      </c>
      <c r="V451" s="59" t="str">
        <f>IF([2]道具信息!V451="","",[2]道具信息!V451)</f>
        <v/>
      </c>
      <c r="W451" s="59" t="str">
        <f>IF([2]道具信息!W451="","",[2]道具信息!W451)</f>
        <v/>
      </c>
      <c r="X451" s="59" t="str">
        <f>IF([2]道具信息!X451="","",[2]道具信息!X451)</f>
        <v/>
      </c>
      <c r="Y451" s="59" t="str">
        <f>IF([2]道具信息!Y451="","",[2]道具信息!Y451)</f>
        <v/>
      </c>
      <c r="Z451" s="59" t="str">
        <f>IF([2]道具信息!Z451="","",[2]道具信息!Z451)</f>
        <v/>
      </c>
    </row>
    <row r="452" spans="1:26" x14ac:dyDescent="0.15">
      <c r="A452" s="59" t="str">
        <f>IF([2]道具信息!A452="","",[2]道具信息!A452)</f>
        <v/>
      </c>
      <c r="B452" s="59" t="str">
        <f>IF([2]道具信息!B452="","",[2]道具信息!B452)</f>
        <v/>
      </c>
      <c r="C452" s="59" t="str">
        <f>IF([2]道具信息!C452="","",[2]道具信息!C452)</f>
        <v/>
      </c>
      <c r="D452" s="59" t="str">
        <f>IF([2]道具信息!D452="","",[2]道具信息!D452)</f>
        <v/>
      </c>
      <c r="E452" s="59" t="str">
        <f>IF([2]道具信息!E452="","",[2]道具信息!E452)</f>
        <v/>
      </c>
      <c r="F452" s="59" t="str">
        <f>IF([2]道具信息!F452="","",[2]道具信息!F452)</f>
        <v/>
      </c>
      <c r="G452" s="59" t="str">
        <f>IF([2]道具信息!G452="","",[2]道具信息!G452)</f>
        <v/>
      </c>
      <c r="H452" s="59" t="str">
        <f>IF([2]道具信息!H452="","",[2]道具信息!H452)</f>
        <v/>
      </c>
      <c r="I452" s="59" t="str">
        <f>IF([2]道具信息!I452="","",[2]道具信息!I452)</f>
        <v/>
      </c>
      <c r="J452" s="59" t="str">
        <f>IF([2]道具信息!J452="","",[2]道具信息!J452)</f>
        <v/>
      </c>
      <c r="K452" s="59" t="str">
        <f>IF([2]道具信息!K452="","",[2]道具信息!K452)</f>
        <v/>
      </c>
      <c r="L452" s="59" t="str">
        <f>IF([2]道具信息!L452="","",[2]道具信息!L452)</f>
        <v/>
      </c>
      <c r="M452" s="59" t="str">
        <f>IF([2]道具信息!M452="","",[2]道具信息!M452)</f>
        <v/>
      </c>
      <c r="N452" s="59" t="str">
        <f>IF([2]道具信息!N452="","",[2]道具信息!N452)</f>
        <v/>
      </c>
      <c r="O452" s="59" t="str">
        <f>IF([2]道具信息!O452="","",[2]道具信息!O452)</f>
        <v/>
      </c>
      <c r="P452" s="59" t="str">
        <f>IF([2]道具信息!P452="","",[2]道具信息!P452)</f>
        <v/>
      </c>
      <c r="Q452" s="59" t="str">
        <f>IF([2]道具信息!Q452="","",[2]道具信息!Q452)</f>
        <v/>
      </c>
      <c r="R452" s="59" t="str">
        <f>IF([2]道具信息!R452="","",[2]道具信息!R452)</f>
        <v/>
      </c>
      <c r="S452" s="59" t="str">
        <f>IF([2]道具信息!S452="","",[2]道具信息!S452)</f>
        <v/>
      </c>
      <c r="T452" s="59" t="str">
        <f>IF([2]道具信息!T452="","",[2]道具信息!T452)</f>
        <v/>
      </c>
      <c r="U452" s="59" t="str">
        <f>IF([2]道具信息!U452="","",[2]道具信息!U452)</f>
        <v/>
      </c>
      <c r="V452" s="59" t="str">
        <f>IF([2]道具信息!V452="","",[2]道具信息!V452)</f>
        <v/>
      </c>
      <c r="W452" s="59" t="str">
        <f>IF([2]道具信息!W452="","",[2]道具信息!W452)</f>
        <v/>
      </c>
      <c r="X452" s="59" t="str">
        <f>IF([2]道具信息!X452="","",[2]道具信息!X452)</f>
        <v/>
      </c>
      <c r="Y452" s="59" t="str">
        <f>IF([2]道具信息!Y452="","",[2]道具信息!Y452)</f>
        <v/>
      </c>
      <c r="Z452" s="59" t="str">
        <f>IF([2]道具信息!Z452="","",[2]道具信息!Z452)</f>
        <v/>
      </c>
    </row>
    <row r="453" spans="1:26" x14ac:dyDescent="0.15">
      <c r="A453" s="59" t="str">
        <f>IF([2]道具信息!A453="","",[2]道具信息!A453)</f>
        <v/>
      </c>
      <c r="B453" s="59" t="str">
        <f>IF([2]道具信息!B453="","",[2]道具信息!B453)</f>
        <v/>
      </c>
      <c r="C453" s="59" t="str">
        <f>IF([2]道具信息!C453="","",[2]道具信息!C453)</f>
        <v/>
      </c>
      <c r="D453" s="59" t="str">
        <f>IF([2]道具信息!D453="","",[2]道具信息!D453)</f>
        <v/>
      </c>
      <c r="E453" s="59" t="str">
        <f>IF([2]道具信息!E453="","",[2]道具信息!E453)</f>
        <v/>
      </c>
      <c r="F453" s="59" t="str">
        <f>IF([2]道具信息!F453="","",[2]道具信息!F453)</f>
        <v/>
      </c>
      <c r="G453" s="59" t="str">
        <f>IF([2]道具信息!G453="","",[2]道具信息!G453)</f>
        <v/>
      </c>
      <c r="H453" s="59" t="str">
        <f>IF([2]道具信息!H453="","",[2]道具信息!H453)</f>
        <v/>
      </c>
      <c r="I453" s="59" t="str">
        <f>IF([2]道具信息!I453="","",[2]道具信息!I453)</f>
        <v/>
      </c>
      <c r="J453" s="59" t="str">
        <f>IF([2]道具信息!J453="","",[2]道具信息!J453)</f>
        <v/>
      </c>
      <c r="K453" s="59" t="str">
        <f>IF([2]道具信息!K453="","",[2]道具信息!K453)</f>
        <v/>
      </c>
      <c r="L453" s="59" t="str">
        <f>IF([2]道具信息!L453="","",[2]道具信息!L453)</f>
        <v/>
      </c>
      <c r="M453" s="59" t="str">
        <f>IF([2]道具信息!M453="","",[2]道具信息!M453)</f>
        <v/>
      </c>
      <c r="N453" s="59" t="str">
        <f>IF([2]道具信息!N453="","",[2]道具信息!N453)</f>
        <v/>
      </c>
      <c r="O453" s="59" t="str">
        <f>IF([2]道具信息!O453="","",[2]道具信息!O453)</f>
        <v/>
      </c>
      <c r="P453" s="59" t="str">
        <f>IF([2]道具信息!P453="","",[2]道具信息!P453)</f>
        <v/>
      </c>
      <c r="Q453" s="59" t="str">
        <f>IF([2]道具信息!Q453="","",[2]道具信息!Q453)</f>
        <v/>
      </c>
      <c r="R453" s="59" t="str">
        <f>IF([2]道具信息!R453="","",[2]道具信息!R453)</f>
        <v/>
      </c>
      <c r="S453" s="59" t="str">
        <f>IF([2]道具信息!S453="","",[2]道具信息!S453)</f>
        <v/>
      </c>
      <c r="T453" s="59" t="str">
        <f>IF([2]道具信息!T453="","",[2]道具信息!T453)</f>
        <v/>
      </c>
      <c r="U453" s="59" t="str">
        <f>IF([2]道具信息!U453="","",[2]道具信息!U453)</f>
        <v/>
      </c>
      <c r="V453" s="59" t="str">
        <f>IF([2]道具信息!V453="","",[2]道具信息!V453)</f>
        <v/>
      </c>
      <c r="W453" s="59" t="str">
        <f>IF([2]道具信息!W453="","",[2]道具信息!W453)</f>
        <v/>
      </c>
      <c r="X453" s="59" t="str">
        <f>IF([2]道具信息!X453="","",[2]道具信息!X453)</f>
        <v/>
      </c>
      <c r="Y453" s="59" t="str">
        <f>IF([2]道具信息!Y453="","",[2]道具信息!Y453)</f>
        <v/>
      </c>
      <c r="Z453" s="59" t="str">
        <f>IF([2]道具信息!Z453="","",[2]道具信息!Z453)</f>
        <v/>
      </c>
    </row>
    <row r="454" spans="1:26" x14ac:dyDescent="0.15">
      <c r="A454" s="59" t="str">
        <f>IF([2]道具信息!A454="","",[2]道具信息!A454)</f>
        <v/>
      </c>
      <c r="B454" s="59" t="str">
        <f>IF([2]道具信息!B454="","",[2]道具信息!B454)</f>
        <v/>
      </c>
      <c r="C454" s="59" t="str">
        <f>IF([2]道具信息!C454="","",[2]道具信息!C454)</f>
        <v/>
      </c>
      <c r="D454" s="59" t="str">
        <f>IF([2]道具信息!D454="","",[2]道具信息!D454)</f>
        <v/>
      </c>
      <c r="E454" s="59" t="str">
        <f>IF([2]道具信息!E454="","",[2]道具信息!E454)</f>
        <v/>
      </c>
      <c r="F454" s="59" t="str">
        <f>IF([2]道具信息!F454="","",[2]道具信息!F454)</f>
        <v/>
      </c>
      <c r="G454" s="59" t="str">
        <f>IF([2]道具信息!G454="","",[2]道具信息!G454)</f>
        <v/>
      </c>
      <c r="H454" s="59" t="str">
        <f>IF([2]道具信息!H454="","",[2]道具信息!H454)</f>
        <v/>
      </c>
      <c r="I454" s="59" t="str">
        <f>IF([2]道具信息!I454="","",[2]道具信息!I454)</f>
        <v/>
      </c>
      <c r="J454" s="59" t="str">
        <f>IF([2]道具信息!J454="","",[2]道具信息!J454)</f>
        <v/>
      </c>
      <c r="K454" s="59" t="str">
        <f>IF([2]道具信息!K454="","",[2]道具信息!K454)</f>
        <v/>
      </c>
      <c r="L454" s="59" t="str">
        <f>IF([2]道具信息!L454="","",[2]道具信息!L454)</f>
        <v/>
      </c>
      <c r="M454" s="59" t="str">
        <f>IF([2]道具信息!M454="","",[2]道具信息!M454)</f>
        <v/>
      </c>
      <c r="N454" s="59" t="str">
        <f>IF([2]道具信息!N454="","",[2]道具信息!N454)</f>
        <v/>
      </c>
      <c r="O454" s="59" t="str">
        <f>IF([2]道具信息!O454="","",[2]道具信息!O454)</f>
        <v/>
      </c>
      <c r="P454" s="59" t="str">
        <f>IF([2]道具信息!P454="","",[2]道具信息!P454)</f>
        <v/>
      </c>
      <c r="Q454" s="59" t="str">
        <f>IF([2]道具信息!Q454="","",[2]道具信息!Q454)</f>
        <v/>
      </c>
      <c r="R454" s="59" t="str">
        <f>IF([2]道具信息!R454="","",[2]道具信息!R454)</f>
        <v/>
      </c>
      <c r="S454" s="59" t="str">
        <f>IF([2]道具信息!S454="","",[2]道具信息!S454)</f>
        <v/>
      </c>
      <c r="T454" s="59" t="str">
        <f>IF([2]道具信息!T454="","",[2]道具信息!T454)</f>
        <v/>
      </c>
      <c r="U454" s="59" t="str">
        <f>IF([2]道具信息!U454="","",[2]道具信息!U454)</f>
        <v/>
      </c>
      <c r="V454" s="59" t="str">
        <f>IF([2]道具信息!V454="","",[2]道具信息!V454)</f>
        <v/>
      </c>
      <c r="W454" s="59" t="str">
        <f>IF([2]道具信息!W454="","",[2]道具信息!W454)</f>
        <v/>
      </c>
      <c r="X454" s="59" t="str">
        <f>IF([2]道具信息!X454="","",[2]道具信息!X454)</f>
        <v/>
      </c>
      <c r="Y454" s="59" t="str">
        <f>IF([2]道具信息!Y454="","",[2]道具信息!Y454)</f>
        <v/>
      </c>
      <c r="Z454" s="59" t="str">
        <f>IF([2]道具信息!Z454="","",[2]道具信息!Z454)</f>
        <v/>
      </c>
    </row>
    <row r="455" spans="1:26" x14ac:dyDescent="0.15">
      <c r="A455" s="59" t="str">
        <f>IF([2]道具信息!A455="","",[2]道具信息!A455)</f>
        <v/>
      </c>
      <c r="B455" s="59" t="str">
        <f>IF([2]道具信息!B455="","",[2]道具信息!B455)</f>
        <v/>
      </c>
      <c r="C455" s="59" t="str">
        <f>IF([2]道具信息!C455="","",[2]道具信息!C455)</f>
        <v/>
      </c>
      <c r="D455" s="59" t="str">
        <f>IF([2]道具信息!D455="","",[2]道具信息!D455)</f>
        <v/>
      </c>
      <c r="E455" s="59" t="str">
        <f>IF([2]道具信息!E455="","",[2]道具信息!E455)</f>
        <v/>
      </c>
      <c r="F455" s="59" t="str">
        <f>IF([2]道具信息!F455="","",[2]道具信息!F455)</f>
        <v/>
      </c>
      <c r="G455" s="59" t="str">
        <f>IF([2]道具信息!G455="","",[2]道具信息!G455)</f>
        <v/>
      </c>
      <c r="H455" s="59" t="str">
        <f>IF([2]道具信息!H455="","",[2]道具信息!H455)</f>
        <v/>
      </c>
      <c r="I455" s="59" t="str">
        <f>IF([2]道具信息!I455="","",[2]道具信息!I455)</f>
        <v/>
      </c>
      <c r="J455" s="59" t="str">
        <f>IF([2]道具信息!J455="","",[2]道具信息!J455)</f>
        <v/>
      </c>
      <c r="K455" s="59" t="str">
        <f>IF([2]道具信息!K455="","",[2]道具信息!K455)</f>
        <v/>
      </c>
      <c r="L455" s="59" t="str">
        <f>IF([2]道具信息!L455="","",[2]道具信息!L455)</f>
        <v/>
      </c>
      <c r="M455" s="59" t="str">
        <f>IF([2]道具信息!M455="","",[2]道具信息!M455)</f>
        <v/>
      </c>
      <c r="N455" s="59" t="str">
        <f>IF([2]道具信息!N455="","",[2]道具信息!N455)</f>
        <v/>
      </c>
      <c r="O455" s="59" t="str">
        <f>IF([2]道具信息!O455="","",[2]道具信息!O455)</f>
        <v/>
      </c>
      <c r="P455" s="59" t="str">
        <f>IF([2]道具信息!P455="","",[2]道具信息!P455)</f>
        <v/>
      </c>
      <c r="Q455" s="59" t="str">
        <f>IF([2]道具信息!Q455="","",[2]道具信息!Q455)</f>
        <v/>
      </c>
      <c r="R455" s="59" t="str">
        <f>IF([2]道具信息!R455="","",[2]道具信息!R455)</f>
        <v/>
      </c>
      <c r="S455" s="59" t="str">
        <f>IF([2]道具信息!S455="","",[2]道具信息!S455)</f>
        <v/>
      </c>
      <c r="T455" s="59" t="str">
        <f>IF([2]道具信息!T455="","",[2]道具信息!T455)</f>
        <v/>
      </c>
      <c r="U455" s="59" t="str">
        <f>IF([2]道具信息!U455="","",[2]道具信息!U455)</f>
        <v/>
      </c>
      <c r="V455" s="59" t="str">
        <f>IF([2]道具信息!V455="","",[2]道具信息!V455)</f>
        <v/>
      </c>
      <c r="W455" s="59" t="str">
        <f>IF([2]道具信息!W455="","",[2]道具信息!W455)</f>
        <v/>
      </c>
      <c r="X455" s="59" t="str">
        <f>IF([2]道具信息!X455="","",[2]道具信息!X455)</f>
        <v/>
      </c>
      <c r="Y455" s="59" t="str">
        <f>IF([2]道具信息!Y455="","",[2]道具信息!Y455)</f>
        <v/>
      </c>
      <c r="Z455" s="59" t="str">
        <f>IF([2]道具信息!Z455="","",[2]道具信息!Z455)</f>
        <v/>
      </c>
    </row>
    <row r="456" spans="1:26" x14ac:dyDescent="0.15">
      <c r="A456" s="59" t="str">
        <f>IF([2]道具信息!A456="","",[2]道具信息!A456)</f>
        <v/>
      </c>
      <c r="B456" s="59" t="str">
        <f>IF([2]道具信息!B456="","",[2]道具信息!B456)</f>
        <v/>
      </c>
      <c r="C456" s="59" t="str">
        <f>IF([2]道具信息!C456="","",[2]道具信息!C456)</f>
        <v/>
      </c>
      <c r="D456" s="59" t="str">
        <f>IF([2]道具信息!D456="","",[2]道具信息!D456)</f>
        <v/>
      </c>
      <c r="E456" s="59" t="str">
        <f>IF([2]道具信息!E456="","",[2]道具信息!E456)</f>
        <v/>
      </c>
      <c r="F456" s="59" t="str">
        <f>IF([2]道具信息!F456="","",[2]道具信息!F456)</f>
        <v/>
      </c>
      <c r="G456" s="59" t="str">
        <f>IF([2]道具信息!G456="","",[2]道具信息!G456)</f>
        <v/>
      </c>
      <c r="H456" s="59" t="str">
        <f>IF([2]道具信息!H456="","",[2]道具信息!H456)</f>
        <v/>
      </c>
      <c r="I456" s="59" t="str">
        <f>IF([2]道具信息!I456="","",[2]道具信息!I456)</f>
        <v/>
      </c>
      <c r="J456" s="59" t="str">
        <f>IF([2]道具信息!J456="","",[2]道具信息!J456)</f>
        <v/>
      </c>
      <c r="K456" s="59" t="str">
        <f>IF([2]道具信息!K456="","",[2]道具信息!K456)</f>
        <v/>
      </c>
      <c r="L456" s="59" t="str">
        <f>IF([2]道具信息!L456="","",[2]道具信息!L456)</f>
        <v/>
      </c>
      <c r="M456" s="59" t="str">
        <f>IF([2]道具信息!M456="","",[2]道具信息!M456)</f>
        <v/>
      </c>
      <c r="N456" s="59" t="str">
        <f>IF([2]道具信息!N456="","",[2]道具信息!N456)</f>
        <v/>
      </c>
      <c r="O456" s="59" t="str">
        <f>IF([2]道具信息!O456="","",[2]道具信息!O456)</f>
        <v/>
      </c>
      <c r="P456" s="59" t="str">
        <f>IF([2]道具信息!P456="","",[2]道具信息!P456)</f>
        <v/>
      </c>
      <c r="Q456" s="59" t="str">
        <f>IF([2]道具信息!Q456="","",[2]道具信息!Q456)</f>
        <v/>
      </c>
      <c r="R456" s="59" t="str">
        <f>IF([2]道具信息!R456="","",[2]道具信息!R456)</f>
        <v/>
      </c>
      <c r="S456" s="59" t="str">
        <f>IF([2]道具信息!S456="","",[2]道具信息!S456)</f>
        <v/>
      </c>
      <c r="T456" s="59" t="str">
        <f>IF([2]道具信息!T456="","",[2]道具信息!T456)</f>
        <v/>
      </c>
      <c r="U456" s="59" t="str">
        <f>IF([2]道具信息!U456="","",[2]道具信息!U456)</f>
        <v/>
      </c>
      <c r="V456" s="59" t="str">
        <f>IF([2]道具信息!V456="","",[2]道具信息!V456)</f>
        <v/>
      </c>
      <c r="W456" s="59" t="str">
        <f>IF([2]道具信息!W456="","",[2]道具信息!W456)</f>
        <v/>
      </c>
      <c r="X456" s="59" t="str">
        <f>IF([2]道具信息!X456="","",[2]道具信息!X456)</f>
        <v/>
      </c>
      <c r="Y456" s="59" t="str">
        <f>IF([2]道具信息!Y456="","",[2]道具信息!Y456)</f>
        <v/>
      </c>
      <c r="Z456" s="59" t="str">
        <f>IF([2]道具信息!Z456="","",[2]道具信息!Z456)</f>
        <v/>
      </c>
    </row>
    <row r="457" spans="1:26" x14ac:dyDescent="0.15">
      <c r="A457" s="59" t="str">
        <f>IF([2]道具信息!A457="","",[2]道具信息!A457)</f>
        <v/>
      </c>
      <c r="B457" s="59" t="str">
        <f>IF([2]道具信息!B457="","",[2]道具信息!B457)</f>
        <v/>
      </c>
      <c r="C457" s="59" t="str">
        <f>IF([2]道具信息!C457="","",[2]道具信息!C457)</f>
        <v/>
      </c>
      <c r="D457" s="59" t="str">
        <f>IF([2]道具信息!D457="","",[2]道具信息!D457)</f>
        <v/>
      </c>
      <c r="E457" s="59" t="str">
        <f>IF([2]道具信息!E457="","",[2]道具信息!E457)</f>
        <v/>
      </c>
      <c r="F457" s="59" t="str">
        <f>IF([2]道具信息!F457="","",[2]道具信息!F457)</f>
        <v/>
      </c>
      <c r="G457" s="59" t="str">
        <f>IF([2]道具信息!G457="","",[2]道具信息!G457)</f>
        <v/>
      </c>
      <c r="H457" s="59" t="str">
        <f>IF([2]道具信息!H457="","",[2]道具信息!H457)</f>
        <v/>
      </c>
      <c r="I457" s="59" t="str">
        <f>IF([2]道具信息!I457="","",[2]道具信息!I457)</f>
        <v/>
      </c>
      <c r="J457" s="59" t="str">
        <f>IF([2]道具信息!J457="","",[2]道具信息!J457)</f>
        <v/>
      </c>
      <c r="K457" s="59" t="str">
        <f>IF([2]道具信息!K457="","",[2]道具信息!K457)</f>
        <v/>
      </c>
      <c r="L457" s="59" t="str">
        <f>IF([2]道具信息!L457="","",[2]道具信息!L457)</f>
        <v/>
      </c>
      <c r="M457" s="59" t="str">
        <f>IF([2]道具信息!M457="","",[2]道具信息!M457)</f>
        <v/>
      </c>
      <c r="N457" s="59" t="str">
        <f>IF([2]道具信息!N457="","",[2]道具信息!N457)</f>
        <v/>
      </c>
      <c r="O457" s="59" t="str">
        <f>IF([2]道具信息!O457="","",[2]道具信息!O457)</f>
        <v/>
      </c>
      <c r="P457" s="59" t="str">
        <f>IF([2]道具信息!P457="","",[2]道具信息!P457)</f>
        <v/>
      </c>
      <c r="Q457" s="59" t="str">
        <f>IF([2]道具信息!Q457="","",[2]道具信息!Q457)</f>
        <v/>
      </c>
      <c r="R457" s="59" t="str">
        <f>IF([2]道具信息!R457="","",[2]道具信息!R457)</f>
        <v/>
      </c>
      <c r="S457" s="59" t="str">
        <f>IF([2]道具信息!S457="","",[2]道具信息!S457)</f>
        <v/>
      </c>
      <c r="T457" s="59" t="str">
        <f>IF([2]道具信息!T457="","",[2]道具信息!T457)</f>
        <v/>
      </c>
      <c r="U457" s="59" t="str">
        <f>IF([2]道具信息!U457="","",[2]道具信息!U457)</f>
        <v/>
      </c>
      <c r="V457" s="59" t="str">
        <f>IF([2]道具信息!V457="","",[2]道具信息!V457)</f>
        <v/>
      </c>
      <c r="W457" s="59" t="str">
        <f>IF([2]道具信息!W457="","",[2]道具信息!W457)</f>
        <v/>
      </c>
      <c r="X457" s="59" t="str">
        <f>IF([2]道具信息!X457="","",[2]道具信息!X457)</f>
        <v/>
      </c>
      <c r="Y457" s="59" t="str">
        <f>IF([2]道具信息!Y457="","",[2]道具信息!Y457)</f>
        <v/>
      </c>
      <c r="Z457" s="59" t="str">
        <f>IF([2]道具信息!Z457="","",[2]道具信息!Z457)</f>
        <v/>
      </c>
    </row>
    <row r="458" spans="1:26" x14ac:dyDescent="0.15">
      <c r="A458" s="59" t="str">
        <f>IF([2]道具信息!A458="","",[2]道具信息!A458)</f>
        <v/>
      </c>
      <c r="B458" s="59" t="str">
        <f>IF([2]道具信息!B458="","",[2]道具信息!B458)</f>
        <v/>
      </c>
      <c r="C458" s="59" t="str">
        <f>IF([2]道具信息!C458="","",[2]道具信息!C458)</f>
        <v/>
      </c>
      <c r="D458" s="59" t="str">
        <f>IF([2]道具信息!D458="","",[2]道具信息!D458)</f>
        <v/>
      </c>
      <c r="E458" s="59" t="str">
        <f>IF([2]道具信息!E458="","",[2]道具信息!E458)</f>
        <v/>
      </c>
      <c r="F458" s="59" t="str">
        <f>IF([2]道具信息!F458="","",[2]道具信息!F458)</f>
        <v/>
      </c>
      <c r="G458" s="59" t="str">
        <f>IF([2]道具信息!G458="","",[2]道具信息!G458)</f>
        <v/>
      </c>
      <c r="H458" s="59" t="str">
        <f>IF([2]道具信息!H458="","",[2]道具信息!H458)</f>
        <v/>
      </c>
      <c r="I458" s="59" t="str">
        <f>IF([2]道具信息!I458="","",[2]道具信息!I458)</f>
        <v/>
      </c>
      <c r="J458" s="59" t="str">
        <f>IF([2]道具信息!J458="","",[2]道具信息!J458)</f>
        <v/>
      </c>
      <c r="K458" s="59" t="str">
        <f>IF([2]道具信息!K458="","",[2]道具信息!K458)</f>
        <v/>
      </c>
      <c r="L458" s="59" t="str">
        <f>IF([2]道具信息!L458="","",[2]道具信息!L458)</f>
        <v/>
      </c>
      <c r="M458" s="59" t="str">
        <f>IF([2]道具信息!M458="","",[2]道具信息!M458)</f>
        <v/>
      </c>
      <c r="N458" s="59" t="str">
        <f>IF([2]道具信息!N458="","",[2]道具信息!N458)</f>
        <v/>
      </c>
      <c r="O458" s="59" t="str">
        <f>IF([2]道具信息!O458="","",[2]道具信息!O458)</f>
        <v/>
      </c>
      <c r="P458" s="59" t="str">
        <f>IF([2]道具信息!P458="","",[2]道具信息!P458)</f>
        <v/>
      </c>
      <c r="Q458" s="59" t="str">
        <f>IF([2]道具信息!Q458="","",[2]道具信息!Q458)</f>
        <v/>
      </c>
      <c r="R458" s="59" t="str">
        <f>IF([2]道具信息!R458="","",[2]道具信息!R458)</f>
        <v/>
      </c>
      <c r="S458" s="59" t="str">
        <f>IF([2]道具信息!S458="","",[2]道具信息!S458)</f>
        <v/>
      </c>
      <c r="T458" s="59" t="str">
        <f>IF([2]道具信息!T458="","",[2]道具信息!T458)</f>
        <v/>
      </c>
      <c r="U458" s="59" t="str">
        <f>IF([2]道具信息!U458="","",[2]道具信息!U458)</f>
        <v/>
      </c>
      <c r="V458" s="59" t="str">
        <f>IF([2]道具信息!V458="","",[2]道具信息!V458)</f>
        <v/>
      </c>
      <c r="W458" s="59" t="str">
        <f>IF([2]道具信息!W458="","",[2]道具信息!W458)</f>
        <v/>
      </c>
      <c r="X458" s="59" t="str">
        <f>IF([2]道具信息!X458="","",[2]道具信息!X458)</f>
        <v/>
      </c>
      <c r="Y458" s="59" t="str">
        <f>IF([2]道具信息!Y458="","",[2]道具信息!Y458)</f>
        <v/>
      </c>
      <c r="Z458" s="59" t="str">
        <f>IF([2]道具信息!Z458="","",[2]道具信息!Z458)</f>
        <v/>
      </c>
    </row>
    <row r="459" spans="1:26" x14ac:dyDescent="0.15">
      <c r="A459" s="59" t="str">
        <f>IF([2]道具信息!A459="","",[2]道具信息!A459)</f>
        <v/>
      </c>
      <c r="B459" s="59" t="str">
        <f>IF([2]道具信息!B459="","",[2]道具信息!B459)</f>
        <v/>
      </c>
      <c r="C459" s="59" t="str">
        <f>IF([2]道具信息!C459="","",[2]道具信息!C459)</f>
        <v/>
      </c>
      <c r="D459" s="59" t="str">
        <f>IF([2]道具信息!D459="","",[2]道具信息!D459)</f>
        <v/>
      </c>
      <c r="E459" s="59" t="str">
        <f>IF([2]道具信息!E459="","",[2]道具信息!E459)</f>
        <v/>
      </c>
      <c r="F459" s="59" t="str">
        <f>IF([2]道具信息!F459="","",[2]道具信息!F459)</f>
        <v/>
      </c>
      <c r="G459" s="59" t="str">
        <f>IF([2]道具信息!G459="","",[2]道具信息!G459)</f>
        <v/>
      </c>
      <c r="H459" s="59" t="str">
        <f>IF([2]道具信息!H459="","",[2]道具信息!H459)</f>
        <v/>
      </c>
      <c r="I459" s="59" t="str">
        <f>IF([2]道具信息!I459="","",[2]道具信息!I459)</f>
        <v/>
      </c>
      <c r="J459" s="59" t="str">
        <f>IF([2]道具信息!J459="","",[2]道具信息!J459)</f>
        <v/>
      </c>
      <c r="K459" s="59" t="str">
        <f>IF([2]道具信息!K459="","",[2]道具信息!K459)</f>
        <v/>
      </c>
      <c r="L459" s="59" t="str">
        <f>IF([2]道具信息!L459="","",[2]道具信息!L459)</f>
        <v/>
      </c>
      <c r="M459" s="59" t="str">
        <f>IF([2]道具信息!M459="","",[2]道具信息!M459)</f>
        <v/>
      </c>
      <c r="N459" s="59" t="str">
        <f>IF([2]道具信息!N459="","",[2]道具信息!N459)</f>
        <v/>
      </c>
      <c r="O459" s="59" t="str">
        <f>IF([2]道具信息!O459="","",[2]道具信息!O459)</f>
        <v/>
      </c>
      <c r="P459" s="59" t="str">
        <f>IF([2]道具信息!P459="","",[2]道具信息!P459)</f>
        <v/>
      </c>
      <c r="Q459" s="59" t="str">
        <f>IF([2]道具信息!Q459="","",[2]道具信息!Q459)</f>
        <v/>
      </c>
      <c r="R459" s="59" t="str">
        <f>IF([2]道具信息!R459="","",[2]道具信息!R459)</f>
        <v/>
      </c>
      <c r="S459" s="59" t="str">
        <f>IF([2]道具信息!S459="","",[2]道具信息!S459)</f>
        <v/>
      </c>
      <c r="T459" s="59" t="str">
        <f>IF([2]道具信息!T459="","",[2]道具信息!T459)</f>
        <v/>
      </c>
      <c r="U459" s="59" t="str">
        <f>IF([2]道具信息!U459="","",[2]道具信息!U459)</f>
        <v/>
      </c>
      <c r="V459" s="59" t="str">
        <f>IF([2]道具信息!V459="","",[2]道具信息!V459)</f>
        <v/>
      </c>
      <c r="W459" s="59" t="str">
        <f>IF([2]道具信息!W459="","",[2]道具信息!W459)</f>
        <v/>
      </c>
      <c r="X459" s="59" t="str">
        <f>IF([2]道具信息!X459="","",[2]道具信息!X459)</f>
        <v/>
      </c>
      <c r="Y459" s="59" t="str">
        <f>IF([2]道具信息!Y459="","",[2]道具信息!Y459)</f>
        <v/>
      </c>
      <c r="Z459" s="59" t="str">
        <f>IF([2]道具信息!Z459="","",[2]道具信息!Z459)</f>
        <v/>
      </c>
    </row>
    <row r="460" spans="1:26" x14ac:dyDescent="0.15">
      <c r="A460" s="59" t="str">
        <f>IF([2]道具信息!A460="","",[2]道具信息!A460)</f>
        <v/>
      </c>
      <c r="B460" s="59" t="str">
        <f>IF([2]道具信息!B460="","",[2]道具信息!B460)</f>
        <v/>
      </c>
      <c r="C460" s="59" t="str">
        <f>IF([2]道具信息!C460="","",[2]道具信息!C460)</f>
        <v/>
      </c>
      <c r="D460" s="59" t="str">
        <f>IF([2]道具信息!D460="","",[2]道具信息!D460)</f>
        <v/>
      </c>
      <c r="E460" s="59" t="str">
        <f>IF([2]道具信息!E460="","",[2]道具信息!E460)</f>
        <v/>
      </c>
      <c r="F460" s="59" t="str">
        <f>IF([2]道具信息!F460="","",[2]道具信息!F460)</f>
        <v/>
      </c>
      <c r="G460" s="59" t="str">
        <f>IF([2]道具信息!G460="","",[2]道具信息!G460)</f>
        <v/>
      </c>
      <c r="H460" s="59" t="str">
        <f>IF([2]道具信息!H460="","",[2]道具信息!H460)</f>
        <v/>
      </c>
      <c r="I460" s="59" t="str">
        <f>IF([2]道具信息!I460="","",[2]道具信息!I460)</f>
        <v/>
      </c>
      <c r="J460" s="59" t="str">
        <f>IF([2]道具信息!J460="","",[2]道具信息!J460)</f>
        <v/>
      </c>
      <c r="K460" s="59" t="str">
        <f>IF([2]道具信息!K460="","",[2]道具信息!K460)</f>
        <v/>
      </c>
      <c r="L460" s="59" t="str">
        <f>IF([2]道具信息!L460="","",[2]道具信息!L460)</f>
        <v/>
      </c>
      <c r="M460" s="59" t="str">
        <f>IF([2]道具信息!M460="","",[2]道具信息!M460)</f>
        <v/>
      </c>
      <c r="N460" s="59" t="str">
        <f>IF([2]道具信息!N460="","",[2]道具信息!N460)</f>
        <v/>
      </c>
      <c r="O460" s="59" t="str">
        <f>IF([2]道具信息!O460="","",[2]道具信息!O460)</f>
        <v/>
      </c>
      <c r="P460" s="59" t="str">
        <f>IF([2]道具信息!P460="","",[2]道具信息!P460)</f>
        <v/>
      </c>
      <c r="Q460" s="59" t="str">
        <f>IF([2]道具信息!Q460="","",[2]道具信息!Q460)</f>
        <v/>
      </c>
      <c r="R460" s="59" t="str">
        <f>IF([2]道具信息!R460="","",[2]道具信息!R460)</f>
        <v/>
      </c>
      <c r="S460" s="59" t="str">
        <f>IF([2]道具信息!S460="","",[2]道具信息!S460)</f>
        <v/>
      </c>
      <c r="T460" s="59" t="str">
        <f>IF([2]道具信息!T460="","",[2]道具信息!T460)</f>
        <v/>
      </c>
      <c r="U460" s="59" t="str">
        <f>IF([2]道具信息!U460="","",[2]道具信息!U460)</f>
        <v/>
      </c>
      <c r="V460" s="59" t="str">
        <f>IF([2]道具信息!V460="","",[2]道具信息!V460)</f>
        <v/>
      </c>
      <c r="W460" s="59" t="str">
        <f>IF([2]道具信息!W460="","",[2]道具信息!W460)</f>
        <v/>
      </c>
      <c r="X460" s="59" t="str">
        <f>IF([2]道具信息!X460="","",[2]道具信息!X460)</f>
        <v/>
      </c>
      <c r="Y460" s="59" t="str">
        <f>IF([2]道具信息!Y460="","",[2]道具信息!Y460)</f>
        <v/>
      </c>
      <c r="Z460" s="59" t="str">
        <f>IF([2]道具信息!Z460="","",[2]道具信息!Z460)</f>
        <v/>
      </c>
    </row>
    <row r="461" spans="1:26" x14ac:dyDescent="0.15">
      <c r="A461" s="59" t="str">
        <f>IF([2]道具信息!A461="","",[2]道具信息!A461)</f>
        <v/>
      </c>
      <c r="B461" s="59" t="str">
        <f>IF([2]道具信息!B461="","",[2]道具信息!B461)</f>
        <v/>
      </c>
      <c r="C461" s="59" t="str">
        <f>IF([2]道具信息!C461="","",[2]道具信息!C461)</f>
        <v/>
      </c>
      <c r="D461" s="59" t="str">
        <f>IF([2]道具信息!D461="","",[2]道具信息!D461)</f>
        <v/>
      </c>
      <c r="E461" s="59" t="str">
        <f>IF([2]道具信息!E461="","",[2]道具信息!E461)</f>
        <v/>
      </c>
      <c r="F461" s="59" t="str">
        <f>IF([2]道具信息!F461="","",[2]道具信息!F461)</f>
        <v/>
      </c>
      <c r="G461" s="59" t="str">
        <f>IF([2]道具信息!G461="","",[2]道具信息!G461)</f>
        <v/>
      </c>
      <c r="H461" s="59" t="str">
        <f>IF([2]道具信息!H461="","",[2]道具信息!H461)</f>
        <v/>
      </c>
      <c r="I461" s="59" t="str">
        <f>IF([2]道具信息!I461="","",[2]道具信息!I461)</f>
        <v/>
      </c>
      <c r="J461" s="59" t="str">
        <f>IF([2]道具信息!J461="","",[2]道具信息!J461)</f>
        <v/>
      </c>
      <c r="K461" s="59" t="str">
        <f>IF([2]道具信息!K461="","",[2]道具信息!K461)</f>
        <v/>
      </c>
      <c r="L461" s="59" t="str">
        <f>IF([2]道具信息!L461="","",[2]道具信息!L461)</f>
        <v/>
      </c>
      <c r="M461" s="59" t="str">
        <f>IF([2]道具信息!M461="","",[2]道具信息!M461)</f>
        <v/>
      </c>
      <c r="N461" s="59" t="str">
        <f>IF([2]道具信息!N461="","",[2]道具信息!N461)</f>
        <v/>
      </c>
      <c r="O461" s="59" t="str">
        <f>IF([2]道具信息!O461="","",[2]道具信息!O461)</f>
        <v/>
      </c>
      <c r="P461" s="59" t="str">
        <f>IF([2]道具信息!P461="","",[2]道具信息!P461)</f>
        <v/>
      </c>
      <c r="Q461" s="59" t="str">
        <f>IF([2]道具信息!Q461="","",[2]道具信息!Q461)</f>
        <v/>
      </c>
      <c r="R461" s="59" t="str">
        <f>IF([2]道具信息!R461="","",[2]道具信息!R461)</f>
        <v/>
      </c>
      <c r="S461" s="59" t="str">
        <f>IF([2]道具信息!S461="","",[2]道具信息!S461)</f>
        <v/>
      </c>
      <c r="T461" s="59" t="str">
        <f>IF([2]道具信息!T461="","",[2]道具信息!T461)</f>
        <v/>
      </c>
      <c r="U461" s="59" t="str">
        <f>IF([2]道具信息!U461="","",[2]道具信息!U461)</f>
        <v/>
      </c>
      <c r="V461" s="59" t="str">
        <f>IF([2]道具信息!V461="","",[2]道具信息!V461)</f>
        <v/>
      </c>
      <c r="W461" s="59" t="str">
        <f>IF([2]道具信息!W461="","",[2]道具信息!W461)</f>
        <v/>
      </c>
      <c r="X461" s="59" t="str">
        <f>IF([2]道具信息!X461="","",[2]道具信息!X461)</f>
        <v/>
      </c>
      <c r="Y461" s="59" t="str">
        <f>IF([2]道具信息!Y461="","",[2]道具信息!Y461)</f>
        <v/>
      </c>
      <c r="Z461" s="59" t="str">
        <f>IF([2]道具信息!Z461="","",[2]道具信息!Z461)</f>
        <v/>
      </c>
    </row>
    <row r="462" spans="1:26" x14ac:dyDescent="0.15">
      <c r="A462" s="59" t="str">
        <f>IF([2]道具信息!A462="","",[2]道具信息!A462)</f>
        <v/>
      </c>
      <c r="B462" s="59" t="str">
        <f>IF([2]道具信息!B462="","",[2]道具信息!B462)</f>
        <v/>
      </c>
      <c r="C462" s="59" t="str">
        <f>IF([2]道具信息!C462="","",[2]道具信息!C462)</f>
        <v/>
      </c>
      <c r="D462" s="59" t="str">
        <f>IF([2]道具信息!D462="","",[2]道具信息!D462)</f>
        <v/>
      </c>
      <c r="E462" s="59" t="str">
        <f>IF([2]道具信息!E462="","",[2]道具信息!E462)</f>
        <v/>
      </c>
      <c r="F462" s="59" t="str">
        <f>IF([2]道具信息!F462="","",[2]道具信息!F462)</f>
        <v/>
      </c>
      <c r="G462" s="59" t="str">
        <f>IF([2]道具信息!G462="","",[2]道具信息!G462)</f>
        <v/>
      </c>
      <c r="H462" s="59" t="str">
        <f>IF([2]道具信息!H462="","",[2]道具信息!H462)</f>
        <v/>
      </c>
      <c r="I462" s="59" t="str">
        <f>IF([2]道具信息!I462="","",[2]道具信息!I462)</f>
        <v/>
      </c>
      <c r="J462" s="59" t="str">
        <f>IF([2]道具信息!J462="","",[2]道具信息!J462)</f>
        <v/>
      </c>
      <c r="K462" s="59" t="str">
        <f>IF([2]道具信息!K462="","",[2]道具信息!K462)</f>
        <v/>
      </c>
      <c r="L462" s="59" t="str">
        <f>IF([2]道具信息!L462="","",[2]道具信息!L462)</f>
        <v/>
      </c>
      <c r="M462" s="59" t="str">
        <f>IF([2]道具信息!M462="","",[2]道具信息!M462)</f>
        <v/>
      </c>
      <c r="N462" s="59" t="str">
        <f>IF([2]道具信息!N462="","",[2]道具信息!N462)</f>
        <v/>
      </c>
      <c r="O462" s="59" t="str">
        <f>IF([2]道具信息!O462="","",[2]道具信息!O462)</f>
        <v/>
      </c>
      <c r="P462" s="59" t="str">
        <f>IF([2]道具信息!P462="","",[2]道具信息!P462)</f>
        <v/>
      </c>
      <c r="Q462" s="59" t="str">
        <f>IF([2]道具信息!Q462="","",[2]道具信息!Q462)</f>
        <v/>
      </c>
      <c r="R462" s="59" t="str">
        <f>IF([2]道具信息!R462="","",[2]道具信息!R462)</f>
        <v/>
      </c>
      <c r="S462" s="59" t="str">
        <f>IF([2]道具信息!S462="","",[2]道具信息!S462)</f>
        <v/>
      </c>
      <c r="T462" s="59" t="str">
        <f>IF([2]道具信息!T462="","",[2]道具信息!T462)</f>
        <v/>
      </c>
      <c r="U462" s="59" t="str">
        <f>IF([2]道具信息!U462="","",[2]道具信息!U462)</f>
        <v/>
      </c>
      <c r="V462" s="59" t="str">
        <f>IF([2]道具信息!V462="","",[2]道具信息!V462)</f>
        <v/>
      </c>
      <c r="W462" s="59" t="str">
        <f>IF([2]道具信息!W462="","",[2]道具信息!W462)</f>
        <v/>
      </c>
      <c r="X462" s="59" t="str">
        <f>IF([2]道具信息!X462="","",[2]道具信息!X462)</f>
        <v/>
      </c>
      <c r="Y462" s="59" t="str">
        <f>IF([2]道具信息!Y462="","",[2]道具信息!Y462)</f>
        <v/>
      </c>
      <c r="Z462" s="59" t="str">
        <f>IF([2]道具信息!Z462="","",[2]道具信息!Z462)</f>
        <v/>
      </c>
    </row>
    <row r="463" spans="1:26" x14ac:dyDescent="0.15">
      <c r="A463" s="59" t="str">
        <f>IF([2]道具信息!A463="","",[2]道具信息!A463)</f>
        <v/>
      </c>
      <c r="B463" s="59" t="str">
        <f>IF([2]道具信息!B463="","",[2]道具信息!B463)</f>
        <v/>
      </c>
      <c r="C463" s="59" t="str">
        <f>IF([2]道具信息!C463="","",[2]道具信息!C463)</f>
        <v/>
      </c>
      <c r="D463" s="59" t="str">
        <f>IF([2]道具信息!D463="","",[2]道具信息!D463)</f>
        <v/>
      </c>
      <c r="E463" s="59" t="str">
        <f>IF([2]道具信息!E463="","",[2]道具信息!E463)</f>
        <v/>
      </c>
      <c r="F463" s="59" t="str">
        <f>IF([2]道具信息!F463="","",[2]道具信息!F463)</f>
        <v/>
      </c>
      <c r="G463" s="59" t="str">
        <f>IF([2]道具信息!G463="","",[2]道具信息!G463)</f>
        <v/>
      </c>
      <c r="H463" s="59" t="str">
        <f>IF([2]道具信息!H463="","",[2]道具信息!H463)</f>
        <v/>
      </c>
      <c r="I463" s="59" t="str">
        <f>IF([2]道具信息!I463="","",[2]道具信息!I463)</f>
        <v/>
      </c>
      <c r="J463" s="59" t="str">
        <f>IF([2]道具信息!J463="","",[2]道具信息!J463)</f>
        <v/>
      </c>
      <c r="K463" s="59" t="str">
        <f>IF([2]道具信息!K463="","",[2]道具信息!K463)</f>
        <v/>
      </c>
      <c r="L463" s="59" t="str">
        <f>IF([2]道具信息!L463="","",[2]道具信息!L463)</f>
        <v/>
      </c>
      <c r="M463" s="59" t="str">
        <f>IF([2]道具信息!M463="","",[2]道具信息!M463)</f>
        <v/>
      </c>
      <c r="N463" s="59" t="str">
        <f>IF([2]道具信息!N463="","",[2]道具信息!N463)</f>
        <v/>
      </c>
      <c r="O463" s="59" t="str">
        <f>IF([2]道具信息!O463="","",[2]道具信息!O463)</f>
        <v/>
      </c>
      <c r="P463" s="59" t="str">
        <f>IF([2]道具信息!P463="","",[2]道具信息!P463)</f>
        <v/>
      </c>
      <c r="Q463" s="59" t="str">
        <f>IF([2]道具信息!Q463="","",[2]道具信息!Q463)</f>
        <v/>
      </c>
      <c r="R463" s="59" t="str">
        <f>IF([2]道具信息!R463="","",[2]道具信息!R463)</f>
        <v/>
      </c>
      <c r="S463" s="59" t="str">
        <f>IF([2]道具信息!S463="","",[2]道具信息!S463)</f>
        <v/>
      </c>
      <c r="T463" s="59" t="str">
        <f>IF([2]道具信息!T463="","",[2]道具信息!T463)</f>
        <v/>
      </c>
      <c r="U463" s="59" t="str">
        <f>IF([2]道具信息!U463="","",[2]道具信息!U463)</f>
        <v/>
      </c>
      <c r="V463" s="59" t="str">
        <f>IF([2]道具信息!V463="","",[2]道具信息!V463)</f>
        <v/>
      </c>
      <c r="W463" s="59" t="str">
        <f>IF([2]道具信息!W463="","",[2]道具信息!W463)</f>
        <v/>
      </c>
      <c r="X463" s="59" t="str">
        <f>IF([2]道具信息!X463="","",[2]道具信息!X463)</f>
        <v/>
      </c>
      <c r="Y463" s="59" t="str">
        <f>IF([2]道具信息!Y463="","",[2]道具信息!Y463)</f>
        <v/>
      </c>
      <c r="Z463" s="59" t="str">
        <f>IF([2]道具信息!Z463="","",[2]道具信息!Z463)</f>
        <v/>
      </c>
    </row>
    <row r="464" spans="1:26" x14ac:dyDescent="0.15">
      <c r="A464" s="59" t="str">
        <f>IF([2]道具信息!A464="","",[2]道具信息!A464)</f>
        <v/>
      </c>
      <c r="B464" s="59" t="str">
        <f>IF([2]道具信息!B464="","",[2]道具信息!B464)</f>
        <v/>
      </c>
      <c r="C464" s="59" t="str">
        <f>IF([2]道具信息!C464="","",[2]道具信息!C464)</f>
        <v/>
      </c>
      <c r="D464" s="59" t="str">
        <f>IF([2]道具信息!D464="","",[2]道具信息!D464)</f>
        <v/>
      </c>
      <c r="E464" s="59" t="str">
        <f>IF([2]道具信息!E464="","",[2]道具信息!E464)</f>
        <v/>
      </c>
      <c r="F464" s="59" t="str">
        <f>IF([2]道具信息!F464="","",[2]道具信息!F464)</f>
        <v/>
      </c>
      <c r="G464" s="59" t="str">
        <f>IF([2]道具信息!G464="","",[2]道具信息!G464)</f>
        <v/>
      </c>
      <c r="H464" s="59" t="str">
        <f>IF([2]道具信息!H464="","",[2]道具信息!H464)</f>
        <v/>
      </c>
      <c r="I464" s="59" t="str">
        <f>IF([2]道具信息!I464="","",[2]道具信息!I464)</f>
        <v/>
      </c>
      <c r="J464" s="59" t="str">
        <f>IF([2]道具信息!J464="","",[2]道具信息!J464)</f>
        <v/>
      </c>
      <c r="K464" s="59" t="str">
        <f>IF([2]道具信息!K464="","",[2]道具信息!K464)</f>
        <v/>
      </c>
      <c r="L464" s="59" t="str">
        <f>IF([2]道具信息!L464="","",[2]道具信息!L464)</f>
        <v/>
      </c>
      <c r="M464" s="59" t="str">
        <f>IF([2]道具信息!M464="","",[2]道具信息!M464)</f>
        <v/>
      </c>
      <c r="N464" s="59" t="str">
        <f>IF([2]道具信息!N464="","",[2]道具信息!N464)</f>
        <v/>
      </c>
      <c r="O464" s="59" t="str">
        <f>IF([2]道具信息!O464="","",[2]道具信息!O464)</f>
        <v/>
      </c>
      <c r="P464" s="59" t="str">
        <f>IF([2]道具信息!P464="","",[2]道具信息!P464)</f>
        <v/>
      </c>
      <c r="Q464" s="59" t="str">
        <f>IF([2]道具信息!Q464="","",[2]道具信息!Q464)</f>
        <v/>
      </c>
      <c r="R464" s="59" t="str">
        <f>IF([2]道具信息!R464="","",[2]道具信息!R464)</f>
        <v/>
      </c>
      <c r="S464" s="59" t="str">
        <f>IF([2]道具信息!S464="","",[2]道具信息!S464)</f>
        <v/>
      </c>
      <c r="T464" s="59" t="str">
        <f>IF([2]道具信息!T464="","",[2]道具信息!T464)</f>
        <v/>
      </c>
      <c r="U464" s="59" t="str">
        <f>IF([2]道具信息!U464="","",[2]道具信息!U464)</f>
        <v/>
      </c>
      <c r="V464" s="59" t="str">
        <f>IF([2]道具信息!V464="","",[2]道具信息!V464)</f>
        <v/>
      </c>
      <c r="W464" s="59" t="str">
        <f>IF([2]道具信息!W464="","",[2]道具信息!W464)</f>
        <v/>
      </c>
      <c r="X464" s="59" t="str">
        <f>IF([2]道具信息!X464="","",[2]道具信息!X464)</f>
        <v/>
      </c>
      <c r="Y464" s="59" t="str">
        <f>IF([2]道具信息!Y464="","",[2]道具信息!Y464)</f>
        <v/>
      </c>
      <c r="Z464" s="59" t="str">
        <f>IF([2]道具信息!Z464="","",[2]道具信息!Z464)</f>
        <v/>
      </c>
    </row>
    <row r="465" spans="1:26" x14ac:dyDescent="0.15">
      <c r="A465" s="59" t="str">
        <f>IF([2]道具信息!A465="","",[2]道具信息!A465)</f>
        <v/>
      </c>
      <c r="B465" s="59" t="str">
        <f>IF([2]道具信息!B465="","",[2]道具信息!B465)</f>
        <v/>
      </c>
      <c r="C465" s="59" t="str">
        <f>IF([2]道具信息!C465="","",[2]道具信息!C465)</f>
        <v/>
      </c>
      <c r="D465" s="59" t="str">
        <f>IF([2]道具信息!D465="","",[2]道具信息!D465)</f>
        <v/>
      </c>
      <c r="E465" s="59" t="str">
        <f>IF([2]道具信息!E465="","",[2]道具信息!E465)</f>
        <v/>
      </c>
      <c r="F465" s="59" t="str">
        <f>IF([2]道具信息!F465="","",[2]道具信息!F465)</f>
        <v/>
      </c>
      <c r="G465" s="59" t="str">
        <f>IF([2]道具信息!G465="","",[2]道具信息!G465)</f>
        <v/>
      </c>
      <c r="H465" s="59" t="str">
        <f>IF([2]道具信息!H465="","",[2]道具信息!H465)</f>
        <v/>
      </c>
      <c r="I465" s="59" t="str">
        <f>IF([2]道具信息!I465="","",[2]道具信息!I465)</f>
        <v/>
      </c>
      <c r="J465" s="59" t="str">
        <f>IF([2]道具信息!J465="","",[2]道具信息!J465)</f>
        <v/>
      </c>
      <c r="K465" s="59" t="str">
        <f>IF([2]道具信息!K465="","",[2]道具信息!K465)</f>
        <v/>
      </c>
      <c r="L465" s="59" t="str">
        <f>IF([2]道具信息!L465="","",[2]道具信息!L465)</f>
        <v/>
      </c>
      <c r="M465" s="59" t="str">
        <f>IF([2]道具信息!M465="","",[2]道具信息!M465)</f>
        <v/>
      </c>
      <c r="N465" s="59" t="str">
        <f>IF([2]道具信息!N465="","",[2]道具信息!N465)</f>
        <v/>
      </c>
      <c r="O465" s="59" t="str">
        <f>IF([2]道具信息!O465="","",[2]道具信息!O465)</f>
        <v/>
      </c>
      <c r="P465" s="59" t="str">
        <f>IF([2]道具信息!P465="","",[2]道具信息!P465)</f>
        <v/>
      </c>
      <c r="Q465" s="59" t="str">
        <f>IF([2]道具信息!Q465="","",[2]道具信息!Q465)</f>
        <v/>
      </c>
      <c r="R465" s="59" t="str">
        <f>IF([2]道具信息!R465="","",[2]道具信息!R465)</f>
        <v/>
      </c>
      <c r="S465" s="59" t="str">
        <f>IF([2]道具信息!S465="","",[2]道具信息!S465)</f>
        <v/>
      </c>
      <c r="T465" s="59" t="str">
        <f>IF([2]道具信息!T465="","",[2]道具信息!T465)</f>
        <v/>
      </c>
      <c r="U465" s="59" t="str">
        <f>IF([2]道具信息!U465="","",[2]道具信息!U465)</f>
        <v/>
      </c>
      <c r="V465" s="59" t="str">
        <f>IF([2]道具信息!V465="","",[2]道具信息!V465)</f>
        <v/>
      </c>
      <c r="W465" s="59" t="str">
        <f>IF([2]道具信息!W465="","",[2]道具信息!W465)</f>
        <v/>
      </c>
      <c r="X465" s="59" t="str">
        <f>IF([2]道具信息!X465="","",[2]道具信息!X465)</f>
        <v/>
      </c>
      <c r="Y465" s="59" t="str">
        <f>IF([2]道具信息!Y465="","",[2]道具信息!Y465)</f>
        <v/>
      </c>
      <c r="Z465" s="59" t="str">
        <f>IF([2]道具信息!Z465="","",[2]道具信息!Z465)</f>
        <v/>
      </c>
    </row>
    <row r="466" spans="1:26" x14ac:dyDescent="0.15">
      <c r="A466" s="59" t="str">
        <f>IF([2]道具信息!A466="","",[2]道具信息!A466)</f>
        <v/>
      </c>
      <c r="B466" s="59" t="str">
        <f>IF([2]道具信息!B466="","",[2]道具信息!B466)</f>
        <v/>
      </c>
      <c r="C466" s="59" t="str">
        <f>IF([2]道具信息!C466="","",[2]道具信息!C466)</f>
        <v/>
      </c>
      <c r="D466" s="59" t="str">
        <f>IF([2]道具信息!D466="","",[2]道具信息!D466)</f>
        <v/>
      </c>
      <c r="E466" s="59" t="str">
        <f>IF([2]道具信息!E466="","",[2]道具信息!E466)</f>
        <v/>
      </c>
      <c r="F466" s="59" t="str">
        <f>IF([2]道具信息!F466="","",[2]道具信息!F466)</f>
        <v/>
      </c>
      <c r="G466" s="59" t="str">
        <f>IF([2]道具信息!G466="","",[2]道具信息!G466)</f>
        <v/>
      </c>
      <c r="H466" s="59" t="str">
        <f>IF([2]道具信息!H466="","",[2]道具信息!H466)</f>
        <v/>
      </c>
      <c r="I466" s="59" t="str">
        <f>IF([2]道具信息!I466="","",[2]道具信息!I466)</f>
        <v/>
      </c>
      <c r="J466" s="59" t="str">
        <f>IF([2]道具信息!J466="","",[2]道具信息!J466)</f>
        <v/>
      </c>
      <c r="K466" s="59" t="str">
        <f>IF([2]道具信息!K466="","",[2]道具信息!K466)</f>
        <v/>
      </c>
      <c r="L466" s="59" t="str">
        <f>IF([2]道具信息!L466="","",[2]道具信息!L466)</f>
        <v/>
      </c>
      <c r="M466" s="59" t="str">
        <f>IF([2]道具信息!M466="","",[2]道具信息!M466)</f>
        <v/>
      </c>
      <c r="N466" s="59" t="str">
        <f>IF([2]道具信息!N466="","",[2]道具信息!N466)</f>
        <v/>
      </c>
      <c r="O466" s="59" t="str">
        <f>IF([2]道具信息!O466="","",[2]道具信息!O466)</f>
        <v/>
      </c>
      <c r="P466" s="59" t="str">
        <f>IF([2]道具信息!P466="","",[2]道具信息!P466)</f>
        <v/>
      </c>
      <c r="Q466" s="59" t="str">
        <f>IF([2]道具信息!Q466="","",[2]道具信息!Q466)</f>
        <v/>
      </c>
      <c r="R466" s="59" t="str">
        <f>IF([2]道具信息!R466="","",[2]道具信息!R466)</f>
        <v/>
      </c>
      <c r="S466" s="59" t="str">
        <f>IF([2]道具信息!S466="","",[2]道具信息!S466)</f>
        <v/>
      </c>
      <c r="T466" s="59" t="str">
        <f>IF([2]道具信息!T466="","",[2]道具信息!T466)</f>
        <v/>
      </c>
      <c r="U466" s="59" t="str">
        <f>IF([2]道具信息!U466="","",[2]道具信息!U466)</f>
        <v/>
      </c>
      <c r="V466" s="59" t="str">
        <f>IF([2]道具信息!V466="","",[2]道具信息!V466)</f>
        <v/>
      </c>
      <c r="W466" s="59" t="str">
        <f>IF([2]道具信息!W466="","",[2]道具信息!W466)</f>
        <v/>
      </c>
      <c r="X466" s="59" t="str">
        <f>IF([2]道具信息!X466="","",[2]道具信息!X466)</f>
        <v/>
      </c>
      <c r="Y466" s="59" t="str">
        <f>IF([2]道具信息!Y466="","",[2]道具信息!Y466)</f>
        <v/>
      </c>
      <c r="Z466" s="59" t="str">
        <f>IF([2]道具信息!Z466="","",[2]道具信息!Z466)</f>
        <v/>
      </c>
    </row>
    <row r="467" spans="1:26" x14ac:dyDescent="0.15">
      <c r="A467" s="59" t="str">
        <f>IF([2]道具信息!A467="","",[2]道具信息!A467)</f>
        <v/>
      </c>
      <c r="B467" s="59" t="str">
        <f>IF([2]道具信息!B467="","",[2]道具信息!B467)</f>
        <v/>
      </c>
      <c r="C467" s="59" t="str">
        <f>IF([2]道具信息!C467="","",[2]道具信息!C467)</f>
        <v/>
      </c>
      <c r="D467" s="59" t="str">
        <f>IF([2]道具信息!D467="","",[2]道具信息!D467)</f>
        <v/>
      </c>
      <c r="E467" s="59" t="str">
        <f>IF([2]道具信息!E467="","",[2]道具信息!E467)</f>
        <v/>
      </c>
      <c r="F467" s="59" t="str">
        <f>IF([2]道具信息!F467="","",[2]道具信息!F467)</f>
        <v/>
      </c>
      <c r="G467" s="59" t="str">
        <f>IF([2]道具信息!G467="","",[2]道具信息!G467)</f>
        <v/>
      </c>
      <c r="H467" s="59" t="str">
        <f>IF([2]道具信息!H467="","",[2]道具信息!H467)</f>
        <v/>
      </c>
      <c r="I467" s="59" t="str">
        <f>IF([2]道具信息!I467="","",[2]道具信息!I467)</f>
        <v/>
      </c>
      <c r="J467" s="59" t="str">
        <f>IF([2]道具信息!J467="","",[2]道具信息!J467)</f>
        <v/>
      </c>
      <c r="K467" s="59" t="str">
        <f>IF([2]道具信息!K467="","",[2]道具信息!K467)</f>
        <v/>
      </c>
      <c r="L467" s="59" t="str">
        <f>IF([2]道具信息!L467="","",[2]道具信息!L467)</f>
        <v/>
      </c>
      <c r="M467" s="59" t="str">
        <f>IF([2]道具信息!M467="","",[2]道具信息!M467)</f>
        <v/>
      </c>
      <c r="N467" s="59" t="str">
        <f>IF([2]道具信息!N467="","",[2]道具信息!N467)</f>
        <v/>
      </c>
      <c r="O467" s="59" t="str">
        <f>IF([2]道具信息!O467="","",[2]道具信息!O467)</f>
        <v/>
      </c>
      <c r="P467" s="59" t="str">
        <f>IF([2]道具信息!P467="","",[2]道具信息!P467)</f>
        <v/>
      </c>
      <c r="Q467" s="59" t="str">
        <f>IF([2]道具信息!Q467="","",[2]道具信息!Q467)</f>
        <v/>
      </c>
      <c r="R467" s="59" t="str">
        <f>IF([2]道具信息!R467="","",[2]道具信息!R467)</f>
        <v/>
      </c>
      <c r="S467" s="59" t="str">
        <f>IF([2]道具信息!S467="","",[2]道具信息!S467)</f>
        <v/>
      </c>
      <c r="T467" s="59" t="str">
        <f>IF([2]道具信息!T467="","",[2]道具信息!T467)</f>
        <v/>
      </c>
      <c r="U467" s="59" t="str">
        <f>IF([2]道具信息!U467="","",[2]道具信息!U467)</f>
        <v/>
      </c>
      <c r="V467" s="59" t="str">
        <f>IF([2]道具信息!V467="","",[2]道具信息!V467)</f>
        <v/>
      </c>
      <c r="W467" s="59" t="str">
        <f>IF([2]道具信息!W467="","",[2]道具信息!W467)</f>
        <v/>
      </c>
      <c r="X467" s="59" t="str">
        <f>IF([2]道具信息!X467="","",[2]道具信息!X467)</f>
        <v/>
      </c>
      <c r="Y467" s="59" t="str">
        <f>IF([2]道具信息!Y467="","",[2]道具信息!Y467)</f>
        <v/>
      </c>
      <c r="Z467" s="59" t="str">
        <f>IF([2]道具信息!Z467="","",[2]道具信息!Z467)</f>
        <v/>
      </c>
    </row>
    <row r="468" spans="1:26" x14ac:dyDescent="0.15">
      <c r="A468" s="59" t="str">
        <f>IF([2]道具信息!A468="","",[2]道具信息!A468)</f>
        <v/>
      </c>
      <c r="B468" s="59" t="str">
        <f>IF([2]道具信息!B468="","",[2]道具信息!B468)</f>
        <v/>
      </c>
      <c r="C468" s="59" t="str">
        <f>IF([2]道具信息!C468="","",[2]道具信息!C468)</f>
        <v/>
      </c>
      <c r="D468" s="59" t="str">
        <f>IF([2]道具信息!D468="","",[2]道具信息!D468)</f>
        <v/>
      </c>
      <c r="E468" s="59" t="str">
        <f>IF([2]道具信息!E468="","",[2]道具信息!E468)</f>
        <v/>
      </c>
      <c r="F468" s="59" t="str">
        <f>IF([2]道具信息!F468="","",[2]道具信息!F468)</f>
        <v/>
      </c>
      <c r="G468" s="59" t="str">
        <f>IF([2]道具信息!G468="","",[2]道具信息!G468)</f>
        <v/>
      </c>
      <c r="H468" s="59" t="str">
        <f>IF([2]道具信息!H468="","",[2]道具信息!H468)</f>
        <v/>
      </c>
      <c r="I468" s="59" t="str">
        <f>IF([2]道具信息!I468="","",[2]道具信息!I468)</f>
        <v/>
      </c>
      <c r="J468" s="59" t="str">
        <f>IF([2]道具信息!J468="","",[2]道具信息!J468)</f>
        <v/>
      </c>
      <c r="K468" s="59" t="str">
        <f>IF([2]道具信息!K468="","",[2]道具信息!K468)</f>
        <v/>
      </c>
      <c r="L468" s="59" t="str">
        <f>IF([2]道具信息!L468="","",[2]道具信息!L468)</f>
        <v/>
      </c>
      <c r="M468" s="59" t="str">
        <f>IF([2]道具信息!M468="","",[2]道具信息!M468)</f>
        <v/>
      </c>
      <c r="N468" s="59" t="str">
        <f>IF([2]道具信息!N468="","",[2]道具信息!N468)</f>
        <v/>
      </c>
      <c r="O468" s="59" t="str">
        <f>IF([2]道具信息!O468="","",[2]道具信息!O468)</f>
        <v/>
      </c>
      <c r="P468" s="59" t="str">
        <f>IF([2]道具信息!P468="","",[2]道具信息!P468)</f>
        <v/>
      </c>
      <c r="Q468" s="59" t="str">
        <f>IF([2]道具信息!Q468="","",[2]道具信息!Q468)</f>
        <v/>
      </c>
      <c r="R468" s="59" t="str">
        <f>IF([2]道具信息!R468="","",[2]道具信息!R468)</f>
        <v/>
      </c>
      <c r="S468" s="59" t="str">
        <f>IF([2]道具信息!S468="","",[2]道具信息!S468)</f>
        <v/>
      </c>
      <c r="T468" s="59" t="str">
        <f>IF([2]道具信息!T468="","",[2]道具信息!T468)</f>
        <v/>
      </c>
      <c r="U468" s="59" t="str">
        <f>IF([2]道具信息!U468="","",[2]道具信息!U468)</f>
        <v/>
      </c>
      <c r="V468" s="59" t="str">
        <f>IF([2]道具信息!V468="","",[2]道具信息!V468)</f>
        <v/>
      </c>
      <c r="W468" s="59" t="str">
        <f>IF([2]道具信息!W468="","",[2]道具信息!W468)</f>
        <v/>
      </c>
      <c r="X468" s="59" t="str">
        <f>IF([2]道具信息!X468="","",[2]道具信息!X468)</f>
        <v/>
      </c>
      <c r="Y468" s="59" t="str">
        <f>IF([2]道具信息!Y468="","",[2]道具信息!Y468)</f>
        <v/>
      </c>
      <c r="Z468" s="59" t="str">
        <f>IF([2]道具信息!Z468="","",[2]道具信息!Z468)</f>
        <v/>
      </c>
    </row>
    <row r="469" spans="1:26" x14ac:dyDescent="0.15">
      <c r="A469" s="59" t="str">
        <f>IF([2]道具信息!A469="","",[2]道具信息!A469)</f>
        <v/>
      </c>
      <c r="B469" s="59" t="str">
        <f>IF([2]道具信息!B469="","",[2]道具信息!B469)</f>
        <v/>
      </c>
      <c r="C469" s="59" t="str">
        <f>IF([2]道具信息!C469="","",[2]道具信息!C469)</f>
        <v/>
      </c>
      <c r="D469" s="59" t="str">
        <f>IF([2]道具信息!D469="","",[2]道具信息!D469)</f>
        <v/>
      </c>
      <c r="E469" s="59" t="str">
        <f>IF([2]道具信息!E469="","",[2]道具信息!E469)</f>
        <v/>
      </c>
      <c r="F469" s="59" t="str">
        <f>IF([2]道具信息!F469="","",[2]道具信息!F469)</f>
        <v/>
      </c>
      <c r="G469" s="59" t="str">
        <f>IF([2]道具信息!G469="","",[2]道具信息!G469)</f>
        <v/>
      </c>
      <c r="H469" s="59" t="str">
        <f>IF([2]道具信息!H469="","",[2]道具信息!H469)</f>
        <v/>
      </c>
      <c r="I469" s="59" t="str">
        <f>IF([2]道具信息!I469="","",[2]道具信息!I469)</f>
        <v/>
      </c>
      <c r="J469" s="59" t="str">
        <f>IF([2]道具信息!J469="","",[2]道具信息!J469)</f>
        <v/>
      </c>
      <c r="K469" s="59" t="str">
        <f>IF([2]道具信息!K469="","",[2]道具信息!K469)</f>
        <v/>
      </c>
      <c r="L469" s="59" t="str">
        <f>IF([2]道具信息!L469="","",[2]道具信息!L469)</f>
        <v/>
      </c>
      <c r="M469" s="59" t="str">
        <f>IF([2]道具信息!M469="","",[2]道具信息!M469)</f>
        <v/>
      </c>
      <c r="N469" s="59" t="str">
        <f>IF([2]道具信息!N469="","",[2]道具信息!N469)</f>
        <v/>
      </c>
      <c r="O469" s="59" t="str">
        <f>IF([2]道具信息!O469="","",[2]道具信息!O469)</f>
        <v/>
      </c>
      <c r="P469" s="59" t="str">
        <f>IF([2]道具信息!P469="","",[2]道具信息!P469)</f>
        <v/>
      </c>
      <c r="Q469" s="59" t="str">
        <f>IF([2]道具信息!Q469="","",[2]道具信息!Q469)</f>
        <v/>
      </c>
      <c r="R469" s="59" t="str">
        <f>IF([2]道具信息!R469="","",[2]道具信息!R469)</f>
        <v/>
      </c>
      <c r="S469" s="59" t="str">
        <f>IF([2]道具信息!S469="","",[2]道具信息!S469)</f>
        <v/>
      </c>
      <c r="T469" s="59" t="str">
        <f>IF([2]道具信息!T469="","",[2]道具信息!T469)</f>
        <v/>
      </c>
      <c r="U469" s="59" t="str">
        <f>IF([2]道具信息!U469="","",[2]道具信息!U469)</f>
        <v/>
      </c>
      <c r="V469" s="59" t="str">
        <f>IF([2]道具信息!V469="","",[2]道具信息!V469)</f>
        <v/>
      </c>
      <c r="W469" s="59" t="str">
        <f>IF([2]道具信息!W469="","",[2]道具信息!W469)</f>
        <v/>
      </c>
      <c r="X469" s="59" t="str">
        <f>IF([2]道具信息!X469="","",[2]道具信息!X469)</f>
        <v/>
      </c>
      <c r="Y469" s="59" t="str">
        <f>IF([2]道具信息!Y469="","",[2]道具信息!Y469)</f>
        <v/>
      </c>
      <c r="Z469" s="59" t="str">
        <f>IF([2]道具信息!Z469="","",[2]道具信息!Z469)</f>
        <v/>
      </c>
    </row>
    <row r="470" spans="1:26" x14ac:dyDescent="0.15">
      <c r="A470" s="59" t="str">
        <f>IF([2]道具信息!A470="","",[2]道具信息!A470)</f>
        <v/>
      </c>
      <c r="B470" s="59" t="str">
        <f>IF([2]道具信息!B470="","",[2]道具信息!B470)</f>
        <v/>
      </c>
      <c r="C470" s="59" t="str">
        <f>IF([2]道具信息!C470="","",[2]道具信息!C470)</f>
        <v/>
      </c>
      <c r="D470" s="59" t="str">
        <f>IF([2]道具信息!D470="","",[2]道具信息!D470)</f>
        <v/>
      </c>
      <c r="E470" s="59" t="str">
        <f>IF([2]道具信息!E470="","",[2]道具信息!E470)</f>
        <v/>
      </c>
      <c r="F470" s="59" t="str">
        <f>IF([2]道具信息!F470="","",[2]道具信息!F470)</f>
        <v/>
      </c>
      <c r="G470" s="59" t="str">
        <f>IF([2]道具信息!G470="","",[2]道具信息!G470)</f>
        <v/>
      </c>
      <c r="H470" s="59" t="str">
        <f>IF([2]道具信息!H470="","",[2]道具信息!H470)</f>
        <v/>
      </c>
      <c r="I470" s="59" t="str">
        <f>IF([2]道具信息!I470="","",[2]道具信息!I470)</f>
        <v/>
      </c>
      <c r="J470" s="59" t="str">
        <f>IF([2]道具信息!J470="","",[2]道具信息!J470)</f>
        <v/>
      </c>
      <c r="K470" s="59" t="str">
        <f>IF([2]道具信息!K470="","",[2]道具信息!K470)</f>
        <v/>
      </c>
      <c r="L470" s="59" t="str">
        <f>IF([2]道具信息!L470="","",[2]道具信息!L470)</f>
        <v/>
      </c>
      <c r="M470" s="59" t="str">
        <f>IF([2]道具信息!M470="","",[2]道具信息!M470)</f>
        <v/>
      </c>
      <c r="N470" s="59" t="str">
        <f>IF([2]道具信息!N470="","",[2]道具信息!N470)</f>
        <v/>
      </c>
      <c r="O470" s="59" t="str">
        <f>IF([2]道具信息!O470="","",[2]道具信息!O470)</f>
        <v/>
      </c>
      <c r="P470" s="59" t="str">
        <f>IF([2]道具信息!P470="","",[2]道具信息!P470)</f>
        <v/>
      </c>
      <c r="Q470" s="59" t="str">
        <f>IF([2]道具信息!Q470="","",[2]道具信息!Q470)</f>
        <v/>
      </c>
      <c r="R470" s="59" t="str">
        <f>IF([2]道具信息!R470="","",[2]道具信息!R470)</f>
        <v/>
      </c>
      <c r="S470" s="59" t="str">
        <f>IF([2]道具信息!S470="","",[2]道具信息!S470)</f>
        <v/>
      </c>
      <c r="T470" s="59" t="str">
        <f>IF([2]道具信息!T470="","",[2]道具信息!T470)</f>
        <v/>
      </c>
      <c r="U470" s="59" t="str">
        <f>IF([2]道具信息!U470="","",[2]道具信息!U470)</f>
        <v/>
      </c>
      <c r="V470" s="59" t="str">
        <f>IF([2]道具信息!V470="","",[2]道具信息!V470)</f>
        <v/>
      </c>
      <c r="W470" s="59" t="str">
        <f>IF([2]道具信息!W470="","",[2]道具信息!W470)</f>
        <v/>
      </c>
      <c r="X470" s="59" t="str">
        <f>IF([2]道具信息!X470="","",[2]道具信息!X470)</f>
        <v/>
      </c>
      <c r="Y470" s="59" t="str">
        <f>IF([2]道具信息!Y470="","",[2]道具信息!Y470)</f>
        <v/>
      </c>
      <c r="Z470" s="59" t="str">
        <f>IF([2]道具信息!Z470="","",[2]道具信息!Z470)</f>
        <v/>
      </c>
    </row>
    <row r="471" spans="1:26" x14ac:dyDescent="0.15">
      <c r="A471" s="59" t="str">
        <f>IF([2]道具信息!A471="","",[2]道具信息!A471)</f>
        <v/>
      </c>
      <c r="B471" s="59" t="str">
        <f>IF([2]道具信息!B471="","",[2]道具信息!B471)</f>
        <v/>
      </c>
      <c r="C471" s="59" t="str">
        <f>IF([2]道具信息!C471="","",[2]道具信息!C471)</f>
        <v/>
      </c>
      <c r="D471" s="59" t="str">
        <f>IF([2]道具信息!D471="","",[2]道具信息!D471)</f>
        <v/>
      </c>
      <c r="E471" s="59" t="str">
        <f>IF([2]道具信息!E471="","",[2]道具信息!E471)</f>
        <v/>
      </c>
      <c r="F471" s="59" t="str">
        <f>IF([2]道具信息!F471="","",[2]道具信息!F471)</f>
        <v/>
      </c>
      <c r="G471" s="59" t="str">
        <f>IF([2]道具信息!G471="","",[2]道具信息!G471)</f>
        <v/>
      </c>
      <c r="H471" s="59" t="str">
        <f>IF([2]道具信息!H471="","",[2]道具信息!H471)</f>
        <v/>
      </c>
      <c r="I471" s="59" t="str">
        <f>IF([2]道具信息!I471="","",[2]道具信息!I471)</f>
        <v/>
      </c>
      <c r="J471" s="59" t="str">
        <f>IF([2]道具信息!J471="","",[2]道具信息!J471)</f>
        <v/>
      </c>
      <c r="K471" s="59" t="str">
        <f>IF([2]道具信息!K471="","",[2]道具信息!K471)</f>
        <v/>
      </c>
      <c r="L471" s="59" t="str">
        <f>IF([2]道具信息!L471="","",[2]道具信息!L471)</f>
        <v/>
      </c>
      <c r="M471" s="59" t="str">
        <f>IF([2]道具信息!M471="","",[2]道具信息!M471)</f>
        <v/>
      </c>
      <c r="N471" s="59" t="str">
        <f>IF([2]道具信息!N471="","",[2]道具信息!N471)</f>
        <v/>
      </c>
      <c r="O471" s="59" t="str">
        <f>IF([2]道具信息!O471="","",[2]道具信息!O471)</f>
        <v/>
      </c>
      <c r="P471" s="59" t="str">
        <f>IF([2]道具信息!P471="","",[2]道具信息!P471)</f>
        <v/>
      </c>
      <c r="Q471" s="59" t="str">
        <f>IF([2]道具信息!Q471="","",[2]道具信息!Q471)</f>
        <v/>
      </c>
      <c r="R471" s="59" t="str">
        <f>IF([2]道具信息!R471="","",[2]道具信息!R471)</f>
        <v/>
      </c>
      <c r="S471" s="59" t="str">
        <f>IF([2]道具信息!S471="","",[2]道具信息!S471)</f>
        <v/>
      </c>
      <c r="T471" s="59" t="str">
        <f>IF([2]道具信息!T471="","",[2]道具信息!T471)</f>
        <v/>
      </c>
      <c r="U471" s="59" t="str">
        <f>IF([2]道具信息!U471="","",[2]道具信息!U471)</f>
        <v/>
      </c>
      <c r="V471" s="59" t="str">
        <f>IF([2]道具信息!V471="","",[2]道具信息!V471)</f>
        <v/>
      </c>
      <c r="W471" s="59" t="str">
        <f>IF([2]道具信息!W471="","",[2]道具信息!W471)</f>
        <v/>
      </c>
      <c r="X471" s="59" t="str">
        <f>IF([2]道具信息!X471="","",[2]道具信息!X471)</f>
        <v/>
      </c>
      <c r="Y471" s="59" t="str">
        <f>IF([2]道具信息!Y471="","",[2]道具信息!Y471)</f>
        <v/>
      </c>
      <c r="Z471" s="59" t="str">
        <f>IF([2]道具信息!Z471="","",[2]道具信息!Z471)</f>
        <v/>
      </c>
    </row>
    <row r="472" spans="1:26" x14ac:dyDescent="0.15">
      <c r="A472" s="59" t="str">
        <f>IF([2]道具信息!A472="","",[2]道具信息!A472)</f>
        <v/>
      </c>
      <c r="B472" s="59" t="str">
        <f>IF([2]道具信息!B472="","",[2]道具信息!B472)</f>
        <v/>
      </c>
      <c r="C472" s="59" t="str">
        <f>IF([2]道具信息!C472="","",[2]道具信息!C472)</f>
        <v/>
      </c>
      <c r="D472" s="59" t="str">
        <f>IF([2]道具信息!D472="","",[2]道具信息!D472)</f>
        <v/>
      </c>
      <c r="E472" s="59" t="str">
        <f>IF([2]道具信息!E472="","",[2]道具信息!E472)</f>
        <v/>
      </c>
      <c r="F472" s="59" t="str">
        <f>IF([2]道具信息!F472="","",[2]道具信息!F472)</f>
        <v/>
      </c>
      <c r="G472" s="59" t="str">
        <f>IF([2]道具信息!G472="","",[2]道具信息!G472)</f>
        <v/>
      </c>
      <c r="H472" s="59" t="str">
        <f>IF([2]道具信息!H472="","",[2]道具信息!H472)</f>
        <v/>
      </c>
      <c r="I472" s="59" t="str">
        <f>IF([2]道具信息!I472="","",[2]道具信息!I472)</f>
        <v/>
      </c>
      <c r="J472" s="59" t="str">
        <f>IF([2]道具信息!J472="","",[2]道具信息!J472)</f>
        <v/>
      </c>
      <c r="K472" s="59" t="str">
        <f>IF([2]道具信息!K472="","",[2]道具信息!K472)</f>
        <v/>
      </c>
      <c r="L472" s="59" t="str">
        <f>IF([2]道具信息!L472="","",[2]道具信息!L472)</f>
        <v/>
      </c>
      <c r="M472" s="59" t="str">
        <f>IF([2]道具信息!M472="","",[2]道具信息!M472)</f>
        <v/>
      </c>
      <c r="N472" s="59" t="str">
        <f>IF([2]道具信息!N472="","",[2]道具信息!N472)</f>
        <v/>
      </c>
      <c r="O472" s="59" t="str">
        <f>IF([2]道具信息!O472="","",[2]道具信息!O472)</f>
        <v/>
      </c>
      <c r="P472" s="59" t="str">
        <f>IF([2]道具信息!P472="","",[2]道具信息!P472)</f>
        <v/>
      </c>
      <c r="Q472" s="59" t="str">
        <f>IF([2]道具信息!Q472="","",[2]道具信息!Q472)</f>
        <v/>
      </c>
      <c r="R472" s="59" t="str">
        <f>IF([2]道具信息!R472="","",[2]道具信息!R472)</f>
        <v/>
      </c>
      <c r="S472" s="59" t="str">
        <f>IF([2]道具信息!S472="","",[2]道具信息!S472)</f>
        <v/>
      </c>
      <c r="T472" s="59" t="str">
        <f>IF([2]道具信息!T472="","",[2]道具信息!T472)</f>
        <v/>
      </c>
      <c r="U472" s="59" t="str">
        <f>IF([2]道具信息!U472="","",[2]道具信息!U472)</f>
        <v/>
      </c>
      <c r="V472" s="59" t="str">
        <f>IF([2]道具信息!V472="","",[2]道具信息!V472)</f>
        <v/>
      </c>
      <c r="W472" s="59" t="str">
        <f>IF([2]道具信息!W472="","",[2]道具信息!W472)</f>
        <v/>
      </c>
      <c r="X472" s="59" t="str">
        <f>IF([2]道具信息!X472="","",[2]道具信息!X472)</f>
        <v/>
      </c>
      <c r="Y472" s="59" t="str">
        <f>IF([2]道具信息!Y472="","",[2]道具信息!Y472)</f>
        <v/>
      </c>
      <c r="Z472" s="59" t="str">
        <f>IF([2]道具信息!Z472="","",[2]道具信息!Z472)</f>
        <v/>
      </c>
    </row>
    <row r="473" spans="1:26" x14ac:dyDescent="0.15">
      <c r="A473" s="59" t="str">
        <f>IF([2]道具信息!A473="","",[2]道具信息!A473)</f>
        <v/>
      </c>
      <c r="B473" s="59" t="str">
        <f>IF([2]道具信息!B473="","",[2]道具信息!B473)</f>
        <v/>
      </c>
      <c r="C473" s="59" t="str">
        <f>IF([2]道具信息!C473="","",[2]道具信息!C473)</f>
        <v/>
      </c>
      <c r="D473" s="59" t="str">
        <f>IF([2]道具信息!D473="","",[2]道具信息!D473)</f>
        <v/>
      </c>
      <c r="E473" s="59" t="str">
        <f>IF([2]道具信息!E473="","",[2]道具信息!E473)</f>
        <v/>
      </c>
      <c r="F473" s="59" t="str">
        <f>IF([2]道具信息!F473="","",[2]道具信息!F473)</f>
        <v/>
      </c>
      <c r="G473" s="59" t="str">
        <f>IF([2]道具信息!G473="","",[2]道具信息!G473)</f>
        <v/>
      </c>
      <c r="H473" s="59" t="str">
        <f>IF([2]道具信息!H473="","",[2]道具信息!H473)</f>
        <v/>
      </c>
      <c r="I473" s="59" t="str">
        <f>IF([2]道具信息!I473="","",[2]道具信息!I473)</f>
        <v/>
      </c>
      <c r="J473" s="59" t="str">
        <f>IF([2]道具信息!J473="","",[2]道具信息!J473)</f>
        <v/>
      </c>
      <c r="K473" s="59" t="str">
        <f>IF([2]道具信息!K473="","",[2]道具信息!K473)</f>
        <v/>
      </c>
      <c r="L473" s="59" t="str">
        <f>IF([2]道具信息!L473="","",[2]道具信息!L473)</f>
        <v/>
      </c>
      <c r="M473" s="59" t="str">
        <f>IF([2]道具信息!M473="","",[2]道具信息!M473)</f>
        <v/>
      </c>
      <c r="N473" s="59" t="str">
        <f>IF([2]道具信息!N473="","",[2]道具信息!N473)</f>
        <v/>
      </c>
      <c r="O473" s="59" t="str">
        <f>IF([2]道具信息!O473="","",[2]道具信息!O473)</f>
        <v/>
      </c>
      <c r="P473" s="59" t="str">
        <f>IF([2]道具信息!P473="","",[2]道具信息!P473)</f>
        <v/>
      </c>
      <c r="Q473" s="59" t="str">
        <f>IF([2]道具信息!Q473="","",[2]道具信息!Q473)</f>
        <v/>
      </c>
      <c r="R473" s="59" t="str">
        <f>IF([2]道具信息!R473="","",[2]道具信息!R473)</f>
        <v/>
      </c>
      <c r="S473" s="59" t="str">
        <f>IF([2]道具信息!S473="","",[2]道具信息!S473)</f>
        <v/>
      </c>
      <c r="T473" s="59" t="str">
        <f>IF([2]道具信息!T473="","",[2]道具信息!T473)</f>
        <v/>
      </c>
      <c r="U473" s="59" t="str">
        <f>IF([2]道具信息!U473="","",[2]道具信息!U473)</f>
        <v/>
      </c>
      <c r="V473" s="59" t="str">
        <f>IF([2]道具信息!V473="","",[2]道具信息!V473)</f>
        <v/>
      </c>
      <c r="W473" s="59" t="str">
        <f>IF([2]道具信息!W473="","",[2]道具信息!W473)</f>
        <v/>
      </c>
      <c r="X473" s="59" t="str">
        <f>IF([2]道具信息!X473="","",[2]道具信息!X473)</f>
        <v/>
      </c>
      <c r="Y473" s="59" t="str">
        <f>IF([2]道具信息!Y473="","",[2]道具信息!Y473)</f>
        <v/>
      </c>
      <c r="Z473" s="59" t="str">
        <f>IF([2]道具信息!Z473="","",[2]道具信息!Z473)</f>
        <v/>
      </c>
    </row>
    <row r="474" spans="1:26" x14ac:dyDescent="0.15">
      <c r="A474" s="59" t="str">
        <f>IF([2]道具信息!A474="","",[2]道具信息!A474)</f>
        <v/>
      </c>
      <c r="B474" s="59" t="str">
        <f>IF([2]道具信息!B474="","",[2]道具信息!B474)</f>
        <v/>
      </c>
      <c r="C474" s="59" t="str">
        <f>IF([2]道具信息!C474="","",[2]道具信息!C474)</f>
        <v/>
      </c>
      <c r="D474" s="59" t="str">
        <f>IF([2]道具信息!D474="","",[2]道具信息!D474)</f>
        <v/>
      </c>
      <c r="E474" s="59" t="str">
        <f>IF([2]道具信息!E474="","",[2]道具信息!E474)</f>
        <v/>
      </c>
      <c r="F474" s="59" t="str">
        <f>IF([2]道具信息!F474="","",[2]道具信息!F474)</f>
        <v/>
      </c>
      <c r="G474" s="59" t="str">
        <f>IF([2]道具信息!G474="","",[2]道具信息!G474)</f>
        <v/>
      </c>
      <c r="H474" s="59" t="str">
        <f>IF([2]道具信息!H474="","",[2]道具信息!H474)</f>
        <v/>
      </c>
      <c r="I474" s="59" t="str">
        <f>IF([2]道具信息!I474="","",[2]道具信息!I474)</f>
        <v/>
      </c>
      <c r="J474" s="59" t="str">
        <f>IF([2]道具信息!J474="","",[2]道具信息!J474)</f>
        <v/>
      </c>
      <c r="K474" s="59" t="str">
        <f>IF([2]道具信息!K474="","",[2]道具信息!K474)</f>
        <v/>
      </c>
      <c r="L474" s="59" t="str">
        <f>IF([2]道具信息!L474="","",[2]道具信息!L474)</f>
        <v/>
      </c>
      <c r="M474" s="59" t="str">
        <f>IF([2]道具信息!M474="","",[2]道具信息!M474)</f>
        <v/>
      </c>
      <c r="N474" s="59" t="str">
        <f>IF([2]道具信息!N474="","",[2]道具信息!N474)</f>
        <v/>
      </c>
      <c r="O474" s="59" t="str">
        <f>IF([2]道具信息!O474="","",[2]道具信息!O474)</f>
        <v/>
      </c>
      <c r="P474" s="59" t="str">
        <f>IF([2]道具信息!P474="","",[2]道具信息!P474)</f>
        <v/>
      </c>
      <c r="Q474" s="59" t="str">
        <f>IF([2]道具信息!Q474="","",[2]道具信息!Q474)</f>
        <v/>
      </c>
      <c r="R474" s="59" t="str">
        <f>IF([2]道具信息!R474="","",[2]道具信息!R474)</f>
        <v/>
      </c>
      <c r="S474" s="59" t="str">
        <f>IF([2]道具信息!S474="","",[2]道具信息!S474)</f>
        <v/>
      </c>
      <c r="T474" s="59" t="str">
        <f>IF([2]道具信息!T474="","",[2]道具信息!T474)</f>
        <v/>
      </c>
      <c r="U474" s="59" t="str">
        <f>IF([2]道具信息!U474="","",[2]道具信息!U474)</f>
        <v/>
      </c>
      <c r="V474" s="59" t="str">
        <f>IF([2]道具信息!V474="","",[2]道具信息!V474)</f>
        <v/>
      </c>
      <c r="W474" s="59" t="str">
        <f>IF([2]道具信息!W474="","",[2]道具信息!W474)</f>
        <v/>
      </c>
      <c r="X474" s="59" t="str">
        <f>IF([2]道具信息!X474="","",[2]道具信息!X474)</f>
        <v/>
      </c>
      <c r="Y474" s="59" t="str">
        <f>IF([2]道具信息!Y474="","",[2]道具信息!Y474)</f>
        <v/>
      </c>
      <c r="Z474" s="59" t="str">
        <f>IF([2]道具信息!Z474="","",[2]道具信息!Z474)</f>
        <v/>
      </c>
    </row>
    <row r="475" spans="1:26" x14ac:dyDescent="0.15">
      <c r="A475" s="59" t="str">
        <f>IF([2]道具信息!A475="","",[2]道具信息!A475)</f>
        <v/>
      </c>
      <c r="B475" s="59" t="str">
        <f>IF([2]道具信息!B475="","",[2]道具信息!B475)</f>
        <v/>
      </c>
      <c r="C475" s="59" t="str">
        <f>IF([2]道具信息!C475="","",[2]道具信息!C475)</f>
        <v/>
      </c>
      <c r="D475" s="59" t="str">
        <f>IF([2]道具信息!D475="","",[2]道具信息!D475)</f>
        <v/>
      </c>
      <c r="E475" s="59" t="str">
        <f>IF([2]道具信息!E475="","",[2]道具信息!E475)</f>
        <v/>
      </c>
      <c r="F475" s="59" t="str">
        <f>IF([2]道具信息!F475="","",[2]道具信息!F475)</f>
        <v/>
      </c>
      <c r="G475" s="59" t="str">
        <f>IF([2]道具信息!G475="","",[2]道具信息!G475)</f>
        <v/>
      </c>
      <c r="H475" s="59" t="str">
        <f>IF([2]道具信息!H475="","",[2]道具信息!H475)</f>
        <v/>
      </c>
      <c r="I475" s="59" t="str">
        <f>IF([2]道具信息!I475="","",[2]道具信息!I475)</f>
        <v/>
      </c>
      <c r="J475" s="59" t="str">
        <f>IF([2]道具信息!J475="","",[2]道具信息!J475)</f>
        <v/>
      </c>
      <c r="K475" s="59" t="str">
        <f>IF([2]道具信息!K475="","",[2]道具信息!K475)</f>
        <v/>
      </c>
      <c r="L475" s="59" t="str">
        <f>IF([2]道具信息!L475="","",[2]道具信息!L475)</f>
        <v/>
      </c>
      <c r="M475" s="59" t="str">
        <f>IF([2]道具信息!M475="","",[2]道具信息!M475)</f>
        <v/>
      </c>
      <c r="N475" s="59" t="str">
        <f>IF([2]道具信息!N475="","",[2]道具信息!N475)</f>
        <v/>
      </c>
      <c r="O475" s="59" t="str">
        <f>IF([2]道具信息!O475="","",[2]道具信息!O475)</f>
        <v/>
      </c>
      <c r="P475" s="59" t="str">
        <f>IF([2]道具信息!P475="","",[2]道具信息!P475)</f>
        <v/>
      </c>
      <c r="Q475" s="59" t="str">
        <f>IF([2]道具信息!Q475="","",[2]道具信息!Q475)</f>
        <v/>
      </c>
      <c r="R475" s="59" t="str">
        <f>IF([2]道具信息!R475="","",[2]道具信息!R475)</f>
        <v/>
      </c>
      <c r="S475" s="59" t="str">
        <f>IF([2]道具信息!S475="","",[2]道具信息!S475)</f>
        <v/>
      </c>
      <c r="T475" s="59" t="str">
        <f>IF([2]道具信息!T475="","",[2]道具信息!T475)</f>
        <v/>
      </c>
      <c r="U475" s="59" t="str">
        <f>IF([2]道具信息!U475="","",[2]道具信息!U475)</f>
        <v/>
      </c>
      <c r="V475" s="59" t="str">
        <f>IF([2]道具信息!V475="","",[2]道具信息!V475)</f>
        <v/>
      </c>
      <c r="W475" s="59" t="str">
        <f>IF([2]道具信息!W475="","",[2]道具信息!W475)</f>
        <v/>
      </c>
      <c r="X475" s="59" t="str">
        <f>IF([2]道具信息!X475="","",[2]道具信息!X475)</f>
        <v/>
      </c>
      <c r="Y475" s="59" t="str">
        <f>IF([2]道具信息!Y475="","",[2]道具信息!Y475)</f>
        <v/>
      </c>
      <c r="Z475" s="59" t="str">
        <f>IF([2]道具信息!Z475="","",[2]道具信息!Z475)</f>
        <v/>
      </c>
    </row>
    <row r="476" spans="1:26" x14ac:dyDescent="0.15">
      <c r="A476" s="59" t="str">
        <f>IF([2]道具信息!A476="","",[2]道具信息!A476)</f>
        <v/>
      </c>
      <c r="B476" s="59" t="str">
        <f>IF([2]道具信息!B476="","",[2]道具信息!B476)</f>
        <v/>
      </c>
      <c r="C476" s="59" t="str">
        <f>IF([2]道具信息!C476="","",[2]道具信息!C476)</f>
        <v/>
      </c>
      <c r="D476" s="59" t="str">
        <f>IF([2]道具信息!D476="","",[2]道具信息!D476)</f>
        <v/>
      </c>
      <c r="E476" s="59" t="str">
        <f>IF([2]道具信息!E476="","",[2]道具信息!E476)</f>
        <v/>
      </c>
      <c r="F476" s="59" t="str">
        <f>IF([2]道具信息!F476="","",[2]道具信息!F476)</f>
        <v/>
      </c>
      <c r="G476" s="59" t="str">
        <f>IF([2]道具信息!G476="","",[2]道具信息!G476)</f>
        <v/>
      </c>
      <c r="H476" s="59" t="str">
        <f>IF([2]道具信息!H476="","",[2]道具信息!H476)</f>
        <v/>
      </c>
      <c r="I476" s="59" t="str">
        <f>IF([2]道具信息!I476="","",[2]道具信息!I476)</f>
        <v/>
      </c>
      <c r="J476" s="59" t="str">
        <f>IF([2]道具信息!J476="","",[2]道具信息!J476)</f>
        <v/>
      </c>
      <c r="K476" s="59" t="str">
        <f>IF([2]道具信息!K476="","",[2]道具信息!K476)</f>
        <v/>
      </c>
      <c r="L476" s="59" t="str">
        <f>IF([2]道具信息!L476="","",[2]道具信息!L476)</f>
        <v/>
      </c>
      <c r="M476" s="59" t="str">
        <f>IF([2]道具信息!M476="","",[2]道具信息!M476)</f>
        <v/>
      </c>
      <c r="N476" s="59" t="str">
        <f>IF([2]道具信息!N476="","",[2]道具信息!N476)</f>
        <v/>
      </c>
      <c r="O476" s="59" t="str">
        <f>IF([2]道具信息!O476="","",[2]道具信息!O476)</f>
        <v/>
      </c>
      <c r="P476" s="59" t="str">
        <f>IF([2]道具信息!P476="","",[2]道具信息!P476)</f>
        <v/>
      </c>
      <c r="Q476" s="59" t="str">
        <f>IF([2]道具信息!Q476="","",[2]道具信息!Q476)</f>
        <v/>
      </c>
      <c r="R476" s="59" t="str">
        <f>IF([2]道具信息!R476="","",[2]道具信息!R476)</f>
        <v/>
      </c>
      <c r="S476" s="59" t="str">
        <f>IF([2]道具信息!S476="","",[2]道具信息!S476)</f>
        <v/>
      </c>
      <c r="T476" s="59" t="str">
        <f>IF([2]道具信息!T476="","",[2]道具信息!T476)</f>
        <v/>
      </c>
      <c r="U476" s="59" t="str">
        <f>IF([2]道具信息!U476="","",[2]道具信息!U476)</f>
        <v/>
      </c>
      <c r="V476" s="59" t="str">
        <f>IF([2]道具信息!V476="","",[2]道具信息!V476)</f>
        <v/>
      </c>
      <c r="W476" s="59" t="str">
        <f>IF([2]道具信息!W476="","",[2]道具信息!W476)</f>
        <v/>
      </c>
      <c r="X476" s="59" t="str">
        <f>IF([2]道具信息!X476="","",[2]道具信息!X476)</f>
        <v/>
      </c>
      <c r="Y476" s="59" t="str">
        <f>IF([2]道具信息!Y476="","",[2]道具信息!Y476)</f>
        <v/>
      </c>
      <c r="Z476" s="59" t="str">
        <f>IF([2]道具信息!Z476="","",[2]道具信息!Z476)</f>
        <v/>
      </c>
    </row>
    <row r="477" spans="1:26" x14ac:dyDescent="0.15">
      <c r="A477" s="59" t="str">
        <f>IF([2]道具信息!A477="","",[2]道具信息!A477)</f>
        <v/>
      </c>
      <c r="B477" s="59" t="str">
        <f>IF([2]道具信息!B477="","",[2]道具信息!B477)</f>
        <v/>
      </c>
      <c r="C477" s="59" t="str">
        <f>IF([2]道具信息!C477="","",[2]道具信息!C477)</f>
        <v/>
      </c>
      <c r="D477" s="59" t="str">
        <f>IF([2]道具信息!D477="","",[2]道具信息!D477)</f>
        <v/>
      </c>
      <c r="E477" s="59" t="str">
        <f>IF([2]道具信息!E477="","",[2]道具信息!E477)</f>
        <v/>
      </c>
      <c r="F477" s="59" t="str">
        <f>IF([2]道具信息!F477="","",[2]道具信息!F477)</f>
        <v/>
      </c>
      <c r="G477" s="59" t="str">
        <f>IF([2]道具信息!G477="","",[2]道具信息!G477)</f>
        <v/>
      </c>
      <c r="H477" s="59" t="str">
        <f>IF([2]道具信息!H477="","",[2]道具信息!H477)</f>
        <v/>
      </c>
      <c r="I477" s="59" t="str">
        <f>IF([2]道具信息!I477="","",[2]道具信息!I477)</f>
        <v/>
      </c>
      <c r="J477" s="59" t="str">
        <f>IF([2]道具信息!J477="","",[2]道具信息!J477)</f>
        <v/>
      </c>
      <c r="K477" s="59" t="str">
        <f>IF([2]道具信息!K477="","",[2]道具信息!K477)</f>
        <v/>
      </c>
      <c r="L477" s="59" t="str">
        <f>IF([2]道具信息!L477="","",[2]道具信息!L477)</f>
        <v/>
      </c>
      <c r="M477" s="59" t="str">
        <f>IF([2]道具信息!M477="","",[2]道具信息!M477)</f>
        <v/>
      </c>
      <c r="N477" s="59" t="str">
        <f>IF([2]道具信息!N477="","",[2]道具信息!N477)</f>
        <v/>
      </c>
      <c r="O477" s="59" t="str">
        <f>IF([2]道具信息!O477="","",[2]道具信息!O477)</f>
        <v/>
      </c>
      <c r="P477" s="59" t="str">
        <f>IF([2]道具信息!P477="","",[2]道具信息!P477)</f>
        <v/>
      </c>
      <c r="Q477" s="59" t="str">
        <f>IF([2]道具信息!Q477="","",[2]道具信息!Q477)</f>
        <v/>
      </c>
      <c r="R477" s="59" t="str">
        <f>IF([2]道具信息!R477="","",[2]道具信息!R477)</f>
        <v/>
      </c>
      <c r="S477" s="59" t="str">
        <f>IF([2]道具信息!S477="","",[2]道具信息!S477)</f>
        <v/>
      </c>
      <c r="T477" s="59" t="str">
        <f>IF([2]道具信息!T477="","",[2]道具信息!T477)</f>
        <v/>
      </c>
      <c r="U477" s="59" t="str">
        <f>IF([2]道具信息!U477="","",[2]道具信息!U477)</f>
        <v/>
      </c>
      <c r="V477" s="59" t="str">
        <f>IF([2]道具信息!V477="","",[2]道具信息!V477)</f>
        <v/>
      </c>
      <c r="W477" s="59" t="str">
        <f>IF([2]道具信息!W477="","",[2]道具信息!W477)</f>
        <v/>
      </c>
      <c r="X477" s="59" t="str">
        <f>IF([2]道具信息!X477="","",[2]道具信息!X477)</f>
        <v/>
      </c>
      <c r="Y477" s="59" t="str">
        <f>IF([2]道具信息!Y477="","",[2]道具信息!Y477)</f>
        <v/>
      </c>
      <c r="Z477" s="59" t="str">
        <f>IF([2]道具信息!Z477="","",[2]道具信息!Z477)</f>
        <v/>
      </c>
    </row>
    <row r="478" spans="1:26" x14ac:dyDescent="0.15">
      <c r="A478" s="59" t="str">
        <f>IF([2]道具信息!A478="","",[2]道具信息!A478)</f>
        <v/>
      </c>
      <c r="B478" s="59" t="str">
        <f>IF([2]道具信息!B478="","",[2]道具信息!B478)</f>
        <v/>
      </c>
      <c r="C478" s="59" t="str">
        <f>IF([2]道具信息!C478="","",[2]道具信息!C478)</f>
        <v/>
      </c>
      <c r="D478" s="59" t="str">
        <f>IF([2]道具信息!D478="","",[2]道具信息!D478)</f>
        <v/>
      </c>
      <c r="E478" s="59" t="str">
        <f>IF([2]道具信息!E478="","",[2]道具信息!E478)</f>
        <v/>
      </c>
      <c r="F478" s="59" t="str">
        <f>IF([2]道具信息!F478="","",[2]道具信息!F478)</f>
        <v/>
      </c>
      <c r="G478" s="59" t="str">
        <f>IF([2]道具信息!G478="","",[2]道具信息!G478)</f>
        <v/>
      </c>
      <c r="H478" s="59" t="str">
        <f>IF([2]道具信息!H478="","",[2]道具信息!H478)</f>
        <v/>
      </c>
      <c r="I478" s="59" t="str">
        <f>IF([2]道具信息!I478="","",[2]道具信息!I478)</f>
        <v/>
      </c>
      <c r="J478" s="59" t="str">
        <f>IF([2]道具信息!J478="","",[2]道具信息!J478)</f>
        <v/>
      </c>
      <c r="K478" s="59" t="str">
        <f>IF([2]道具信息!K478="","",[2]道具信息!K478)</f>
        <v/>
      </c>
      <c r="L478" s="59" t="str">
        <f>IF([2]道具信息!L478="","",[2]道具信息!L478)</f>
        <v/>
      </c>
      <c r="M478" s="59" t="str">
        <f>IF([2]道具信息!M478="","",[2]道具信息!M478)</f>
        <v/>
      </c>
      <c r="N478" s="59" t="str">
        <f>IF([2]道具信息!N478="","",[2]道具信息!N478)</f>
        <v/>
      </c>
      <c r="O478" s="59" t="str">
        <f>IF([2]道具信息!O478="","",[2]道具信息!O478)</f>
        <v/>
      </c>
      <c r="P478" s="59" t="str">
        <f>IF([2]道具信息!P478="","",[2]道具信息!P478)</f>
        <v/>
      </c>
      <c r="Q478" s="59" t="str">
        <f>IF([2]道具信息!Q478="","",[2]道具信息!Q478)</f>
        <v/>
      </c>
      <c r="R478" s="59" t="str">
        <f>IF([2]道具信息!R478="","",[2]道具信息!R478)</f>
        <v/>
      </c>
      <c r="S478" s="59" t="str">
        <f>IF([2]道具信息!S478="","",[2]道具信息!S478)</f>
        <v/>
      </c>
      <c r="T478" s="59" t="str">
        <f>IF([2]道具信息!T478="","",[2]道具信息!T478)</f>
        <v/>
      </c>
      <c r="U478" s="59" t="str">
        <f>IF([2]道具信息!U478="","",[2]道具信息!U478)</f>
        <v/>
      </c>
      <c r="V478" s="59" t="str">
        <f>IF([2]道具信息!V478="","",[2]道具信息!V478)</f>
        <v/>
      </c>
      <c r="W478" s="59" t="str">
        <f>IF([2]道具信息!W478="","",[2]道具信息!W478)</f>
        <v/>
      </c>
      <c r="X478" s="59" t="str">
        <f>IF([2]道具信息!X478="","",[2]道具信息!X478)</f>
        <v/>
      </c>
      <c r="Y478" s="59" t="str">
        <f>IF([2]道具信息!Y478="","",[2]道具信息!Y478)</f>
        <v/>
      </c>
      <c r="Z478" s="59" t="str">
        <f>IF([2]道具信息!Z478="","",[2]道具信息!Z478)</f>
        <v/>
      </c>
    </row>
    <row r="479" spans="1:26" x14ac:dyDescent="0.15">
      <c r="A479" s="59" t="str">
        <f>IF([2]道具信息!A479="","",[2]道具信息!A479)</f>
        <v/>
      </c>
      <c r="B479" s="59" t="str">
        <f>IF([2]道具信息!B479="","",[2]道具信息!B479)</f>
        <v/>
      </c>
      <c r="C479" s="59" t="str">
        <f>IF([2]道具信息!C479="","",[2]道具信息!C479)</f>
        <v/>
      </c>
      <c r="D479" s="59" t="str">
        <f>IF([2]道具信息!D479="","",[2]道具信息!D479)</f>
        <v/>
      </c>
      <c r="E479" s="59" t="str">
        <f>IF([2]道具信息!E479="","",[2]道具信息!E479)</f>
        <v/>
      </c>
      <c r="F479" s="59" t="str">
        <f>IF([2]道具信息!F479="","",[2]道具信息!F479)</f>
        <v/>
      </c>
      <c r="G479" s="59" t="str">
        <f>IF([2]道具信息!G479="","",[2]道具信息!G479)</f>
        <v/>
      </c>
      <c r="H479" s="59" t="str">
        <f>IF([2]道具信息!H479="","",[2]道具信息!H479)</f>
        <v/>
      </c>
      <c r="I479" s="59" t="str">
        <f>IF([2]道具信息!I479="","",[2]道具信息!I479)</f>
        <v/>
      </c>
      <c r="J479" s="59" t="str">
        <f>IF([2]道具信息!J479="","",[2]道具信息!J479)</f>
        <v/>
      </c>
      <c r="K479" s="59" t="str">
        <f>IF([2]道具信息!K479="","",[2]道具信息!K479)</f>
        <v/>
      </c>
      <c r="L479" s="59" t="str">
        <f>IF([2]道具信息!L479="","",[2]道具信息!L479)</f>
        <v/>
      </c>
      <c r="M479" s="59" t="str">
        <f>IF([2]道具信息!M479="","",[2]道具信息!M479)</f>
        <v/>
      </c>
      <c r="N479" s="59" t="str">
        <f>IF([2]道具信息!N479="","",[2]道具信息!N479)</f>
        <v/>
      </c>
      <c r="O479" s="59" t="str">
        <f>IF([2]道具信息!O479="","",[2]道具信息!O479)</f>
        <v/>
      </c>
      <c r="P479" s="59" t="str">
        <f>IF([2]道具信息!P479="","",[2]道具信息!P479)</f>
        <v/>
      </c>
      <c r="Q479" s="59" t="str">
        <f>IF([2]道具信息!Q479="","",[2]道具信息!Q479)</f>
        <v/>
      </c>
      <c r="R479" s="59" t="str">
        <f>IF([2]道具信息!R479="","",[2]道具信息!R479)</f>
        <v/>
      </c>
      <c r="S479" s="59" t="str">
        <f>IF([2]道具信息!S479="","",[2]道具信息!S479)</f>
        <v/>
      </c>
      <c r="T479" s="59" t="str">
        <f>IF([2]道具信息!T479="","",[2]道具信息!T479)</f>
        <v/>
      </c>
      <c r="U479" s="59" t="str">
        <f>IF([2]道具信息!U479="","",[2]道具信息!U479)</f>
        <v/>
      </c>
      <c r="V479" s="59" t="str">
        <f>IF([2]道具信息!V479="","",[2]道具信息!V479)</f>
        <v/>
      </c>
      <c r="W479" s="59" t="str">
        <f>IF([2]道具信息!W479="","",[2]道具信息!W479)</f>
        <v/>
      </c>
      <c r="X479" s="59" t="str">
        <f>IF([2]道具信息!X479="","",[2]道具信息!X479)</f>
        <v/>
      </c>
      <c r="Y479" s="59" t="str">
        <f>IF([2]道具信息!Y479="","",[2]道具信息!Y479)</f>
        <v/>
      </c>
      <c r="Z479" s="59" t="str">
        <f>IF([2]道具信息!Z479="","",[2]道具信息!Z479)</f>
        <v/>
      </c>
    </row>
    <row r="480" spans="1:26" x14ac:dyDescent="0.15">
      <c r="A480" s="59" t="str">
        <f>IF([2]道具信息!A480="","",[2]道具信息!A480)</f>
        <v/>
      </c>
      <c r="B480" s="59" t="str">
        <f>IF([2]道具信息!B480="","",[2]道具信息!B480)</f>
        <v/>
      </c>
      <c r="C480" s="59" t="str">
        <f>IF([2]道具信息!C480="","",[2]道具信息!C480)</f>
        <v/>
      </c>
      <c r="D480" s="59" t="str">
        <f>IF([2]道具信息!D480="","",[2]道具信息!D480)</f>
        <v/>
      </c>
      <c r="E480" s="59" t="str">
        <f>IF([2]道具信息!E480="","",[2]道具信息!E480)</f>
        <v/>
      </c>
      <c r="F480" s="59" t="str">
        <f>IF([2]道具信息!F480="","",[2]道具信息!F480)</f>
        <v/>
      </c>
      <c r="G480" s="59" t="str">
        <f>IF([2]道具信息!G480="","",[2]道具信息!G480)</f>
        <v/>
      </c>
      <c r="H480" s="59" t="str">
        <f>IF([2]道具信息!H480="","",[2]道具信息!H480)</f>
        <v/>
      </c>
      <c r="I480" s="59" t="str">
        <f>IF([2]道具信息!I480="","",[2]道具信息!I480)</f>
        <v/>
      </c>
      <c r="J480" s="59" t="str">
        <f>IF([2]道具信息!J480="","",[2]道具信息!J480)</f>
        <v/>
      </c>
      <c r="K480" s="59" t="str">
        <f>IF([2]道具信息!K480="","",[2]道具信息!K480)</f>
        <v/>
      </c>
      <c r="L480" s="59" t="str">
        <f>IF([2]道具信息!L480="","",[2]道具信息!L480)</f>
        <v/>
      </c>
      <c r="M480" s="59" t="str">
        <f>IF([2]道具信息!M480="","",[2]道具信息!M480)</f>
        <v/>
      </c>
      <c r="N480" s="59" t="str">
        <f>IF([2]道具信息!N480="","",[2]道具信息!N480)</f>
        <v/>
      </c>
      <c r="O480" s="59" t="str">
        <f>IF([2]道具信息!O480="","",[2]道具信息!O480)</f>
        <v/>
      </c>
      <c r="P480" s="59" t="str">
        <f>IF([2]道具信息!P480="","",[2]道具信息!P480)</f>
        <v/>
      </c>
      <c r="Q480" s="59" t="str">
        <f>IF([2]道具信息!Q480="","",[2]道具信息!Q480)</f>
        <v/>
      </c>
      <c r="R480" s="59" t="str">
        <f>IF([2]道具信息!R480="","",[2]道具信息!R480)</f>
        <v/>
      </c>
      <c r="S480" s="59" t="str">
        <f>IF([2]道具信息!S480="","",[2]道具信息!S480)</f>
        <v/>
      </c>
      <c r="T480" s="59" t="str">
        <f>IF([2]道具信息!T480="","",[2]道具信息!T480)</f>
        <v/>
      </c>
      <c r="U480" s="59" t="str">
        <f>IF([2]道具信息!U480="","",[2]道具信息!U480)</f>
        <v/>
      </c>
      <c r="V480" s="59" t="str">
        <f>IF([2]道具信息!V480="","",[2]道具信息!V480)</f>
        <v/>
      </c>
      <c r="W480" s="59" t="str">
        <f>IF([2]道具信息!W480="","",[2]道具信息!W480)</f>
        <v/>
      </c>
      <c r="X480" s="59" t="str">
        <f>IF([2]道具信息!X480="","",[2]道具信息!X480)</f>
        <v/>
      </c>
      <c r="Y480" s="59" t="str">
        <f>IF([2]道具信息!Y480="","",[2]道具信息!Y480)</f>
        <v/>
      </c>
      <c r="Z480" s="59" t="str">
        <f>IF([2]道具信息!Z480="","",[2]道具信息!Z480)</f>
        <v/>
      </c>
    </row>
    <row r="481" spans="1:26" x14ac:dyDescent="0.15">
      <c r="A481" s="59" t="str">
        <f>IF([2]道具信息!A481="","",[2]道具信息!A481)</f>
        <v/>
      </c>
      <c r="B481" s="59" t="str">
        <f>IF([2]道具信息!B481="","",[2]道具信息!B481)</f>
        <v/>
      </c>
      <c r="C481" s="59" t="str">
        <f>IF([2]道具信息!C481="","",[2]道具信息!C481)</f>
        <v/>
      </c>
      <c r="D481" s="59" t="str">
        <f>IF([2]道具信息!D481="","",[2]道具信息!D481)</f>
        <v/>
      </c>
      <c r="E481" s="59" t="str">
        <f>IF([2]道具信息!E481="","",[2]道具信息!E481)</f>
        <v/>
      </c>
      <c r="F481" s="59" t="str">
        <f>IF([2]道具信息!F481="","",[2]道具信息!F481)</f>
        <v/>
      </c>
      <c r="G481" s="59" t="str">
        <f>IF([2]道具信息!G481="","",[2]道具信息!G481)</f>
        <v/>
      </c>
      <c r="H481" s="59" t="str">
        <f>IF([2]道具信息!H481="","",[2]道具信息!H481)</f>
        <v/>
      </c>
      <c r="I481" s="59" t="str">
        <f>IF([2]道具信息!I481="","",[2]道具信息!I481)</f>
        <v/>
      </c>
      <c r="J481" s="59" t="str">
        <f>IF([2]道具信息!J481="","",[2]道具信息!J481)</f>
        <v/>
      </c>
      <c r="K481" s="59" t="str">
        <f>IF([2]道具信息!K481="","",[2]道具信息!K481)</f>
        <v/>
      </c>
      <c r="L481" s="59" t="str">
        <f>IF([2]道具信息!L481="","",[2]道具信息!L481)</f>
        <v/>
      </c>
      <c r="M481" s="59" t="str">
        <f>IF([2]道具信息!M481="","",[2]道具信息!M481)</f>
        <v/>
      </c>
      <c r="N481" s="59" t="str">
        <f>IF([2]道具信息!N481="","",[2]道具信息!N481)</f>
        <v/>
      </c>
      <c r="O481" s="59" t="str">
        <f>IF([2]道具信息!O481="","",[2]道具信息!O481)</f>
        <v/>
      </c>
      <c r="P481" s="59" t="str">
        <f>IF([2]道具信息!P481="","",[2]道具信息!P481)</f>
        <v/>
      </c>
      <c r="Q481" s="59" t="str">
        <f>IF([2]道具信息!Q481="","",[2]道具信息!Q481)</f>
        <v/>
      </c>
      <c r="R481" s="59" t="str">
        <f>IF([2]道具信息!R481="","",[2]道具信息!R481)</f>
        <v/>
      </c>
      <c r="S481" s="59" t="str">
        <f>IF([2]道具信息!S481="","",[2]道具信息!S481)</f>
        <v/>
      </c>
      <c r="T481" s="59" t="str">
        <f>IF([2]道具信息!T481="","",[2]道具信息!T481)</f>
        <v/>
      </c>
      <c r="U481" s="59" t="str">
        <f>IF([2]道具信息!U481="","",[2]道具信息!U481)</f>
        <v/>
      </c>
      <c r="V481" s="59" t="str">
        <f>IF([2]道具信息!V481="","",[2]道具信息!V481)</f>
        <v/>
      </c>
      <c r="W481" s="59" t="str">
        <f>IF([2]道具信息!W481="","",[2]道具信息!W481)</f>
        <v/>
      </c>
      <c r="X481" s="59" t="str">
        <f>IF([2]道具信息!X481="","",[2]道具信息!X481)</f>
        <v/>
      </c>
      <c r="Y481" s="59" t="str">
        <f>IF([2]道具信息!Y481="","",[2]道具信息!Y481)</f>
        <v/>
      </c>
      <c r="Z481" s="59" t="str">
        <f>IF([2]道具信息!Z481="","",[2]道具信息!Z481)</f>
        <v/>
      </c>
    </row>
    <row r="482" spans="1:26" x14ac:dyDescent="0.15">
      <c r="A482" s="59" t="str">
        <f>IF([2]道具信息!A482="","",[2]道具信息!A482)</f>
        <v/>
      </c>
      <c r="B482" s="59" t="str">
        <f>IF([2]道具信息!B482="","",[2]道具信息!B482)</f>
        <v/>
      </c>
      <c r="C482" s="59" t="str">
        <f>IF([2]道具信息!C482="","",[2]道具信息!C482)</f>
        <v/>
      </c>
      <c r="D482" s="59" t="str">
        <f>IF([2]道具信息!D482="","",[2]道具信息!D482)</f>
        <v/>
      </c>
      <c r="E482" s="59" t="str">
        <f>IF([2]道具信息!E482="","",[2]道具信息!E482)</f>
        <v/>
      </c>
      <c r="F482" s="59" t="str">
        <f>IF([2]道具信息!F482="","",[2]道具信息!F482)</f>
        <v/>
      </c>
      <c r="G482" s="59" t="str">
        <f>IF([2]道具信息!G482="","",[2]道具信息!G482)</f>
        <v/>
      </c>
      <c r="H482" s="59" t="str">
        <f>IF([2]道具信息!H482="","",[2]道具信息!H482)</f>
        <v/>
      </c>
      <c r="I482" s="59" t="str">
        <f>IF([2]道具信息!I482="","",[2]道具信息!I482)</f>
        <v/>
      </c>
      <c r="J482" s="59" t="str">
        <f>IF([2]道具信息!J482="","",[2]道具信息!J482)</f>
        <v/>
      </c>
      <c r="K482" s="59" t="str">
        <f>IF([2]道具信息!K482="","",[2]道具信息!K482)</f>
        <v/>
      </c>
      <c r="L482" s="59" t="str">
        <f>IF([2]道具信息!L482="","",[2]道具信息!L482)</f>
        <v/>
      </c>
      <c r="M482" s="59" t="str">
        <f>IF([2]道具信息!M482="","",[2]道具信息!M482)</f>
        <v/>
      </c>
      <c r="N482" s="59" t="str">
        <f>IF([2]道具信息!N482="","",[2]道具信息!N482)</f>
        <v/>
      </c>
      <c r="O482" s="59" t="str">
        <f>IF([2]道具信息!O482="","",[2]道具信息!O482)</f>
        <v/>
      </c>
      <c r="P482" s="59" t="str">
        <f>IF([2]道具信息!P482="","",[2]道具信息!P482)</f>
        <v/>
      </c>
      <c r="Q482" s="59" t="str">
        <f>IF([2]道具信息!Q482="","",[2]道具信息!Q482)</f>
        <v/>
      </c>
      <c r="R482" s="59" t="str">
        <f>IF([2]道具信息!R482="","",[2]道具信息!R482)</f>
        <v/>
      </c>
      <c r="S482" s="59" t="str">
        <f>IF([2]道具信息!S482="","",[2]道具信息!S482)</f>
        <v/>
      </c>
      <c r="T482" s="59" t="str">
        <f>IF([2]道具信息!T482="","",[2]道具信息!T482)</f>
        <v/>
      </c>
      <c r="U482" s="59" t="str">
        <f>IF([2]道具信息!U482="","",[2]道具信息!U482)</f>
        <v/>
      </c>
      <c r="V482" s="59" t="str">
        <f>IF([2]道具信息!V482="","",[2]道具信息!V482)</f>
        <v/>
      </c>
      <c r="W482" s="59" t="str">
        <f>IF([2]道具信息!W482="","",[2]道具信息!W482)</f>
        <v/>
      </c>
      <c r="X482" s="59" t="str">
        <f>IF([2]道具信息!X482="","",[2]道具信息!X482)</f>
        <v/>
      </c>
      <c r="Y482" s="59" t="str">
        <f>IF([2]道具信息!Y482="","",[2]道具信息!Y482)</f>
        <v/>
      </c>
      <c r="Z482" s="59" t="str">
        <f>IF([2]道具信息!Z482="","",[2]道具信息!Z482)</f>
        <v/>
      </c>
    </row>
    <row r="483" spans="1:26" x14ac:dyDescent="0.15">
      <c r="A483" s="59" t="str">
        <f>IF([2]道具信息!A483="","",[2]道具信息!A483)</f>
        <v/>
      </c>
      <c r="B483" s="59" t="str">
        <f>IF([2]道具信息!B483="","",[2]道具信息!B483)</f>
        <v/>
      </c>
      <c r="C483" s="59" t="str">
        <f>IF([2]道具信息!C483="","",[2]道具信息!C483)</f>
        <v/>
      </c>
      <c r="D483" s="59" t="str">
        <f>IF([2]道具信息!D483="","",[2]道具信息!D483)</f>
        <v/>
      </c>
      <c r="E483" s="59" t="str">
        <f>IF([2]道具信息!E483="","",[2]道具信息!E483)</f>
        <v/>
      </c>
      <c r="F483" s="59" t="str">
        <f>IF([2]道具信息!F483="","",[2]道具信息!F483)</f>
        <v/>
      </c>
      <c r="G483" s="59" t="str">
        <f>IF([2]道具信息!G483="","",[2]道具信息!G483)</f>
        <v/>
      </c>
      <c r="H483" s="59" t="str">
        <f>IF([2]道具信息!H483="","",[2]道具信息!H483)</f>
        <v/>
      </c>
      <c r="I483" s="59" t="str">
        <f>IF([2]道具信息!I483="","",[2]道具信息!I483)</f>
        <v/>
      </c>
      <c r="J483" s="59" t="str">
        <f>IF([2]道具信息!J483="","",[2]道具信息!J483)</f>
        <v/>
      </c>
      <c r="K483" s="59" t="str">
        <f>IF([2]道具信息!K483="","",[2]道具信息!K483)</f>
        <v/>
      </c>
      <c r="L483" s="59" t="str">
        <f>IF([2]道具信息!L483="","",[2]道具信息!L483)</f>
        <v/>
      </c>
      <c r="M483" s="59" t="str">
        <f>IF([2]道具信息!M483="","",[2]道具信息!M483)</f>
        <v/>
      </c>
      <c r="N483" s="59" t="str">
        <f>IF([2]道具信息!N483="","",[2]道具信息!N483)</f>
        <v/>
      </c>
      <c r="O483" s="59" t="str">
        <f>IF([2]道具信息!O483="","",[2]道具信息!O483)</f>
        <v/>
      </c>
      <c r="P483" s="59" t="str">
        <f>IF([2]道具信息!P483="","",[2]道具信息!P483)</f>
        <v/>
      </c>
      <c r="Q483" s="59" t="str">
        <f>IF([2]道具信息!Q483="","",[2]道具信息!Q483)</f>
        <v/>
      </c>
      <c r="R483" s="59" t="str">
        <f>IF([2]道具信息!R483="","",[2]道具信息!R483)</f>
        <v/>
      </c>
      <c r="S483" s="59" t="str">
        <f>IF([2]道具信息!S483="","",[2]道具信息!S483)</f>
        <v/>
      </c>
      <c r="T483" s="59" t="str">
        <f>IF([2]道具信息!T483="","",[2]道具信息!T483)</f>
        <v/>
      </c>
      <c r="U483" s="59" t="str">
        <f>IF([2]道具信息!U483="","",[2]道具信息!U483)</f>
        <v/>
      </c>
      <c r="V483" s="59" t="str">
        <f>IF([2]道具信息!V483="","",[2]道具信息!V483)</f>
        <v/>
      </c>
      <c r="W483" s="59" t="str">
        <f>IF([2]道具信息!W483="","",[2]道具信息!W483)</f>
        <v/>
      </c>
      <c r="X483" s="59" t="str">
        <f>IF([2]道具信息!X483="","",[2]道具信息!X483)</f>
        <v/>
      </c>
      <c r="Y483" s="59" t="str">
        <f>IF([2]道具信息!Y483="","",[2]道具信息!Y483)</f>
        <v/>
      </c>
      <c r="Z483" s="59" t="str">
        <f>IF([2]道具信息!Z483="","",[2]道具信息!Z483)</f>
        <v/>
      </c>
    </row>
    <row r="484" spans="1:26" x14ac:dyDescent="0.15">
      <c r="A484" s="59" t="str">
        <f>IF([2]道具信息!A484="","",[2]道具信息!A484)</f>
        <v/>
      </c>
      <c r="B484" s="59" t="str">
        <f>IF([2]道具信息!B484="","",[2]道具信息!B484)</f>
        <v/>
      </c>
      <c r="C484" s="59" t="str">
        <f>IF([2]道具信息!C484="","",[2]道具信息!C484)</f>
        <v/>
      </c>
      <c r="D484" s="59" t="str">
        <f>IF([2]道具信息!D484="","",[2]道具信息!D484)</f>
        <v/>
      </c>
      <c r="E484" s="59" t="str">
        <f>IF([2]道具信息!E484="","",[2]道具信息!E484)</f>
        <v/>
      </c>
      <c r="F484" s="59" t="str">
        <f>IF([2]道具信息!F484="","",[2]道具信息!F484)</f>
        <v/>
      </c>
      <c r="G484" s="59" t="str">
        <f>IF([2]道具信息!G484="","",[2]道具信息!G484)</f>
        <v/>
      </c>
      <c r="H484" s="59" t="str">
        <f>IF([2]道具信息!H484="","",[2]道具信息!H484)</f>
        <v/>
      </c>
      <c r="I484" s="59" t="str">
        <f>IF([2]道具信息!I484="","",[2]道具信息!I484)</f>
        <v/>
      </c>
      <c r="J484" s="59" t="str">
        <f>IF([2]道具信息!J484="","",[2]道具信息!J484)</f>
        <v/>
      </c>
      <c r="K484" s="59" t="str">
        <f>IF([2]道具信息!K484="","",[2]道具信息!K484)</f>
        <v/>
      </c>
      <c r="L484" s="59" t="str">
        <f>IF([2]道具信息!L484="","",[2]道具信息!L484)</f>
        <v/>
      </c>
      <c r="M484" s="59" t="str">
        <f>IF([2]道具信息!M484="","",[2]道具信息!M484)</f>
        <v/>
      </c>
      <c r="N484" s="59" t="str">
        <f>IF([2]道具信息!N484="","",[2]道具信息!N484)</f>
        <v/>
      </c>
      <c r="O484" s="59" t="str">
        <f>IF([2]道具信息!O484="","",[2]道具信息!O484)</f>
        <v/>
      </c>
      <c r="P484" s="59" t="str">
        <f>IF([2]道具信息!P484="","",[2]道具信息!P484)</f>
        <v/>
      </c>
      <c r="Q484" s="59" t="str">
        <f>IF([2]道具信息!Q484="","",[2]道具信息!Q484)</f>
        <v/>
      </c>
      <c r="R484" s="59" t="str">
        <f>IF([2]道具信息!R484="","",[2]道具信息!R484)</f>
        <v/>
      </c>
      <c r="S484" s="59" t="str">
        <f>IF([2]道具信息!S484="","",[2]道具信息!S484)</f>
        <v/>
      </c>
      <c r="T484" s="59" t="str">
        <f>IF([2]道具信息!T484="","",[2]道具信息!T484)</f>
        <v/>
      </c>
      <c r="U484" s="59" t="str">
        <f>IF([2]道具信息!U484="","",[2]道具信息!U484)</f>
        <v/>
      </c>
      <c r="V484" s="59" t="str">
        <f>IF([2]道具信息!V484="","",[2]道具信息!V484)</f>
        <v/>
      </c>
      <c r="W484" s="59" t="str">
        <f>IF([2]道具信息!W484="","",[2]道具信息!W484)</f>
        <v/>
      </c>
      <c r="X484" s="59" t="str">
        <f>IF([2]道具信息!X484="","",[2]道具信息!X484)</f>
        <v/>
      </c>
      <c r="Y484" s="59" t="str">
        <f>IF([2]道具信息!Y484="","",[2]道具信息!Y484)</f>
        <v/>
      </c>
      <c r="Z484" s="59" t="str">
        <f>IF([2]道具信息!Z484="","",[2]道具信息!Z484)</f>
        <v/>
      </c>
    </row>
    <row r="485" spans="1:26" x14ac:dyDescent="0.15">
      <c r="A485" s="59" t="str">
        <f>IF([2]道具信息!A485="","",[2]道具信息!A485)</f>
        <v/>
      </c>
      <c r="B485" s="59" t="str">
        <f>IF([2]道具信息!B485="","",[2]道具信息!B485)</f>
        <v/>
      </c>
      <c r="C485" s="59" t="str">
        <f>IF([2]道具信息!C485="","",[2]道具信息!C485)</f>
        <v/>
      </c>
      <c r="D485" s="59" t="str">
        <f>IF([2]道具信息!D485="","",[2]道具信息!D485)</f>
        <v/>
      </c>
      <c r="E485" s="59" t="str">
        <f>IF([2]道具信息!E485="","",[2]道具信息!E485)</f>
        <v/>
      </c>
      <c r="F485" s="59" t="str">
        <f>IF([2]道具信息!F485="","",[2]道具信息!F485)</f>
        <v/>
      </c>
      <c r="G485" s="59" t="str">
        <f>IF([2]道具信息!G485="","",[2]道具信息!G485)</f>
        <v/>
      </c>
      <c r="H485" s="59" t="str">
        <f>IF([2]道具信息!H485="","",[2]道具信息!H485)</f>
        <v/>
      </c>
      <c r="I485" s="59" t="str">
        <f>IF([2]道具信息!I485="","",[2]道具信息!I485)</f>
        <v/>
      </c>
      <c r="J485" s="59" t="str">
        <f>IF([2]道具信息!J485="","",[2]道具信息!J485)</f>
        <v/>
      </c>
      <c r="K485" s="59" t="str">
        <f>IF([2]道具信息!K485="","",[2]道具信息!K485)</f>
        <v/>
      </c>
      <c r="L485" s="59" t="str">
        <f>IF([2]道具信息!L485="","",[2]道具信息!L485)</f>
        <v/>
      </c>
      <c r="M485" s="59" t="str">
        <f>IF([2]道具信息!M485="","",[2]道具信息!M485)</f>
        <v/>
      </c>
      <c r="N485" s="59" t="str">
        <f>IF([2]道具信息!N485="","",[2]道具信息!N485)</f>
        <v/>
      </c>
      <c r="O485" s="59" t="str">
        <f>IF([2]道具信息!O485="","",[2]道具信息!O485)</f>
        <v/>
      </c>
      <c r="P485" s="59" t="str">
        <f>IF([2]道具信息!P485="","",[2]道具信息!P485)</f>
        <v/>
      </c>
      <c r="Q485" s="59" t="str">
        <f>IF([2]道具信息!Q485="","",[2]道具信息!Q485)</f>
        <v/>
      </c>
      <c r="R485" s="59" t="str">
        <f>IF([2]道具信息!R485="","",[2]道具信息!R485)</f>
        <v/>
      </c>
      <c r="S485" s="59" t="str">
        <f>IF([2]道具信息!S485="","",[2]道具信息!S485)</f>
        <v/>
      </c>
      <c r="T485" s="59" t="str">
        <f>IF([2]道具信息!T485="","",[2]道具信息!T485)</f>
        <v/>
      </c>
      <c r="U485" s="59" t="str">
        <f>IF([2]道具信息!U485="","",[2]道具信息!U485)</f>
        <v/>
      </c>
      <c r="V485" s="59" t="str">
        <f>IF([2]道具信息!V485="","",[2]道具信息!V485)</f>
        <v/>
      </c>
      <c r="W485" s="59" t="str">
        <f>IF([2]道具信息!W485="","",[2]道具信息!W485)</f>
        <v/>
      </c>
      <c r="X485" s="59" t="str">
        <f>IF([2]道具信息!X485="","",[2]道具信息!X485)</f>
        <v/>
      </c>
      <c r="Y485" s="59" t="str">
        <f>IF([2]道具信息!Y485="","",[2]道具信息!Y485)</f>
        <v/>
      </c>
      <c r="Z485" s="59" t="str">
        <f>IF([2]道具信息!Z485="","",[2]道具信息!Z485)</f>
        <v/>
      </c>
    </row>
    <row r="486" spans="1:26" x14ac:dyDescent="0.15">
      <c r="A486" s="59" t="str">
        <f>IF([2]道具信息!A486="","",[2]道具信息!A486)</f>
        <v/>
      </c>
      <c r="B486" s="59" t="str">
        <f>IF([2]道具信息!B486="","",[2]道具信息!B486)</f>
        <v/>
      </c>
      <c r="C486" s="59" t="str">
        <f>IF([2]道具信息!C486="","",[2]道具信息!C486)</f>
        <v/>
      </c>
      <c r="D486" s="59" t="str">
        <f>IF([2]道具信息!D486="","",[2]道具信息!D486)</f>
        <v/>
      </c>
      <c r="E486" s="59" t="str">
        <f>IF([2]道具信息!E486="","",[2]道具信息!E486)</f>
        <v/>
      </c>
      <c r="F486" s="59" t="str">
        <f>IF([2]道具信息!F486="","",[2]道具信息!F486)</f>
        <v/>
      </c>
      <c r="G486" s="59" t="str">
        <f>IF([2]道具信息!G486="","",[2]道具信息!G486)</f>
        <v/>
      </c>
      <c r="H486" s="59" t="str">
        <f>IF([2]道具信息!H486="","",[2]道具信息!H486)</f>
        <v/>
      </c>
      <c r="I486" s="59" t="str">
        <f>IF([2]道具信息!I486="","",[2]道具信息!I486)</f>
        <v/>
      </c>
      <c r="J486" s="59" t="str">
        <f>IF([2]道具信息!J486="","",[2]道具信息!J486)</f>
        <v/>
      </c>
      <c r="K486" s="59" t="str">
        <f>IF([2]道具信息!K486="","",[2]道具信息!K486)</f>
        <v/>
      </c>
      <c r="L486" s="59" t="str">
        <f>IF([2]道具信息!L486="","",[2]道具信息!L486)</f>
        <v/>
      </c>
      <c r="M486" s="59" t="str">
        <f>IF([2]道具信息!M486="","",[2]道具信息!M486)</f>
        <v/>
      </c>
      <c r="N486" s="59" t="str">
        <f>IF([2]道具信息!N486="","",[2]道具信息!N486)</f>
        <v/>
      </c>
      <c r="O486" s="59" t="str">
        <f>IF([2]道具信息!O486="","",[2]道具信息!O486)</f>
        <v/>
      </c>
      <c r="P486" s="59" t="str">
        <f>IF([2]道具信息!P486="","",[2]道具信息!P486)</f>
        <v/>
      </c>
      <c r="Q486" s="59" t="str">
        <f>IF([2]道具信息!Q486="","",[2]道具信息!Q486)</f>
        <v/>
      </c>
      <c r="R486" s="59" t="str">
        <f>IF([2]道具信息!R486="","",[2]道具信息!R486)</f>
        <v/>
      </c>
      <c r="S486" s="59" t="str">
        <f>IF([2]道具信息!S486="","",[2]道具信息!S486)</f>
        <v/>
      </c>
      <c r="T486" s="59" t="str">
        <f>IF([2]道具信息!T486="","",[2]道具信息!T486)</f>
        <v/>
      </c>
      <c r="U486" s="59" t="str">
        <f>IF([2]道具信息!U486="","",[2]道具信息!U486)</f>
        <v/>
      </c>
      <c r="V486" s="59" t="str">
        <f>IF([2]道具信息!V486="","",[2]道具信息!V486)</f>
        <v/>
      </c>
      <c r="W486" s="59" t="str">
        <f>IF([2]道具信息!W486="","",[2]道具信息!W486)</f>
        <v/>
      </c>
      <c r="X486" s="59" t="str">
        <f>IF([2]道具信息!X486="","",[2]道具信息!X486)</f>
        <v/>
      </c>
      <c r="Y486" s="59" t="str">
        <f>IF([2]道具信息!Y486="","",[2]道具信息!Y486)</f>
        <v/>
      </c>
      <c r="Z486" s="59" t="str">
        <f>IF([2]道具信息!Z486="","",[2]道具信息!Z486)</f>
        <v/>
      </c>
    </row>
    <row r="487" spans="1:26" x14ac:dyDescent="0.15">
      <c r="A487" s="59" t="str">
        <f>IF([2]道具信息!A487="","",[2]道具信息!A487)</f>
        <v/>
      </c>
      <c r="B487" s="59" t="str">
        <f>IF([2]道具信息!B487="","",[2]道具信息!B487)</f>
        <v/>
      </c>
      <c r="C487" s="59" t="str">
        <f>IF([2]道具信息!C487="","",[2]道具信息!C487)</f>
        <v/>
      </c>
      <c r="D487" s="59" t="str">
        <f>IF([2]道具信息!D487="","",[2]道具信息!D487)</f>
        <v/>
      </c>
      <c r="E487" s="59" t="str">
        <f>IF([2]道具信息!E487="","",[2]道具信息!E487)</f>
        <v/>
      </c>
      <c r="F487" s="59" t="str">
        <f>IF([2]道具信息!F487="","",[2]道具信息!F487)</f>
        <v/>
      </c>
      <c r="G487" s="59" t="str">
        <f>IF([2]道具信息!G487="","",[2]道具信息!G487)</f>
        <v/>
      </c>
      <c r="H487" s="59" t="str">
        <f>IF([2]道具信息!H487="","",[2]道具信息!H487)</f>
        <v/>
      </c>
      <c r="I487" s="59" t="str">
        <f>IF([2]道具信息!I487="","",[2]道具信息!I487)</f>
        <v/>
      </c>
      <c r="J487" s="59" t="str">
        <f>IF([2]道具信息!J487="","",[2]道具信息!J487)</f>
        <v/>
      </c>
      <c r="K487" s="59" t="str">
        <f>IF([2]道具信息!K487="","",[2]道具信息!K487)</f>
        <v/>
      </c>
      <c r="L487" s="59" t="str">
        <f>IF([2]道具信息!L487="","",[2]道具信息!L487)</f>
        <v/>
      </c>
      <c r="M487" s="59" t="str">
        <f>IF([2]道具信息!M487="","",[2]道具信息!M487)</f>
        <v/>
      </c>
      <c r="N487" s="59" t="str">
        <f>IF([2]道具信息!N487="","",[2]道具信息!N487)</f>
        <v/>
      </c>
      <c r="O487" s="59" t="str">
        <f>IF([2]道具信息!O487="","",[2]道具信息!O487)</f>
        <v/>
      </c>
      <c r="P487" s="59" t="str">
        <f>IF([2]道具信息!P487="","",[2]道具信息!P487)</f>
        <v/>
      </c>
      <c r="Q487" s="59" t="str">
        <f>IF([2]道具信息!Q487="","",[2]道具信息!Q487)</f>
        <v/>
      </c>
      <c r="R487" s="59" t="str">
        <f>IF([2]道具信息!R487="","",[2]道具信息!R487)</f>
        <v/>
      </c>
      <c r="S487" s="59" t="str">
        <f>IF([2]道具信息!S487="","",[2]道具信息!S487)</f>
        <v/>
      </c>
      <c r="T487" s="59" t="str">
        <f>IF([2]道具信息!T487="","",[2]道具信息!T487)</f>
        <v/>
      </c>
      <c r="U487" s="59" t="str">
        <f>IF([2]道具信息!U487="","",[2]道具信息!U487)</f>
        <v/>
      </c>
      <c r="V487" s="59" t="str">
        <f>IF([2]道具信息!V487="","",[2]道具信息!V487)</f>
        <v/>
      </c>
      <c r="W487" s="59" t="str">
        <f>IF([2]道具信息!W487="","",[2]道具信息!W487)</f>
        <v/>
      </c>
      <c r="X487" s="59" t="str">
        <f>IF([2]道具信息!X487="","",[2]道具信息!X487)</f>
        <v/>
      </c>
      <c r="Y487" s="59" t="str">
        <f>IF([2]道具信息!Y487="","",[2]道具信息!Y487)</f>
        <v/>
      </c>
      <c r="Z487" s="59" t="str">
        <f>IF([2]道具信息!Z487="","",[2]道具信息!Z487)</f>
        <v/>
      </c>
    </row>
    <row r="488" spans="1:26" x14ac:dyDescent="0.15">
      <c r="A488" s="59" t="str">
        <f>IF([2]道具信息!A488="","",[2]道具信息!A488)</f>
        <v/>
      </c>
      <c r="B488" s="59" t="str">
        <f>IF([2]道具信息!B488="","",[2]道具信息!B488)</f>
        <v/>
      </c>
      <c r="C488" s="59" t="str">
        <f>IF([2]道具信息!C488="","",[2]道具信息!C488)</f>
        <v/>
      </c>
      <c r="D488" s="59" t="str">
        <f>IF([2]道具信息!D488="","",[2]道具信息!D488)</f>
        <v/>
      </c>
      <c r="E488" s="59" t="str">
        <f>IF([2]道具信息!E488="","",[2]道具信息!E488)</f>
        <v/>
      </c>
      <c r="F488" s="59" t="str">
        <f>IF([2]道具信息!F488="","",[2]道具信息!F488)</f>
        <v/>
      </c>
      <c r="G488" s="59" t="str">
        <f>IF([2]道具信息!G488="","",[2]道具信息!G488)</f>
        <v/>
      </c>
      <c r="H488" s="59" t="str">
        <f>IF([2]道具信息!H488="","",[2]道具信息!H488)</f>
        <v/>
      </c>
      <c r="I488" s="59" t="str">
        <f>IF([2]道具信息!I488="","",[2]道具信息!I488)</f>
        <v/>
      </c>
      <c r="J488" s="59" t="str">
        <f>IF([2]道具信息!J488="","",[2]道具信息!J488)</f>
        <v/>
      </c>
      <c r="K488" s="59" t="str">
        <f>IF([2]道具信息!K488="","",[2]道具信息!K488)</f>
        <v/>
      </c>
      <c r="L488" s="59" t="str">
        <f>IF([2]道具信息!L488="","",[2]道具信息!L488)</f>
        <v/>
      </c>
      <c r="M488" s="59" t="str">
        <f>IF([2]道具信息!M488="","",[2]道具信息!M488)</f>
        <v/>
      </c>
      <c r="N488" s="59" t="str">
        <f>IF([2]道具信息!N488="","",[2]道具信息!N488)</f>
        <v/>
      </c>
      <c r="O488" s="59" t="str">
        <f>IF([2]道具信息!O488="","",[2]道具信息!O488)</f>
        <v/>
      </c>
      <c r="P488" s="59" t="str">
        <f>IF([2]道具信息!P488="","",[2]道具信息!P488)</f>
        <v/>
      </c>
      <c r="Q488" s="59" t="str">
        <f>IF([2]道具信息!Q488="","",[2]道具信息!Q488)</f>
        <v/>
      </c>
      <c r="R488" s="59" t="str">
        <f>IF([2]道具信息!R488="","",[2]道具信息!R488)</f>
        <v/>
      </c>
      <c r="S488" s="59" t="str">
        <f>IF([2]道具信息!S488="","",[2]道具信息!S488)</f>
        <v/>
      </c>
      <c r="T488" s="59" t="str">
        <f>IF([2]道具信息!T488="","",[2]道具信息!T488)</f>
        <v/>
      </c>
      <c r="U488" s="59" t="str">
        <f>IF([2]道具信息!U488="","",[2]道具信息!U488)</f>
        <v/>
      </c>
      <c r="V488" s="59" t="str">
        <f>IF([2]道具信息!V488="","",[2]道具信息!V488)</f>
        <v/>
      </c>
      <c r="W488" s="59" t="str">
        <f>IF([2]道具信息!W488="","",[2]道具信息!W488)</f>
        <v/>
      </c>
      <c r="X488" s="59" t="str">
        <f>IF([2]道具信息!X488="","",[2]道具信息!X488)</f>
        <v/>
      </c>
      <c r="Y488" s="59" t="str">
        <f>IF([2]道具信息!Y488="","",[2]道具信息!Y488)</f>
        <v/>
      </c>
      <c r="Z488" s="59" t="str">
        <f>IF([2]道具信息!Z488="","",[2]道具信息!Z488)</f>
        <v/>
      </c>
    </row>
    <row r="489" spans="1:26" x14ac:dyDescent="0.15">
      <c r="A489" s="59" t="str">
        <f>IF([2]道具信息!A489="","",[2]道具信息!A489)</f>
        <v/>
      </c>
      <c r="B489" s="59" t="str">
        <f>IF([2]道具信息!B489="","",[2]道具信息!B489)</f>
        <v/>
      </c>
      <c r="C489" s="59" t="str">
        <f>IF([2]道具信息!C489="","",[2]道具信息!C489)</f>
        <v/>
      </c>
      <c r="D489" s="59" t="str">
        <f>IF([2]道具信息!D489="","",[2]道具信息!D489)</f>
        <v/>
      </c>
      <c r="E489" s="59" t="str">
        <f>IF([2]道具信息!E489="","",[2]道具信息!E489)</f>
        <v/>
      </c>
      <c r="F489" s="59" t="str">
        <f>IF([2]道具信息!F489="","",[2]道具信息!F489)</f>
        <v/>
      </c>
      <c r="G489" s="59" t="str">
        <f>IF([2]道具信息!G489="","",[2]道具信息!G489)</f>
        <v/>
      </c>
      <c r="H489" s="59" t="str">
        <f>IF([2]道具信息!H489="","",[2]道具信息!H489)</f>
        <v/>
      </c>
      <c r="I489" s="59" t="str">
        <f>IF([2]道具信息!I489="","",[2]道具信息!I489)</f>
        <v/>
      </c>
      <c r="J489" s="59" t="str">
        <f>IF([2]道具信息!J489="","",[2]道具信息!J489)</f>
        <v/>
      </c>
      <c r="K489" s="59" t="str">
        <f>IF([2]道具信息!K489="","",[2]道具信息!K489)</f>
        <v/>
      </c>
      <c r="L489" s="59" t="str">
        <f>IF([2]道具信息!L489="","",[2]道具信息!L489)</f>
        <v/>
      </c>
      <c r="M489" s="59" t="str">
        <f>IF([2]道具信息!M489="","",[2]道具信息!M489)</f>
        <v/>
      </c>
      <c r="N489" s="59" t="str">
        <f>IF([2]道具信息!N489="","",[2]道具信息!N489)</f>
        <v/>
      </c>
      <c r="O489" s="59" t="str">
        <f>IF([2]道具信息!O489="","",[2]道具信息!O489)</f>
        <v/>
      </c>
      <c r="P489" s="59" t="str">
        <f>IF([2]道具信息!P489="","",[2]道具信息!P489)</f>
        <v/>
      </c>
      <c r="Q489" s="59" t="str">
        <f>IF([2]道具信息!Q489="","",[2]道具信息!Q489)</f>
        <v/>
      </c>
      <c r="R489" s="59" t="str">
        <f>IF([2]道具信息!R489="","",[2]道具信息!R489)</f>
        <v/>
      </c>
      <c r="S489" s="59" t="str">
        <f>IF([2]道具信息!S489="","",[2]道具信息!S489)</f>
        <v/>
      </c>
      <c r="T489" s="59" t="str">
        <f>IF([2]道具信息!T489="","",[2]道具信息!T489)</f>
        <v/>
      </c>
      <c r="U489" s="59" t="str">
        <f>IF([2]道具信息!U489="","",[2]道具信息!U489)</f>
        <v/>
      </c>
      <c r="V489" s="59" t="str">
        <f>IF([2]道具信息!V489="","",[2]道具信息!V489)</f>
        <v/>
      </c>
      <c r="W489" s="59" t="str">
        <f>IF([2]道具信息!W489="","",[2]道具信息!W489)</f>
        <v/>
      </c>
      <c r="X489" s="59" t="str">
        <f>IF([2]道具信息!X489="","",[2]道具信息!X489)</f>
        <v/>
      </c>
      <c r="Y489" s="59" t="str">
        <f>IF([2]道具信息!Y489="","",[2]道具信息!Y489)</f>
        <v/>
      </c>
      <c r="Z489" s="59" t="str">
        <f>IF([2]道具信息!Z489="","",[2]道具信息!Z489)</f>
        <v/>
      </c>
    </row>
    <row r="490" spans="1:26" x14ac:dyDescent="0.15">
      <c r="A490" s="59" t="str">
        <f>IF([2]道具信息!A490="","",[2]道具信息!A490)</f>
        <v/>
      </c>
      <c r="B490" s="59" t="str">
        <f>IF([2]道具信息!B490="","",[2]道具信息!B490)</f>
        <v/>
      </c>
      <c r="C490" s="59" t="str">
        <f>IF([2]道具信息!C490="","",[2]道具信息!C490)</f>
        <v/>
      </c>
      <c r="D490" s="59" t="str">
        <f>IF([2]道具信息!D490="","",[2]道具信息!D490)</f>
        <v/>
      </c>
      <c r="E490" s="59" t="str">
        <f>IF([2]道具信息!E490="","",[2]道具信息!E490)</f>
        <v/>
      </c>
      <c r="F490" s="59" t="str">
        <f>IF([2]道具信息!F490="","",[2]道具信息!F490)</f>
        <v/>
      </c>
      <c r="G490" s="59" t="str">
        <f>IF([2]道具信息!G490="","",[2]道具信息!G490)</f>
        <v/>
      </c>
      <c r="H490" s="59" t="str">
        <f>IF([2]道具信息!H490="","",[2]道具信息!H490)</f>
        <v/>
      </c>
      <c r="I490" s="59" t="str">
        <f>IF([2]道具信息!I490="","",[2]道具信息!I490)</f>
        <v/>
      </c>
      <c r="J490" s="59" t="str">
        <f>IF([2]道具信息!J490="","",[2]道具信息!J490)</f>
        <v/>
      </c>
      <c r="K490" s="59" t="str">
        <f>IF([2]道具信息!K490="","",[2]道具信息!K490)</f>
        <v/>
      </c>
      <c r="L490" s="59" t="str">
        <f>IF([2]道具信息!L490="","",[2]道具信息!L490)</f>
        <v/>
      </c>
      <c r="M490" s="59" t="str">
        <f>IF([2]道具信息!M490="","",[2]道具信息!M490)</f>
        <v/>
      </c>
      <c r="N490" s="59" t="str">
        <f>IF([2]道具信息!N490="","",[2]道具信息!N490)</f>
        <v/>
      </c>
      <c r="O490" s="59" t="str">
        <f>IF([2]道具信息!O490="","",[2]道具信息!O490)</f>
        <v/>
      </c>
      <c r="P490" s="59" t="str">
        <f>IF([2]道具信息!P490="","",[2]道具信息!P490)</f>
        <v/>
      </c>
      <c r="Q490" s="59" t="str">
        <f>IF([2]道具信息!Q490="","",[2]道具信息!Q490)</f>
        <v/>
      </c>
      <c r="R490" s="59" t="str">
        <f>IF([2]道具信息!R490="","",[2]道具信息!R490)</f>
        <v/>
      </c>
      <c r="S490" s="59" t="str">
        <f>IF([2]道具信息!S490="","",[2]道具信息!S490)</f>
        <v/>
      </c>
      <c r="T490" s="59" t="str">
        <f>IF([2]道具信息!T490="","",[2]道具信息!T490)</f>
        <v/>
      </c>
      <c r="U490" s="59" t="str">
        <f>IF([2]道具信息!U490="","",[2]道具信息!U490)</f>
        <v/>
      </c>
      <c r="V490" s="59" t="str">
        <f>IF([2]道具信息!V490="","",[2]道具信息!V490)</f>
        <v/>
      </c>
      <c r="W490" s="59" t="str">
        <f>IF([2]道具信息!W490="","",[2]道具信息!W490)</f>
        <v/>
      </c>
      <c r="X490" s="59" t="str">
        <f>IF([2]道具信息!X490="","",[2]道具信息!X490)</f>
        <v/>
      </c>
      <c r="Y490" s="59" t="str">
        <f>IF([2]道具信息!Y490="","",[2]道具信息!Y490)</f>
        <v/>
      </c>
      <c r="Z490" s="59" t="str">
        <f>IF([2]道具信息!Z490="","",[2]道具信息!Z490)</f>
        <v/>
      </c>
    </row>
    <row r="491" spans="1:26" x14ac:dyDescent="0.15">
      <c r="A491" s="59" t="str">
        <f>IF([2]道具信息!A491="","",[2]道具信息!A491)</f>
        <v/>
      </c>
      <c r="B491" s="59" t="str">
        <f>IF([2]道具信息!B491="","",[2]道具信息!B491)</f>
        <v/>
      </c>
      <c r="C491" s="59" t="str">
        <f>IF([2]道具信息!C491="","",[2]道具信息!C491)</f>
        <v/>
      </c>
      <c r="D491" s="59" t="str">
        <f>IF([2]道具信息!D491="","",[2]道具信息!D491)</f>
        <v/>
      </c>
      <c r="E491" s="59" t="str">
        <f>IF([2]道具信息!E491="","",[2]道具信息!E491)</f>
        <v/>
      </c>
      <c r="F491" s="59" t="str">
        <f>IF([2]道具信息!F491="","",[2]道具信息!F491)</f>
        <v/>
      </c>
      <c r="G491" s="59" t="str">
        <f>IF([2]道具信息!G491="","",[2]道具信息!G491)</f>
        <v/>
      </c>
      <c r="H491" s="59" t="str">
        <f>IF([2]道具信息!H491="","",[2]道具信息!H491)</f>
        <v/>
      </c>
      <c r="I491" s="59" t="str">
        <f>IF([2]道具信息!I491="","",[2]道具信息!I491)</f>
        <v/>
      </c>
      <c r="J491" s="59" t="str">
        <f>IF([2]道具信息!J491="","",[2]道具信息!J491)</f>
        <v/>
      </c>
      <c r="K491" s="59" t="str">
        <f>IF([2]道具信息!K491="","",[2]道具信息!K491)</f>
        <v/>
      </c>
      <c r="L491" s="59" t="str">
        <f>IF([2]道具信息!L491="","",[2]道具信息!L491)</f>
        <v/>
      </c>
      <c r="M491" s="59" t="str">
        <f>IF([2]道具信息!M491="","",[2]道具信息!M491)</f>
        <v/>
      </c>
      <c r="N491" s="59" t="str">
        <f>IF([2]道具信息!N491="","",[2]道具信息!N491)</f>
        <v/>
      </c>
      <c r="O491" s="59" t="str">
        <f>IF([2]道具信息!O491="","",[2]道具信息!O491)</f>
        <v/>
      </c>
      <c r="P491" s="59" t="str">
        <f>IF([2]道具信息!P491="","",[2]道具信息!P491)</f>
        <v/>
      </c>
      <c r="Q491" s="59" t="str">
        <f>IF([2]道具信息!Q491="","",[2]道具信息!Q491)</f>
        <v/>
      </c>
      <c r="R491" s="59" t="str">
        <f>IF([2]道具信息!R491="","",[2]道具信息!R491)</f>
        <v/>
      </c>
      <c r="S491" s="59" t="str">
        <f>IF([2]道具信息!S491="","",[2]道具信息!S491)</f>
        <v/>
      </c>
      <c r="T491" s="59" t="str">
        <f>IF([2]道具信息!T491="","",[2]道具信息!T491)</f>
        <v/>
      </c>
      <c r="U491" s="59" t="str">
        <f>IF([2]道具信息!U491="","",[2]道具信息!U491)</f>
        <v/>
      </c>
      <c r="V491" s="59" t="str">
        <f>IF([2]道具信息!V491="","",[2]道具信息!V491)</f>
        <v/>
      </c>
      <c r="W491" s="59" t="str">
        <f>IF([2]道具信息!W491="","",[2]道具信息!W491)</f>
        <v/>
      </c>
      <c r="X491" s="59" t="str">
        <f>IF([2]道具信息!X491="","",[2]道具信息!X491)</f>
        <v/>
      </c>
      <c r="Y491" s="59" t="str">
        <f>IF([2]道具信息!Y491="","",[2]道具信息!Y491)</f>
        <v/>
      </c>
      <c r="Z491" s="59" t="str">
        <f>IF([2]道具信息!Z491="","",[2]道具信息!Z491)</f>
        <v/>
      </c>
    </row>
    <row r="492" spans="1:26" x14ac:dyDescent="0.15">
      <c r="A492" s="59" t="str">
        <f>IF([2]道具信息!A492="","",[2]道具信息!A492)</f>
        <v/>
      </c>
      <c r="B492" s="59" t="str">
        <f>IF([2]道具信息!B492="","",[2]道具信息!B492)</f>
        <v/>
      </c>
      <c r="C492" s="59" t="str">
        <f>IF([2]道具信息!C492="","",[2]道具信息!C492)</f>
        <v/>
      </c>
      <c r="D492" s="59" t="str">
        <f>IF([2]道具信息!D492="","",[2]道具信息!D492)</f>
        <v/>
      </c>
      <c r="E492" s="59" t="str">
        <f>IF([2]道具信息!E492="","",[2]道具信息!E492)</f>
        <v/>
      </c>
      <c r="F492" s="59" t="str">
        <f>IF([2]道具信息!F492="","",[2]道具信息!F492)</f>
        <v/>
      </c>
      <c r="G492" s="59" t="str">
        <f>IF([2]道具信息!G492="","",[2]道具信息!G492)</f>
        <v/>
      </c>
      <c r="H492" s="59" t="str">
        <f>IF([2]道具信息!H492="","",[2]道具信息!H492)</f>
        <v/>
      </c>
      <c r="I492" s="59" t="str">
        <f>IF([2]道具信息!I492="","",[2]道具信息!I492)</f>
        <v/>
      </c>
      <c r="J492" s="59" t="str">
        <f>IF([2]道具信息!J492="","",[2]道具信息!J492)</f>
        <v/>
      </c>
      <c r="K492" s="59" t="str">
        <f>IF([2]道具信息!K492="","",[2]道具信息!K492)</f>
        <v/>
      </c>
      <c r="L492" s="59" t="str">
        <f>IF([2]道具信息!L492="","",[2]道具信息!L492)</f>
        <v/>
      </c>
      <c r="M492" s="59" t="str">
        <f>IF([2]道具信息!M492="","",[2]道具信息!M492)</f>
        <v/>
      </c>
      <c r="N492" s="59" t="str">
        <f>IF([2]道具信息!N492="","",[2]道具信息!N492)</f>
        <v/>
      </c>
      <c r="O492" s="59" t="str">
        <f>IF([2]道具信息!O492="","",[2]道具信息!O492)</f>
        <v/>
      </c>
      <c r="P492" s="59" t="str">
        <f>IF([2]道具信息!P492="","",[2]道具信息!P492)</f>
        <v/>
      </c>
      <c r="Q492" s="59" t="str">
        <f>IF([2]道具信息!Q492="","",[2]道具信息!Q492)</f>
        <v/>
      </c>
      <c r="R492" s="59" t="str">
        <f>IF([2]道具信息!R492="","",[2]道具信息!R492)</f>
        <v/>
      </c>
      <c r="S492" s="59" t="str">
        <f>IF([2]道具信息!S492="","",[2]道具信息!S492)</f>
        <v/>
      </c>
      <c r="T492" s="59" t="str">
        <f>IF([2]道具信息!T492="","",[2]道具信息!T492)</f>
        <v/>
      </c>
      <c r="U492" s="59" t="str">
        <f>IF([2]道具信息!U492="","",[2]道具信息!U492)</f>
        <v/>
      </c>
      <c r="V492" s="59" t="str">
        <f>IF([2]道具信息!V492="","",[2]道具信息!V492)</f>
        <v/>
      </c>
      <c r="W492" s="59" t="str">
        <f>IF([2]道具信息!W492="","",[2]道具信息!W492)</f>
        <v/>
      </c>
      <c r="X492" s="59" t="str">
        <f>IF([2]道具信息!X492="","",[2]道具信息!X492)</f>
        <v/>
      </c>
      <c r="Y492" s="59" t="str">
        <f>IF([2]道具信息!Y492="","",[2]道具信息!Y492)</f>
        <v/>
      </c>
      <c r="Z492" s="59" t="str">
        <f>IF([2]道具信息!Z492="","",[2]道具信息!Z492)</f>
        <v/>
      </c>
    </row>
    <row r="493" spans="1:26" x14ac:dyDescent="0.15">
      <c r="A493" s="59" t="str">
        <f>IF([2]道具信息!A493="","",[2]道具信息!A493)</f>
        <v/>
      </c>
      <c r="B493" s="59" t="str">
        <f>IF([2]道具信息!B493="","",[2]道具信息!B493)</f>
        <v/>
      </c>
      <c r="C493" s="59" t="str">
        <f>IF([2]道具信息!C493="","",[2]道具信息!C493)</f>
        <v/>
      </c>
      <c r="D493" s="59" t="str">
        <f>IF([2]道具信息!D493="","",[2]道具信息!D493)</f>
        <v/>
      </c>
      <c r="E493" s="59" t="str">
        <f>IF([2]道具信息!E493="","",[2]道具信息!E493)</f>
        <v/>
      </c>
      <c r="F493" s="59" t="str">
        <f>IF([2]道具信息!F493="","",[2]道具信息!F493)</f>
        <v/>
      </c>
      <c r="G493" s="59" t="str">
        <f>IF([2]道具信息!G493="","",[2]道具信息!G493)</f>
        <v/>
      </c>
      <c r="H493" s="59" t="str">
        <f>IF([2]道具信息!H493="","",[2]道具信息!H493)</f>
        <v/>
      </c>
      <c r="I493" s="59" t="str">
        <f>IF([2]道具信息!I493="","",[2]道具信息!I493)</f>
        <v/>
      </c>
      <c r="J493" s="59" t="str">
        <f>IF([2]道具信息!J493="","",[2]道具信息!J493)</f>
        <v/>
      </c>
      <c r="K493" s="59" t="str">
        <f>IF([2]道具信息!K493="","",[2]道具信息!K493)</f>
        <v/>
      </c>
      <c r="L493" s="59" t="str">
        <f>IF([2]道具信息!L493="","",[2]道具信息!L493)</f>
        <v/>
      </c>
      <c r="M493" s="59" t="str">
        <f>IF([2]道具信息!M493="","",[2]道具信息!M493)</f>
        <v/>
      </c>
      <c r="N493" s="59" t="str">
        <f>IF([2]道具信息!N493="","",[2]道具信息!N493)</f>
        <v/>
      </c>
      <c r="O493" s="59" t="str">
        <f>IF([2]道具信息!O493="","",[2]道具信息!O493)</f>
        <v/>
      </c>
      <c r="P493" s="59" t="str">
        <f>IF([2]道具信息!P493="","",[2]道具信息!P493)</f>
        <v/>
      </c>
      <c r="Q493" s="59" t="str">
        <f>IF([2]道具信息!Q493="","",[2]道具信息!Q493)</f>
        <v/>
      </c>
      <c r="R493" s="59" t="str">
        <f>IF([2]道具信息!R493="","",[2]道具信息!R493)</f>
        <v/>
      </c>
      <c r="S493" s="59" t="str">
        <f>IF([2]道具信息!S493="","",[2]道具信息!S493)</f>
        <v/>
      </c>
      <c r="T493" s="59" t="str">
        <f>IF([2]道具信息!T493="","",[2]道具信息!T493)</f>
        <v/>
      </c>
      <c r="U493" s="59" t="str">
        <f>IF([2]道具信息!U493="","",[2]道具信息!U493)</f>
        <v/>
      </c>
      <c r="V493" s="59" t="str">
        <f>IF([2]道具信息!V493="","",[2]道具信息!V493)</f>
        <v/>
      </c>
      <c r="W493" s="59" t="str">
        <f>IF([2]道具信息!W493="","",[2]道具信息!W493)</f>
        <v/>
      </c>
      <c r="X493" s="59" t="str">
        <f>IF([2]道具信息!X493="","",[2]道具信息!X493)</f>
        <v/>
      </c>
      <c r="Y493" s="59" t="str">
        <f>IF([2]道具信息!Y493="","",[2]道具信息!Y493)</f>
        <v/>
      </c>
      <c r="Z493" s="59" t="str">
        <f>IF([2]道具信息!Z493="","",[2]道具信息!Z493)</f>
        <v/>
      </c>
    </row>
    <row r="494" spans="1:26" x14ac:dyDescent="0.15">
      <c r="A494" s="59" t="str">
        <f>IF([2]道具信息!A494="","",[2]道具信息!A494)</f>
        <v/>
      </c>
      <c r="B494" s="59" t="str">
        <f>IF([2]道具信息!B494="","",[2]道具信息!B494)</f>
        <v/>
      </c>
      <c r="C494" s="59" t="str">
        <f>IF([2]道具信息!C494="","",[2]道具信息!C494)</f>
        <v/>
      </c>
      <c r="D494" s="59" t="str">
        <f>IF([2]道具信息!D494="","",[2]道具信息!D494)</f>
        <v/>
      </c>
      <c r="E494" s="59" t="str">
        <f>IF([2]道具信息!E494="","",[2]道具信息!E494)</f>
        <v/>
      </c>
      <c r="F494" s="59" t="str">
        <f>IF([2]道具信息!F494="","",[2]道具信息!F494)</f>
        <v/>
      </c>
      <c r="G494" s="59" t="str">
        <f>IF([2]道具信息!G494="","",[2]道具信息!G494)</f>
        <v/>
      </c>
      <c r="H494" s="59" t="str">
        <f>IF([2]道具信息!H494="","",[2]道具信息!H494)</f>
        <v/>
      </c>
      <c r="I494" s="59" t="str">
        <f>IF([2]道具信息!I494="","",[2]道具信息!I494)</f>
        <v/>
      </c>
      <c r="J494" s="59" t="str">
        <f>IF([2]道具信息!J494="","",[2]道具信息!J494)</f>
        <v/>
      </c>
      <c r="K494" s="59" t="str">
        <f>IF([2]道具信息!K494="","",[2]道具信息!K494)</f>
        <v/>
      </c>
      <c r="L494" s="59" t="str">
        <f>IF([2]道具信息!L494="","",[2]道具信息!L494)</f>
        <v/>
      </c>
      <c r="M494" s="59" t="str">
        <f>IF([2]道具信息!M494="","",[2]道具信息!M494)</f>
        <v/>
      </c>
      <c r="N494" s="59" t="str">
        <f>IF([2]道具信息!N494="","",[2]道具信息!N494)</f>
        <v/>
      </c>
      <c r="O494" s="59" t="str">
        <f>IF([2]道具信息!O494="","",[2]道具信息!O494)</f>
        <v/>
      </c>
      <c r="P494" s="59" t="str">
        <f>IF([2]道具信息!P494="","",[2]道具信息!P494)</f>
        <v/>
      </c>
      <c r="Q494" s="59" t="str">
        <f>IF([2]道具信息!Q494="","",[2]道具信息!Q494)</f>
        <v/>
      </c>
      <c r="R494" s="59" t="str">
        <f>IF([2]道具信息!R494="","",[2]道具信息!R494)</f>
        <v/>
      </c>
      <c r="S494" s="59" t="str">
        <f>IF([2]道具信息!S494="","",[2]道具信息!S494)</f>
        <v/>
      </c>
      <c r="T494" s="59" t="str">
        <f>IF([2]道具信息!T494="","",[2]道具信息!T494)</f>
        <v/>
      </c>
      <c r="U494" s="59" t="str">
        <f>IF([2]道具信息!U494="","",[2]道具信息!U494)</f>
        <v/>
      </c>
      <c r="V494" s="59" t="str">
        <f>IF([2]道具信息!V494="","",[2]道具信息!V494)</f>
        <v/>
      </c>
      <c r="W494" s="59" t="str">
        <f>IF([2]道具信息!W494="","",[2]道具信息!W494)</f>
        <v/>
      </c>
      <c r="X494" s="59" t="str">
        <f>IF([2]道具信息!X494="","",[2]道具信息!X494)</f>
        <v/>
      </c>
      <c r="Y494" s="59" t="str">
        <f>IF([2]道具信息!Y494="","",[2]道具信息!Y494)</f>
        <v/>
      </c>
      <c r="Z494" s="59" t="str">
        <f>IF([2]道具信息!Z494="","",[2]道具信息!Z494)</f>
        <v/>
      </c>
    </row>
    <row r="495" spans="1:26" x14ac:dyDescent="0.15">
      <c r="A495" s="59" t="str">
        <f>IF([2]道具信息!A495="","",[2]道具信息!A495)</f>
        <v/>
      </c>
      <c r="B495" s="59" t="str">
        <f>IF([2]道具信息!B495="","",[2]道具信息!B495)</f>
        <v/>
      </c>
      <c r="C495" s="59" t="str">
        <f>IF([2]道具信息!C495="","",[2]道具信息!C495)</f>
        <v/>
      </c>
      <c r="D495" s="59" t="str">
        <f>IF([2]道具信息!D495="","",[2]道具信息!D495)</f>
        <v/>
      </c>
      <c r="E495" s="59" t="str">
        <f>IF([2]道具信息!E495="","",[2]道具信息!E495)</f>
        <v/>
      </c>
      <c r="F495" s="59" t="str">
        <f>IF([2]道具信息!F495="","",[2]道具信息!F495)</f>
        <v/>
      </c>
      <c r="G495" s="59" t="str">
        <f>IF([2]道具信息!G495="","",[2]道具信息!G495)</f>
        <v/>
      </c>
      <c r="H495" s="59" t="str">
        <f>IF([2]道具信息!H495="","",[2]道具信息!H495)</f>
        <v/>
      </c>
      <c r="I495" s="59" t="str">
        <f>IF([2]道具信息!I495="","",[2]道具信息!I495)</f>
        <v/>
      </c>
      <c r="J495" s="59" t="str">
        <f>IF([2]道具信息!J495="","",[2]道具信息!J495)</f>
        <v/>
      </c>
      <c r="K495" s="59" t="str">
        <f>IF([2]道具信息!K495="","",[2]道具信息!K495)</f>
        <v/>
      </c>
      <c r="L495" s="59" t="str">
        <f>IF([2]道具信息!L495="","",[2]道具信息!L495)</f>
        <v/>
      </c>
      <c r="M495" s="59" t="str">
        <f>IF([2]道具信息!M495="","",[2]道具信息!M495)</f>
        <v/>
      </c>
      <c r="N495" s="59" t="str">
        <f>IF([2]道具信息!N495="","",[2]道具信息!N495)</f>
        <v/>
      </c>
      <c r="O495" s="59" t="str">
        <f>IF([2]道具信息!O495="","",[2]道具信息!O495)</f>
        <v/>
      </c>
      <c r="P495" s="59" t="str">
        <f>IF([2]道具信息!P495="","",[2]道具信息!P495)</f>
        <v/>
      </c>
      <c r="Q495" s="59" t="str">
        <f>IF([2]道具信息!Q495="","",[2]道具信息!Q495)</f>
        <v/>
      </c>
      <c r="R495" s="59" t="str">
        <f>IF([2]道具信息!R495="","",[2]道具信息!R495)</f>
        <v/>
      </c>
      <c r="S495" s="59" t="str">
        <f>IF([2]道具信息!S495="","",[2]道具信息!S495)</f>
        <v/>
      </c>
      <c r="T495" s="59" t="str">
        <f>IF([2]道具信息!T495="","",[2]道具信息!T495)</f>
        <v/>
      </c>
      <c r="U495" s="59" t="str">
        <f>IF([2]道具信息!U495="","",[2]道具信息!U495)</f>
        <v/>
      </c>
      <c r="V495" s="59" t="str">
        <f>IF([2]道具信息!V495="","",[2]道具信息!V495)</f>
        <v/>
      </c>
      <c r="W495" s="59" t="str">
        <f>IF([2]道具信息!W495="","",[2]道具信息!W495)</f>
        <v/>
      </c>
      <c r="X495" s="59" t="str">
        <f>IF([2]道具信息!X495="","",[2]道具信息!X495)</f>
        <v/>
      </c>
      <c r="Y495" s="59" t="str">
        <f>IF([2]道具信息!Y495="","",[2]道具信息!Y495)</f>
        <v/>
      </c>
      <c r="Z495" s="59" t="str">
        <f>IF([2]道具信息!Z495="","",[2]道具信息!Z495)</f>
        <v/>
      </c>
    </row>
    <row r="496" spans="1:26" x14ac:dyDescent="0.15">
      <c r="A496" s="59" t="str">
        <f>IF([2]道具信息!A496="","",[2]道具信息!A496)</f>
        <v/>
      </c>
      <c r="B496" s="59" t="str">
        <f>IF([2]道具信息!B496="","",[2]道具信息!B496)</f>
        <v/>
      </c>
      <c r="C496" s="59" t="str">
        <f>IF([2]道具信息!C496="","",[2]道具信息!C496)</f>
        <v/>
      </c>
      <c r="D496" s="59" t="str">
        <f>IF([2]道具信息!D496="","",[2]道具信息!D496)</f>
        <v/>
      </c>
      <c r="E496" s="59" t="str">
        <f>IF([2]道具信息!E496="","",[2]道具信息!E496)</f>
        <v/>
      </c>
      <c r="F496" s="59" t="str">
        <f>IF([2]道具信息!F496="","",[2]道具信息!F496)</f>
        <v/>
      </c>
      <c r="G496" s="59" t="str">
        <f>IF([2]道具信息!G496="","",[2]道具信息!G496)</f>
        <v/>
      </c>
      <c r="H496" s="59" t="str">
        <f>IF([2]道具信息!H496="","",[2]道具信息!H496)</f>
        <v/>
      </c>
      <c r="I496" s="59" t="str">
        <f>IF([2]道具信息!I496="","",[2]道具信息!I496)</f>
        <v/>
      </c>
      <c r="J496" s="59" t="str">
        <f>IF([2]道具信息!J496="","",[2]道具信息!J496)</f>
        <v/>
      </c>
      <c r="K496" s="59" t="str">
        <f>IF([2]道具信息!K496="","",[2]道具信息!K496)</f>
        <v/>
      </c>
      <c r="L496" s="59" t="str">
        <f>IF([2]道具信息!L496="","",[2]道具信息!L496)</f>
        <v/>
      </c>
      <c r="M496" s="59" t="str">
        <f>IF([2]道具信息!M496="","",[2]道具信息!M496)</f>
        <v/>
      </c>
      <c r="N496" s="59" t="str">
        <f>IF([2]道具信息!N496="","",[2]道具信息!N496)</f>
        <v/>
      </c>
      <c r="O496" s="59" t="str">
        <f>IF([2]道具信息!O496="","",[2]道具信息!O496)</f>
        <v/>
      </c>
      <c r="P496" s="59" t="str">
        <f>IF([2]道具信息!P496="","",[2]道具信息!P496)</f>
        <v/>
      </c>
      <c r="Q496" s="59" t="str">
        <f>IF([2]道具信息!Q496="","",[2]道具信息!Q496)</f>
        <v/>
      </c>
      <c r="R496" s="59" t="str">
        <f>IF([2]道具信息!R496="","",[2]道具信息!R496)</f>
        <v/>
      </c>
      <c r="S496" s="59" t="str">
        <f>IF([2]道具信息!S496="","",[2]道具信息!S496)</f>
        <v/>
      </c>
      <c r="T496" s="59" t="str">
        <f>IF([2]道具信息!T496="","",[2]道具信息!T496)</f>
        <v/>
      </c>
      <c r="U496" s="59" t="str">
        <f>IF([2]道具信息!U496="","",[2]道具信息!U496)</f>
        <v/>
      </c>
      <c r="V496" s="59" t="str">
        <f>IF([2]道具信息!V496="","",[2]道具信息!V496)</f>
        <v/>
      </c>
      <c r="W496" s="59" t="str">
        <f>IF([2]道具信息!W496="","",[2]道具信息!W496)</f>
        <v/>
      </c>
      <c r="X496" s="59" t="str">
        <f>IF([2]道具信息!X496="","",[2]道具信息!X496)</f>
        <v/>
      </c>
      <c r="Y496" s="59" t="str">
        <f>IF([2]道具信息!Y496="","",[2]道具信息!Y496)</f>
        <v/>
      </c>
      <c r="Z496" s="59" t="str">
        <f>IF([2]道具信息!Z496="","",[2]道具信息!Z496)</f>
        <v/>
      </c>
    </row>
    <row r="497" spans="1:26" x14ac:dyDescent="0.15">
      <c r="A497" s="59" t="str">
        <f>IF([2]道具信息!A497="","",[2]道具信息!A497)</f>
        <v/>
      </c>
      <c r="B497" s="59" t="str">
        <f>IF([2]道具信息!B497="","",[2]道具信息!B497)</f>
        <v/>
      </c>
      <c r="C497" s="59" t="str">
        <f>IF([2]道具信息!C497="","",[2]道具信息!C497)</f>
        <v/>
      </c>
      <c r="D497" s="59" t="str">
        <f>IF([2]道具信息!D497="","",[2]道具信息!D497)</f>
        <v/>
      </c>
      <c r="E497" s="59" t="str">
        <f>IF([2]道具信息!E497="","",[2]道具信息!E497)</f>
        <v/>
      </c>
      <c r="F497" s="59" t="str">
        <f>IF([2]道具信息!F497="","",[2]道具信息!F497)</f>
        <v/>
      </c>
      <c r="G497" s="59" t="str">
        <f>IF([2]道具信息!G497="","",[2]道具信息!G497)</f>
        <v/>
      </c>
      <c r="H497" s="59" t="str">
        <f>IF([2]道具信息!H497="","",[2]道具信息!H497)</f>
        <v/>
      </c>
      <c r="I497" s="59" t="str">
        <f>IF([2]道具信息!I497="","",[2]道具信息!I497)</f>
        <v/>
      </c>
      <c r="J497" s="59" t="str">
        <f>IF([2]道具信息!J497="","",[2]道具信息!J497)</f>
        <v/>
      </c>
      <c r="K497" s="59" t="str">
        <f>IF([2]道具信息!K497="","",[2]道具信息!K497)</f>
        <v/>
      </c>
      <c r="L497" s="59" t="str">
        <f>IF([2]道具信息!L497="","",[2]道具信息!L497)</f>
        <v/>
      </c>
      <c r="M497" s="59" t="str">
        <f>IF([2]道具信息!M497="","",[2]道具信息!M497)</f>
        <v/>
      </c>
      <c r="N497" s="59" t="str">
        <f>IF([2]道具信息!N497="","",[2]道具信息!N497)</f>
        <v/>
      </c>
      <c r="O497" s="59" t="str">
        <f>IF([2]道具信息!O497="","",[2]道具信息!O497)</f>
        <v/>
      </c>
      <c r="P497" s="59" t="str">
        <f>IF([2]道具信息!P497="","",[2]道具信息!P497)</f>
        <v/>
      </c>
      <c r="Q497" s="59" t="str">
        <f>IF([2]道具信息!Q497="","",[2]道具信息!Q497)</f>
        <v/>
      </c>
      <c r="R497" s="59" t="str">
        <f>IF([2]道具信息!R497="","",[2]道具信息!R497)</f>
        <v/>
      </c>
      <c r="S497" s="59" t="str">
        <f>IF([2]道具信息!S497="","",[2]道具信息!S497)</f>
        <v/>
      </c>
      <c r="T497" s="59" t="str">
        <f>IF([2]道具信息!T497="","",[2]道具信息!T497)</f>
        <v/>
      </c>
      <c r="U497" s="59" t="str">
        <f>IF([2]道具信息!U497="","",[2]道具信息!U497)</f>
        <v/>
      </c>
      <c r="V497" s="59" t="str">
        <f>IF([2]道具信息!V497="","",[2]道具信息!V497)</f>
        <v/>
      </c>
      <c r="W497" s="59" t="str">
        <f>IF([2]道具信息!W497="","",[2]道具信息!W497)</f>
        <v/>
      </c>
      <c r="X497" s="59" t="str">
        <f>IF([2]道具信息!X497="","",[2]道具信息!X497)</f>
        <v/>
      </c>
      <c r="Y497" s="59" t="str">
        <f>IF([2]道具信息!Y497="","",[2]道具信息!Y497)</f>
        <v/>
      </c>
      <c r="Z497" s="59" t="str">
        <f>IF([2]道具信息!Z497="","",[2]道具信息!Z497)</f>
        <v/>
      </c>
    </row>
    <row r="498" spans="1:26" x14ac:dyDescent="0.15">
      <c r="A498" s="59" t="str">
        <f>IF([2]道具信息!A498="","",[2]道具信息!A498)</f>
        <v/>
      </c>
      <c r="B498" s="59" t="str">
        <f>IF([2]道具信息!B498="","",[2]道具信息!B498)</f>
        <v/>
      </c>
      <c r="C498" s="59" t="str">
        <f>IF([2]道具信息!C498="","",[2]道具信息!C498)</f>
        <v/>
      </c>
      <c r="D498" s="59" t="str">
        <f>IF([2]道具信息!D498="","",[2]道具信息!D498)</f>
        <v/>
      </c>
      <c r="E498" s="59" t="str">
        <f>IF([2]道具信息!E498="","",[2]道具信息!E498)</f>
        <v/>
      </c>
      <c r="F498" s="59" t="str">
        <f>IF([2]道具信息!F498="","",[2]道具信息!F498)</f>
        <v/>
      </c>
      <c r="G498" s="59" t="str">
        <f>IF([2]道具信息!G498="","",[2]道具信息!G498)</f>
        <v/>
      </c>
      <c r="H498" s="59" t="str">
        <f>IF([2]道具信息!H498="","",[2]道具信息!H498)</f>
        <v/>
      </c>
      <c r="I498" s="59" t="str">
        <f>IF([2]道具信息!I498="","",[2]道具信息!I498)</f>
        <v/>
      </c>
      <c r="J498" s="59" t="str">
        <f>IF([2]道具信息!J498="","",[2]道具信息!J498)</f>
        <v/>
      </c>
      <c r="K498" s="59" t="str">
        <f>IF([2]道具信息!K498="","",[2]道具信息!K498)</f>
        <v/>
      </c>
      <c r="L498" s="59" t="str">
        <f>IF([2]道具信息!L498="","",[2]道具信息!L498)</f>
        <v/>
      </c>
      <c r="M498" s="59" t="str">
        <f>IF([2]道具信息!M498="","",[2]道具信息!M498)</f>
        <v/>
      </c>
      <c r="N498" s="59" t="str">
        <f>IF([2]道具信息!N498="","",[2]道具信息!N498)</f>
        <v/>
      </c>
      <c r="O498" s="59" t="str">
        <f>IF([2]道具信息!O498="","",[2]道具信息!O498)</f>
        <v/>
      </c>
      <c r="P498" s="59" t="str">
        <f>IF([2]道具信息!P498="","",[2]道具信息!P498)</f>
        <v/>
      </c>
      <c r="Q498" s="59" t="str">
        <f>IF([2]道具信息!Q498="","",[2]道具信息!Q498)</f>
        <v/>
      </c>
      <c r="R498" s="59" t="str">
        <f>IF([2]道具信息!R498="","",[2]道具信息!R498)</f>
        <v/>
      </c>
      <c r="S498" s="59" t="str">
        <f>IF([2]道具信息!S498="","",[2]道具信息!S498)</f>
        <v/>
      </c>
      <c r="T498" s="59" t="str">
        <f>IF([2]道具信息!T498="","",[2]道具信息!T498)</f>
        <v/>
      </c>
      <c r="U498" s="59" t="str">
        <f>IF([2]道具信息!U498="","",[2]道具信息!U498)</f>
        <v/>
      </c>
      <c r="V498" s="59" t="str">
        <f>IF([2]道具信息!V498="","",[2]道具信息!V498)</f>
        <v/>
      </c>
      <c r="W498" s="59" t="str">
        <f>IF([2]道具信息!W498="","",[2]道具信息!W498)</f>
        <v/>
      </c>
      <c r="X498" s="59" t="str">
        <f>IF([2]道具信息!X498="","",[2]道具信息!X498)</f>
        <v/>
      </c>
      <c r="Y498" s="59" t="str">
        <f>IF([2]道具信息!Y498="","",[2]道具信息!Y498)</f>
        <v/>
      </c>
      <c r="Z498" s="59" t="str">
        <f>IF([2]道具信息!Z498="","",[2]道具信息!Z498)</f>
        <v/>
      </c>
    </row>
    <row r="499" spans="1:26" x14ac:dyDescent="0.15">
      <c r="A499" s="59" t="str">
        <f>IF([2]道具信息!A499="","",[2]道具信息!A499)</f>
        <v/>
      </c>
      <c r="B499" s="59" t="str">
        <f>IF([2]道具信息!B499="","",[2]道具信息!B499)</f>
        <v/>
      </c>
      <c r="C499" s="59" t="str">
        <f>IF([2]道具信息!C499="","",[2]道具信息!C499)</f>
        <v/>
      </c>
      <c r="D499" s="59" t="str">
        <f>IF([2]道具信息!D499="","",[2]道具信息!D499)</f>
        <v/>
      </c>
      <c r="E499" s="59" t="str">
        <f>IF([2]道具信息!E499="","",[2]道具信息!E499)</f>
        <v/>
      </c>
      <c r="F499" s="59" t="str">
        <f>IF([2]道具信息!F499="","",[2]道具信息!F499)</f>
        <v/>
      </c>
      <c r="G499" s="59" t="str">
        <f>IF([2]道具信息!G499="","",[2]道具信息!G499)</f>
        <v/>
      </c>
      <c r="H499" s="59" t="str">
        <f>IF([2]道具信息!H499="","",[2]道具信息!H499)</f>
        <v/>
      </c>
      <c r="I499" s="59" t="str">
        <f>IF([2]道具信息!I499="","",[2]道具信息!I499)</f>
        <v/>
      </c>
      <c r="J499" s="59" t="str">
        <f>IF([2]道具信息!J499="","",[2]道具信息!J499)</f>
        <v/>
      </c>
      <c r="K499" s="59" t="str">
        <f>IF([2]道具信息!K499="","",[2]道具信息!K499)</f>
        <v/>
      </c>
      <c r="L499" s="59" t="str">
        <f>IF([2]道具信息!L499="","",[2]道具信息!L499)</f>
        <v/>
      </c>
      <c r="M499" s="59" t="str">
        <f>IF([2]道具信息!M499="","",[2]道具信息!M499)</f>
        <v/>
      </c>
      <c r="N499" s="59" t="str">
        <f>IF([2]道具信息!N499="","",[2]道具信息!N499)</f>
        <v/>
      </c>
      <c r="O499" s="59" t="str">
        <f>IF([2]道具信息!O499="","",[2]道具信息!O499)</f>
        <v/>
      </c>
      <c r="P499" s="59" t="str">
        <f>IF([2]道具信息!P499="","",[2]道具信息!P499)</f>
        <v/>
      </c>
      <c r="Q499" s="59" t="str">
        <f>IF([2]道具信息!Q499="","",[2]道具信息!Q499)</f>
        <v/>
      </c>
      <c r="R499" s="59" t="str">
        <f>IF([2]道具信息!R499="","",[2]道具信息!R499)</f>
        <v/>
      </c>
      <c r="S499" s="59" t="str">
        <f>IF([2]道具信息!S499="","",[2]道具信息!S499)</f>
        <v/>
      </c>
      <c r="T499" s="59" t="str">
        <f>IF([2]道具信息!T499="","",[2]道具信息!T499)</f>
        <v/>
      </c>
      <c r="U499" s="59" t="str">
        <f>IF([2]道具信息!U499="","",[2]道具信息!U499)</f>
        <v/>
      </c>
      <c r="V499" s="59" t="str">
        <f>IF([2]道具信息!V499="","",[2]道具信息!V499)</f>
        <v/>
      </c>
      <c r="W499" s="59" t="str">
        <f>IF([2]道具信息!W499="","",[2]道具信息!W499)</f>
        <v/>
      </c>
      <c r="X499" s="59" t="str">
        <f>IF([2]道具信息!X499="","",[2]道具信息!X499)</f>
        <v/>
      </c>
      <c r="Y499" s="59" t="str">
        <f>IF([2]道具信息!Y499="","",[2]道具信息!Y499)</f>
        <v/>
      </c>
      <c r="Z499" s="59" t="str">
        <f>IF([2]道具信息!Z499="","",[2]道具信息!Z499)</f>
        <v/>
      </c>
    </row>
    <row r="500" spans="1:26" x14ac:dyDescent="0.15">
      <c r="A500" s="59" t="str">
        <f>IF([2]道具信息!A500="","",[2]道具信息!A500)</f>
        <v/>
      </c>
      <c r="B500" s="59" t="str">
        <f>IF([2]道具信息!B500="","",[2]道具信息!B500)</f>
        <v/>
      </c>
      <c r="C500" s="59" t="str">
        <f>IF([2]道具信息!C500="","",[2]道具信息!C500)</f>
        <v/>
      </c>
      <c r="D500" s="59" t="str">
        <f>IF([2]道具信息!D500="","",[2]道具信息!D500)</f>
        <v/>
      </c>
      <c r="E500" s="59" t="str">
        <f>IF([2]道具信息!E500="","",[2]道具信息!E500)</f>
        <v/>
      </c>
      <c r="F500" s="59" t="str">
        <f>IF([2]道具信息!F500="","",[2]道具信息!F500)</f>
        <v/>
      </c>
      <c r="G500" s="59" t="str">
        <f>IF([2]道具信息!G500="","",[2]道具信息!G500)</f>
        <v/>
      </c>
      <c r="H500" s="59" t="str">
        <f>IF([2]道具信息!H500="","",[2]道具信息!H500)</f>
        <v/>
      </c>
      <c r="I500" s="59" t="str">
        <f>IF([2]道具信息!I500="","",[2]道具信息!I500)</f>
        <v/>
      </c>
      <c r="J500" s="59" t="str">
        <f>IF([2]道具信息!J500="","",[2]道具信息!J500)</f>
        <v/>
      </c>
      <c r="K500" s="59" t="str">
        <f>IF([2]道具信息!K500="","",[2]道具信息!K500)</f>
        <v/>
      </c>
      <c r="L500" s="59" t="str">
        <f>IF([2]道具信息!L500="","",[2]道具信息!L500)</f>
        <v/>
      </c>
      <c r="M500" s="59" t="str">
        <f>IF([2]道具信息!M500="","",[2]道具信息!M500)</f>
        <v/>
      </c>
      <c r="N500" s="59" t="str">
        <f>IF([2]道具信息!N500="","",[2]道具信息!N500)</f>
        <v/>
      </c>
      <c r="O500" s="59" t="str">
        <f>IF([2]道具信息!O500="","",[2]道具信息!O500)</f>
        <v/>
      </c>
      <c r="P500" s="59" t="str">
        <f>IF([2]道具信息!P500="","",[2]道具信息!P500)</f>
        <v/>
      </c>
      <c r="Q500" s="59" t="str">
        <f>IF([2]道具信息!Q500="","",[2]道具信息!Q500)</f>
        <v/>
      </c>
      <c r="R500" s="59" t="str">
        <f>IF([2]道具信息!R500="","",[2]道具信息!R500)</f>
        <v/>
      </c>
      <c r="S500" s="59" t="str">
        <f>IF([2]道具信息!S500="","",[2]道具信息!S500)</f>
        <v/>
      </c>
      <c r="T500" s="59" t="str">
        <f>IF([2]道具信息!T500="","",[2]道具信息!T500)</f>
        <v/>
      </c>
      <c r="U500" s="59" t="str">
        <f>IF([2]道具信息!U500="","",[2]道具信息!U500)</f>
        <v/>
      </c>
      <c r="V500" s="59" t="str">
        <f>IF([2]道具信息!V500="","",[2]道具信息!V500)</f>
        <v/>
      </c>
      <c r="W500" s="59" t="str">
        <f>IF([2]道具信息!W500="","",[2]道具信息!W500)</f>
        <v/>
      </c>
      <c r="X500" s="59" t="str">
        <f>IF([2]道具信息!X500="","",[2]道具信息!X500)</f>
        <v/>
      </c>
      <c r="Y500" s="59" t="str">
        <f>IF([2]道具信息!Y500="","",[2]道具信息!Y500)</f>
        <v/>
      </c>
      <c r="Z500" s="59" t="str">
        <f>IF([2]道具信息!Z500="","",[2]道具信息!Z500)</f>
        <v/>
      </c>
    </row>
    <row r="501" spans="1:26" x14ac:dyDescent="0.15">
      <c r="A501" s="59" t="str">
        <f>IF([2]道具信息!A501="","",[2]道具信息!A501)</f>
        <v/>
      </c>
      <c r="B501" s="59" t="str">
        <f>IF([2]道具信息!B501="","",[2]道具信息!B501)</f>
        <v/>
      </c>
      <c r="C501" s="59" t="str">
        <f>IF([2]道具信息!C501="","",[2]道具信息!C501)</f>
        <v/>
      </c>
      <c r="D501" s="59" t="str">
        <f>IF([2]道具信息!D501="","",[2]道具信息!D501)</f>
        <v/>
      </c>
      <c r="E501" s="59" t="str">
        <f>IF([2]道具信息!E501="","",[2]道具信息!E501)</f>
        <v/>
      </c>
      <c r="F501" s="59" t="str">
        <f>IF([2]道具信息!F501="","",[2]道具信息!F501)</f>
        <v/>
      </c>
      <c r="G501" s="59" t="str">
        <f>IF([2]道具信息!G501="","",[2]道具信息!G501)</f>
        <v/>
      </c>
      <c r="H501" s="59" t="str">
        <f>IF([2]道具信息!H501="","",[2]道具信息!H501)</f>
        <v/>
      </c>
      <c r="I501" s="59" t="str">
        <f>IF([2]道具信息!I501="","",[2]道具信息!I501)</f>
        <v/>
      </c>
      <c r="J501" s="59" t="str">
        <f>IF([2]道具信息!J501="","",[2]道具信息!J501)</f>
        <v/>
      </c>
      <c r="K501" s="59" t="str">
        <f>IF([2]道具信息!K501="","",[2]道具信息!K501)</f>
        <v/>
      </c>
      <c r="L501" s="59" t="str">
        <f>IF([2]道具信息!L501="","",[2]道具信息!L501)</f>
        <v/>
      </c>
      <c r="M501" s="59" t="str">
        <f>IF([2]道具信息!M501="","",[2]道具信息!M501)</f>
        <v/>
      </c>
      <c r="N501" s="59" t="str">
        <f>IF([2]道具信息!N501="","",[2]道具信息!N501)</f>
        <v/>
      </c>
      <c r="O501" s="59" t="str">
        <f>IF([2]道具信息!O501="","",[2]道具信息!O501)</f>
        <v/>
      </c>
      <c r="P501" s="59" t="str">
        <f>IF([2]道具信息!P501="","",[2]道具信息!P501)</f>
        <v/>
      </c>
      <c r="Q501" s="59" t="str">
        <f>IF([2]道具信息!Q501="","",[2]道具信息!Q501)</f>
        <v/>
      </c>
      <c r="R501" s="59" t="str">
        <f>IF([2]道具信息!R501="","",[2]道具信息!R501)</f>
        <v/>
      </c>
      <c r="S501" s="59" t="str">
        <f>IF([2]道具信息!S501="","",[2]道具信息!S501)</f>
        <v/>
      </c>
      <c r="T501" s="59" t="str">
        <f>IF([2]道具信息!T501="","",[2]道具信息!T501)</f>
        <v/>
      </c>
      <c r="U501" s="59" t="str">
        <f>IF([2]道具信息!U501="","",[2]道具信息!U501)</f>
        <v/>
      </c>
      <c r="V501" s="59" t="str">
        <f>IF([2]道具信息!V501="","",[2]道具信息!V501)</f>
        <v/>
      </c>
      <c r="W501" s="59" t="str">
        <f>IF([2]道具信息!W501="","",[2]道具信息!W501)</f>
        <v/>
      </c>
      <c r="X501" s="59" t="str">
        <f>IF([2]道具信息!X501="","",[2]道具信息!X501)</f>
        <v/>
      </c>
      <c r="Y501" s="59" t="str">
        <f>IF([2]道具信息!Y501="","",[2]道具信息!Y501)</f>
        <v/>
      </c>
      <c r="Z501" s="59" t="str">
        <f>IF([2]道具信息!Z501="","",[2]道具信息!Z501)</f>
        <v/>
      </c>
    </row>
    <row r="502" spans="1:26" x14ac:dyDescent="0.15">
      <c r="A502" s="59" t="str">
        <f>IF([2]道具信息!A502="","",[2]道具信息!A502)</f>
        <v/>
      </c>
      <c r="B502" s="59" t="str">
        <f>IF([2]道具信息!B502="","",[2]道具信息!B502)</f>
        <v/>
      </c>
      <c r="C502" s="59" t="str">
        <f>IF([2]道具信息!C502="","",[2]道具信息!C502)</f>
        <v/>
      </c>
      <c r="D502" s="59" t="str">
        <f>IF([2]道具信息!D502="","",[2]道具信息!D502)</f>
        <v/>
      </c>
      <c r="E502" s="59" t="str">
        <f>IF([2]道具信息!E502="","",[2]道具信息!E502)</f>
        <v/>
      </c>
      <c r="F502" s="59" t="str">
        <f>IF([2]道具信息!F502="","",[2]道具信息!F502)</f>
        <v/>
      </c>
      <c r="G502" s="59" t="str">
        <f>IF([2]道具信息!G502="","",[2]道具信息!G502)</f>
        <v/>
      </c>
      <c r="H502" s="59" t="str">
        <f>IF([2]道具信息!H502="","",[2]道具信息!H502)</f>
        <v/>
      </c>
      <c r="I502" s="59" t="str">
        <f>IF([2]道具信息!I502="","",[2]道具信息!I502)</f>
        <v/>
      </c>
      <c r="J502" s="59" t="str">
        <f>IF([2]道具信息!J502="","",[2]道具信息!J502)</f>
        <v/>
      </c>
      <c r="K502" s="59" t="str">
        <f>IF([2]道具信息!K502="","",[2]道具信息!K502)</f>
        <v/>
      </c>
      <c r="L502" s="59" t="str">
        <f>IF([2]道具信息!L502="","",[2]道具信息!L502)</f>
        <v/>
      </c>
      <c r="M502" s="59" t="str">
        <f>IF([2]道具信息!M502="","",[2]道具信息!M502)</f>
        <v/>
      </c>
      <c r="N502" s="59" t="str">
        <f>IF([2]道具信息!N502="","",[2]道具信息!N502)</f>
        <v/>
      </c>
      <c r="O502" s="59" t="str">
        <f>IF([2]道具信息!O502="","",[2]道具信息!O502)</f>
        <v/>
      </c>
      <c r="P502" s="59" t="str">
        <f>IF([2]道具信息!P502="","",[2]道具信息!P502)</f>
        <v/>
      </c>
      <c r="Q502" s="59" t="str">
        <f>IF([2]道具信息!Q502="","",[2]道具信息!Q502)</f>
        <v/>
      </c>
      <c r="R502" s="59" t="str">
        <f>IF([2]道具信息!R502="","",[2]道具信息!R502)</f>
        <v/>
      </c>
      <c r="S502" s="59" t="str">
        <f>IF([2]道具信息!S502="","",[2]道具信息!S502)</f>
        <v/>
      </c>
      <c r="T502" s="59" t="str">
        <f>IF([2]道具信息!T502="","",[2]道具信息!T502)</f>
        <v/>
      </c>
      <c r="U502" s="59" t="str">
        <f>IF([2]道具信息!U502="","",[2]道具信息!U502)</f>
        <v/>
      </c>
      <c r="V502" s="59" t="str">
        <f>IF([2]道具信息!V502="","",[2]道具信息!V502)</f>
        <v/>
      </c>
      <c r="W502" s="59" t="str">
        <f>IF([2]道具信息!W502="","",[2]道具信息!W502)</f>
        <v/>
      </c>
      <c r="X502" s="59" t="str">
        <f>IF([2]道具信息!X502="","",[2]道具信息!X502)</f>
        <v/>
      </c>
      <c r="Y502" s="59" t="str">
        <f>IF([2]道具信息!Y502="","",[2]道具信息!Y502)</f>
        <v/>
      </c>
      <c r="Z502" s="59" t="str">
        <f>IF([2]道具信息!Z502="","",[2]道具信息!Z502)</f>
        <v/>
      </c>
    </row>
    <row r="503" spans="1:26" x14ac:dyDescent="0.15">
      <c r="A503" s="59" t="str">
        <f>IF([2]道具信息!A503="","",[2]道具信息!A503)</f>
        <v/>
      </c>
      <c r="B503" s="59" t="str">
        <f>IF([2]道具信息!B503="","",[2]道具信息!B503)</f>
        <v/>
      </c>
      <c r="C503" s="59" t="str">
        <f>IF([2]道具信息!C503="","",[2]道具信息!C503)</f>
        <v/>
      </c>
      <c r="D503" s="59" t="str">
        <f>IF([2]道具信息!D503="","",[2]道具信息!D503)</f>
        <v/>
      </c>
      <c r="E503" s="59" t="str">
        <f>IF([2]道具信息!E503="","",[2]道具信息!E503)</f>
        <v/>
      </c>
      <c r="F503" s="59" t="str">
        <f>IF([2]道具信息!F503="","",[2]道具信息!F503)</f>
        <v/>
      </c>
      <c r="G503" s="59" t="str">
        <f>IF([2]道具信息!G503="","",[2]道具信息!G503)</f>
        <v/>
      </c>
      <c r="H503" s="59" t="str">
        <f>IF([2]道具信息!H503="","",[2]道具信息!H503)</f>
        <v/>
      </c>
      <c r="I503" s="59" t="str">
        <f>IF([2]道具信息!I503="","",[2]道具信息!I503)</f>
        <v/>
      </c>
      <c r="J503" s="59" t="str">
        <f>IF([2]道具信息!J503="","",[2]道具信息!J503)</f>
        <v/>
      </c>
      <c r="K503" s="59" t="str">
        <f>IF([2]道具信息!K503="","",[2]道具信息!K503)</f>
        <v/>
      </c>
      <c r="L503" s="59" t="str">
        <f>IF([2]道具信息!L503="","",[2]道具信息!L503)</f>
        <v/>
      </c>
      <c r="M503" s="59" t="str">
        <f>IF([2]道具信息!M503="","",[2]道具信息!M503)</f>
        <v/>
      </c>
      <c r="N503" s="59" t="str">
        <f>IF([2]道具信息!N503="","",[2]道具信息!N503)</f>
        <v/>
      </c>
      <c r="O503" s="59" t="str">
        <f>IF([2]道具信息!O503="","",[2]道具信息!O503)</f>
        <v/>
      </c>
      <c r="P503" s="59" t="str">
        <f>IF([2]道具信息!P503="","",[2]道具信息!P503)</f>
        <v/>
      </c>
      <c r="Q503" s="59" t="str">
        <f>IF([2]道具信息!Q503="","",[2]道具信息!Q503)</f>
        <v/>
      </c>
      <c r="R503" s="59" t="str">
        <f>IF([2]道具信息!R503="","",[2]道具信息!R503)</f>
        <v/>
      </c>
      <c r="S503" s="59" t="str">
        <f>IF([2]道具信息!S503="","",[2]道具信息!S503)</f>
        <v/>
      </c>
      <c r="T503" s="59" t="str">
        <f>IF([2]道具信息!T503="","",[2]道具信息!T503)</f>
        <v/>
      </c>
      <c r="U503" s="59" t="str">
        <f>IF([2]道具信息!U503="","",[2]道具信息!U503)</f>
        <v/>
      </c>
      <c r="V503" s="59" t="str">
        <f>IF([2]道具信息!V503="","",[2]道具信息!V503)</f>
        <v/>
      </c>
      <c r="W503" s="59" t="str">
        <f>IF([2]道具信息!W503="","",[2]道具信息!W503)</f>
        <v/>
      </c>
      <c r="X503" s="59" t="str">
        <f>IF([2]道具信息!X503="","",[2]道具信息!X503)</f>
        <v/>
      </c>
      <c r="Y503" s="59" t="str">
        <f>IF([2]道具信息!Y503="","",[2]道具信息!Y503)</f>
        <v/>
      </c>
      <c r="Z503" s="59" t="str">
        <f>IF([2]道具信息!Z503="","",[2]道具信息!Z503)</f>
        <v/>
      </c>
    </row>
    <row r="504" spans="1:26" x14ac:dyDescent="0.15">
      <c r="A504" s="59" t="str">
        <f>IF([2]道具信息!A504="","",[2]道具信息!A504)</f>
        <v/>
      </c>
      <c r="B504" s="59" t="str">
        <f>IF([2]道具信息!B504="","",[2]道具信息!B504)</f>
        <v/>
      </c>
      <c r="C504" s="59" t="str">
        <f>IF([2]道具信息!C504="","",[2]道具信息!C504)</f>
        <v/>
      </c>
      <c r="D504" s="59" t="str">
        <f>IF([2]道具信息!D504="","",[2]道具信息!D504)</f>
        <v/>
      </c>
      <c r="E504" s="59" t="str">
        <f>IF([2]道具信息!E504="","",[2]道具信息!E504)</f>
        <v/>
      </c>
      <c r="F504" s="59" t="str">
        <f>IF([2]道具信息!F504="","",[2]道具信息!F504)</f>
        <v/>
      </c>
      <c r="G504" s="59" t="str">
        <f>IF([2]道具信息!G504="","",[2]道具信息!G504)</f>
        <v/>
      </c>
      <c r="H504" s="59" t="str">
        <f>IF([2]道具信息!H504="","",[2]道具信息!H504)</f>
        <v/>
      </c>
      <c r="I504" s="59" t="str">
        <f>IF([2]道具信息!I504="","",[2]道具信息!I504)</f>
        <v/>
      </c>
      <c r="J504" s="59" t="str">
        <f>IF([2]道具信息!J504="","",[2]道具信息!J504)</f>
        <v/>
      </c>
      <c r="K504" s="59" t="str">
        <f>IF([2]道具信息!K504="","",[2]道具信息!K504)</f>
        <v/>
      </c>
      <c r="L504" s="59" t="str">
        <f>IF([2]道具信息!L504="","",[2]道具信息!L504)</f>
        <v/>
      </c>
      <c r="M504" s="59" t="str">
        <f>IF([2]道具信息!M504="","",[2]道具信息!M504)</f>
        <v/>
      </c>
      <c r="N504" s="59" t="str">
        <f>IF([2]道具信息!N504="","",[2]道具信息!N504)</f>
        <v/>
      </c>
      <c r="O504" s="59" t="str">
        <f>IF([2]道具信息!O504="","",[2]道具信息!O504)</f>
        <v/>
      </c>
      <c r="P504" s="59" t="str">
        <f>IF([2]道具信息!P504="","",[2]道具信息!P504)</f>
        <v/>
      </c>
      <c r="Q504" s="59" t="str">
        <f>IF([2]道具信息!Q504="","",[2]道具信息!Q504)</f>
        <v/>
      </c>
      <c r="R504" s="59" t="str">
        <f>IF([2]道具信息!R504="","",[2]道具信息!R504)</f>
        <v/>
      </c>
      <c r="S504" s="59" t="str">
        <f>IF([2]道具信息!S504="","",[2]道具信息!S504)</f>
        <v/>
      </c>
      <c r="T504" s="59" t="str">
        <f>IF([2]道具信息!T504="","",[2]道具信息!T504)</f>
        <v/>
      </c>
      <c r="U504" s="59" t="str">
        <f>IF([2]道具信息!U504="","",[2]道具信息!U504)</f>
        <v/>
      </c>
      <c r="V504" s="59" t="str">
        <f>IF([2]道具信息!V504="","",[2]道具信息!V504)</f>
        <v/>
      </c>
      <c r="W504" s="59" t="str">
        <f>IF([2]道具信息!W504="","",[2]道具信息!W504)</f>
        <v/>
      </c>
      <c r="X504" s="59" t="str">
        <f>IF([2]道具信息!X504="","",[2]道具信息!X504)</f>
        <v/>
      </c>
      <c r="Y504" s="59" t="str">
        <f>IF([2]道具信息!Y504="","",[2]道具信息!Y504)</f>
        <v/>
      </c>
      <c r="Z504" s="59" t="str">
        <f>IF([2]道具信息!Z504="","",[2]道具信息!Z504)</f>
        <v/>
      </c>
    </row>
    <row r="505" spans="1:26" x14ac:dyDescent="0.15">
      <c r="A505" s="59" t="str">
        <f>IF([2]道具信息!A505="","",[2]道具信息!A505)</f>
        <v/>
      </c>
      <c r="B505" s="59" t="str">
        <f>IF([2]道具信息!B505="","",[2]道具信息!B505)</f>
        <v/>
      </c>
      <c r="C505" s="59" t="str">
        <f>IF([2]道具信息!C505="","",[2]道具信息!C505)</f>
        <v/>
      </c>
      <c r="D505" s="59" t="str">
        <f>IF([2]道具信息!D505="","",[2]道具信息!D505)</f>
        <v/>
      </c>
      <c r="E505" s="59" t="str">
        <f>IF([2]道具信息!E505="","",[2]道具信息!E505)</f>
        <v/>
      </c>
      <c r="F505" s="59" t="str">
        <f>IF([2]道具信息!F505="","",[2]道具信息!F505)</f>
        <v/>
      </c>
      <c r="G505" s="59" t="str">
        <f>IF([2]道具信息!G505="","",[2]道具信息!G505)</f>
        <v/>
      </c>
      <c r="H505" s="59" t="str">
        <f>IF([2]道具信息!H505="","",[2]道具信息!H505)</f>
        <v/>
      </c>
      <c r="I505" s="59" t="str">
        <f>IF([2]道具信息!I505="","",[2]道具信息!I505)</f>
        <v/>
      </c>
      <c r="J505" s="59" t="str">
        <f>IF([2]道具信息!J505="","",[2]道具信息!J505)</f>
        <v/>
      </c>
      <c r="K505" s="59" t="str">
        <f>IF([2]道具信息!K505="","",[2]道具信息!K505)</f>
        <v/>
      </c>
      <c r="L505" s="59" t="str">
        <f>IF([2]道具信息!L505="","",[2]道具信息!L505)</f>
        <v/>
      </c>
      <c r="M505" s="59" t="str">
        <f>IF([2]道具信息!M505="","",[2]道具信息!M505)</f>
        <v/>
      </c>
      <c r="N505" s="59" t="str">
        <f>IF([2]道具信息!N505="","",[2]道具信息!N505)</f>
        <v/>
      </c>
      <c r="O505" s="59" t="str">
        <f>IF([2]道具信息!O505="","",[2]道具信息!O505)</f>
        <v/>
      </c>
      <c r="P505" s="59" t="str">
        <f>IF([2]道具信息!P505="","",[2]道具信息!P505)</f>
        <v/>
      </c>
      <c r="Q505" s="59" t="str">
        <f>IF([2]道具信息!Q505="","",[2]道具信息!Q505)</f>
        <v/>
      </c>
      <c r="R505" s="59" t="str">
        <f>IF([2]道具信息!R505="","",[2]道具信息!R505)</f>
        <v/>
      </c>
      <c r="S505" s="59" t="str">
        <f>IF([2]道具信息!S505="","",[2]道具信息!S505)</f>
        <v/>
      </c>
      <c r="T505" s="59" t="str">
        <f>IF([2]道具信息!T505="","",[2]道具信息!T505)</f>
        <v/>
      </c>
      <c r="U505" s="59" t="str">
        <f>IF([2]道具信息!U505="","",[2]道具信息!U505)</f>
        <v/>
      </c>
      <c r="V505" s="59" t="str">
        <f>IF([2]道具信息!V505="","",[2]道具信息!V505)</f>
        <v/>
      </c>
      <c r="W505" s="59" t="str">
        <f>IF([2]道具信息!W505="","",[2]道具信息!W505)</f>
        <v/>
      </c>
      <c r="X505" s="59" t="str">
        <f>IF([2]道具信息!X505="","",[2]道具信息!X505)</f>
        <v/>
      </c>
      <c r="Y505" s="59" t="str">
        <f>IF([2]道具信息!Y505="","",[2]道具信息!Y505)</f>
        <v/>
      </c>
      <c r="Z505" s="59" t="str">
        <f>IF([2]道具信息!Z505="","",[2]道具信息!Z505)</f>
        <v/>
      </c>
    </row>
    <row r="506" spans="1:26" x14ac:dyDescent="0.15">
      <c r="A506" s="59" t="str">
        <f>IF([2]道具信息!A506="","",[2]道具信息!A506)</f>
        <v/>
      </c>
      <c r="B506" s="59" t="str">
        <f>IF([2]道具信息!B506="","",[2]道具信息!B506)</f>
        <v/>
      </c>
      <c r="C506" s="59" t="str">
        <f>IF([2]道具信息!C506="","",[2]道具信息!C506)</f>
        <v/>
      </c>
      <c r="D506" s="59" t="str">
        <f>IF([2]道具信息!D506="","",[2]道具信息!D506)</f>
        <v/>
      </c>
      <c r="E506" s="59" t="str">
        <f>IF([2]道具信息!E506="","",[2]道具信息!E506)</f>
        <v/>
      </c>
      <c r="F506" s="59" t="str">
        <f>IF([2]道具信息!F506="","",[2]道具信息!F506)</f>
        <v/>
      </c>
      <c r="G506" s="59" t="str">
        <f>IF([2]道具信息!G506="","",[2]道具信息!G506)</f>
        <v/>
      </c>
      <c r="H506" s="59" t="str">
        <f>IF([2]道具信息!H506="","",[2]道具信息!H506)</f>
        <v/>
      </c>
      <c r="I506" s="59" t="str">
        <f>IF([2]道具信息!I506="","",[2]道具信息!I506)</f>
        <v/>
      </c>
      <c r="J506" s="59" t="str">
        <f>IF([2]道具信息!J506="","",[2]道具信息!J506)</f>
        <v/>
      </c>
      <c r="K506" s="59" t="str">
        <f>IF([2]道具信息!K506="","",[2]道具信息!K506)</f>
        <v/>
      </c>
      <c r="L506" s="59" t="str">
        <f>IF([2]道具信息!L506="","",[2]道具信息!L506)</f>
        <v/>
      </c>
      <c r="M506" s="59" t="str">
        <f>IF([2]道具信息!M506="","",[2]道具信息!M506)</f>
        <v/>
      </c>
      <c r="N506" s="59" t="str">
        <f>IF([2]道具信息!N506="","",[2]道具信息!N506)</f>
        <v/>
      </c>
      <c r="O506" s="59" t="str">
        <f>IF([2]道具信息!O506="","",[2]道具信息!O506)</f>
        <v/>
      </c>
      <c r="P506" s="59" t="str">
        <f>IF([2]道具信息!P506="","",[2]道具信息!P506)</f>
        <v/>
      </c>
      <c r="Q506" s="59" t="str">
        <f>IF([2]道具信息!Q506="","",[2]道具信息!Q506)</f>
        <v/>
      </c>
      <c r="R506" s="59" t="str">
        <f>IF([2]道具信息!R506="","",[2]道具信息!R506)</f>
        <v/>
      </c>
      <c r="S506" s="59" t="str">
        <f>IF([2]道具信息!S506="","",[2]道具信息!S506)</f>
        <v/>
      </c>
      <c r="T506" s="59" t="str">
        <f>IF([2]道具信息!T506="","",[2]道具信息!T506)</f>
        <v/>
      </c>
      <c r="U506" s="59" t="str">
        <f>IF([2]道具信息!U506="","",[2]道具信息!U506)</f>
        <v/>
      </c>
      <c r="V506" s="59" t="str">
        <f>IF([2]道具信息!V506="","",[2]道具信息!V506)</f>
        <v/>
      </c>
      <c r="W506" s="59" t="str">
        <f>IF([2]道具信息!W506="","",[2]道具信息!W506)</f>
        <v/>
      </c>
      <c r="X506" s="59" t="str">
        <f>IF([2]道具信息!X506="","",[2]道具信息!X506)</f>
        <v/>
      </c>
      <c r="Y506" s="59" t="str">
        <f>IF([2]道具信息!Y506="","",[2]道具信息!Y506)</f>
        <v/>
      </c>
      <c r="Z506" s="59" t="str">
        <f>IF([2]道具信息!Z506="","",[2]道具信息!Z506)</f>
        <v/>
      </c>
    </row>
    <row r="507" spans="1:26" x14ac:dyDescent="0.15">
      <c r="A507" s="59" t="str">
        <f>IF([2]道具信息!A507="","",[2]道具信息!A507)</f>
        <v/>
      </c>
      <c r="B507" s="59" t="str">
        <f>IF([2]道具信息!B507="","",[2]道具信息!B507)</f>
        <v/>
      </c>
      <c r="C507" s="59" t="str">
        <f>IF([2]道具信息!C507="","",[2]道具信息!C507)</f>
        <v/>
      </c>
      <c r="D507" s="59" t="str">
        <f>IF([2]道具信息!D507="","",[2]道具信息!D507)</f>
        <v/>
      </c>
      <c r="E507" s="59" t="str">
        <f>IF([2]道具信息!E507="","",[2]道具信息!E507)</f>
        <v/>
      </c>
      <c r="F507" s="59" t="str">
        <f>IF([2]道具信息!F507="","",[2]道具信息!F507)</f>
        <v/>
      </c>
      <c r="G507" s="59" t="str">
        <f>IF([2]道具信息!G507="","",[2]道具信息!G507)</f>
        <v/>
      </c>
      <c r="H507" s="59" t="str">
        <f>IF([2]道具信息!H507="","",[2]道具信息!H507)</f>
        <v/>
      </c>
      <c r="I507" s="59" t="str">
        <f>IF([2]道具信息!I507="","",[2]道具信息!I507)</f>
        <v/>
      </c>
      <c r="J507" s="59" t="str">
        <f>IF([2]道具信息!J507="","",[2]道具信息!J507)</f>
        <v/>
      </c>
      <c r="K507" s="59" t="str">
        <f>IF([2]道具信息!K507="","",[2]道具信息!K507)</f>
        <v/>
      </c>
      <c r="L507" s="59" t="str">
        <f>IF([2]道具信息!L507="","",[2]道具信息!L507)</f>
        <v/>
      </c>
      <c r="M507" s="59" t="str">
        <f>IF([2]道具信息!M507="","",[2]道具信息!M507)</f>
        <v/>
      </c>
      <c r="N507" s="59" t="str">
        <f>IF([2]道具信息!N507="","",[2]道具信息!N507)</f>
        <v/>
      </c>
      <c r="O507" s="59" t="str">
        <f>IF([2]道具信息!O507="","",[2]道具信息!O507)</f>
        <v/>
      </c>
      <c r="P507" s="59" t="str">
        <f>IF([2]道具信息!P507="","",[2]道具信息!P507)</f>
        <v/>
      </c>
      <c r="Q507" s="59" t="str">
        <f>IF([2]道具信息!Q507="","",[2]道具信息!Q507)</f>
        <v/>
      </c>
      <c r="R507" s="59" t="str">
        <f>IF([2]道具信息!R507="","",[2]道具信息!R507)</f>
        <v/>
      </c>
      <c r="S507" s="59" t="str">
        <f>IF([2]道具信息!S507="","",[2]道具信息!S507)</f>
        <v/>
      </c>
      <c r="T507" s="59" t="str">
        <f>IF([2]道具信息!T507="","",[2]道具信息!T507)</f>
        <v/>
      </c>
      <c r="U507" s="59" t="str">
        <f>IF([2]道具信息!U507="","",[2]道具信息!U507)</f>
        <v/>
      </c>
      <c r="V507" s="59" t="str">
        <f>IF([2]道具信息!V507="","",[2]道具信息!V507)</f>
        <v/>
      </c>
      <c r="W507" s="59" t="str">
        <f>IF([2]道具信息!W507="","",[2]道具信息!W507)</f>
        <v/>
      </c>
      <c r="X507" s="59" t="str">
        <f>IF([2]道具信息!X507="","",[2]道具信息!X507)</f>
        <v/>
      </c>
      <c r="Y507" s="59" t="str">
        <f>IF([2]道具信息!Y507="","",[2]道具信息!Y507)</f>
        <v/>
      </c>
      <c r="Z507" s="59" t="str">
        <f>IF([2]道具信息!Z507="","",[2]道具信息!Z507)</f>
        <v/>
      </c>
    </row>
    <row r="508" spans="1:26" x14ac:dyDescent="0.15">
      <c r="A508" s="59" t="str">
        <f>IF([2]道具信息!A508="","",[2]道具信息!A508)</f>
        <v/>
      </c>
      <c r="B508" s="59" t="str">
        <f>IF([2]道具信息!B508="","",[2]道具信息!B508)</f>
        <v/>
      </c>
      <c r="C508" s="59" t="str">
        <f>IF([2]道具信息!C508="","",[2]道具信息!C508)</f>
        <v/>
      </c>
      <c r="D508" s="59" t="str">
        <f>IF([2]道具信息!D508="","",[2]道具信息!D508)</f>
        <v/>
      </c>
      <c r="E508" s="59" t="str">
        <f>IF([2]道具信息!E508="","",[2]道具信息!E508)</f>
        <v/>
      </c>
      <c r="F508" s="59" t="str">
        <f>IF([2]道具信息!F508="","",[2]道具信息!F508)</f>
        <v/>
      </c>
      <c r="G508" s="59" t="str">
        <f>IF([2]道具信息!G508="","",[2]道具信息!G508)</f>
        <v/>
      </c>
      <c r="H508" s="59" t="str">
        <f>IF([2]道具信息!H508="","",[2]道具信息!H508)</f>
        <v/>
      </c>
      <c r="I508" s="59" t="str">
        <f>IF([2]道具信息!I508="","",[2]道具信息!I508)</f>
        <v/>
      </c>
      <c r="J508" s="59" t="str">
        <f>IF([2]道具信息!J508="","",[2]道具信息!J508)</f>
        <v/>
      </c>
      <c r="K508" s="59" t="str">
        <f>IF([2]道具信息!K508="","",[2]道具信息!K508)</f>
        <v/>
      </c>
      <c r="L508" s="59" t="str">
        <f>IF([2]道具信息!L508="","",[2]道具信息!L508)</f>
        <v/>
      </c>
      <c r="M508" s="59" t="str">
        <f>IF([2]道具信息!M508="","",[2]道具信息!M508)</f>
        <v/>
      </c>
      <c r="N508" s="59" t="str">
        <f>IF([2]道具信息!N508="","",[2]道具信息!N508)</f>
        <v/>
      </c>
      <c r="O508" s="59" t="str">
        <f>IF([2]道具信息!O508="","",[2]道具信息!O508)</f>
        <v/>
      </c>
      <c r="P508" s="59" t="str">
        <f>IF([2]道具信息!P508="","",[2]道具信息!P508)</f>
        <v/>
      </c>
      <c r="Q508" s="59" t="str">
        <f>IF([2]道具信息!Q508="","",[2]道具信息!Q508)</f>
        <v/>
      </c>
      <c r="R508" s="59" t="str">
        <f>IF([2]道具信息!R508="","",[2]道具信息!R508)</f>
        <v/>
      </c>
      <c r="S508" s="59" t="str">
        <f>IF([2]道具信息!S508="","",[2]道具信息!S508)</f>
        <v/>
      </c>
      <c r="T508" s="59" t="str">
        <f>IF([2]道具信息!T508="","",[2]道具信息!T508)</f>
        <v/>
      </c>
      <c r="U508" s="59" t="str">
        <f>IF([2]道具信息!U508="","",[2]道具信息!U508)</f>
        <v/>
      </c>
      <c r="V508" s="59" t="str">
        <f>IF([2]道具信息!V508="","",[2]道具信息!V508)</f>
        <v/>
      </c>
      <c r="W508" s="59" t="str">
        <f>IF([2]道具信息!W508="","",[2]道具信息!W508)</f>
        <v/>
      </c>
      <c r="X508" s="59" t="str">
        <f>IF([2]道具信息!X508="","",[2]道具信息!X508)</f>
        <v/>
      </c>
      <c r="Y508" s="59" t="str">
        <f>IF([2]道具信息!Y508="","",[2]道具信息!Y508)</f>
        <v/>
      </c>
      <c r="Z508" s="59" t="str">
        <f>IF([2]道具信息!Z508="","",[2]道具信息!Z508)</f>
        <v/>
      </c>
    </row>
    <row r="509" spans="1:26" x14ac:dyDescent="0.15">
      <c r="A509" s="59" t="str">
        <f>IF([2]道具信息!A509="","",[2]道具信息!A509)</f>
        <v/>
      </c>
      <c r="B509" s="59" t="str">
        <f>IF([2]道具信息!B509="","",[2]道具信息!B509)</f>
        <v/>
      </c>
      <c r="C509" s="59" t="str">
        <f>IF([2]道具信息!C509="","",[2]道具信息!C509)</f>
        <v/>
      </c>
      <c r="D509" s="59" t="str">
        <f>IF([2]道具信息!D509="","",[2]道具信息!D509)</f>
        <v/>
      </c>
      <c r="E509" s="59" t="str">
        <f>IF([2]道具信息!E509="","",[2]道具信息!E509)</f>
        <v/>
      </c>
      <c r="F509" s="59" t="str">
        <f>IF([2]道具信息!F509="","",[2]道具信息!F509)</f>
        <v/>
      </c>
      <c r="G509" s="59" t="str">
        <f>IF([2]道具信息!G509="","",[2]道具信息!G509)</f>
        <v/>
      </c>
      <c r="H509" s="59" t="str">
        <f>IF([2]道具信息!H509="","",[2]道具信息!H509)</f>
        <v/>
      </c>
      <c r="I509" s="59" t="str">
        <f>IF([2]道具信息!I509="","",[2]道具信息!I509)</f>
        <v/>
      </c>
      <c r="J509" s="59" t="str">
        <f>IF([2]道具信息!J509="","",[2]道具信息!J509)</f>
        <v/>
      </c>
      <c r="K509" s="59" t="str">
        <f>IF([2]道具信息!K509="","",[2]道具信息!K509)</f>
        <v/>
      </c>
      <c r="L509" s="59" t="str">
        <f>IF([2]道具信息!L509="","",[2]道具信息!L509)</f>
        <v/>
      </c>
      <c r="M509" s="59" t="str">
        <f>IF([2]道具信息!M509="","",[2]道具信息!M509)</f>
        <v/>
      </c>
      <c r="N509" s="59" t="str">
        <f>IF([2]道具信息!N509="","",[2]道具信息!N509)</f>
        <v/>
      </c>
      <c r="O509" s="59" t="str">
        <f>IF([2]道具信息!O509="","",[2]道具信息!O509)</f>
        <v/>
      </c>
      <c r="P509" s="59" t="str">
        <f>IF([2]道具信息!P509="","",[2]道具信息!P509)</f>
        <v/>
      </c>
      <c r="Q509" s="59" t="str">
        <f>IF([2]道具信息!Q509="","",[2]道具信息!Q509)</f>
        <v/>
      </c>
      <c r="R509" s="59" t="str">
        <f>IF([2]道具信息!R509="","",[2]道具信息!R509)</f>
        <v/>
      </c>
      <c r="S509" s="59" t="str">
        <f>IF([2]道具信息!S509="","",[2]道具信息!S509)</f>
        <v/>
      </c>
      <c r="T509" s="59" t="str">
        <f>IF([2]道具信息!T509="","",[2]道具信息!T509)</f>
        <v/>
      </c>
      <c r="U509" s="59" t="str">
        <f>IF([2]道具信息!U509="","",[2]道具信息!U509)</f>
        <v/>
      </c>
      <c r="V509" s="59" t="str">
        <f>IF([2]道具信息!V509="","",[2]道具信息!V509)</f>
        <v/>
      </c>
      <c r="W509" s="59" t="str">
        <f>IF([2]道具信息!W509="","",[2]道具信息!W509)</f>
        <v/>
      </c>
      <c r="X509" s="59" t="str">
        <f>IF([2]道具信息!X509="","",[2]道具信息!X509)</f>
        <v/>
      </c>
      <c r="Y509" s="59" t="str">
        <f>IF([2]道具信息!Y509="","",[2]道具信息!Y509)</f>
        <v/>
      </c>
      <c r="Z509" s="59" t="str">
        <f>IF([2]道具信息!Z509="","",[2]道具信息!Z509)</f>
        <v/>
      </c>
    </row>
    <row r="510" spans="1:26" x14ac:dyDescent="0.15">
      <c r="A510" s="59" t="str">
        <f>IF([2]道具信息!A510="","",[2]道具信息!A510)</f>
        <v/>
      </c>
      <c r="B510" s="59" t="str">
        <f>IF([2]道具信息!B510="","",[2]道具信息!B510)</f>
        <v/>
      </c>
      <c r="C510" s="59" t="str">
        <f>IF([2]道具信息!C510="","",[2]道具信息!C510)</f>
        <v/>
      </c>
      <c r="D510" s="59" t="str">
        <f>IF([2]道具信息!D510="","",[2]道具信息!D510)</f>
        <v/>
      </c>
      <c r="E510" s="59" t="str">
        <f>IF([2]道具信息!E510="","",[2]道具信息!E510)</f>
        <v/>
      </c>
      <c r="F510" s="59" t="str">
        <f>IF([2]道具信息!F510="","",[2]道具信息!F510)</f>
        <v/>
      </c>
      <c r="G510" s="59" t="str">
        <f>IF([2]道具信息!G510="","",[2]道具信息!G510)</f>
        <v/>
      </c>
      <c r="H510" s="59" t="str">
        <f>IF([2]道具信息!H510="","",[2]道具信息!H510)</f>
        <v/>
      </c>
      <c r="I510" s="59" t="str">
        <f>IF([2]道具信息!I510="","",[2]道具信息!I510)</f>
        <v/>
      </c>
      <c r="J510" s="59" t="str">
        <f>IF([2]道具信息!J510="","",[2]道具信息!J510)</f>
        <v/>
      </c>
      <c r="K510" s="59" t="str">
        <f>IF([2]道具信息!K510="","",[2]道具信息!K510)</f>
        <v/>
      </c>
      <c r="L510" s="59" t="str">
        <f>IF([2]道具信息!L510="","",[2]道具信息!L510)</f>
        <v/>
      </c>
      <c r="M510" s="59" t="str">
        <f>IF([2]道具信息!M510="","",[2]道具信息!M510)</f>
        <v/>
      </c>
      <c r="N510" s="59" t="str">
        <f>IF([2]道具信息!N510="","",[2]道具信息!N510)</f>
        <v/>
      </c>
      <c r="O510" s="59" t="str">
        <f>IF([2]道具信息!O510="","",[2]道具信息!O510)</f>
        <v/>
      </c>
      <c r="P510" s="59" t="str">
        <f>IF([2]道具信息!P510="","",[2]道具信息!P510)</f>
        <v/>
      </c>
      <c r="Q510" s="59" t="str">
        <f>IF([2]道具信息!Q510="","",[2]道具信息!Q510)</f>
        <v/>
      </c>
      <c r="R510" s="59" t="str">
        <f>IF([2]道具信息!R510="","",[2]道具信息!R510)</f>
        <v/>
      </c>
      <c r="S510" s="59" t="str">
        <f>IF([2]道具信息!S510="","",[2]道具信息!S510)</f>
        <v/>
      </c>
      <c r="T510" s="59" t="str">
        <f>IF([2]道具信息!T510="","",[2]道具信息!T510)</f>
        <v/>
      </c>
      <c r="U510" s="59" t="str">
        <f>IF([2]道具信息!U510="","",[2]道具信息!U510)</f>
        <v/>
      </c>
      <c r="V510" s="59" t="str">
        <f>IF([2]道具信息!V510="","",[2]道具信息!V510)</f>
        <v/>
      </c>
      <c r="W510" s="59" t="str">
        <f>IF([2]道具信息!W510="","",[2]道具信息!W510)</f>
        <v/>
      </c>
      <c r="X510" s="59" t="str">
        <f>IF([2]道具信息!X510="","",[2]道具信息!X510)</f>
        <v/>
      </c>
      <c r="Y510" s="59" t="str">
        <f>IF([2]道具信息!Y510="","",[2]道具信息!Y510)</f>
        <v/>
      </c>
      <c r="Z510" s="59" t="str">
        <f>IF([2]道具信息!Z510="","",[2]道具信息!Z510)</f>
        <v/>
      </c>
    </row>
    <row r="511" spans="1:26" x14ac:dyDescent="0.15">
      <c r="A511" s="59" t="str">
        <f>IF([2]道具信息!A511="","",[2]道具信息!A511)</f>
        <v/>
      </c>
      <c r="B511" s="59" t="str">
        <f>IF([2]道具信息!B511="","",[2]道具信息!B511)</f>
        <v/>
      </c>
      <c r="C511" s="59" t="str">
        <f>IF([2]道具信息!C511="","",[2]道具信息!C511)</f>
        <v/>
      </c>
      <c r="D511" s="59" t="str">
        <f>IF([2]道具信息!D511="","",[2]道具信息!D511)</f>
        <v/>
      </c>
      <c r="E511" s="59" t="str">
        <f>IF([2]道具信息!E511="","",[2]道具信息!E511)</f>
        <v/>
      </c>
      <c r="F511" s="59" t="str">
        <f>IF([2]道具信息!F511="","",[2]道具信息!F511)</f>
        <v/>
      </c>
      <c r="G511" s="59" t="str">
        <f>IF([2]道具信息!G511="","",[2]道具信息!G511)</f>
        <v/>
      </c>
      <c r="H511" s="59" t="str">
        <f>IF([2]道具信息!H511="","",[2]道具信息!H511)</f>
        <v/>
      </c>
      <c r="I511" s="59" t="str">
        <f>IF([2]道具信息!I511="","",[2]道具信息!I511)</f>
        <v/>
      </c>
      <c r="J511" s="59" t="str">
        <f>IF([2]道具信息!J511="","",[2]道具信息!J511)</f>
        <v/>
      </c>
      <c r="K511" s="59" t="str">
        <f>IF([2]道具信息!K511="","",[2]道具信息!K511)</f>
        <v/>
      </c>
      <c r="L511" s="59" t="str">
        <f>IF([2]道具信息!L511="","",[2]道具信息!L511)</f>
        <v/>
      </c>
      <c r="M511" s="59" t="str">
        <f>IF([2]道具信息!M511="","",[2]道具信息!M511)</f>
        <v/>
      </c>
      <c r="N511" s="59" t="str">
        <f>IF([2]道具信息!N511="","",[2]道具信息!N511)</f>
        <v/>
      </c>
      <c r="O511" s="59" t="str">
        <f>IF([2]道具信息!O511="","",[2]道具信息!O511)</f>
        <v/>
      </c>
      <c r="P511" s="59" t="str">
        <f>IF([2]道具信息!P511="","",[2]道具信息!P511)</f>
        <v/>
      </c>
      <c r="Q511" s="59" t="str">
        <f>IF([2]道具信息!Q511="","",[2]道具信息!Q511)</f>
        <v/>
      </c>
      <c r="R511" s="59" t="str">
        <f>IF([2]道具信息!R511="","",[2]道具信息!R511)</f>
        <v/>
      </c>
      <c r="S511" s="59" t="str">
        <f>IF([2]道具信息!S511="","",[2]道具信息!S511)</f>
        <v/>
      </c>
      <c r="T511" s="59" t="str">
        <f>IF([2]道具信息!T511="","",[2]道具信息!T511)</f>
        <v/>
      </c>
      <c r="U511" s="59" t="str">
        <f>IF([2]道具信息!U511="","",[2]道具信息!U511)</f>
        <v/>
      </c>
      <c r="V511" s="59" t="str">
        <f>IF([2]道具信息!V511="","",[2]道具信息!V511)</f>
        <v/>
      </c>
      <c r="W511" s="59" t="str">
        <f>IF([2]道具信息!W511="","",[2]道具信息!W511)</f>
        <v/>
      </c>
      <c r="X511" s="59" t="str">
        <f>IF([2]道具信息!X511="","",[2]道具信息!X511)</f>
        <v/>
      </c>
      <c r="Y511" s="59" t="str">
        <f>IF([2]道具信息!Y511="","",[2]道具信息!Y511)</f>
        <v/>
      </c>
      <c r="Z511" s="59" t="str">
        <f>IF([2]道具信息!Z511="","",[2]道具信息!Z511)</f>
        <v/>
      </c>
    </row>
    <row r="512" spans="1:26" x14ac:dyDescent="0.15">
      <c r="A512" s="59" t="str">
        <f>IF([2]道具信息!A512="","",[2]道具信息!A512)</f>
        <v/>
      </c>
      <c r="B512" s="59" t="str">
        <f>IF([2]道具信息!B512="","",[2]道具信息!B512)</f>
        <v/>
      </c>
      <c r="C512" s="59" t="str">
        <f>IF([2]道具信息!C512="","",[2]道具信息!C512)</f>
        <v/>
      </c>
      <c r="D512" s="59" t="str">
        <f>IF([2]道具信息!D512="","",[2]道具信息!D512)</f>
        <v/>
      </c>
      <c r="E512" s="59" t="str">
        <f>IF([2]道具信息!E512="","",[2]道具信息!E512)</f>
        <v/>
      </c>
      <c r="F512" s="59" t="str">
        <f>IF([2]道具信息!F512="","",[2]道具信息!F512)</f>
        <v/>
      </c>
      <c r="G512" s="59" t="str">
        <f>IF([2]道具信息!G512="","",[2]道具信息!G512)</f>
        <v/>
      </c>
      <c r="H512" s="59" t="str">
        <f>IF([2]道具信息!H512="","",[2]道具信息!H512)</f>
        <v/>
      </c>
      <c r="I512" s="59" t="str">
        <f>IF([2]道具信息!I512="","",[2]道具信息!I512)</f>
        <v/>
      </c>
      <c r="J512" s="59" t="str">
        <f>IF([2]道具信息!J512="","",[2]道具信息!J512)</f>
        <v/>
      </c>
      <c r="K512" s="59" t="str">
        <f>IF([2]道具信息!K512="","",[2]道具信息!K512)</f>
        <v/>
      </c>
      <c r="L512" s="59" t="str">
        <f>IF([2]道具信息!L512="","",[2]道具信息!L512)</f>
        <v/>
      </c>
      <c r="M512" s="59" t="str">
        <f>IF([2]道具信息!M512="","",[2]道具信息!M512)</f>
        <v/>
      </c>
      <c r="N512" s="59" t="str">
        <f>IF([2]道具信息!N512="","",[2]道具信息!N512)</f>
        <v/>
      </c>
      <c r="O512" s="59" t="str">
        <f>IF([2]道具信息!O512="","",[2]道具信息!O512)</f>
        <v/>
      </c>
      <c r="P512" s="59" t="str">
        <f>IF([2]道具信息!P512="","",[2]道具信息!P512)</f>
        <v/>
      </c>
      <c r="Q512" s="59" t="str">
        <f>IF([2]道具信息!Q512="","",[2]道具信息!Q512)</f>
        <v/>
      </c>
      <c r="R512" s="59" t="str">
        <f>IF([2]道具信息!R512="","",[2]道具信息!R512)</f>
        <v/>
      </c>
      <c r="S512" s="59" t="str">
        <f>IF([2]道具信息!S512="","",[2]道具信息!S512)</f>
        <v/>
      </c>
      <c r="T512" s="59" t="str">
        <f>IF([2]道具信息!T512="","",[2]道具信息!T512)</f>
        <v/>
      </c>
      <c r="U512" s="59" t="str">
        <f>IF([2]道具信息!U512="","",[2]道具信息!U512)</f>
        <v/>
      </c>
      <c r="V512" s="59" t="str">
        <f>IF([2]道具信息!V512="","",[2]道具信息!V512)</f>
        <v/>
      </c>
      <c r="W512" s="59" t="str">
        <f>IF([2]道具信息!W512="","",[2]道具信息!W512)</f>
        <v/>
      </c>
      <c r="X512" s="59" t="str">
        <f>IF([2]道具信息!X512="","",[2]道具信息!X512)</f>
        <v/>
      </c>
      <c r="Y512" s="59" t="str">
        <f>IF([2]道具信息!Y512="","",[2]道具信息!Y512)</f>
        <v/>
      </c>
      <c r="Z512" s="59" t="str">
        <f>IF([2]道具信息!Z512="","",[2]道具信息!Z512)</f>
        <v/>
      </c>
    </row>
    <row r="513" spans="1:26" x14ac:dyDescent="0.15">
      <c r="A513" s="59" t="str">
        <f>IF([2]道具信息!A513="","",[2]道具信息!A513)</f>
        <v/>
      </c>
      <c r="B513" s="59" t="str">
        <f>IF([2]道具信息!B513="","",[2]道具信息!B513)</f>
        <v/>
      </c>
      <c r="C513" s="59" t="str">
        <f>IF([2]道具信息!C513="","",[2]道具信息!C513)</f>
        <v/>
      </c>
      <c r="D513" s="59" t="str">
        <f>IF([2]道具信息!D513="","",[2]道具信息!D513)</f>
        <v/>
      </c>
      <c r="E513" s="59" t="str">
        <f>IF([2]道具信息!E513="","",[2]道具信息!E513)</f>
        <v/>
      </c>
      <c r="F513" s="59" t="str">
        <f>IF([2]道具信息!F513="","",[2]道具信息!F513)</f>
        <v/>
      </c>
      <c r="G513" s="59" t="str">
        <f>IF([2]道具信息!G513="","",[2]道具信息!G513)</f>
        <v/>
      </c>
      <c r="H513" s="59" t="str">
        <f>IF([2]道具信息!H513="","",[2]道具信息!H513)</f>
        <v/>
      </c>
      <c r="I513" s="59" t="str">
        <f>IF([2]道具信息!I513="","",[2]道具信息!I513)</f>
        <v/>
      </c>
      <c r="J513" s="59" t="str">
        <f>IF([2]道具信息!J513="","",[2]道具信息!J513)</f>
        <v/>
      </c>
      <c r="K513" s="59" t="str">
        <f>IF([2]道具信息!K513="","",[2]道具信息!K513)</f>
        <v/>
      </c>
      <c r="L513" s="59" t="str">
        <f>IF([2]道具信息!L513="","",[2]道具信息!L513)</f>
        <v/>
      </c>
      <c r="M513" s="59" t="str">
        <f>IF([2]道具信息!M513="","",[2]道具信息!M513)</f>
        <v/>
      </c>
      <c r="N513" s="59" t="str">
        <f>IF([2]道具信息!N513="","",[2]道具信息!N513)</f>
        <v/>
      </c>
      <c r="O513" s="59" t="str">
        <f>IF([2]道具信息!O513="","",[2]道具信息!O513)</f>
        <v/>
      </c>
      <c r="P513" s="59" t="str">
        <f>IF([2]道具信息!P513="","",[2]道具信息!P513)</f>
        <v/>
      </c>
      <c r="Q513" s="59" t="str">
        <f>IF([2]道具信息!Q513="","",[2]道具信息!Q513)</f>
        <v/>
      </c>
      <c r="R513" s="59" t="str">
        <f>IF([2]道具信息!R513="","",[2]道具信息!R513)</f>
        <v/>
      </c>
      <c r="S513" s="59" t="str">
        <f>IF([2]道具信息!S513="","",[2]道具信息!S513)</f>
        <v/>
      </c>
      <c r="T513" s="59" t="str">
        <f>IF([2]道具信息!T513="","",[2]道具信息!T513)</f>
        <v/>
      </c>
      <c r="U513" s="59" t="str">
        <f>IF([2]道具信息!U513="","",[2]道具信息!U513)</f>
        <v/>
      </c>
      <c r="V513" s="59" t="str">
        <f>IF([2]道具信息!V513="","",[2]道具信息!V513)</f>
        <v/>
      </c>
      <c r="W513" s="59" t="str">
        <f>IF([2]道具信息!W513="","",[2]道具信息!W513)</f>
        <v/>
      </c>
      <c r="X513" s="59" t="str">
        <f>IF([2]道具信息!X513="","",[2]道具信息!X513)</f>
        <v/>
      </c>
      <c r="Y513" s="59" t="str">
        <f>IF([2]道具信息!Y513="","",[2]道具信息!Y513)</f>
        <v/>
      </c>
      <c r="Z513" s="59" t="str">
        <f>IF([2]道具信息!Z513="","",[2]道具信息!Z513)</f>
        <v/>
      </c>
    </row>
    <row r="514" spans="1:26" x14ac:dyDescent="0.15">
      <c r="A514" s="59" t="str">
        <f>IF([2]道具信息!A514="","",[2]道具信息!A514)</f>
        <v/>
      </c>
      <c r="B514" s="59" t="str">
        <f>IF([2]道具信息!B514="","",[2]道具信息!B514)</f>
        <v/>
      </c>
      <c r="C514" s="59" t="str">
        <f>IF([2]道具信息!C514="","",[2]道具信息!C514)</f>
        <v/>
      </c>
      <c r="D514" s="59" t="str">
        <f>IF([2]道具信息!D514="","",[2]道具信息!D514)</f>
        <v/>
      </c>
      <c r="E514" s="59" t="str">
        <f>IF([2]道具信息!E514="","",[2]道具信息!E514)</f>
        <v/>
      </c>
      <c r="F514" s="59" t="str">
        <f>IF([2]道具信息!F514="","",[2]道具信息!F514)</f>
        <v/>
      </c>
      <c r="G514" s="59" t="str">
        <f>IF([2]道具信息!G514="","",[2]道具信息!G514)</f>
        <v/>
      </c>
      <c r="H514" s="59" t="str">
        <f>IF([2]道具信息!H514="","",[2]道具信息!H514)</f>
        <v/>
      </c>
      <c r="I514" s="59" t="str">
        <f>IF([2]道具信息!I514="","",[2]道具信息!I514)</f>
        <v/>
      </c>
      <c r="J514" s="59" t="str">
        <f>IF([2]道具信息!J514="","",[2]道具信息!J514)</f>
        <v/>
      </c>
      <c r="K514" s="59" t="str">
        <f>IF([2]道具信息!K514="","",[2]道具信息!K514)</f>
        <v/>
      </c>
      <c r="L514" s="59" t="str">
        <f>IF([2]道具信息!L514="","",[2]道具信息!L514)</f>
        <v/>
      </c>
      <c r="M514" s="59" t="str">
        <f>IF([2]道具信息!M514="","",[2]道具信息!M514)</f>
        <v/>
      </c>
      <c r="N514" s="59" t="str">
        <f>IF([2]道具信息!N514="","",[2]道具信息!N514)</f>
        <v/>
      </c>
      <c r="O514" s="59" t="str">
        <f>IF([2]道具信息!O514="","",[2]道具信息!O514)</f>
        <v/>
      </c>
      <c r="P514" s="59" t="str">
        <f>IF([2]道具信息!P514="","",[2]道具信息!P514)</f>
        <v/>
      </c>
      <c r="Q514" s="59" t="str">
        <f>IF([2]道具信息!Q514="","",[2]道具信息!Q514)</f>
        <v/>
      </c>
      <c r="R514" s="59" t="str">
        <f>IF([2]道具信息!R514="","",[2]道具信息!R514)</f>
        <v/>
      </c>
      <c r="S514" s="59" t="str">
        <f>IF([2]道具信息!S514="","",[2]道具信息!S514)</f>
        <v/>
      </c>
      <c r="T514" s="59" t="str">
        <f>IF([2]道具信息!T514="","",[2]道具信息!T514)</f>
        <v/>
      </c>
      <c r="U514" s="59" t="str">
        <f>IF([2]道具信息!U514="","",[2]道具信息!U514)</f>
        <v/>
      </c>
      <c r="V514" s="59" t="str">
        <f>IF([2]道具信息!V514="","",[2]道具信息!V514)</f>
        <v/>
      </c>
      <c r="W514" s="59" t="str">
        <f>IF([2]道具信息!W514="","",[2]道具信息!W514)</f>
        <v/>
      </c>
      <c r="X514" s="59" t="str">
        <f>IF([2]道具信息!X514="","",[2]道具信息!X514)</f>
        <v/>
      </c>
      <c r="Y514" s="59" t="str">
        <f>IF([2]道具信息!Y514="","",[2]道具信息!Y514)</f>
        <v/>
      </c>
      <c r="Z514" s="59" t="str">
        <f>IF([2]道具信息!Z514="","",[2]道具信息!Z514)</f>
        <v/>
      </c>
    </row>
    <row r="515" spans="1:26" x14ac:dyDescent="0.15">
      <c r="A515" s="59" t="str">
        <f>IF([2]道具信息!A515="","",[2]道具信息!A515)</f>
        <v/>
      </c>
      <c r="B515" s="59" t="str">
        <f>IF([2]道具信息!B515="","",[2]道具信息!B515)</f>
        <v/>
      </c>
      <c r="C515" s="59" t="str">
        <f>IF([2]道具信息!C515="","",[2]道具信息!C515)</f>
        <v/>
      </c>
      <c r="D515" s="59" t="str">
        <f>IF([2]道具信息!D515="","",[2]道具信息!D515)</f>
        <v/>
      </c>
      <c r="E515" s="59" t="str">
        <f>IF([2]道具信息!E515="","",[2]道具信息!E515)</f>
        <v/>
      </c>
      <c r="F515" s="59" t="str">
        <f>IF([2]道具信息!F515="","",[2]道具信息!F515)</f>
        <v/>
      </c>
      <c r="G515" s="59" t="str">
        <f>IF([2]道具信息!G515="","",[2]道具信息!G515)</f>
        <v/>
      </c>
      <c r="H515" s="59" t="str">
        <f>IF([2]道具信息!H515="","",[2]道具信息!H515)</f>
        <v/>
      </c>
      <c r="I515" s="59" t="str">
        <f>IF([2]道具信息!I515="","",[2]道具信息!I515)</f>
        <v/>
      </c>
      <c r="J515" s="59" t="str">
        <f>IF([2]道具信息!J515="","",[2]道具信息!J515)</f>
        <v/>
      </c>
      <c r="K515" s="59" t="str">
        <f>IF([2]道具信息!K515="","",[2]道具信息!K515)</f>
        <v/>
      </c>
      <c r="L515" s="59" t="str">
        <f>IF([2]道具信息!L515="","",[2]道具信息!L515)</f>
        <v/>
      </c>
      <c r="M515" s="59" t="str">
        <f>IF([2]道具信息!M515="","",[2]道具信息!M515)</f>
        <v/>
      </c>
      <c r="N515" s="59" t="str">
        <f>IF([2]道具信息!N515="","",[2]道具信息!N515)</f>
        <v/>
      </c>
      <c r="O515" s="59" t="str">
        <f>IF([2]道具信息!O515="","",[2]道具信息!O515)</f>
        <v/>
      </c>
      <c r="P515" s="59" t="str">
        <f>IF([2]道具信息!P515="","",[2]道具信息!P515)</f>
        <v/>
      </c>
      <c r="Q515" s="59" t="str">
        <f>IF([2]道具信息!Q515="","",[2]道具信息!Q515)</f>
        <v/>
      </c>
      <c r="R515" s="59" t="str">
        <f>IF([2]道具信息!R515="","",[2]道具信息!R515)</f>
        <v/>
      </c>
      <c r="S515" s="59" t="str">
        <f>IF([2]道具信息!S515="","",[2]道具信息!S515)</f>
        <v/>
      </c>
      <c r="T515" s="59" t="str">
        <f>IF([2]道具信息!T515="","",[2]道具信息!T515)</f>
        <v/>
      </c>
      <c r="U515" s="59" t="str">
        <f>IF([2]道具信息!U515="","",[2]道具信息!U515)</f>
        <v/>
      </c>
      <c r="V515" s="59" t="str">
        <f>IF([2]道具信息!V515="","",[2]道具信息!V515)</f>
        <v/>
      </c>
      <c r="W515" s="59" t="str">
        <f>IF([2]道具信息!W515="","",[2]道具信息!W515)</f>
        <v/>
      </c>
      <c r="X515" s="59" t="str">
        <f>IF([2]道具信息!X515="","",[2]道具信息!X515)</f>
        <v/>
      </c>
      <c r="Y515" s="59" t="str">
        <f>IF([2]道具信息!Y515="","",[2]道具信息!Y515)</f>
        <v/>
      </c>
      <c r="Z515" s="59" t="str">
        <f>IF([2]道具信息!Z515="","",[2]道具信息!Z515)</f>
        <v/>
      </c>
    </row>
    <row r="516" spans="1:26" x14ac:dyDescent="0.15">
      <c r="A516" s="59" t="str">
        <f>IF([2]道具信息!A516="","",[2]道具信息!A516)</f>
        <v/>
      </c>
      <c r="B516" s="59" t="str">
        <f>IF([2]道具信息!B516="","",[2]道具信息!B516)</f>
        <v/>
      </c>
      <c r="C516" s="59" t="str">
        <f>IF([2]道具信息!C516="","",[2]道具信息!C516)</f>
        <v/>
      </c>
      <c r="D516" s="59" t="str">
        <f>IF([2]道具信息!D516="","",[2]道具信息!D516)</f>
        <v/>
      </c>
      <c r="E516" s="59" t="str">
        <f>IF([2]道具信息!E516="","",[2]道具信息!E516)</f>
        <v/>
      </c>
      <c r="F516" s="59" t="str">
        <f>IF([2]道具信息!F516="","",[2]道具信息!F516)</f>
        <v/>
      </c>
      <c r="G516" s="59" t="str">
        <f>IF([2]道具信息!G516="","",[2]道具信息!G516)</f>
        <v/>
      </c>
      <c r="H516" s="59" t="str">
        <f>IF([2]道具信息!H516="","",[2]道具信息!H516)</f>
        <v/>
      </c>
      <c r="I516" s="59" t="str">
        <f>IF([2]道具信息!I516="","",[2]道具信息!I516)</f>
        <v/>
      </c>
      <c r="J516" s="59" t="str">
        <f>IF([2]道具信息!J516="","",[2]道具信息!J516)</f>
        <v/>
      </c>
      <c r="K516" s="59" t="str">
        <f>IF([2]道具信息!K516="","",[2]道具信息!K516)</f>
        <v/>
      </c>
      <c r="L516" s="59" t="str">
        <f>IF([2]道具信息!L516="","",[2]道具信息!L516)</f>
        <v/>
      </c>
      <c r="M516" s="59" t="str">
        <f>IF([2]道具信息!M516="","",[2]道具信息!M516)</f>
        <v/>
      </c>
      <c r="N516" s="59" t="str">
        <f>IF([2]道具信息!N516="","",[2]道具信息!N516)</f>
        <v/>
      </c>
      <c r="O516" s="59" t="str">
        <f>IF([2]道具信息!O516="","",[2]道具信息!O516)</f>
        <v/>
      </c>
      <c r="P516" s="59" t="str">
        <f>IF([2]道具信息!P516="","",[2]道具信息!P516)</f>
        <v/>
      </c>
      <c r="Q516" s="59" t="str">
        <f>IF([2]道具信息!Q516="","",[2]道具信息!Q516)</f>
        <v/>
      </c>
      <c r="R516" s="59" t="str">
        <f>IF([2]道具信息!R516="","",[2]道具信息!R516)</f>
        <v/>
      </c>
      <c r="S516" s="59" t="str">
        <f>IF([2]道具信息!S516="","",[2]道具信息!S516)</f>
        <v/>
      </c>
      <c r="T516" s="59" t="str">
        <f>IF([2]道具信息!T516="","",[2]道具信息!T516)</f>
        <v/>
      </c>
      <c r="U516" s="59" t="str">
        <f>IF([2]道具信息!U516="","",[2]道具信息!U516)</f>
        <v/>
      </c>
      <c r="V516" s="59" t="str">
        <f>IF([2]道具信息!V516="","",[2]道具信息!V516)</f>
        <v/>
      </c>
      <c r="W516" s="59" t="str">
        <f>IF([2]道具信息!W516="","",[2]道具信息!W516)</f>
        <v/>
      </c>
      <c r="X516" s="59" t="str">
        <f>IF([2]道具信息!X516="","",[2]道具信息!X516)</f>
        <v/>
      </c>
      <c r="Y516" s="59" t="str">
        <f>IF([2]道具信息!Y516="","",[2]道具信息!Y516)</f>
        <v/>
      </c>
      <c r="Z516" s="59" t="str">
        <f>IF([2]道具信息!Z516="","",[2]道具信息!Z516)</f>
        <v/>
      </c>
    </row>
    <row r="517" spans="1:26" x14ac:dyDescent="0.15">
      <c r="A517" s="59" t="str">
        <f>IF([2]道具信息!A517="","",[2]道具信息!A517)</f>
        <v/>
      </c>
      <c r="B517" s="59" t="str">
        <f>IF([2]道具信息!B517="","",[2]道具信息!B517)</f>
        <v/>
      </c>
      <c r="C517" s="59" t="str">
        <f>IF([2]道具信息!C517="","",[2]道具信息!C517)</f>
        <v/>
      </c>
      <c r="D517" s="59" t="str">
        <f>IF([2]道具信息!D517="","",[2]道具信息!D517)</f>
        <v/>
      </c>
      <c r="E517" s="59" t="str">
        <f>IF([2]道具信息!E517="","",[2]道具信息!E517)</f>
        <v/>
      </c>
      <c r="F517" s="59" t="str">
        <f>IF([2]道具信息!F517="","",[2]道具信息!F517)</f>
        <v/>
      </c>
      <c r="G517" s="59" t="str">
        <f>IF([2]道具信息!G517="","",[2]道具信息!G517)</f>
        <v/>
      </c>
      <c r="H517" s="59" t="str">
        <f>IF([2]道具信息!H517="","",[2]道具信息!H517)</f>
        <v/>
      </c>
      <c r="I517" s="59" t="str">
        <f>IF([2]道具信息!I517="","",[2]道具信息!I517)</f>
        <v/>
      </c>
      <c r="J517" s="59" t="str">
        <f>IF([2]道具信息!J517="","",[2]道具信息!J517)</f>
        <v/>
      </c>
      <c r="K517" s="59" t="str">
        <f>IF([2]道具信息!K517="","",[2]道具信息!K517)</f>
        <v/>
      </c>
      <c r="L517" s="59" t="str">
        <f>IF([2]道具信息!L517="","",[2]道具信息!L517)</f>
        <v/>
      </c>
      <c r="M517" s="59" t="str">
        <f>IF([2]道具信息!M517="","",[2]道具信息!M517)</f>
        <v/>
      </c>
      <c r="N517" s="59" t="str">
        <f>IF([2]道具信息!N517="","",[2]道具信息!N517)</f>
        <v/>
      </c>
      <c r="O517" s="59" t="str">
        <f>IF([2]道具信息!O517="","",[2]道具信息!O517)</f>
        <v/>
      </c>
      <c r="P517" s="59" t="str">
        <f>IF([2]道具信息!P517="","",[2]道具信息!P517)</f>
        <v/>
      </c>
      <c r="Q517" s="59" t="str">
        <f>IF([2]道具信息!Q517="","",[2]道具信息!Q517)</f>
        <v/>
      </c>
      <c r="R517" s="59" t="str">
        <f>IF([2]道具信息!R517="","",[2]道具信息!R517)</f>
        <v/>
      </c>
      <c r="S517" s="59" t="str">
        <f>IF([2]道具信息!S517="","",[2]道具信息!S517)</f>
        <v/>
      </c>
      <c r="T517" s="59" t="str">
        <f>IF([2]道具信息!T517="","",[2]道具信息!T517)</f>
        <v/>
      </c>
      <c r="U517" s="59" t="str">
        <f>IF([2]道具信息!U517="","",[2]道具信息!U517)</f>
        <v/>
      </c>
      <c r="V517" s="59" t="str">
        <f>IF([2]道具信息!V517="","",[2]道具信息!V517)</f>
        <v/>
      </c>
      <c r="W517" s="59" t="str">
        <f>IF([2]道具信息!W517="","",[2]道具信息!W517)</f>
        <v/>
      </c>
      <c r="X517" s="59" t="str">
        <f>IF([2]道具信息!X517="","",[2]道具信息!X517)</f>
        <v/>
      </c>
      <c r="Y517" s="59" t="str">
        <f>IF([2]道具信息!Y517="","",[2]道具信息!Y517)</f>
        <v/>
      </c>
      <c r="Z517" s="59" t="str">
        <f>IF([2]道具信息!Z517="","",[2]道具信息!Z517)</f>
        <v/>
      </c>
    </row>
    <row r="518" spans="1:26" x14ac:dyDescent="0.15">
      <c r="A518" s="59" t="str">
        <f>IF([2]道具信息!A518="","",[2]道具信息!A518)</f>
        <v/>
      </c>
      <c r="B518" s="59" t="str">
        <f>IF([2]道具信息!B518="","",[2]道具信息!B518)</f>
        <v/>
      </c>
      <c r="C518" s="59" t="str">
        <f>IF([2]道具信息!C518="","",[2]道具信息!C518)</f>
        <v/>
      </c>
      <c r="D518" s="59" t="str">
        <f>IF([2]道具信息!D518="","",[2]道具信息!D518)</f>
        <v/>
      </c>
      <c r="E518" s="59" t="str">
        <f>IF([2]道具信息!E518="","",[2]道具信息!E518)</f>
        <v/>
      </c>
      <c r="F518" s="59" t="str">
        <f>IF([2]道具信息!F518="","",[2]道具信息!F518)</f>
        <v/>
      </c>
      <c r="G518" s="59" t="str">
        <f>IF([2]道具信息!G518="","",[2]道具信息!G518)</f>
        <v/>
      </c>
      <c r="H518" s="59" t="str">
        <f>IF([2]道具信息!H518="","",[2]道具信息!H518)</f>
        <v/>
      </c>
      <c r="I518" s="59" t="str">
        <f>IF([2]道具信息!I518="","",[2]道具信息!I518)</f>
        <v/>
      </c>
      <c r="J518" s="59" t="str">
        <f>IF([2]道具信息!J518="","",[2]道具信息!J518)</f>
        <v/>
      </c>
      <c r="K518" s="59" t="str">
        <f>IF([2]道具信息!K518="","",[2]道具信息!K518)</f>
        <v/>
      </c>
      <c r="L518" s="59" t="str">
        <f>IF([2]道具信息!L518="","",[2]道具信息!L518)</f>
        <v/>
      </c>
      <c r="M518" s="59" t="str">
        <f>IF([2]道具信息!M518="","",[2]道具信息!M518)</f>
        <v/>
      </c>
      <c r="N518" s="59" t="str">
        <f>IF([2]道具信息!N518="","",[2]道具信息!N518)</f>
        <v/>
      </c>
      <c r="O518" s="59" t="str">
        <f>IF([2]道具信息!O518="","",[2]道具信息!O518)</f>
        <v/>
      </c>
      <c r="P518" s="59" t="str">
        <f>IF([2]道具信息!P518="","",[2]道具信息!P518)</f>
        <v/>
      </c>
      <c r="Q518" s="59" t="str">
        <f>IF([2]道具信息!Q518="","",[2]道具信息!Q518)</f>
        <v/>
      </c>
      <c r="R518" s="59" t="str">
        <f>IF([2]道具信息!R518="","",[2]道具信息!R518)</f>
        <v/>
      </c>
      <c r="S518" s="59" t="str">
        <f>IF([2]道具信息!S518="","",[2]道具信息!S518)</f>
        <v/>
      </c>
      <c r="T518" s="59" t="str">
        <f>IF([2]道具信息!T518="","",[2]道具信息!T518)</f>
        <v/>
      </c>
      <c r="U518" s="59" t="str">
        <f>IF([2]道具信息!U518="","",[2]道具信息!U518)</f>
        <v/>
      </c>
      <c r="V518" s="59" t="str">
        <f>IF([2]道具信息!V518="","",[2]道具信息!V518)</f>
        <v/>
      </c>
      <c r="W518" s="59" t="str">
        <f>IF([2]道具信息!W518="","",[2]道具信息!W518)</f>
        <v/>
      </c>
      <c r="X518" s="59" t="str">
        <f>IF([2]道具信息!X518="","",[2]道具信息!X518)</f>
        <v/>
      </c>
      <c r="Y518" s="59" t="str">
        <f>IF([2]道具信息!Y518="","",[2]道具信息!Y518)</f>
        <v/>
      </c>
      <c r="Z518" s="59" t="str">
        <f>IF([2]道具信息!Z518="","",[2]道具信息!Z518)</f>
        <v/>
      </c>
    </row>
    <row r="519" spans="1:26" x14ac:dyDescent="0.15">
      <c r="A519" s="59" t="str">
        <f>IF([2]道具信息!A519="","",[2]道具信息!A519)</f>
        <v/>
      </c>
      <c r="B519" s="59" t="str">
        <f>IF([2]道具信息!B519="","",[2]道具信息!B519)</f>
        <v/>
      </c>
      <c r="C519" s="59" t="str">
        <f>IF([2]道具信息!C519="","",[2]道具信息!C519)</f>
        <v/>
      </c>
      <c r="D519" s="59" t="str">
        <f>IF([2]道具信息!D519="","",[2]道具信息!D519)</f>
        <v/>
      </c>
      <c r="E519" s="59" t="str">
        <f>IF([2]道具信息!E519="","",[2]道具信息!E519)</f>
        <v/>
      </c>
      <c r="F519" s="59" t="str">
        <f>IF([2]道具信息!F519="","",[2]道具信息!F519)</f>
        <v/>
      </c>
      <c r="G519" s="59" t="str">
        <f>IF([2]道具信息!G519="","",[2]道具信息!G519)</f>
        <v/>
      </c>
      <c r="H519" s="59" t="str">
        <f>IF([2]道具信息!H519="","",[2]道具信息!H519)</f>
        <v/>
      </c>
      <c r="I519" s="59" t="str">
        <f>IF([2]道具信息!I519="","",[2]道具信息!I519)</f>
        <v/>
      </c>
      <c r="J519" s="59" t="str">
        <f>IF([2]道具信息!J519="","",[2]道具信息!J519)</f>
        <v/>
      </c>
      <c r="K519" s="59" t="str">
        <f>IF([2]道具信息!K519="","",[2]道具信息!K519)</f>
        <v/>
      </c>
      <c r="L519" s="59" t="str">
        <f>IF([2]道具信息!L519="","",[2]道具信息!L519)</f>
        <v/>
      </c>
      <c r="M519" s="59" t="str">
        <f>IF([2]道具信息!M519="","",[2]道具信息!M519)</f>
        <v/>
      </c>
      <c r="N519" s="59" t="str">
        <f>IF([2]道具信息!N519="","",[2]道具信息!N519)</f>
        <v/>
      </c>
      <c r="O519" s="59" t="str">
        <f>IF([2]道具信息!O519="","",[2]道具信息!O519)</f>
        <v/>
      </c>
      <c r="P519" s="59" t="str">
        <f>IF([2]道具信息!P519="","",[2]道具信息!P519)</f>
        <v/>
      </c>
      <c r="Q519" s="59" t="str">
        <f>IF([2]道具信息!Q519="","",[2]道具信息!Q519)</f>
        <v/>
      </c>
      <c r="R519" s="59" t="str">
        <f>IF([2]道具信息!R519="","",[2]道具信息!R519)</f>
        <v/>
      </c>
      <c r="S519" s="59" t="str">
        <f>IF([2]道具信息!S519="","",[2]道具信息!S519)</f>
        <v/>
      </c>
      <c r="T519" s="59" t="str">
        <f>IF([2]道具信息!T519="","",[2]道具信息!T519)</f>
        <v/>
      </c>
      <c r="U519" s="59" t="str">
        <f>IF([2]道具信息!U519="","",[2]道具信息!U519)</f>
        <v/>
      </c>
      <c r="V519" s="59" t="str">
        <f>IF([2]道具信息!V519="","",[2]道具信息!V519)</f>
        <v/>
      </c>
      <c r="W519" s="59" t="str">
        <f>IF([2]道具信息!W519="","",[2]道具信息!W519)</f>
        <v/>
      </c>
      <c r="X519" s="59" t="str">
        <f>IF([2]道具信息!X519="","",[2]道具信息!X519)</f>
        <v/>
      </c>
      <c r="Y519" s="59" t="str">
        <f>IF([2]道具信息!Y519="","",[2]道具信息!Y519)</f>
        <v/>
      </c>
      <c r="Z519" s="59" t="str">
        <f>IF([2]道具信息!Z519="","",[2]道具信息!Z519)</f>
        <v/>
      </c>
    </row>
    <row r="520" spans="1:26" x14ac:dyDescent="0.15">
      <c r="A520" s="59" t="str">
        <f>IF([2]道具信息!A520="","",[2]道具信息!A520)</f>
        <v/>
      </c>
      <c r="B520" s="59" t="str">
        <f>IF([2]道具信息!B520="","",[2]道具信息!B520)</f>
        <v/>
      </c>
      <c r="C520" s="59" t="str">
        <f>IF([2]道具信息!C520="","",[2]道具信息!C520)</f>
        <v/>
      </c>
      <c r="D520" s="59" t="str">
        <f>IF([2]道具信息!D520="","",[2]道具信息!D520)</f>
        <v/>
      </c>
      <c r="E520" s="59" t="str">
        <f>IF([2]道具信息!E520="","",[2]道具信息!E520)</f>
        <v/>
      </c>
      <c r="F520" s="59" t="str">
        <f>IF([2]道具信息!F520="","",[2]道具信息!F520)</f>
        <v/>
      </c>
      <c r="G520" s="59" t="str">
        <f>IF([2]道具信息!G520="","",[2]道具信息!G520)</f>
        <v/>
      </c>
      <c r="H520" s="59" t="str">
        <f>IF([2]道具信息!H520="","",[2]道具信息!H520)</f>
        <v/>
      </c>
      <c r="I520" s="59" t="str">
        <f>IF([2]道具信息!I520="","",[2]道具信息!I520)</f>
        <v/>
      </c>
      <c r="J520" s="59" t="str">
        <f>IF([2]道具信息!J520="","",[2]道具信息!J520)</f>
        <v/>
      </c>
      <c r="K520" s="59" t="str">
        <f>IF([2]道具信息!K520="","",[2]道具信息!K520)</f>
        <v/>
      </c>
      <c r="L520" s="59" t="str">
        <f>IF([2]道具信息!L520="","",[2]道具信息!L520)</f>
        <v/>
      </c>
      <c r="M520" s="59" t="str">
        <f>IF([2]道具信息!M520="","",[2]道具信息!M520)</f>
        <v/>
      </c>
      <c r="N520" s="59" t="str">
        <f>IF([2]道具信息!N520="","",[2]道具信息!N520)</f>
        <v/>
      </c>
      <c r="O520" s="59" t="str">
        <f>IF([2]道具信息!O520="","",[2]道具信息!O520)</f>
        <v/>
      </c>
      <c r="P520" s="59" t="str">
        <f>IF([2]道具信息!P520="","",[2]道具信息!P520)</f>
        <v/>
      </c>
      <c r="Q520" s="59" t="str">
        <f>IF([2]道具信息!Q520="","",[2]道具信息!Q520)</f>
        <v/>
      </c>
      <c r="R520" s="59" t="str">
        <f>IF([2]道具信息!R520="","",[2]道具信息!R520)</f>
        <v/>
      </c>
      <c r="S520" s="59" t="str">
        <f>IF([2]道具信息!S520="","",[2]道具信息!S520)</f>
        <v/>
      </c>
      <c r="T520" s="59" t="str">
        <f>IF([2]道具信息!T520="","",[2]道具信息!T520)</f>
        <v/>
      </c>
      <c r="U520" s="59" t="str">
        <f>IF([2]道具信息!U520="","",[2]道具信息!U520)</f>
        <v/>
      </c>
      <c r="V520" s="59" t="str">
        <f>IF([2]道具信息!V520="","",[2]道具信息!V520)</f>
        <v/>
      </c>
      <c r="W520" s="59" t="str">
        <f>IF([2]道具信息!W520="","",[2]道具信息!W520)</f>
        <v/>
      </c>
      <c r="X520" s="59" t="str">
        <f>IF([2]道具信息!X520="","",[2]道具信息!X520)</f>
        <v/>
      </c>
      <c r="Y520" s="59" t="str">
        <f>IF([2]道具信息!Y520="","",[2]道具信息!Y520)</f>
        <v/>
      </c>
      <c r="Z520" s="59" t="str">
        <f>IF([2]道具信息!Z520="","",[2]道具信息!Z520)</f>
        <v/>
      </c>
    </row>
    <row r="521" spans="1:26" x14ac:dyDescent="0.15">
      <c r="A521" s="59" t="str">
        <f>IF([2]道具信息!A521="","",[2]道具信息!A521)</f>
        <v/>
      </c>
      <c r="B521" s="59" t="str">
        <f>IF([2]道具信息!B521="","",[2]道具信息!B521)</f>
        <v/>
      </c>
      <c r="C521" s="59" t="str">
        <f>IF([2]道具信息!C521="","",[2]道具信息!C521)</f>
        <v/>
      </c>
      <c r="D521" s="59" t="str">
        <f>IF([2]道具信息!D521="","",[2]道具信息!D521)</f>
        <v/>
      </c>
      <c r="E521" s="59" t="str">
        <f>IF([2]道具信息!E521="","",[2]道具信息!E521)</f>
        <v/>
      </c>
      <c r="F521" s="59" t="str">
        <f>IF([2]道具信息!F521="","",[2]道具信息!F521)</f>
        <v/>
      </c>
      <c r="G521" s="59" t="str">
        <f>IF([2]道具信息!G521="","",[2]道具信息!G521)</f>
        <v/>
      </c>
      <c r="H521" s="59" t="str">
        <f>IF([2]道具信息!H521="","",[2]道具信息!H521)</f>
        <v/>
      </c>
      <c r="I521" s="59" t="str">
        <f>IF([2]道具信息!I521="","",[2]道具信息!I521)</f>
        <v/>
      </c>
      <c r="J521" s="59" t="str">
        <f>IF([2]道具信息!J521="","",[2]道具信息!J521)</f>
        <v/>
      </c>
      <c r="K521" s="59" t="str">
        <f>IF([2]道具信息!K521="","",[2]道具信息!K521)</f>
        <v/>
      </c>
      <c r="L521" s="59" t="str">
        <f>IF([2]道具信息!L521="","",[2]道具信息!L521)</f>
        <v/>
      </c>
      <c r="M521" s="59" t="str">
        <f>IF([2]道具信息!M521="","",[2]道具信息!M521)</f>
        <v/>
      </c>
      <c r="N521" s="59" t="str">
        <f>IF([2]道具信息!N521="","",[2]道具信息!N521)</f>
        <v/>
      </c>
      <c r="O521" s="59" t="str">
        <f>IF([2]道具信息!O521="","",[2]道具信息!O521)</f>
        <v/>
      </c>
      <c r="P521" s="59" t="str">
        <f>IF([2]道具信息!P521="","",[2]道具信息!P521)</f>
        <v/>
      </c>
      <c r="Q521" s="59" t="str">
        <f>IF([2]道具信息!Q521="","",[2]道具信息!Q521)</f>
        <v/>
      </c>
      <c r="R521" s="59" t="str">
        <f>IF([2]道具信息!R521="","",[2]道具信息!R521)</f>
        <v/>
      </c>
      <c r="S521" s="59" t="str">
        <f>IF([2]道具信息!S521="","",[2]道具信息!S521)</f>
        <v/>
      </c>
      <c r="T521" s="59" t="str">
        <f>IF([2]道具信息!T521="","",[2]道具信息!T521)</f>
        <v/>
      </c>
      <c r="U521" s="59" t="str">
        <f>IF([2]道具信息!U521="","",[2]道具信息!U521)</f>
        <v/>
      </c>
      <c r="V521" s="59" t="str">
        <f>IF([2]道具信息!V521="","",[2]道具信息!V521)</f>
        <v/>
      </c>
      <c r="W521" s="59" t="str">
        <f>IF([2]道具信息!W521="","",[2]道具信息!W521)</f>
        <v/>
      </c>
      <c r="X521" s="59" t="str">
        <f>IF([2]道具信息!X521="","",[2]道具信息!X521)</f>
        <v/>
      </c>
      <c r="Y521" s="59" t="str">
        <f>IF([2]道具信息!Y521="","",[2]道具信息!Y521)</f>
        <v/>
      </c>
      <c r="Z521" s="59" t="str">
        <f>IF([2]道具信息!Z521="","",[2]道具信息!Z521)</f>
        <v/>
      </c>
    </row>
    <row r="522" spans="1:26" x14ac:dyDescent="0.15">
      <c r="A522" s="59" t="str">
        <f>IF([2]道具信息!A522="","",[2]道具信息!A522)</f>
        <v/>
      </c>
      <c r="B522" s="59" t="str">
        <f>IF([2]道具信息!B522="","",[2]道具信息!B522)</f>
        <v/>
      </c>
      <c r="C522" s="59" t="str">
        <f>IF([2]道具信息!C522="","",[2]道具信息!C522)</f>
        <v/>
      </c>
      <c r="D522" s="59" t="str">
        <f>IF([2]道具信息!D522="","",[2]道具信息!D522)</f>
        <v/>
      </c>
      <c r="E522" s="59" t="str">
        <f>IF([2]道具信息!E522="","",[2]道具信息!E522)</f>
        <v/>
      </c>
      <c r="F522" s="59" t="str">
        <f>IF([2]道具信息!F522="","",[2]道具信息!F522)</f>
        <v/>
      </c>
      <c r="G522" s="59" t="str">
        <f>IF([2]道具信息!G522="","",[2]道具信息!G522)</f>
        <v/>
      </c>
      <c r="H522" s="59" t="str">
        <f>IF([2]道具信息!H522="","",[2]道具信息!H522)</f>
        <v/>
      </c>
      <c r="I522" s="59" t="str">
        <f>IF([2]道具信息!I522="","",[2]道具信息!I522)</f>
        <v/>
      </c>
      <c r="J522" s="59" t="str">
        <f>IF([2]道具信息!J522="","",[2]道具信息!J522)</f>
        <v/>
      </c>
      <c r="K522" s="59" t="str">
        <f>IF([2]道具信息!K522="","",[2]道具信息!K522)</f>
        <v/>
      </c>
      <c r="L522" s="59" t="str">
        <f>IF([2]道具信息!L522="","",[2]道具信息!L522)</f>
        <v/>
      </c>
      <c r="M522" s="59" t="str">
        <f>IF([2]道具信息!M522="","",[2]道具信息!M522)</f>
        <v/>
      </c>
      <c r="N522" s="59" t="str">
        <f>IF([2]道具信息!N522="","",[2]道具信息!N522)</f>
        <v/>
      </c>
      <c r="O522" s="59" t="str">
        <f>IF([2]道具信息!O522="","",[2]道具信息!O522)</f>
        <v/>
      </c>
      <c r="P522" s="59" t="str">
        <f>IF([2]道具信息!P522="","",[2]道具信息!P522)</f>
        <v/>
      </c>
      <c r="Q522" s="59" t="str">
        <f>IF([2]道具信息!Q522="","",[2]道具信息!Q522)</f>
        <v/>
      </c>
      <c r="R522" s="59" t="str">
        <f>IF([2]道具信息!R522="","",[2]道具信息!R522)</f>
        <v/>
      </c>
      <c r="S522" s="59" t="str">
        <f>IF([2]道具信息!S522="","",[2]道具信息!S522)</f>
        <v/>
      </c>
      <c r="T522" s="59" t="str">
        <f>IF([2]道具信息!T522="","",[2]道具信息!T522)</f>
        <v/>
      </c>
      <c r="U522" s="59" t="str">
        <f>IF([2]道具信息!U522="","",[2]道具信息!U522)</f>
        <v/>
      </c>
      <c r="V522" s="59" t="str">
        <f>IF([2]道具信息!V522="","",[2]道具信息!V522)</f>
        <v/>
      </c>
      <c r="W522" s="59" t="str">
        <f>IF([2]道具信息!W522="","",[2]道具信息!W522)</f>
        <v/>
      </c>
      <c r="X522" s="59" t="str">
        <f>IF([2]道具信息!X522="","",[2]道具信息!X522)</f>
        <v/>
      </c>
      <c r="Y522" s="59" t="str">
        <f>IF([2]道具信息!Y522="","",[2]道具信息!Y522)</f>
        <v/>
      </c>
      <c r="Z522" s="59" t="str">
        <f>IF([2]道具信息!Z522="","",[2]道具信息!Z522)</f>
        <v/>
      </c>
    </row>
    <row r="523" spans="1:26" x14ac:dyDescent="0.15">
      <c r="A523" s="59" t="str">
        <f>IF([2]道具信息!A523="","",[2]道具信息!A523)</f>
        <v/>
      </c>
      <c r="B523" s="59" t="str">
        <f>IF([2]道具信息!B523="","",[2]道具信息!B523)</f>
        <v/>
      </c>
      <c r="C523" s="59" t="str">
        <f>IF([2]道具信息!C523="","",[2]道具信息!C523)</f>
        <v/>
      </c>
      <c r="D523" s="59" t="str">
        <f>IF([2]道具信息!D523="","",[2]道具信息!D523)</f>
        <v/>
      </c>
      <c r="E523" s="59" t="str">
        <f>IF([2]道具信息!E523="","",[2]道具信息!E523)</f>
        <v/>
      </c>
      <c r="F523" s="59" t="str">
        <f>IF([2]道具信息!F523="","",[2]道具信息!F523)</f>
        <v/>
      </c>
      <c r="G523" s="59" t="str">
        <f>IF([2]道具信息!G523="","",[2]道具信息!G523)</f>
        <v/>
      </c>
      <c r="H523" s="59" t="str">
        <f>IF([2]道具信息!H523="","",[2]道具信息!H523)</f>
        <v/>
      </c>
      <c r="I523" s="59" t="str">
        <f>IF([2]道具信息!I523="","",[2]道具信息!I523)</f>
        <v/>
      </c>
      <c r="J523" s="59" t="str">
        <f>IF([2]道具信息!J523="","",[2]道具信息!J523)</f>
        <v/>
      </c>
      <c r="K523" s="59" t="str">
        <f>IF([2]道具信息!K523="","",[2]道具信息!K523)</f>
        <v/>
      </c>
      <c r="L523" s="59" t="str">
        <f>IF([2]道具信息!L523="","",[2]道具信息!L523)</f>
        <v/>
      </c>
      <c r="M523" s="59" t="str">
        <f>IF([2]道具信息!M523="","",[2]道具信息!M523)</f>
        <v/>
      </c>
      <c r="N523" s="59" t="str">
        <f>IF([2]道具信息!N523="","",[2]道具信息!N523)</f>
        <v/>
      </c>
      <c r="O523" s="59" t="str">
        <f>IF([2]道具信息!O523="","",[2]道具信息!O523)</f>
        <v/>
      </c>
      <c r="P523" s="59" t="str">
        <f>IF([2]道具信息!P523="","",[2]道具信息!P523)</f>
        <v/>
      </c>
      <c r="Q523" s="59" t="str">
        <f>IF([2]道具信息!Q523="","",[2]道具信息!Q523)</f>
        <v/>
      </c>
      <c r="R523" s="59" t="str">
        <f>IF([2]道具信息!R523="","",[2]道具信息!R523)</f>
        <v/>
      </c>
      <c r="S523" s="59" t="str">
        <f>IF([2]道具信息!S523="","",[2]道具信息!S523)</f>
        <v/>
      </c>
      <c r="T523" s="59" t="str">
        <f>IF([2]道具信息!T523="","",[2]道具信息!T523)</f>
        <v/>
      </c>
      <c r="U523" s="59" t="str">
        <f>IF([2]道具信息!U523="","",[2]道具信息!U523)</f>
        <v/>
      </c>
      <c r="V523" s="59" t="str">
        <f>IF([2]道具信息!V523="","",[2]道具信息!V523)</f>
        <v/>
      </c>
      <c r="W523" s="59" t="str">
        <f>IF([2]道具信息!W523="","",[2]道具信息!W523)</f>
        <v/>
      </c>
      <c r="X523" s="59" t="str">
        <f>IF([2]道具信息!X523="","",[2]道具信息!X523)</f>
        <v/>
      </c>
      <c r="Y523" s="59" t="str">
        <f>IF([2]道具信息!Y523="","",[2]道具信息!Y523)</f>
        <v/>
      </c>
      <c r="Z523" s="59" t="str">
        <f>IF([2]道具信息!Z523="","",[2]道具信息!Z523)</f>
        <v/>
      </c>
    </row>
    <row r="524" spans="1:26" x14ac:dyDescent="0.15">
      <c r="A524" s="59" t="str">
        <f>IF([2]道具信息!A524="","",[2]道具信息!A524)</f>
        <v/>
      </c>
      <c r="B524" s="59" t="str">
        <f>IF([2]道具信息!B524="","",[2]道具信息!B524)</f>
        <v/>
      </c>
      <c r="C524" s="59" t="str">
        <f>IF([2]道具信息!C524="","",[2]道具信息!C524)</f>
        <v/>
      </c>
      <c r="D524" s="59" t="str">
        <f>IF([2]道具信息!D524="","",[2]道具信息!D524)</f>
        <v/>
      </c>
      <c r="E524" s="59" t="str">
        <f>IF([2]道具信息!E524="","",[2]道具信息!E524)</f>
        <v/>
      </c>
      <c r="F524" s="59" t="str">
        <f>IF([2]道具信息!F524="","",[2]道具信息!F524)</f>
        <v/>
      </c>
      <c r="G524" s="59" t="str">
        <f>IF([2]道具信息!G524="","",[2]道具信息!G524)</f>
        <v/>
      </c>
      <c r="H524" s="59" t="str">
        <f>IF([2]道具信息!H524="","",[2]道具信息!H524)</f>
        <v/>
      </c>
      <c r="I524" s="59" t="str">
        <f>IF([2]道具信息!I524="","",[2]道具信息!I524)</f>
        <v/>
      </c>
      <c r="J524" s="59" t="str">
        <f>IF([2]道具信息!J524="","",[2]道具信息!J524)</f>
        <v/>
      </c>
      <c r="K524" s="59" t="str">
        <f>IF([2]道具信息!K524="","",[2]道具信息!K524)</f>
        <v/>
      </c>
      <c r="L524" s="59" t="str">
        <f>IF([2]道具信息!L524="","",[2]道具信息!L524)</f>
        <v/>
      </c>
      <c r="M524" s="59" t="str">
        <f>IF([2]道具信息!M524="","",[2]道具信息!M524)</f>
        <v/>
      </c>
      <c r="N524" s="59" t="str">
        <f>IF([2]道具信息!N524="","",[2]道具信息!N524)</f>
        <v/>
      </c>
      <c r="O524" s="59" t="str">
        <f>IF([2]道具信息!O524="","",[2]道具信息!O524)</f>
        <v/>
      </c>
      <c r="P524" s="59" t="str">
        <f>IF([2]道具信息!P524="","",[2]道具信息!P524)</f>
        <v/>
      </c>
      <c r="Q524" s="59" t="str">
        <f>IF([2]道具信息!Q524="","",[2]道具信息!Q524)</f>
        <v/>
      </c>
      <c r="R524" s="59" t="str">
        <f>IF([2]道具信息!R524="","",[2]道具信息!R524)</f>
        <v/>
      </c>
      <c r="S524" s="59" t="str">
        <f>IF([2]道具信息!S524="","",[2]道具信息!S524)</f>
        <v/>
      </c>
      <c r="T524" s="59" t="str">
        <f>IF([2]道具信息!T524="","",[2]道具信息!T524)</f>
        <v/>
      </c>
      <c r="U524" s="59" t="str">
        <f>IF([2]道具信息!U524="","",[2]道具信息!U524)</f>
        <v/>
      </c>
      <c r="V524" s="59" t="str">
        <f>IF([2]道具信息!V524="","",[2]道具信息!V524)</f>
        <v/>
      </c>
      <c r="W524" s="59" t="str">
        <f>IF([2]道具信息!W524="","",[2]道具信息!W524)</f>
        <v/>
      </c>
      <c r="X524" s="59" t="str">
        <f>IF([2]道具信息!X524="","",[2]道具信息!X524)</f>
        <v/>
      </c>
      <c r="Y524" s="59" t="str">
        <f>IF([2]道具信息!Y524="","",[2]道具信息!Y524)</f>
        <v/>
      </c>
      <c r="Z524" s="59" t="str">
        <f>IF([2]道具信息!Z524="","",[2]道具信息!Z524)</f>
        <v/>
      </c>
    </row>
    <row r="525" spans="1:26" x14ac:dyDescent="0.15">
      <c r="A525" s="59" t="str">
        <f>IF([2]道具信息!A525="","",[2]道具信息!A525)</f>
        <v/>
      </c>
      <c r="B525" s="59" t="str">
        <f>IF([2]道具信息!B525="","",[2]道具信息!B525)</f>
        <v/>
      </c>
      <c r="C525" s="59" t="str">
        <f>IF([2]道具信息!C525="","",[2]道具信息!C525)</f>
        <v/>
      </c>
      <c r="D525" s="59" t="str">
        <f>IF([2]道具信息!D525="","",[2]道具信息!D525)</f>
        <v/>
      </c>
      <c r="E525" s="59" t="str">
        <f>IF([2]道具信息!E525="","",[2]道具信息!E525)</f>
        <v/>
      </c>
      <c r="F525" s="59" t="str">
        <f>IF([2]道具信息!F525="","",[2]道具信息!F525)</f>
        <v/>
      </c>
      <c r="G525" s="59" t="str">
        <f>IF([2]道具信息!G525="","",[2]道具信息!G525)</f>
        <v/>
      </c>
      <c r="H525" s="59" t="str">
        <f>IF([2]道具信息!H525="","",[2]道具信息!H525)</f>
        <v/>
      </c>
      <c r="I525" s="59" t="str">
        <f>IF([2]道具信息!I525="","",[2]道具信息!I525)</f>
        <v/>
      </c>
      <c r="J525" s="59" t="str">
        <f>IF([2]道具信息!J525="","",[2]道具信息!J525)</f>
        <v/>
      </c>
      <c r="K525" s="59" t="str">
        <f>IF([2]道具信息!K525="","",[2]道具信息!K525)</f>
        <v/>
      </c>
      <c r="L525" s="59" t="str">
        <f>IF([2]道具信息!L525="","",[2]道具信息!L525)</f>
        <v/>
      </c>
      <c r="M525" s="59" t="str">
        <f>IF([2]道具信息!M525="","",[2]道具信息!M525)</f>
        <v/>
      </c>
      <c r="N525" s="59" t="str">
        <f>IF([2]道具信息!N525="","",[2]道具信息!N525)</f>
        <v/>
      </c>
      <c r="O525" s="59" t="str">
        <f>IF([2]道具信息!O525="","",[2]道具信息!O525)</f>
        <v/>
      </c>
      <c r="P525" s="59" t="str">
        <f>IF([2]道具信息!P525="","",[2]道具信息!P525)</f>
        <v/>
      </c>
      <c r="Q525" s="59" t="str">
        <f>IF([2]道具信息!Q525="","",[2]道具信息!Q525)</f>
        <v/>
      </c>
      <c r="R525" s="59" t="str">
        <f>IF([2]道具信息!R525="","",[2]道具信息!R525)</f>
        <v/>
      </c>
      <c r="S525" s="59" t="str">
        <f>IF([2]道具信息!S525="","",[2]道具信息!S525)</f>
        <v/>
      </c>
      <c r="T525" s="59" t="str">
        <f>IF([2]道具信息!T525="","",[2]道具信息!T525)</f>
        <v/>
      </c>
      <c r="U525" s="59" t="str">
        <f>IF([2]道具信息!U525="","",[2]道具信息!U525)</f>
        <v/>
      </c>
      <c r="V525" s="59" t="str">
        <f>IF([2]道具信息!V525="","",[2]道具信息!V525)</f>
        <v/>
      </c>
      <c r="W525" s="59" t="str">
        <f>IF([2]道具信息!W525="","",[2]道具信息!W525)</f>
        <v/>
      </c>
      <c r="X525" s="59" t="str">
        <f>IF([2]道具信息!X525="","",[2]道具信息!X525)</f>
        <v/>
      </c>
      <c r="Y525" s="59" t="str">
        <f>IF([2]道具信息!Y525="","",[2]道具信息!Y525)</f>
        <v/>
      </c>
      <c r="Z525" s="59" t="str">
        <f>IF([2]道具信息!Z525="","",[2]道具信息!Z525)</f>
        <v/>
      </c>
    </row>
    <row r="526" spans="1:26" x14ac:dyDescent="0.15">
      <c r="A526" s="59" t="str">
        <f>IF([2]道具信息!A526="","",[2]道具信息!A526)</f>
        <v/>
      </c>
      <c r="B526" s="59" t="str">
        <f>IF([2]道具信息!B526="","",[2]道具信息!B526)</f>
        <v/>
      </c>
      <c r="C526" s="59" t="str">
        <f>IF([2]道具信息!C526="","",[2]道具信息!C526)</f>
        <v/>
      </c>
      <c r="D526" s="59" t="str">
        <f>IF([2]道具信息!D526="","",[2]道具信息!D526)</f>
        <v/>
      </c>
      <c r="E526" s="59" t="str">
        <f>IF([2]道具信息!E526="","",[2]道具信息!E526)</f>
        <v/>
      </c>
      <c r="F526" s="59" t="str">
        <f>IF([2]道具信息!F526="","",[2]道具信息!F526)</f>
        <v/>
      </c>
      <c r="G526" s="59" t="str">
        <f>IF([2]道具信息!G526="","",[2]道具信息!G526)</f>
        <v/>
      </c>
      <c r="H526" s="59" t="str">
        <f>IF([2]道具信息!H526="","",[2]道具信息!H526)</f>
        <v/>
      </c>
      <c r="I526" s="59" t="str">
        <f>IF([2]道具信息!I526="","",[2]道具信息!I526)</f>
        <v/>
      </c>
      <c r="J526" s="59" t="str">
        <f>IF([2]道具信息!J526="","",[2]道具信息!J526)</f>
        <v/>
      </c>
      <c r="K526" s="59" t="str">
        <f>IF([2]道具信息!K526="","",[2]道具信息!K526)</f>
        <v/>
      </c>
      <c r="L526" s="59" t="str">
        <f>IF([2]道具信息!L526="","",[2]道具信息!L526)</f>
        <v/>
      </c>
      <c r="M526" s="59" t="str">
        <f>IF([2]道具信息!M526="","",[2]道具信息!M526)</f>
        <v/>
      </c>
      <c r="N526" s="59" t="str">
        <f>IF([2]道具信息!N526="","",[2]道具信息!N526)</f>
        <v/>
      </c>
      <c r="O526" s="59" t="str">
        <f>IF([2]道具信息!O526="","",[2]道具信息!O526)</f>
        <v/>
      </c>
      <c r="P526" s="59" t="str">
        <f>IF([2]道具信息!P526="","",[2]道具信息!P526)</f>
        <v/>
      </c>
      <c r="Q526" s="59" t="str">
        <f>IF([2]道具信息!Q526="","",[2]道具信息!Q526)</f>
        <v/>
      </c>
      <c r="R526" s="59" t="str">
        <f>IF([2]道具信息!R526="","",[2]道具信息!R526)</f>
        <v/>
      </c>
      <c r="S526" s="59" t="str">
        <f>IF([2]道具信息!S526="","",[2]道具信息!S526)</f>
        <v/>
      </c>
      <c r="T526" s="59" t="str">
        <f>IF([2]道具信息!T526="","",[2]道具信息!T526)</f>
        <v/>
      </c>
      <c r="U526" s="59" t="str">
        <f>IF([2]道具信息!U526="","",[2]道具信息!U526)</f>
        <v/>
      </c>
      <c r="V526" s="59" t="str">
        <f>IF([2]道具信息!V526="","",[2]道具信息!V526)</f>
        <v/>
      </c>
      <c r="W526" s="59" t="str">
        <f>IF([2]道具信息!W526="","",[2]道具信息!W526)</f>
        <v/>
      </c>
      <c r="X526" s="59" t="str">
        <f>IF([2]道具信息!X526="","",[2]道具信息!X526)</f>
        <v/>
      </c>
      <c r="Y526" s="59" t="str">
        <f>IF([2]道具信息!Y526="","",[2]道具信息!Y526)</f>
        <v/>
      </c>
      <c r="Z526" s="59" t="str">
        <f>IF([2]道具信息!Z526="","",[2]道具信息!Z526)</f>
        <v/>
      </c>
    </row>
    <row r="527" spans="1:26" x14ac:dyDescent="0.15">
      <c r="A527" s="59" t="str">
        <f>IF([2]道具信息!A527="","",[2]道具信息!A527)</f>
        <v/>
      </c>
      <c r="B527" s="59" t="str">
        <f>IF([2]道具信息!B527="","",[2]道具信息!B527)</f>
        <v/>
      </c>
      <c r="C527" s="59" t="str">
        <f>IF([2]道具信息!C527="","",[2]道具信息!C527)</f>
        <v/>
      </c>
      <c r="D527" s="59" t="str">
        <f>IF([2]道具信息!D527="","",[2]道具信息!D527)</f>
        <v/>
      </c>
      <c r="E527" s="59" t="str">
        <f>IF([2]道具信息!E527="","",[2]道具信息!E527)</f>
        <v/>
      </c>
      <c r="F527" s="59" t="str">
        <f>IF([2]道具信息!F527="","",[2]道具信息!F527)</f>
        <v/>
      </c>
      <c r="G527" s="59" t="str">
        <f>IF([2]道具信息!G527="","",[2]道具信息!G527)</f>
        <v/>
      </c>
      <c r="H527" s="59" t="str">
        <f>IF([2]道具信息!H527="","",[2]道具信息!H527)</f>
        <v/>
      </c>
      <c r="I527" s="59" t="str">
        <f>IF([2]道具信息!I527="","",[2]道具信息!I527)</f>
        <v/>
      </c>
      <c r="J527" s="59" t="str">
        <f>IF([2]道具信息!J527="","",[2]道具信息!J527)</f>
        <v/>
      </c>
      <c r="K527" s="59" t="str">
        <f>IF([2]道具信息!K527="","",[2]道具信息!K527)</f>
        <v/>
      </c>
      <c r="L527" s="59" t="str">
        <f>IF([2]道具信息!L527="","",[2]道具信息!L527)</f>
        <v/>
      </c>
      <c r="M527" s="59" t="str">
        <f>IF([2]道具信息!M527="","",[2]道具信息!M527)</f>
        <v/>
      </c>
      <c r="N527" s="59" t="str">
        <f>IF([2]道具信息!N527="","",[2]道具信息!N527)</f>
        <v/>
      </c>
      <c r="O527" s="59" t="str">
        <f>IF([2]道具信息!O527="","",[2]道具信息!O527)</f>
        <v/>
      </c>
      <c r="P527" s="59" t="str">
        <f>IF([2]道具信息!P527="","",[2]道具信息!P527)</f>
        <v/>
      </c>
      <c r="Q527" s="59" t="str">
        <f>IF([2]道具信息!Q527="","",[2]道具信息!Q527)</f>
        <v/>
      </c>
      <c r="R527" s="59" t="str">
        <f>IF([2]道具信息!R527="","",[2]道具信息!R527)</f>
        <v/>
      </c>
      <c r="S527" s="59" t="str">
        <f>IF([2]道具信息!S527="","",[2]道具信息!S527)</f>
        <v/>
      </c>
      <c r="T527" s="59" t="str">
        <f>IF([2]道具信息!T527="","",[2]道具信息!T527)</f>
        <v/>
      </c>
      <c r="U527" s="59" t="str">
        <f>IF([2]道具信息!U527="","",[2]道具信息!U527)</f>
        <v/>
      </c>
      <c r="V527" s="59" t="str">
        <f>IF([2]道具信息!V527="","",[2]道具信息!V527)</f>
        <v/>
      </c>
      <c r="W527" s="59" t="str">
        <f>IF([2]道具信息!W527="","",[2]道具信息!W527)</f>
        <v/>
      </c>
      <c r="X527" s="59" t="str">
        <f>IF([2]道具信息!X527="","",[2]道具信息!X527)</f>
        <v/>
      </c>
      <c r="Y527" s="59" t="str">
        <f>IF([2]道具信息!Y527="","",[2]道具信息!Y527)</f>
        <v/>
      </c>
      <c r="Z527" s="59" t="str">
        <f>IF([2]道具信息!Z527="","",[2]道具信息!Z527)</f>
        <v/>
      </c>
    </row>
    <row r="528" spans="1:26" x14ac:dyDescent="0.15">
      <c r="A528" s="59" t="str">
        <f>IF([2]道具信息!A528="","",[2]道具信息!A528)</f>
        <v/>
      </c>
      <c r="B528" s="59" t="str">
        <f>IF([2]道具信息!B528="","",[2]道具信息!B528)</f>
        <v/>
      </c>
      <c r="C528" s="59" t="str">
        <f>IF([2]道具信息!C528="","",[2]道具信息!C528)</f>
        <v/>
      </c>
      <c r="D528" s="59" t="str">
        <f>IF([2]道具信息!D528="","",[2]道具信息!D528)</f>
        <v/>
      </c>
      <c r="E528" s="59" t="str">
        <f>IF([2]道具信息!E528="","",[2]道具信息!E528)</f>
        <v/>
      </c>
      <c r="F528" s="59" t="str">
        <f>IF([2]道具信息!F528="","",[2]道具信息!F528)</f>
        <v/>
      </c>
      <c r="G528" s="59" t="str">
        <f>IF([2]道具信息!G528="","",[2]道具信息!G528)</f>
        <v/>
      </c>
      <c r="H528" s="59" t="str">
        <f>IF([2]道具信息!H528="","",[2]道具信息!H528)</f>
        <v/>
      </c>
      <c r="I528" s="59" t="str">
        <f>IF([2]道具信息!I528="","",[2]道具信息!I528)</f>
        <v/>
      </c>
      <c r="J528" s="59" t="str">
        <f>IF([2]道具信息!J528="","",[2]道具信息!J528)</f>
        <v/>
      </c>
      <c r="K528" s="59" t="str">
        <f>IF([2]道具信息!K528="","",[2]道具信息!K528)</f>
        <v/>
      </c>
      <c r="L528" s="59" t="str">
        <f>IF([2]道具信息!L528="","",[2]道具信息!L528)</f>
        <v/>
      </c>
      <c r="M528" s="59" t="str">
        <f>IF([2]道具信息!M528="","",[2]道具信息!M528)</f>
        <v/>
      </c>
      <c r="N528" s="59" t="str">
        <f>IF([2]道具信息!N528="","",[2]道具信息!N528)</f>
        <v/>
      </c>
      <c r="O528" s="59" t="str">
        <f>IF([2]道具信息!O528="","",[2]道具信息!O528)</f>
        <v/>
      </c>
      <c r="P528" s="59" t="str">
        <f>IF([2]道具信息!P528="","",[2]道具信息!P528)</f>
        <v/>
      </c>
      <c r="Q528" s="59" t="str">
        <f>IF([2]道具信息!Q528="","",[2]道具信息!Q528)</f>
        <v/>
      </c>
      <c r="R528" s="59" t="str">
        <f>IF([2]道具信息!R528="","",[2]道具信息!R528)</f>
        <v/>
      </c>
      <c r="S528" s="59" t="str">
        <f>IF([2]道具信息!S528="","",[2]道具信息!S528)</f>
        <v/>
      </c>
      <c r="T528" s="59" t="str">
        <f>IF([2]道具信息!T528="","",[2]道具信息!T528)</f>
        <v/>
      </c>
      <c r="U528" s="59" t="str">
        <f>IF([2]道具信息!U528="","",[2]道具信息!U528)</f>
        <v/>
      </c>
      <c r="V528" s="59" t="str">
        <f>IF([2]道具信息!V528="","",[2]道具信息!V528)</f>
        <v/>
      </c>
      <c r="W528" s="59" t="str">
        <f>IF([2]道具信息!W528="","",[2]道具信息!W528)</f>
        <v/>
      </c>
      <c r="X528" s="59" t="str">
        <f>IF([2]道具信息!X528="","",[2]道具信息!X528)</f>
        <v/>
      </c>
      <c r="Y528" s="59" t="str">
        <f>IF([2]道具信息!Y528="","",[2]道具信息!Y528)</f>
        <v/>
      </c>
      <c r="Z528" s="59" t="str">
        <f>IF([2]道具信息!Z528="","",[2]道具信息!Z528)</f>
        <v/>
      </c>
    </row>
    <row r="529" spans="1:26" x14ac:dyDescent="0.15">
      <c r="A529" s="59" t="str">
        <f>IF([2]道具信息!A529="","",[2]道具信息!A529)</f>
        <v/>
      </c>
      <c r="B529" s="59" t="str">
        <f>IF([2]道具信息!B529="","",[2]道具信息!B529)</f>
        <v/>
      </c>
      <c r="C529" s="59" t="str">
        <f>IF([2]道具信息!C529="","",[2]道具信息!C529)</f>
        <v/>
      </c>
      <c r="D529" s="59" t="str">
        <f>IF([2]道具信息!D529="","",[2]道具信息!D529)</f>
        <v/>
      </c>
      <c r="E529" s="59" t="str">
        <f>IF([2]道具信息!E529="","",[2]道具信息!E529)</f>
        <v/>
      </c>
      <c r="F529" s="59" t="str">
        <f>IF([2]道具信息!F529="","",[2]道具信息!F529)</f>
        <v/>
      </c>
      <c r="G529" s="59" t="str">
        <f>IF([2]道具信息!G529="","",[2]道具信息!G529)</f>
        <v/>
      </c>
      <c r="H529" s="59" t="str">
        <f>IF([2]道具信息!H529="","",[2]道具信息!H529)</f>
        <v/>
      </c>
      <c r="I529" s="59" t="str">
        <f>IF([2]道具信息!I529="","",[2]道具信息!I529)</f>
        <v/>
      </c>
      <c r="J529" s="59" t="str">
        <f>IF([2]道具信息!J529="","",[2]道具信息!J529)</f>
        <v/>
      </c>
      <c r="K529" s="59" t="str">
        <f>IF([2]道具信息!K529="","",[2]道具信息!K529)</f>
        <v/>
      </c>
      <c r="L529" s="59" t="str">
        <f>IF([2]道具信息!L529="","",[2]道具信息!L529)</f>
        <v/>
      </c>
      <c r="M529" s="59" t="str">
        <f>IF([2]道具信息!M529="","",[2]道具信息!M529)</f>
        <v/>
      </c>
      <c r="N529" s="59" t="str">
        <f>IF([2]道具信息!N529="","",[2]道具信息!N529)</f>
        <v/>
      </c>
      <c r="O529" s="59" t="str">
        <f>IF([2]道具信息!O529="","",[2]道具信息!O529)</f>
        <v/>
      </c>
      <c r="P529" s="59" t="str">
        <f>IF([2]道具信息!P529="","",[2]道具信息!P529)</f>
        <v/>
      </c>
      <c r="Q529" s="59" t="str">
        <f>IF([2]道具信息!Q529="","",[2]道具信息!Q529)</f>
        <v/>
      </c>
      <c r="R529" s="59" t="str">
        <f>IF([2]道具信息!R529="","",[2]道具信息!R529)</f>
        <v/>
      </c>
      <c r="S529" s="59" t="str">
        <f>IF([2]道具信息!S529="","",[2]道具信息!S529)</f>
        <v/>
      </c>
      <c r="T529" s="59" t="str">
        <f>IF([2]道具信息!T529="","",[2]道具信息!T529)</f>
        <v/>
      </c>
      <c r="U529" s="59" t="str">
        <f>IF([2]道具信息!U529="","",[2]道具信息!U529)</f>
        <v/>
      </c>
      <c r="V529" s="59" t="str">
        <f>IF([2]道具信息!V529="","",[2]道具信息!V529)</f>
        <v/>
      </c>
      <c r="W529" s="59" t="str">
        <f>IF([2]道具信息!W529="","",[2]道具信息!W529)</f>
        <v/>
      </c>
      <c r="X529" s="59" t="str">
        <f>IF([2]道具信息!X529="","",[2]道具信息!X529)</f>
        <v/>
      </c>
      <c r="Y529" s="59" t="str">
        <f>IF([2]道具信息!Y529="","",[2]道具信息!Y529)</f>
        <v/>
      </c>
      <c r="Z529" s="59" t="str">
        <f>IF([2]道具信息!Z529="","",[2]道具信息!Z529)</f>
        <v/>
      </c>
    </row>
    <row r="530" spans="1:26" x14ac:dyDescent="0.15">
      <c r="A530" s="59" t="str">
        <f>IF([2]道具信息!A530="","",[2]道具信息!A530)</f>
        <v/>
      </c>
      <c r="B530" s="59" t="str">
        <f>IF([2]道具信息!B530="","",[2]道具信息!B530)</f>
        <v/>
      </c>
      <c r="C530" s="59" t="str">
        <f>IF([2]道具信息!C530="","",[2]道具信息!C530)</f>
        <v/>
      </c>
      <c r="D530" s="59" t="str">
        <f>IF([2]道具信息!D530="","",[2]道具信息!D530)</f>
        <v/>
      </c>
      <c r="E530" s="59" t="str">
        <f>IF([2]道具信息!E530="","",[2]道具信息!E530)</f>
        <v/>
      </c>
      <c r="F530" s="59" t="str">
        <f>IF([2]道具信息!F530="","",[2]道具信息!F530)</f>
        <v/>
      </c>
      <c r="G530" s="59" t="str">
        <f>IF([2]道具信息!G530="","",[2]道具信息!G530)</f>
        <v/>
      </c>
      <c r="H530" s="59" t="str">
        <f>IF([2]道具信息!H530="","",[2]道具信息!H530)</f>
        <v/>
      </c>
      <c r="I530" s="59" t="str">
        <f>IF([2]道具信息!I530="","",[2]道具信息!I530)</f>
        <v/>
      </c>
      <c r="J530" s="59" t="str">
        <f>IF([2]道具信息!J530="","",[2]道具信息!J530)</f>
        <v/>
      </c>
      <c r="K530" s="59" t="str">
        <f>IF([2]道具信息!K530="","",[2]道具信息!K530)</f>
        <v/>
      </c>
      <c r="L530" s="59" t="str">
        <f>IF([2]道具信息!L530="","",[2]道具信息!L530)</f>
        <v/>
      </c>
      <c r="M530" s="59" t="str">
        <f>IF([2]道具信息!M530="","",[2]道具信息!M530)</f>
        <v/>
      </c>
      <c r="N530" s="59" t="str">
        <f>IF([2]道具信息!N530="","",[2]道具信息!N530)</f>
        <v/>
      </c>
      <c r="O530" s="59" t="str">
        <f>IF([2]道具信息!O530="","",[2]道具信息!O530)</f>
        <v/>
      </c>
      <c r="P530" s="59" t="str">
        <f>IF([2]道具信息!P530="","",[2]道具信息!P530)</f>
        <v/>
      </c>
      <c r="Q530" s="59" t="str">
        <f>IF([2]道具信息!Q530="","",[2]道具信息!Q530)</f>
        <v/>
      </c>
      <c r="R530" s="59" t="str">
        <f>IF([2]道具信息!R530="","",[2]道具信息!R530)</f>
        <v/>
      </c>
      <c r="S530" s="59" t="str">
        <f>IF([2]道具信息!S530="","",[2]道具信息!S530)</f>
        <v/>
      </c>
      <c r="T530" s="59" t="str">
        <f>IF([2]道具信息!T530="","",[2]道具信息!T530)</f>
        <v/>
      </c>
      <c r="U530" s="59" t="str">
        <f>IF([2]道具信息!U530="","",[2]道具信息!U530)</f>
        <v/>
      </c>
      <c r="V530" s="59" t="str">
        <f>IF([2]道具信息!V530="","",[2]道具信息!V530)</f>
        <v/>
      </c>
      <c r="W530" s="59" t="str">
        <f>IF([2]道具信息!W530="","",[2]道具信息!W530)</f>
        <v/>
      </c>
      <c r="X530" s="59" t="str">
        <f>IF([2]道具信息!X530="","",[2]道具信息!X530)</f>
        <v/>
      </c>
      <c r="Y530" s="59" t="str">
        <f>IF([2]道具信息!Y530="","",[2]道具信息!Y530)</f>
        <v/>
      </c>
      <c r="Z530" s="59" t="str">
        <f>IF([2]道具信息!Z530="","",[2]道具信息!Z530)</f>
        <v/>
      </c>
    </row>
    <row r="531" spans="1:26" x14ac:dyDescent="0.15">
      <c r="A531" s="59" t="str">
        <f>IF([2]道具信息!A531="","",[2]道具信息!A531)</f>
        <v/>
      </c>
      <c r="B531" s="59" t="str">
        <f>IF([2]道具信息!B531="","",[2]道具信息!B531)</f>
        <v/>
      </c>
      <c r="C531" s="59" t="str">
        <f>IF([2]道具信息!C531="","",[2]道具信息!C531)</f>
        <v/>
      </c>
      <c r="D531" s="59" t="str">
        <f>IF([2]道具信息!D531="","",[2]道具信息!D531)</f>
        <v/>
      </c>
      <c r="E531" s="59" t="str">
        <f>IF([2]道具信息!E531="","",[2]道具信息!E531)</f>
        <v/>
      </c>
      <c r="F531" s="59" t="str">
        <f>IF([2]道具信息!F531="","",[2]道具信息!F531)</f>
        <v/>
      </c>
      <c r="G531" s="59" t="str">
        <f>IF([2]道具信息!G531="","",[2]道具信息!G531)</f>
        <v/>
      </c>
      <c r="H531" s="59" t="str">
        <f>IF([2]道具信息!H531="","",[2]道具信息!H531)</f>
        <v/>
      </c>
      <c r="I531" s="59" t="str">
        <f>IF([2]道具信息!I531="","",[2]道具信息!I531)</f>
        <v/>
      </c>
      <c r="J531" s="59" t="str">
        <f>IF([2]道具信息!J531="","",[2]道具信息!J531)</f>
        <v/>
      </c>
      <c r="K531" s="59" t="str">
        <f>IF([2]道具信息!K531="","",[2]道具信息!K531)</f>
        <v/>
      </c>
      <c r="L531" s="59" t="str">
        <f>IF([2]道具信息!L531="","",[2]道具信息!L531)</f>
        <v/>
      </c>
      <c r="M531" s="59" t="str">
        <f>IF([2]道具信息!M531="","",[2]道具信息!M531)</f>
        <v/>
      </c>
      <c r="N531" s="59" t="str">
        <f>IF([2]道具信息!N531="","",[2]道具信息!N531)</f>
        <v/>
      </c>
      <c r="O531" s="59" t="str">
        <f>IF([2]道具信息!O531="","",[2]道具信息!O531)</f>
        <v/>
      </c>
      <c r="P531" s="59" t="str">
        <f>IF([2]道具信息!P531="","",[2]道具信息!P531)</f>
        <v/>
      </c>
      <c r="Q531" s="59" t="str">
        <f>IF([2]道具信息!Q531="","",[2]道具信息!Q531)</f>
        <v/>
      </c>
      <c r="R531" s="59" t="str">
        <f>IF([2]道具信息!R531="","",[2]道具信息!R531)</f>
        <v/>
      </c>
      <c r="S531" s="59" t="str">
        <f>IF([2]道具信息!S531="","",[2]道具信息!S531)</f>
        <v/>
      </c>
      <c r="T531" s="59" t="str">
        <f>IF([2]道具信息!T531="","",[2]道具信息!T531)</f>
        <v/>
      </c>
      <c r="U531" s="59" t="str">
        <f>IF([2]道具信息!U531="","",[2]道具信息!U531)</f>
        <v/>
      </c>
      <c r="V531" s="59" t="str">
        <f>IF([2]道具信息!V531="","",[2]道具信息!V531)</f>
        <v/>
      </c>
      <c r="W531" s="59" t="str">
        <f>IF([2]道具信息!W531="","",[2]道具信息!W531)</f>
        <v/>
      </c>
      <c r="X531" s="59" t="str">
        <f>IF([2]道具信息!X531="","",[2]道具信息!X531)</f>
        <v/>
      </c>
      <c r="Y531" s="59" t="str">
        <f>IF([2]道具信息!Y531="","",[2]道具信息!Y531)</f>
        <v/>
      </c>
      <c r="Z531" s="59" t="str">
        <f>IF([2]道具信息!Z531="","",[2]道具信息!Z531)</f>
        <v/>
      </c>
    </row>
    <row r="532" spans="1:26" x14ac:dyDescent="0.15">
      <c r="A532" s="59" t="str">
        <f>IF([2]道具信息!A532="","",[2]道具信息!A532)</f>
        <v/>
      </c>
      <c r="B532" s="59" t="str">
        <f>IF([2]道具信息!B532="","",[2]道具信息!B532)</f>
        <v/>
      </c>
      <c r="C532" s="59" t="str">
        <f>IF([2]道具信息!C532="","",[2]道具信息!C532)</f>
        <v/>
      </c>
      <c r="D532" s="59" t="str">
        <f>IF([2]道具信息!D532="","",[2]道具信息!D532)</f>
        <v/>
      </c>
      <c r="E532" s="59" t="str">
        <f>IF([2]道具信息!E532="","",[2]道具信息!E532)</f>
        <v/>
      </c>
      <c r="F532" s="59" t="str">
        <f>IF([2]道具信息!F532="","",[2]道具信息!F532)</f>
        <v/>
      </c>
      <c r="G532" s="59" t="str">
        <f>IF([2]道具信息!G532="","",[2]道具信息!G532)</f>
        <v/>
      </c>
      <c r="H532" s="59" t="str">
        <f>IF([2]道具信息!H532="","",[2]道具信息!H532)</f>
        <v/>
      </c>
      <c r="I532" s="59" t="str">
        <f>IF([2]道具信息!I532="","",[2]道具信息!I532)</f>
        <v/>
      </c>
      <c r="J532" s="59" t="str">
        <f>IF([2]道具信息!J532="","",[2]道具信息!J532)</f>
        <v/>
      </c>
      <c r="K532" s="59" t="str">
        <f>IF([2]道具信息!K532="","",[2]道具信息!K532)</f>
        <v/>
      </c>
      <c r="L532" s="59" t="str">
        <f>IF([2]道具信息!L532="","",[2]道具信息!L532)</f>
        <v/>
      </c>
      <c r="M532" s="59" t="str">
        <f>IF([2]道具信息!M532="","",[2]道具信息!M532)</f>
        <v/>
      </c>
      <c r="N532" s="59" t="str">
        <f>IF([2]道具信息!N532="","",[2]道具信息!N532)</f>
        <v/>
      </c>
      <c r="O532" s="59" t="str">
        <f>IF([2]道具信息!O532="","",[2]道具信息!O532)</f>
        <v/>
      </c>
      <c r="P532" s="59" t="str">
        <f>IF([2]道具信息!P532="","",[2]道具信息!P532)</f>
        <v/>
      </c>
      <c r="Q532" s="59" t="str">
        <f>IF([2]道具信息!Q532="","",[2]道具信息!Q532)</f>
        <v/>
      </c>
      <c r="R532" s="59" t="str">
        <f>IF([2]道具信息!R532="","",[2]道具信息!R532)</f>
        <v/>
      </c>
      <c r="S532" s="59" t="str">
        <f>IF([2]道具信息!S532="","",[2]道具信息!S532)</f>
        <v/>
      </c>
      <c r="T532" s="59" t="str">
        <f>IF([2]道具信息!T532="","",[2]道具信息!T532)</f>
        <v/>
      </c>
      <c r="U532" s="59" t="str">
        <f>IF([2]道具信息!U532="","",[2]道具信息!U532)</f>
        <v/>
      </c>
      <c r="V532" s="59" t="str">
        <f>IF([2]道具信息!V532="","",[2]道具信息!V532)</f>
        <v/>
      </c>
      <c r="W532" s="59" t="str">
        <f>IF([2]道具信息!W532="","",[2]道具信息!W532)</f>
        <v/>
      </c>
      <c r="X532" s="59" t="str">
        <f>IF([2]道具信息!X532="","",[2]道具信息!X532)</f>
        <v/>
      </c>
      <c r="Y532" s="59" t="str">
        <f>IF([2]道具信息!Y532="","",[2]道具信息!Y532)</f>
        <v/>
      </c>
      <c r="Z532" s="59" t="str">
        <f>IF([2]道具信息!Z532="","",[2]道具信息!Z532)</f>
        <v/>
      </c>
    </row>
    <row r="533" spans="1:26" x14ac:dyDescent="0.15">
      <c r="A533" s="59" t="str">
        <f>IF([2]道具信息!A533="","",[2]道具信息!A533)</f>
        <v/>
      </c>
      <c r="B533" s="59" t="str">
        <f>IF([2]道具信息!B533="","",[2]道具信息!B533)</f>
        <v/>
      </c>
      <c r="C533" s="59" t="str">
        <f>IF([2]道具信息!C533="","",[2]道具信息!C533)</f>
        <v/>
      </c>
      <c r="D533" s="59" t="str">
        <f>IF([2]道具信息!D533="","",[2]道具信息!D533)</f>
        <v/>
      </c>
      <c r="E533" s="59" t="str">
        <f>IF([2]道具信息!E533="","",[2]道具信息!E533)</f>
        <v/>
      </c>
      <c r="F533" s="59" t="str">
        <f>IF([2]道具信息!F533="","",[2]道具信息!F533)</f>
        <v/>
      </c>
      <c r="G533" s="59" t="str">
        <f>IF([2]道具信息!G533="","",[2]道具信息!G533)</f>
        <v/>
      </c>
      <c r="H533" s="59" t="str">
        <f>IF([2]道具信息!H533="","",[2]道具信息!H533)</f>
        <v/>
      </c>
      <c r="I533" s="59" t="str">
        <f>IF([2]道具信息!I533="","",[2]道具信息!I533)</f>
        <v/>
      </c>
      <c r="J533" s="59" t="str">
        <f>IF([2]道具信息!J533="","",[2]道具信息!J533)</f>
        <v/>
      </c>
      <c r="K533" s="59" t="str">
        <f>IF([2]道具信息!K533="","",[2]道具信息!K533)</f>
        <v/>
      </c>
      <c r="L533" s="59" t="str">
        <f>IF([2]道具信息!L533="","",[2]道具信息!L533)</f>
        <v/>
      </c>
      <c r="M533" s="59" t="str">
        <f>IF([2]道具信息!M533="","",[2]道具信息!M533)</f>
        <v/>
      </c>
      <c r="N533" s="59" t="str">
        <f>IF([2]道具信息!N533="","",[2]道具信息!N533)</f>
        <v/>
      </c>
      <c r="O533" s="59" t="str">
        <f>IF([2]道具信息!O533="","",[2]道具信息!O533)</f>
        <v/>
      </c>
      <c r="P533" s="59" t="str">
        <f>IF([2]道具信息!P533="","",[2]道具信息!P533)</f>
        <v/>
      </c>
      <c r="Q533" s="59" t="str">
        <f>IF([2]道具信息!Q533="","",[2]道具信息!Q533)</f>
        <v/>
      </c>
      <c r="R533" s="59" t="str">
        <f>IF([2]道具信息!R533="","",[2]道具信息!R533)</f>
        <v/>
      </c>
      <c r="S533" s="59" t="str">
        <f>IF([2]道具信息!S533="","",[2]道具信息!S533)</f>
        <v/>
      </c>
      <c r="T533" s="59" t="str">
        <f>IF([2]道具信息!T533="","",[2]道具信息!T533)</f>
        <v/>
      </c>
      <c r="U533" s="59" t="str">
        <f>IF([2]道具信息!U533="","",[2]道具信息!U533)</f>
        <v/>
      </c>
      <c r="V533" s="59" t="str">
        <f>IF([2]道具信息!V533="","",[2]道具信息!V533)</f>
        <v/>
      </c>
      <c r="W533" s="59" t="str">
        <f>IF([2]道具信息!W533="","",[2]道具信息!W533)</f>
        <v/>
      </c>
      <c r="X533" s="59" t="str">
        <f>IF([2]道具信息!X533="","",[2]道具信息!X533)</f>
        <v/>
      </c>
      <c r="Y533" s="59" t="str">
        <f>IF([2]道具信息!Y533="","",[2]道具信息!Y533)</f>
        <v/>
      </c>
      <c r="Z533" s="59" t="str">
        <f>IF([2]道具信息!Z533="","",[2]道具信息!Z533)</f>
        <v/>
      </c>
    </row>
    <row r="534" spans="1:26" x14ac:dyDescent="0.15">
      <c r="A534" s="59" t="str">
        <f>IF([2]道具信息!A534="","",[2]道具信息!A534)</f>
        <v/>
      </c>
      <c r="B534" s="59" t="str">
        <f>IF([2]道具信息!B534="","",[2]道具信息!B534)</f>
        <v/>
      </c>
      <c r="C534" s="59" t="str">
        <f>IF([2]道具信息!C534="","",[2]道具信息!C534)</f>
        <v/>
      </c>
      <c r="D534" s="59" t="str">
        <f>IF([2]道具信息!D534="","",[2]道具信息!D534)</f>
        <v/>
      </c>
      <c r="E534" s="59" t="str">
        <f>IF([2]道具信息!E534="","",[2]道具信息!E534)</f>
        <v/>
      </c>
      <c r="F534" s="59" t="str">
        <f>IF([2]道具信息!F534="","",[2]道具信息!F534)</f>
        <v/>
      </c>
      <c r="G534" s="59" t="str">
        <f>IF([2]道具信息!G534="","",[2]道具信息!G534)</f>
        <v/>
      </c>
      <c r="H534" s="59" t="str">
        <f>IF([2]道具信息!H534="","",[2]道具信息!H534)</f>
        <v/>
      </c>
      <c r="I534" s="59" t="str">
        <f>IF([2]道具信息!I534="","",[2]道具信息!I534)</f>
        <v/>
      </c>
      <c r="J534" s="59" t="str">
        <f>IF([2]道具信息!J534="","",[2]道具信息!J534)</f>
        <v/>
      </c>
      <c r="K534" s="59" t="str">
        <f>IF([2]道具信息!K534="","",[2]道具信息!K534)</f>
        <v/>
      </c>
      <c r="L534" s="59" t="str">
        <f>IF([2]道具信息!L534="","",[2]道具信息!L534)</f>
        <v/>
      </c>
      <c r="M534" s="59" t="str">
        <f>IF([2]道具信息!M534="","",[2]道具信息!M534)</f>
        <v/>
      </c>
      <c r="N534" s="59" t="str">
        <f>IF([2]道具信息!N534="","",[2]道具信息!N534)</f>
        <v/>
      </c>
      <c r="O534" s="59" t="str">
        <f>IF([2]道具信息!O534="","",[2]道具信息!O534)</f>
        <v/>
      </c>
      <c r="P534" s="59" t="str">
        <f>IF([2]道具信息!P534="","",[2]道具信息!P534)</f>
        <v/>
      </c>
      <c r="Q534" s="59" t="str">
        <f>IF([2]道具信息!Q534="","",[2]道具信息!Q534)</f>
        <v/>
      </c>
      <c r="R534" s="59" t="str">
        <f>IF([2]道具信息!R534="","",[2]道具信息!R534)</f>
        <v/>
      </c>
      <c r="S534" s="59" t="str">
        <f>IF([2]道具信息!S534="","",[2]道具信息!S534)</f>
        <v/>
      </c>
      <c r="T534" s="59" t="str">
        <f>IF([2]道具信息!T534="","",[2]道具信息!T534)</f>
        <v/>
      </c>
      <c r="U534" s="59" t="str">
        <f>IF([2]道具信息!U534="","",[2]道具信息!U534)</f>
        <v/>
      </c>
      <c r="V534" s="59" t="str">
        <f>IF([2]道具信息!V534="","",[2]道具信息!V534)</f>
        <v/>
      </c>
      <c r="W534" s="59" t="str">
        <f>IF([2]道具信息!W534="","",[2]道具信息!W534)</f>
        <v/>
      </c>
      <c r="X534" s="59" t="str">
        <f>IF([2]道具信息!X534="","",[2]道具信息!X534)</f>
        <v/>
      </c>
      <c r="Y534" s="59" t="str">
        <f>IF([2]道具信息!Y534="","",[2]道具信息!Y534)</f>
        <v/>
      </c>
      <c r="Z534" s="59" t="str">
        <f>IF([2]道具信息!Z534="","",[2]道具信息!Z534)</f>
        <v/>
      </c>
    </row>
    <row r="535" spans="1:26" x14ac:dyDescent="0.15">
      <c r="A535" s="59" t="str">
        <f>IF([2]道具信息!A535="","",[2]道具信息!A535)</f>
        <v/>
      </c>
      <c r="B535" s="59" t="str">
        <f>IF([2]道具信息!B535="","",[2]道具信息!B535)</f>
        <v/>
      </c>
      <c r="C535" s="59" t="str">
        <f>IF([2]道具信息!C535="","",[2]道具信息!C535)</f>
        <v/>
      </c>
      <c r="D535" s="59" t="str">
        <f>IF([2]道具信息!D535="","",[2]道具信息!D535)</f>
        <v/>
      </c>
      <c r="E535" s="59" t="str">
        <f>IF([2]道具信息!E535="","",[2]道具信息!E535)</f>
        <v/>
      </c>
      <c r="F535" s="59" t="str">
        <f>IF([2]道具信息!F535="","",[2]道具信息!F535)</f>
        <v/>
      </c>
      <c r="G535" s="59" t="str">
        <f>IF([2]道具信息!G535="","",[2]道具信息!G535)</f>
        <v/>
      </c>
      <c r="H535" s="59" t="str">
        <f>IF([2]道具信息!H535="","",[2]道具信息!H535)</f>
        <v/>
      </c>
      <c r="I535" s="59" t="str">
        <f>IF([2]道具信息!I535="","",[2]道具信息!I535)</f>
        <v/>
      </c>
      <c r="J535" s="59" t="str">
        <f>IF([2]道具信息!J535="","",[2]道具信息!J535)</f>
        <v/>
      </c>
      <c r="K535" s="59" t="str">
        <f>IF([2]道具信息!K535="","",[2]道具信息!K535)</f>
        <v/>
      </c>
      <c r="L535" s="59" t="str">
        <f>IF([2]道具信息!L535="","",[2]道具信息!L535)</f>
        <v/>
      </c>
      <c r="M535" s="59" t="str">
        <f>IF([2]道具信息!M535="","",[2]道具信息!M535)</f>
        <v/>
      </c>
      <c r="N535" s="59" t="str">
        <f>IF([2]道具信息!N535="","",[2]道具信息!N535)</f>
        <v/>
      </c>
      <c r="O535" s="59" t="str">
        <f>IF([2]道具信息!O535="","",[2]道具信息!O535)</f>
        <v/>
      </c>
      <c r="P535" s="59" t="str">
        <f>IF([2]道具信息!P535="","",[2]道具信息!P535)</f>
        <v/>
      </c>
      <c r="Q535" s="59" t="str">
        <f>IF([2]道具信息!Q535="","",[2]道具信息!Q535)</f>
        <v/>
      </c>
      <c r="R535" s="59" t="str">
        <f>IF([2]道具信息!R535="","",[2]道具信息!R535)</f>
        <v/>
      </c>
      <c r="S535" s="59" t="str">
        <f>IF([2]道具信息!S535="","",[2]道具信息!S535)</f>
        <v/>
      </c>
      <c r="T535" s="59" t="str">
        <f>IF([2]道具信息!T535="","",[2]道具信息!T535)</f>
        <v/>
      </c>
      <c r="U535" s="59" t="str">
        <f>IF([2]道具信息!U535="","",[2]道具信息!U535)</f>
        <v/>
      </c>
      <c r="V535" s="59" t="str">
        <f>IF([2]道具信息!V535="","",[2]道具信息!V535)</f>
        <v/>
      </c>
      <c r="W535" s="59" t="str">
        <f>IF([2]道具信息!W535="","",[2]道具信息!W535)</f>
        <v/>
      </c>
      <c r="X535" s="59" t="str">
        <f>IF([2]道具信息!X535="","",[2]道具信息!X535)</f>
        <v/>
      </c>
      <c r="Y535" s="59" t="str">
        <f>IF([2]道具信息!Y535="","",[2]道具信息!Y535)</f>
        <v/>
      </c>
      <c r="Z535" s="59" t="str">
        <f>IF([2]道具信息!Z535="","",[2]道具信息!Z535)</f>
        <v/>
      </c>
    </row>
    <row r="536" spans="1:26" x14ac:dyDescent="0.15">
      <c r="A536" s="59" t="str">
        <f>IF([2]道具信息!A536="","",[2]道具信息!A536)</f>
        <v/>
      </c>
      <c r="B536" s="59" t="str">
        <f>IF([2]道具信息!B536="","",[2]道具信息!B536)</f>
        <v/>
      </c>
      <c r="C536" s="59" t="str">
        <f>IF([2]道具信息!C536="","",[2]道具信息!C536)</f>
        <v/>
      </c>
      <c r="D536" s="59" t="str">
        <f>IF([2]道具信息!D536="","",[2]道具信息!D536)</f>
        <v/>
      </c>
      <c r="E536" s="59" t="str">
        <f>IF([2]道具信息!E536="","",[2]道具信息!E536)</f>
        <v/>
      </c>
      <c r="F536" s="59" t="str">
        <f>IF([2]道具信息!F536="","",[2]道具信息!F536)</f>
        <v/>
      </c>
      <c r="G536" s="59" t="str">
        <f>IF([2]道具信息!G536="","",[2]道具信息!G536)</f>
        <v/>
      </c>
      <c r="H536" s="59" t="str">
        <f>IF([2]道具信息!H536="","",[2]道具信息!H536)</f>
        <v/>
      </c>
      <c r="I536" s="59" t="str">
        <f>IF([2]道具信息!I536="","",[2]道具信息!I536)</f>
        <v/>
      </c>
      <c r="J536" s="59" t="str">
        <f>IF([2]道具信息!J536="","",[2]道具信息!J536)</f>
        <v/>
      </c>
      <c r="K536" s="59" t="str">
        <f>IF([2]道具信息!K536="","",[2]道具信息!K536)</f>
        <v/>
      </c>
      <c r="L536" s="59" t="str">
        <f>IF([2]道具信息!L536="","",[2]道具信息!L536)</f>
        <v/>
      </c>
      <c r="M536" s="59" t="str">
        <f>IF([2]道具信息!M536="","",[2]道具信息!M536)</f>
        <v/>
      </c>
      <c r="N536" s="59" t="str">
        <f>IF([2]道具信息!N536="","",[2]道具信息!N536)</f>
        <v/>
      </c>
      <c r="O536" s="59" t="str">
        <f>IF([2]道具信息!O536="","",[2]道具信息!O536)</f>
        <v/>
      </c>
      <c r="P536" s="59" t="str">
        <f>IF([2]道具信息!P536="","",[2]道具信息!P536)</f>
        <v/>
      </c>
      <c r="Q536" s="59" t="str">
        <f>IF([2]道具信息!Q536="","",[2]道具信息!Q536)</f>
        <v/>
      </c>
      <c r="R536" s="59" t="str">
        <f>IF([2]道具信息!R536="","",[2]道具信息!R536)</f>
        <v/>
      </c>
      <c r="S536" s="59" t="str">
        <f>IF([2]道具信息!S536="","",[2]道具信息!S536)</f>
        <v/>
      </c>
      <c r="T536" s="59" t="str">
        <f>IF([2]道具信息!T536="","",[2]道具信息!T536)</f>
        <v/>
      </c>
      <c r="U536" s="59" t="str">
        <f>IF([2]道具信息!U536="","",[2]道具信息!U536)</f>
        <v/>
      </c>
      <c r="V536" s="59" t="str">
        <f>IF([2]道具信息!V536="","",[2]道具信息!V536)</f>
        <v/>
      </c>
      <c r="W536" s="59" t="str">
        <f>IF([2]道具信息!W536="","",[2]道具信息!W536)</f>
        <v/>
      </c>
      <c r="X536" s="59" t="str">
        <f>IF([2]道具信息!X536="","",[2]道具信息!X536)</f>
        <v/>
      </c>
      <c r="Y536" s="59" t="str">
        <f>IF([2]道具信息!Y536="","",[2]道具信息!Y536)</f>
        <v/>
      </c>
      <c r="Z536" s="59" t="str">
        <f>IF([2]道具信息!Z536="","",[2]道具信息!Z536)</f>
        <v/>
      </c>
    </row>
    <row r="537" spans="1:26" x14ac:dyDescent="0.15">
      <c r="A537" s="59" t="str">
        <f>IF([2]道具信息!A537="","",[2]道具信息!A537)</f>
        <v/>
      </c>
      <c r="B537" s="59" t="str">
        <f>IF([2]道具信息!B537="","",[2]道具信息!B537)</f>
        <v/>
      </c>
      <c r="C537" s="59" t="str">
        <f>IF([2]道具信息!C537="","",[2]道具信息!C537)</f>
        <v/>
      </c>
      <c r="D537" s="59" t="str">
        <f>IF([2]道具信息!D537="","",[2]道具信息!D537)</f>
        <v/>
      </c>
      <c r="E537" s="59" t="str">
        <f>IF([2]道具信息!E537="","",[2]道具信息!E537)</f>
        <v/>
      </c>
      <c r="F537" s="59" t="str">
        <f>IF([2]道具信息!F537="","",[2]道具信息!F537)</f>
        <v/>
      </c>
      <c r="G537" s="59" t="str">
        <f>IF([2]道具信息!G537="","",[2]道具信息!G537)</f>
        <v/>
      </c>
      <c r="H537" s="59" t="str">
        <f>IF([2]道具信息!H537="","",[2]道具信息!H537)</f>
        <v/>
      </c>
      <c r="I537" s="59" t="str">
        <f>IF([2]道具信息!I537="","",[2]道具信息!I537)</f>
        <v/>
      </c>
      <c r="J537" s="59" t="str">
        <f>IF([2]道具信息!J537="","",[2]道具信息!J537)</f>
        <v/>
      </c>
      <c r="K537" s="59" t="str">
        <f>IF([2]道具信息!K537="","",[2]道具信息!K537)</f>
        <v/>
      </c>
      <c r="L537" s="59" t="str">
        <f>IF([2]道具信息!L537="","",[2]道具信息!L537)</f>
        <v/>
      </c>
      <c r="M537" s="59" t="str">
        <f>IF([2]道具信息!M537="","",[2]道具信息!M537)</f>
        <v/>
      </c>
      <c r="N537" s="59" t="str">
        <f>IF([2]道具信息!N537="","",[2]道具信息!N537)</f>
        <v/>
      </c>
      <c r="O537" s="59" t="str">
        <f>IF([2]道具信息!O537="","",[2]道具信息!O537)</f>
        <v/>
      </c>
      <c r="P537" s="59" t="str">
        <f>IF([2]道具信息!P537="","",[2]道具信息!P537)</f>
        <v/>
      </c>
      <c r="Q537" s="59" t="str">
        <f>IF([2]道具信息!Q537="","",[2]道具信息!Q537)</f>
        <v/>
      </c>
      <c r="R537" s="59" t="str">
        <f>IF([2]道具信息!R537="","",[2]道具信息!R537)</f>
        <v/>
      </c>
      <c r="S537" s="59" t="str">
        <f>IF([2]道具信息!S537="","",[2]道具信息!S537)</f>
        <v/>
      </c>
      <c r="T537" s="59" t="str">
        <f>IF([2]道具信息!T537="","",[2]道具信息!T537)</f>
        <v/>
      </c>
      <c r="U537" s="59" t="str">
        <f>IF([2]道具信息!U537="","",[2]道具信息!U537)</f>
        <v/>
      </c>
      <c r="V537" s="59" t="str">
        <f>IF([2]道具信息!V537="","",[2]道具信息!V537)</f>
        <v/>
      </c>
      <c r="W537" s="59" t="str">
        <f>IF([2]道具信息!W537="","",[2]道具信息!W537)</f>
        <v/>
      </c>
      <c r="X537" s="59" t="str">
        <f>IF([2]道具信息!X537="","",[2]道具信息!X537)</f>
        <v/>
      </c>
      <c r="Y537" s="59" t="str">
        <f>IF([2]道具信息!Y537="","",[2]道具信息!Y537)</f>
        <v/>
      </c>
      <c r="Z537" s="59" t="str">
        <f>IF([2]道具信息!Z537="","",[2]道具信息!Z537)</f>
        <v/>
      </c>
    </row>
    <row r="538" spans="1:26" x14ac:dyDescent="0.15">
      <c r="A538" s="59" t="str">
        <f>IF([2]道具信息!A538="","",[2]道具信息!A538)</f>
        <v/>
      </c>
      <c r="B538" s="59" t="str">
        <f>IF([2]道具信息!B538="","",[2]道具信息!B538)</f>
        <v/>
      </c>
      <c r="C538" s="59" t="str">
        <f>IF([2]道具信息!C538="","",[2]道具信息!C538)</f>
        <v/>
      </c>
      <c r="D538" s="59" t="str">
        <f>IF([2]道具信息!D538="","",[2]道具信息!D538)</f>
        <v/>
      </c>
      <c r="E538" s="59" t="str">
        <f>IF([2]道具信息!E538="","",[2]道具信息!E538)</f>
        <v/>
      </c>
      <c r="F538" s="59" t="str">
        <f>IF([2]道具信息!F538="","",[2]道具信息!F538)</f>
        <v/>
      </c>
      <c r="G538" s="59" t="str">
        <f>IF([2]道具信息!G538="","",[2]道具信息!G538)</f>
        <v/>
      </c>
      <c r="H538" s="59" t="str">
        <f>IF([2]道具信息!H538="","",[2]道具信息!H538)</f>
        <v/>
      </c>
      <c r="I538" s="59" t="str">
        <f>IF([2]道具信息!I538="","",[2]道具信息!I538)</f>
        <v/>
      </c>
      <c r="J538" s="59" t="str">
        <f>IF([2]道具信息!J538="","",[2]道具信息!J538)</f>
        <v/>
      </c>
      <c r="K538" s="59" t="str">
        <f>IF([2]道具信息!K538="","",[2]道具信息!K538)</f>
        <v/>
      </c>
      <c r="L538" s="59" t="str">
        <f>IF([2]道具信息!L538="","",[2]道具信息!L538)</f>
        <v/>
      </c>
      <c r="M538" s="59" t="str">
        <f>IF([2]道具信息!M538="","",[2]道具信息!M538)</f>
        <v/>
      </c>
      <c r="N538" s="59" t="str">
        <f>IF([2]道具信息!N538="","",[2]道具信息!N538)</f>
        <v/>
      </c>
      <c r="O538" s="59" t="str">
        <f>IF([2]道具信息!O538="","",[2]道具信息!O538)</f>
        <v/>
      </c>
      <c r="P538" s="59" t="str">
        <f>IF([2]道具信息!P538="","",[2]道具信息!P538)</f>
        <v/>
      </c>
      <c r="Q538" s="59" t="str">
        <f>IF([2]道具信息!Q538="","",[2]道具信息!Q538)</f>
        <v/>
      </c>
      <c r="R538" s="59" t="str">
        <f>IF([2]道具信息!R538="","",[2]道具信息!R538)</f>
        <v/>
      </c>
      <c r="S538" s="59" t="str">
        <f>IF([2]道具信息!S538="","",[2]道具信息!S538)</f>
        <v/>
      </c>
      <c r="T538" s="59" t="str">
        <f>IF([2]道具信息!T538="","",[2]道具信息!T538)</f>
        <v/>
      </c>
      <c r="U538" s="59" t="str">
        <f>IF([2]道具信息!U538="","",[2]道具信息!U538)</f>
        <v/>
      </c>
      <c r="V538" s="59" t="str">
        <f>IF([2]道具信息!V538="","",[2]道具信息!V538)</f>
        <v/>
      </c>
      <c r="W538" s="59" t="str">
        <f>IF([2]道具信息!W538="","",[2]道具信息!W538)</f>
        <v/>
      </c>
      <c r="X538" s="59" t="str">
        <f>IF([2]道具信息!X538="","",[2]道具信息!X538)</f>
        <v/>
      </c>
      <c r="Y538" s="59" t="str">
        <f>IF([2]道具信息!Y538="","",[2]道具信息!Y538)</f>
        <v/>
      </c>
      <c r="Z538" s="59" t="str">
        <f>IF([2]道具信息!Z538="","",[2]道具信息!Z538)</f>
        <v/>
      </c>
    </row>
    <row r="539" spans="1:26" x14ac:dyDescent="0.15">
      <c r="A539" s="59" t="str">
        <f>IF([2]道具信息!A539="","",[2]道具信息!A539)</f>
        <v/>
      </c>
      <c r="B539" s="59" t="str">
        <f>IF([2]道具信息!B539="","",[2]道具信息!B539)</f>
        <v/>
      </c>
      <c r="C539" s="59" t="str">
        <f>IF([2]道具信息!C539="","",[2]道具信息!C539)</f>
        <v/>
      </c>
      <c r="D539" s="59" t="str">
        <f>IF([2]道具信息!D539="","",[2]道具信息!D539)</f>
        <v/>
      </c>
      <c r="E539" s="59" t="str">
        <f>IF([2]道具信息!E539="","",[2]道具信息!E539)</f>
        <v/>
      </c>
      <c r="F539" s="59" t="str">
        <f>IF([2]道具信息!F539="","",[2]道具信息!F539)</f>
        <v/>
      </c>
      <c r="G539" s="59" t="str">
        <f>IF([2]道具信息!G539="","",[2]道具信息!G539)</f>
        <v/>
      </c>
      <c r="H539" s="59" t="str">
        <f>IF([2]道具信息!H539="","",[2]道具信息!H539)</f>
        <v/>
      </c>
      <c r="I539" s="59" t="str">
        <f>IF([2]道具信息!I539="","",[2]道具信息!I539)</f>
        <v/>
      </c>
      <c r="J539" s="59" t="str">
        <f>IF([2]道具信息!J539="","",[2]道具信息!J539)</f>
        <v/>
      </c>
      <c r="K539" s="59" t="str">
        <f>IF([2]道具信息!K539="","",[2]道具信息!K539)</f>
        <v/>
      </c>
      <c r="L539" s="59" t="str">
        <f>IF([2]道具信息!L539="","",[2]道具信息!L539)</f>
        <v/>
      </c>
      <c r="M539" s="59" t="str">
        <f>IF([2]道具信息!M539="","",[2]道具信息!M539)</f>
        <v/>
      </c>
      <c r="N539" s="59" t="str">
        <f>IF([2]道具信息!N539="","",[2]道具信息!N539)</f>
        <v/>
      </c>
      <c r="O539" s="59" t="str">
        <f>IF([2]道具信息!O539="","",[2]道具信息!O539)</f>
        <v/>
      </c>
      <c r="P539" s="59" t="str">
        <f>IF([2]道具信息!P539="","",[2]道具信息!P539)</f>
        <v/>
      </c>
      <c r="Q539" s="59" t="str">
        <f>IF([2]道具信息!Q539="","",[2]道具信息!Q539)</f>
        <v/>
      </c>
      <c r="R539" s="59" t="str">
        <f>IF([2]道具信息!R539="","",[2]道具信息!R539)</f>
        <v/>
      </c>
      <c r="S539" s="59" t="str">
        <f>IF([2]道具信息!S539="","",[2]道具信息!S539)</f>
        <v/>
      </c>
      <c r="T539" s="59" t="str">
        <f>IF([2]道具信息!T539="","",[2]道具信息!T539)</f>
        <v/>
      </c>
      <c r="U539" s="59" t="str">
        <f>IF([2]道具信息!U539="","",[2]道具信息!U539)</f>
        <v/>
      </c>
      <c r="V539" s="59" t="str">
        <f>IF([2]道具信息!V539="","",[2]道具信息!V539)</f>
        <v/>
      </c>
      <c r="W539" s="59" t="str">
        <f>IF([2]道具信息!W539="","",[2]道具信息!W539)</f>
        <v/>
      </c>
      <c r="X539" s="59" t="str">
        <f>IF([2]道具信息!X539="","",[2]道具信息!X539)</f>
        <v/>
      </c>
      <c r="Y539" s="59" t="str">
        <f>IF([2]道具信息!Y539="","",[2]道具信息!Y539)</f>
        <v/>
      </c>
      <c r="Z539" s="59" t="str">
        <f>IF([2]道具信息!Z539="","",[2]道具信息!Z539)</f>
        <v/>
      </c>
    </row>
    <row r="540" spans="1:26" x14ac:dyDescent="0.15">
      <c r="A540" s="59" t="str">
        <f>IF([2]道具信息!A540="","",[2]道具信息!A540)</f>
        <v/>
      </c>
      <c r="B540" s="59" t="str">
        <f>IF([2]道具信息!B540="","",[2]道具信息!B540)</f>
        <v/>
      </c>
      <c r="C540" s="59" t="str">
        <f>IF([2]道具信息!C540="","",[2]道具信息!C540)</f>
        <v/>
      </c>
      <c r="D540" s="59" t="str">
        <f>IF([2]道具信息!D540="","",[2]道具信息!D540)</f>
        <v/>
      </c>
      <c r="E540" s="59" t="str">
        <f>IF([2]道具信息!E540="","",[2]道具信息!E540)</f>
        <v/>
      </c>
      <c r="F540" s="59" t="str">
        <f>IF([2]道具信息!F540="","",[2]道具信息!F540)</f>
        <v/>
      </c>
      <c r="G540" s="59" t="str">
        <f>IF([2]道具信息!G540="","",[2]道具信息!G540)</f>
        <v/>
      </c>
      <c r="H540" s="59" t="str">
        <f>IF([2]道具信息!H540="","",[2]道具信息!H540)</f>
        <v/>
      </c>
      <c r="I540" s="59" t="str">
        <f>IF([2]道具信息!I540="","",[2]道具信息!I540)</f>
        <v/>
      </c>
      <c r="J540" s="59" t="str">
        <f>IF([2]道具信息!J540="","",[2]道具信息!J540)</f>
        <v/>
      </c>
      <c r="K540" s="59" t="str">
        <f>IF([2]道具信息!K540="","",[2]道具信息!K540)</f>
        <v/>
      </c>
      <c r="L540" s="59" t="str">
        <f>IF([2]道具信息!L540="","",[2]道具信息!L540)</f>
        <v/>
      </c>
      <c r="M540" s="59" t="str">
        <f>IF([2]道具信息!M540="","",[2]道具信息!M540)</f>
        <v/>
      </c>
      <c r="N540" s="59" t="str">
        <f>IF([2]道具信息!N540="","",[2]道具信息!N540)</f>
        <v/>
      </c>
      <c r="O540" s="59" t="str">
        <f>IF([2]道具信息!O540="","",[2]道具信息!O540)</f>
        <v/>
      </c>
      <c r="P540" s="59" t="str">
        <f>IF([2]道具信息!P540="","",[2]道具信息!P540)</f>
        <v/>
      </c>
      <c r="Q540" s="59" t="str">
        <f>IF([2]道具信息!Q540="","",[2]道具信息!Q540)</f>
        <v/>
      </c>
      <c r="R540" s="59" t="str">
        <f>IF([2]道具信息!R540="","",[2]道具信息!R540)</f>
        <v/>
      </c>
      <c r="S540" s="59" t="str">
        <f>IF([2]道具信息!S540="","",[2]道具信息!S540)</f>
        <v/>
      </c>
      <c r="T540" s="59" t="str">
        <f>IF([2]道具信息!T540="","",[2]道具信息!T540)</f>
        <v/>
      </c>
      <c r="U540" s="59" t="str">
        <f>IF([2]道具信息!U540="","",[2]道具信息!U540)</f>
        <v/>
      </c>
      <c r="V540" s="59" t="str">
        <f>IF([2]道具信息!V540="","",[2]道具信息!V540)</f>
        <v/>
      </c>
      <c r="W540" s="59" t="str">
        <f>IF([2]道具信息!W540="","",[2]道具信息!W540)</f>
        <v/>
      </c>
      <c r="X540" s="59" t="str">
        <f>IF([2]道具信息!X540="","",[2]道具信息!X540)</f>
        <v/>
      </c>
      <c r="Y540" s="59" t="str">
        <f>IF([2]道具信息!Y540="","",[2]道具信息!Y540)</f>
        <v/>
      </c>
      <c r="Z540" s="59" t="str">
        <f>IF([2]道具信息!Z540="","",[2]道具信息!Z540)</f>
        <v/>
      </c>
    </row>
    <row r="541" spans="1:26" x14ac:dyDescent="0.15">
      <c r="A541" s="59" t="str">
        <f>IF([2]道具信息!A541="","",[2]道具信息!A541)</f>
        <v/>
      </c>
      <c r="B541" s="59" t="str">
        <f>IF([2]道具信息!B541="","",[2]道具信息!B541)</f>
        <v/>
      </c>
      <c r="C541" s="59" t="str">
        <f>IF([2]道具信息!C541="","",[2]道具信息!C541)</f>
        <v/>
      </c>
      <c r="D541" s="59" t="str">
        <f>IF([2]道具信息!D541="","",[2]道具信息!D541)</f>
        <v/>
      </c>
      <c r="E541" s="59" t="str">
        <f>IF([2]道具信息!E541="","",[2]道具信息!E541)</f>
        <v/>
      </c>
      <c r="F541" s="59" t="str">
        <f>IF([2]道具信息!F541="","",[2]道具信息!F541)</f>
        <v/>
      </c>
      <c r="G541" s="59" t="str">
        <f>IF([2]道具信息!G541="","",[2]道具信息!G541)</f>
        <v/>
      </c>
      <c r="H541" s="59" t="str">
        <f>IF([2]道具信息!H541="","",[2]道具信息!H541)</f>
        <v/>
      </c>
      <c r="I541" s="59" t="str">
        <f>IF([2]道具信息!I541="","",[2]道具信息!I541)</f>
        <v/>
      </c>
      <c r="J541" s="59" t="str">
        <f>IF([2]道具信息!J541="","",[2]道具信息!J541)</f>
        <v/>
      </c>
      <c r="K541" s="59" t="str">
        <f>IF([2]道具信息!K541="","",[2]道具信息!K541)</f>
        <v/>
      </c>
      <c r="L541" s="59" t="str">
        <f>IF([2]道具信息!L541="","",[2]道具信息!L541)</f>
        <v/>
      </c>
      <c r="M541" s="59" t="str">
        <f>IF([2]道具信息!M541="","",[2]道具信息!M541)</f>
        <v/>
      </c>
      <c r="N541" s="59" t="str">
        <f>IF([2]道具信息!N541="","",[2]道具信息!N541)</f>
        <v/>
      </c>
      <c r="O541" s="59" t="str">
        <f>IF([2]道具信息!O541="","",[2]道具信息!O541)</f>
        <v/>
      </c>
      <c r="P541" s="59" t="str">
        <f>IF([2]道具信息!P541="","",[2]道具信息!P541)</f>
        <v/>
      </c>
      <c r="Q541" s="59" t="str">
        <f>IF([2]道具信息!Q541="","",[2]道具信息!Q541)</f>
        <v/>
      </c>
      <c r="R541" s="59" t="str">
        <f>IF([2]道具信息!R541="","",[2]道具信息!R541)</f>
        <v/>
      </c>
      <c r="S541" s="59" t="str">
        <f>IF([2]道具信息!S541="","",[2]道具信息!S541)</f>
        <v/>
      </c>
      <c r="T541" s="59" t="str">
        <f>IF([2]道具信息!T541="","",[2]道具信息!T541)</f>
        <v/>
      </c>
      <c r="U541" s="59" t="str">
        <f>IF([2]道具信息!U541="","",[2]道具信息!U541)</f>
        <v/>
      </c>
      <c r="V541" s="59" t="str">
        <f>IF([2]道具信息!V541="","",[2]道具信息!V541)</f>
        <v/>
      </c>
      <c r="W541" s="59" t="str">
        <f>IF([2]道具信息!W541="","",[2]道具信息!W541)</f>
        <v/>
      </c>
      <c r="X541" s="59" t="str">
        <f>IF([2]道具信息!X541="","",[2]道具信息!X541)</f>
        <v/>
      </c>
      <c r="Y541" s="59" t="str">
        <f>IF([2]道具信息!Y541="","",[2]道具信息!Y541)</f>
        <v/>
      </c>
      <c r="Z541" s="59" t="str">
        <f>IF([2]道具信息!Z541="","",[2]道具信息!Z541)</f>
        <v/>
      </c>
    </row>
    <row r="542" spans="1:26" x14ac:dyDescent="0.15">
      <c r="A542" s="59" t="str">
        <f>IF([2]道具信息!A542="","",[2]道具信息!A542)</f>
        <v/>
      </c>
      <c r="B542" s="59" t="str">
        <f>IF([2]道具信息!B542="","",[2]道具信息!B542)</f>
        <v/>
      </c>
      <c r="C542" s="59" t="str">
        <f>IF([2]道具信息!C542="","",[2]道具信息!C542)</f>
        <v/>
      </c>
      <c r="D542" s="59" t="str">
        <f>IF([2]道具信息!D542="","",[2]道具信息!D542)</f>
        <v/>
      </c>
      <c r="E542" s="59" t="str">
        <f>IF([2]道具信息!E542="","",[2]道具信息!E542)</f>
        <v/>
      </c>
      <c r="F542" s="59" t="str">
        <f>IF([2]道具信息!F542="","",[2]道具信息!F542)</f>
        <v/>
      </c>
      <c r="G542" s="59" t="str">
        <f>IF([2]道具信息!G542="","",[2]道具信息!G542)</f>
        <v/>
      </c>
      <c r="H542" s="59" t="str">
        <f>IF([2]道具信息!H542="","",[2]道具信息!H542)</f>
        <v/>
      </c>
      <c r="I542" s="59" t="str">
        <f>IF([2]道具信息!I542="","",[2]道具信息!I542)</f>
        <v/>
      </c>
      <c r="J542" s="59" t="str">
        <f>IF([2]道具信息!J542="","",[2]道具信息!J542)</f>
        <v/>
      </c>
      <c r="K542" s="59" t="str">
        <f>IF([2]道具信息!K542="","",[2]道具信息!K542)</f>
        <v/>
      </c>
      <c r="L542" s="59" t="str">
        <f>IF([2]道具信息!L542="","",[2]道具信息!L542)</f>
        <v/>
      </c>
      <c r="M542" s="59" t="str">
        <f>IF([2]道具信息!M542="","",[2]道具信息!M542)</f>
        <v/>
      </c>
      <c r="N542" s="59" t="str">
        <f>IF([2]道具信息!N542="","",[2]道具信息!N542)</f>
        <v/>
      </c>
      <c r="O542" s="59" t="str">
        <f>IF([2]道具信息!O542="","",[2]道具信息!O542)</f>
        <v/>
      </c>
      <c r="P542" s="59" t="str">
        <f>IF([2]道具信息!P542="","",[2]道具信息!P542)</f>
        <v/>
      </c>
      <c r="Q542" s="59" t="str">
        <f>IF([2]道具信息!Q542="","",[2]道具信息!Q542)</f>
        <v/>
      </c>
      <c r="R542" s="59" t="str">
        <f>IF([2]道具信息!R542="","",[2]道具信息!R542)</f>
        <v/>
      </c>
      <c r="S542" s="59" t="str">
        <f>IF([2]道具信息!S542="","",[2]道具信息!S542)</f>
        <v/>
      </c>
      <c r="T542" s="59" t="str">
        <f>IF([2]道具信息!T542="","",[2]道具信息!T542)</f>
        <v/>
      </c>
      <c r="U542" s="59" t="str">
        <f>IF([2]道具信息!U542="","",[2]道具信息!U542)</f>
        <v/>
      </c>
      <c r="V542" s="59" t="str">
        <f>IF([2]道具信息!V542="","",[2]道具信息!V542)</f>
        <v/>
      </c>
      <c r="W542" s="59" t="str">
        <f>IF([2]道具信息!W542="","",[2]道具信息!W542)</f>
        <v/>
      </c>
      <c r="X542" s="59" t="str">
        <f>IF([2]道具信息!X542="","",[2]道具信息!X542)</f>
        <v/>
      </c>
      <c r="Y542" s="59" t="str">
        <f>IF([2]道具信息!Y542="","",[2]道具信息!Y542)</f>
        <v/>
      </c>
      <c r="Z542" s="59" t="str">
        <f>IF([2]道具信息!Z542="","",[2]道具信息!Z542)</f>
        <v/>
      </c>
    </row>
    <row r="543" spans="1:26" x14ac:dyDescent="0.15">
      <c r="A543" s="59" t="str">
        <f>IF([2]道具信息!A543="","",[2]道具信息!A543)</f>
        <v/>
      </c>
      <c r="B543" s="59" t="str">
        <f>IF([2]道具信息!B543="","",[2]道具信息!B543)</f>
        <v/>
      </c>
      <c r="C543" s="59" t="str">
        <f>IF([2]道具信息!C543="","",[2]道具信息!C543)</f>
        <v/>
      </c>
      <c r="D543" s="59" t="str">
        <f>IF([2]道具信息!D543="","",[2]道具信息!D543)</f>
        <v/>
      </c>
      <c r="E543" s="59" t="str">
        <f>IF([2]道具信息!E543="","",[2]道具信息!E543)</f>
        <v/>
      </c>
      <c r="F543" s="59" t="str">
        <f>IF([2]道具信息!F543="","",[2]道具信息!F543)</f>
        <v/>
      </c>
      <c r="G543" s="59" t="str">
        <f>IF([2]道具信息!G543="","",[2]道具信息!G543)</f>
        <v/>
      </c>
      <c r="H543" s="59" t="str">
        <f>IF([2]道具信息!H543="","",[2]道具信息!H543)</f>
        <v/>
      </c>
      <c r="I543" s="59" t="str">
        <f>IF([2]道具信息!I543="","",[2]道具信息!I543)</f>
        <v/>
      </c>
      <c r="J543" s="59" t="str">
        <f>IF([2]道具信息!J543="","",[2]道具信息!J543)</f>
        <v/>
      </c>
      <c r="K543" s="59" t="str">
        <f>IF([2]道具信息!K543="","",[2]道具信息!K543)</f>
        <v/>
      </c>
      <c r="L543" s="59" t="str">
        <f>IF([2]道具信息!L543="","",[2]道具信息!L543)</f>
        <v/>
      </c>
      <c r="M543" s="59" t="str">
        <f>IF([2]道具信息!M543="","",[2]道具信息!M543)</f>
        <v/>
      </c>
      <c r="N543" s="59" t="str">
        <f>IF([2]道具信息!N543="","",[2]道具信息!N543)</f>
        <v/>
      </c>
      <c r="O543" s="59" t="str">
        <f>IF([2]道具信息!O543="","",[2]道具信息!O543)</f>
        <v/>
      </c>
      <c r="P543" s="59" t="str">
        <f>IF([2]道具信息!P543="","",[2]道具信息!P543)</f>
        <v/>
      </c>
      <c r="Q543" s="59" t="str">
        <f>IF([2]道具信息!Q543="","",[2]道具信息!Q543)</f>
        <v/>
      </c>
      <c r="R543" s="59" t="str">
        <f>IF([2]道具信息!R543="","",[2]道具信息!R543)</f>
        <v/>
      </c>
      <c r="S543" s="59" t="str">
        <f>IF([2]道具信息!S543="","",[2]道具信息!S543)</f>
        <v/>
      </c>
      <c r="T543" s="59" t="str">
        <f>IF([2]道具信息!T543="","",[2]道具信息!T543)</f>
        <v/>
      </c>
      <c r="U543" s="59" t="str">
        <f>IF([2]道具信息!U543="","",[2]道具信息!U543)</f>
        <v/>
      </c>
      <c r="V543" s="59" t="str">
        <f>IF([2]道具信息!V543="","",[2]道具信息!V543)</f>
        <v/>
      </c>
      <c r="W543" s="59" t="str">
        <f>IF([2]道具信息!W543="","",[2]道具信息!W543)</f>
        <v/>
      </c>
      <c r="X543" s="59" t="str">
        <f>IF([2]道具信息!X543="","",[2]道具信息!X543)</f>
        <v/>
      </c>
      <c r="Y543" s="59" t="str">
        <f>IF([2]道具信息!Y543="","",[2]道具信息!Y543)</f>
        <v/>
      </c>
      <c r="Z543" s="59" t="str">
        <f>IF([2]道具信息!Z543="","",[2]道具信息!Z543)</f>
        <v/>
      </c>
    </row>
    <row r="544" spans="1:26" x14ac:dyDescent="0.15">
      <c r="A544" s="59" t="str">
        <f>IF([2]道具信息!A544="","",[2]道具信息!A544)</f>
        <v/>
      </c>
      <c r="B544" s="59" t="str">
        <f>IF([2]道具信息!B544="","",[2]道具信息!B544)</f>
        <v/>
      </c>
      <c r="C544" s="59" t="str">
        <f>IF([2]道具信息!C544="","",[2]道具信息!C544)</f>
        <v/>
      </c>
      <c r="D544" s="59" t="str">
        <f>IF([2]道具信息!D544="","",[2]道具信息!D544)</f>
        <v/>
      </c>
      <c r="E544" s="59" t="str">
        <f>IF([2]道具信息!E544="","",[2]道具信息!E544)</f>
        <v/>
      </c>
      <c r="F544" s="59" t="str">
        <f>IF([2]道具信息!F544="","",[2]道具信息!F544)</f>
        <v/>
      </c>
      <c r="G544" s="59" t="str">
        <f>IF([2]道具信息!G544="","",[2]道具信息!G544)</f>
        <v/>
      </c>
      <c r="H544" s="59" t="str">
        <f>IF([2]道具信息!H544="","",[2]道具信息!H544)</f>
        <v/>
      </c>
      <c r="I544" s="59" t="str">
        <f>IF([2]道具信息!I544="","",[2]道具信息!I544)</f>
        <v/>
      </c>
      <c r="J544" s="59" t="str">
        <f>IF([2]道具信息!J544="","",[2]道具信息!J544)</f>
        <v/>
      </c>
      <c r="K544" s="59" t="str">
        <f>IF([2]道具信息!K544="","",[2]道具信息!K544)</f>
        <v/>
      </c>
      <c r="L544" s="59" t="str">
        <f>IF([2]道具信息!L544="","",[2]道具信息!L544)</f>
        <v/>
      </c>
      <c r="M544" s="59" t="str">
        <f>IF([2]道具信息!M544="","",[2]道具信息!M544)</f>
        <v/>
      </c>
      <c r="N544" s="59" t="str">
        <f>IF([2]道具信息!N544="","",[2]道具信息!N544)</f>
        <v/>
      </c>
      <c r="O544" s="59" t="str">
        <f>IF([2]道具信息!O544="","",[2]道具信息!O544)</f>
        <v/>
      </c>
      <c r="P544" s="59" t="str">
        <f>IF([2]道具信息!P544="","",[2]道具信息!P544)</f>
        <v/>
      </c>
      <c r="Q544" s="59" t="str">
        <f>IF([2]道具信息!Q544="","",[2]道具信息!Q544)</f>
        <v/>
      </c>
      <c r="R544" s="59" t="str">
        <f>IF([2]道具信息!R544="","",[2]道具信息!R544)</f>
        <v/>
      </c>
      <c r="S544" s="59" t="str">
        <f>IF([2]道具信息!S544="","",[2]道具信息!S544)</f>
        <v/>
      </c>
      <c r="T544" s="59" t="str">
        <f>IF([2]道具信息!T544="","",[2]道具信息!T544)</f>
        <v/>
      </c>
      <c r="U544" s="59" t="str">
        <f>IF([2]道具信息!U544="","",[2]道具信息!U544)</f>
        <v/>
      </c>
      <c r="V544" s="59" t="str">
        <f>IF([2]道具信息!V544="","",[2]道具信息!V544)</f>
        <v/>
      </c>
      <c r="W544" s="59" t="str">
        <f>IF([2]道具信息!W544="","",[2]道具信息!W544)</f>
        <v/>
      </c>
      <c r="X544" s="59" t="str">
        <f>IF([2]道具信息!X544="","",[2]道具信息!X544)</f>
        <v/>
      </c>
      <c r="Y544" s="59" t="str">
        <f>IF([2]道具信息!Y544="","",[2]道具信息!Y544)</f>
        <v/>
      </c>
      <c r="Z544" s="59" t="str">
        <f>IF([2]道具信息!Z544="","",[2]道具信息!Z544)</f>
        <v/>
      </c>
    </row>
    <row r="545" spans="1:26" x14ac:dyDescent="0.15">
      <c r="A545" s="59" t="str">
        <f>IF([2]道具信息!A545="","",[2]道具信息!A545)</f>
        <v/>
      </c>
      <c r="B545" s="59" t="str">
        <f>IF([2]道具信息!B545="","",[2]道具信息!B545)</f>
        <v/>
      </c>
      <c r="C545" s="59" t="str">
        <f>IF([2]道具信息!C545="","",[2]道具信息!C545)</f>
        <v/>
      </c>
      <c r="D545" s="59" t="str">
        <f>IF([2]道具信息!D545="","",[2]道具信息!D545)</f>
        <v/>
      </c>
      <c r="E545" s="59" t="str">
        <f>IF([2]道具信息!E545="","",[2]道具信息!E545)</f>
        <v/>
      </c>
      <c r="F545" s="59" t="str">
        <f>IF([2]道具信息!F545="","",[2]道具信息!F545)</f>
        <v/>
      </c>
      <c r="G545" s="59" t="str">
        <f>IF([2]道具信息!G545="","",[2]道具信息!G545)</f>
        <v/>
      </c>
      <c r="H545" s="59" t="str">
        <f>IF([2]道具信息!H545="","",[2]道具信息!H545)</f>
        <v/>
      </c>
      <c r="I545" s="59" t="str">
        <f>IF([2]道具信息!I545="","",[2]道具信息!I545)</f>
        <v/>
      </c>
      <c r="J545" s="59" t="str">
        <f>IF([2]道具信息!J545="","",[2]道具信息!J545)</f>
        <v/>
      </c>
      <c r="K545" s="59" t="str">
        <f>IF([2]道具信息!K545="","",[2]道具信息!K545)</f>
        <v/>
      </c>
      <c r="L545" s="59" t="str">
        <f>IF([2]道具信息!L545="","",[2]道具信息!L545)</f>
        <v/>
      </c>
      <c r="M545" s="59" t="str">
        <f>IF([2]道具信息!M545="","",[2]道具信息!M545)</f>
        <v/>
      </c>
      <c r="N545" s="59" t="str">
        <f>IF([2]道具信息!N545="","",[2]道具信息!N545)</f>
        <v/>
      </c>
      <c r="O545" s="59" t="str">
        <f>IF([2]道具信息!O545="","",[2]道具信息!O545)</f>
        <v/>
      </c>
      <c r="P545" s="59" t="str">
        <f>IF([2]道具信息!P545="","",[2]道具信息!P545)</f>
        <v/>
      </c>
      <c r="Q545" s="59" t="str">
        <f>IF([2]道具信息!Q545="","",[2]道具信息!Q545)</f>
        <v/>
      </c>
      <c r="R545" s="59" t="str">
        <f>IF([2]道具信息!R545="","",[2]道具信息!R545)</f>
        <v/>
      </c>
      <c r="S545" s="59" t="str">
        <f>IF([2]道具信息!S545="","",[2]道具信息!S545)</f>
        <v/>
      </c>
      <c r="T545" s="59" t="str">
        <f>IF([2]道具信息!T545="","",[2]道具信息!T545)</f>
        <v/>
      </c>
      <c r="U545" s="59" t="str">
        <f>IF([2]道具信息!U545="","",[2]道具信息!U545)</f>
        <v/>
      </c>
      <c r="V545" s="59" t="str">
        <f>IF([2]道具信息!V545="","",[2]道具信息!V545)</f>
        <v/>
      </c>
      <c r="W545" s="59" t="str">
        <f>IF([2]道具信息!W545="","",[2]道具信息!W545)</f>
        <v/>
      </c>
      <c r="X545" s="59" t="str">
        <f>IF([2]道具信息!X545="","",[2]道具信息!X545)</f>
        <v/>
      </c>
      <c r="Y545" s="59" t="str">
        <f>IF([2]道具信息!Y545="","",[2]道具信息!Y545)</f>
        <v/>
      </c>
      <c r="Z545" s="59" t="str">
        <f>IF([2]道具信息!Z545="","",[2]道具信息!Z545)</f>
        <v/>
      </c>
    </row>
    <row r="546" spans="1:26" x14ac:dyDescent="0.15">
      <c r="A546" s="59" t="str">
        <f>IF([2]道具信息!A546="","",[2]道具信息!A546)</f>
        <v/>
      </c>
      <c r="B546" s="59" t="str">
        <f>IF([2]道具信息!B546="","",[2]道具信息!B546)</f>
        <v/>
      </c>
      <c r="C546" s="59" t="str">
        <f>IF([2]道具信息!C546="","",[2]道具信息!C546)</f>
        <v/>
      </c>
      <c r="D546" s="59" t="str">
        <f>IF([2]道具信息!D546="","",[2]道具信息!D546)</f>
        <v/>
      </c>
      <c r="E546" s="59" t="str">
        <f>IF([2]道具信息!E546="","",[2]道具信息!E546)</f>
        <v/>
      </c>
      <c r="F546" s="59" t="str">
        <f>IF([2]道具信息!F546="","",[2]道具信息!F546)</f>
        <v/>
      </c>
      <c r="G546" s="59" t="str">
        <f>IF([2]道具信息!G546="","",[2]道具信息!G546)</f>
        <v/>
      </c>
      <c r="H546" s="59" t="str">
        <f>IF([2]道具信息!H546="","",[2]道具信息!H546)</f>
        <v/>
      </c>
      <c r="I546" s="59" t="str">
        <f>IF([2]道具信息!I546="","",[2]道具信息!I546)</f>
        <v/>
      </c>
      <c r="J546" s="59" t="str">
        <f>IF([2]道具信息!J546="","",[2]道具信息!J546)</f>
        <v/>
      </c>
      <c r="K546" s="59" t="str">
        <f>IF([2]道具信息!K546="","",[2]道具信息!K546)</f>
        <v/>
      </c>
      <c r="L546" s="59" t="str">
        <f>IF([2]道具信息!L546="","",[2]道具信息!L546)</f>
        <v/>
      </c>
      <c r="M546" s="59" t="str">
        <f>IF([2]道具信息!M546="","",[2]道具信息!M546)</f>
        <v/>
      </c>
      <c r="N546" s="59" t="str">
        <f>IF([2]道具信息!N546="","",[2]道具信息!N546)</f>
        <v/>
      </c>
      <c r="O546" s="59" t="str">
        <f>IF([2]道具信息!O546="","",[2]道具信息!O546)</f>
        <v/>
      </c>
      <c r="P546" s="59" t="str">
        <f>IF([2]道具信息!P546="","",[2]道具信息!P546)</f>
        <v/>
      </c>
      <c r="Q546" s="59" t="str">
        <f>IF([2]道具信息!Q546="","",[2]道具信息!Q546)</f>
        <v/>
      </c>
      <c r="R546" s="59" t="str">
        <f>IF([2]道具信息!R546="","",[2]道具信息!R546)</f>
        <v/>
      </c>
      <c r="S546" s="59" t="str">
        <f>IF([2]道具信息!S546="","",[2]道具信息!S546)</f>
        <v/>
      </c>
      <c r="T546" s="59" t="str">
        <f>IF([2]道具信息!T546="","",[2]道具信息!T546)</f>
        <v/>
      </c>
      <c r="U546" s="59" t="str">
        <f>IF([2]道具信息!U546="","",[2]道具信息!U546)</f>
        <v/>
      </c>
      <c r="V546" s="59" t="str">
        <f>IF([2]道具信息!V546="","",[2]道具信息!V546)</f>
        <v/>
      </c>
      <c r="W546" s="59" t="str">
        <f>IF([2]道具信息!W546="","",[2]道具信息!W546)</f>
        <v/>
      </c>
      <c r="X546" s="59" t="str">
        <f>IF([2]道具信息!X546="","",[2]道具信息!X546)</f>
        <v/>
      </c>
      <c r="Y546" s="59" t="str">
        <f>IF([2]道具信息!Y546="","",[2]道具信息!Y546)</f>
        <v/>
      </c>
      <c r="Z546" s="59" t="str">
        <f>IF([2]道具信息!Z546="","",[2]道具信息!Z546)</f>
        <v/>
      </c>
    </row>
    <row r="547" spans="1:26" x14ac:dyDescent="0.15">
      <c r="A547" s="59" t="str">
        <f>IF([2]道具信息!A547="","",[2]道具信息!A547)</f>
        <v/>
      </c>
      <c r="B547" s="59" t="str">
        <f>IF([2]道具信息!B547="","",[2]道具信息!B547)</f>
        <v/>
      </c>
      <c r="C547" s="59" t="str">
        <f>IF([2]道具信息!C547="","",[2]道具信息!C547)</f>
        <v/>
      </c>
      <c r="D547" s="59" t="str">
        <f>IF([2]道具信息!D547="","",[2]道具信息!D547)</f>
        <v/>
      </c>
      <c r="E547" s="59" t="str">
        <f>IF([2]道具信息!E547="","",[2]道具信息!E547)</f>
        <v/>
      </c>
      <c r="F547" s="59" t="str">
        <f>IF([2]道具信息!F547="","",[2]道具信息!F547)</f>
        <v/>
      </c>
      <c r="G547" s="59" t="str">
        <f>IF([2]道具信息!G547="","",[2]道具信息!G547)</f>
        <v/>
      </c>
      <c r="H547" s="59" t="str">
        <f>IF([2]道具信息!H547="","",[2]道具信息!H547)</f>
        <v/>
      </c>
      <c r="I547" s="59" t="str">
        <f>IF([2]道具信息!I547="","",[2]道具信息!I547)</f>
        <v/>
      </c>
      <c r="J547" s="59" t="str">
        <f>IF([2]道具信息!J547="","",[2]道具信息!J547)</f>
        <v/>
      </c>
      <c r="K547" s="59" t="str">
        <f>IF([2]道具信息!K547="","",[2]道具信息!K547)</f>
        <v/>
      </c>
      <c r="L547" s="59" t="str">
        <f>IF([2]道具信息!L547="","",[2]道具信息!L547)</f>
        <v/>
      </c>
      <c r="M547" s="59" t="str">
        <f>IF([2]道具信息!M547="","",[2]道具信息!M547)</f>
        <v/>
      </c>
      <c r="N547" s="59" t="str">
        <f>IF([2]道具信息!N547="","",[2]道具信息!N547)</f>
        <v/>
      </c>
      <c r="O547" s="59" t="str">
        <f>IF([2]道具信息!O547="","",[2]道具信息!O547)</f>
        <v/>
      </c>
      <c r="P547" s="59" t="str">
        <f>IF([2]道具信息!P547="","",[2]道具信息!P547)</f>
        <v/>
      </c>
      <c r="Q547" s="59" t="str">
        <f>IF([2]道具信息!Q547="","",[2]道具信息!Q547)</f>
        <v/>
      </c>
      <c r="R547" s="59" t="str">
        <f>IF([2]道具信息!R547="","",[2]道具信息!R547)</f>
        <v/>
      </c>
      <c r="S547" s="59" t="str">
        <f>IF([2]道具信息!S547="","",[2]道具信息!S547)</f>
        <v/>
      </c>
      <c r="T547" s="59" t="str">
        <f>IF([2]道具信息!T547="","",[2]道具信息!T547)</f>
        <v/>
      </c>
      <c r="U547" s="59" t="str">
        <f>IF([2]道具信息!U547="","",[2]道具信息!U547)</f>
        <v/>
      </c>
      <c r="V547" s="59" t="str">
        <f>IF([2]道具信息!V547="","",[2]道具信息!V547)</f>
        <v/>
      </c>
      <c r="W547" s="59" t="str">
        <f>IF([2]道具信息!W547="","",[2]道具信息!W547)</f>
        <v/>
      </c>
      <c r="X547" s="59" t="str">
        <f>IF([2]道具信息!X547="","",[2]道具信息!X547)</f>
        <v/>
      </c>
      <c r="Y547" s="59" t="str">
        <f>IF([2]道具信息!Y547="","",[2]道具信息!Y547)</f>
        <v/>
      </c>
      <c r="Z547" s="59" t="str">
        <f>IF([2]道具信息!Z547="","",[2]道具信息!Z547)</f>
        <v/>
      </c>
    </row>
    <row r="548" spans="1:26" x14ac:dyDescent="0.15">
      <c r="A548" s="59" t="str">
        <f>IF([2]道具信息!A548="","",[2]道具信息!A548)</f>
        <v/>
      </c>
      <c r="B548" s="59" t="str">
        <f>IF([2]道具信息!B548="","",[2]道具信息!B548)</f>
        <v/>
      </c>
      <c r="C548" s="59" t="str">
        <f>IF([2]道具信息!C548="","",[2]道具信息!C548)</f>
        <v/>
      </c>
      <c r="D548" s="59" t="str">
        <f>IF([2]道具信息!D548="","",[2]道具信息!D548)</f>
        <v/>
      </c>
      <c r="E548" s="59" t="str">
        <f>IF([2]道具信息!E548="","",[2]道具信息!E548)</f>
        <v/>
      </c>
      <c r="F548" s="59" t="str">
        <f>IF([2]道具信息!F548="","",[2]道具信息!F548)</f>
        <v/>
      </c>
      <c r="G548" s="59" t="str">
        <f>IF([2]道具信息!G548="","",[2]道具信息!G548)</f>
        <v/>
      </c>
      <c r="H548" s="59" t="str">
        <f>IF([2]道具信息!H548="","",[2]道具信息!H548)</f>
        <v/>
      </c>
      <c r="I548" s="59" t="str">
        <f>IF([2]道具信息!I548="","",[2]道具信息!I548)</f>
        <v/>
      </c>
      <c r="J548" s="59" t="str">
        <f>IF([2]道具信息!J548="","",[2]道具信息!J548)</f>
        <v/>
      </c>
      <c r="K548" s="59" t="str">
        <f>IF([2]道具信息!K548="","",[2]道具信息!K548)</f>
        <v/>
      </c>
      <c r="L548" s="59" t="str">
        <f>IF([2]道具信息!L548="","",[2]道具信息!L548)</f>
        <v/>
      </c>
      <c r="M548" s="59" t="str">
        <f>IF([2]道具信息!M548="","",[2]道具信息!M548)</f>
        <v/>
      </c>
      <c r="N548" s="59" t="str">
        <f>IF([2]道具信息!N548="","",[2]道具信息!N548)</f>
        <v/>
      </c>
      <c r="O548" s="59" t="str">
        <f>IF([2]道具信息!O548="","",[2]道具信息!O548)</f>
        <v/>
      </c>
      <c r="P548" s="59" t="str">
        <f>IF([2]道具信息!P548="","",[2]道具信息!P548)</f>
        <v/>
      </c>
      <c r="Q548" s="59" t="str">
        <f>IF([2]道具信息!Q548="","",[2]道具信息!Q548)</f>
        <v/>
      </c>
      <c r="R548" s="59" t="str">
        <f>IF([2]道具信息!R548="","",[2]道具信息!R548)</f>
        <v/>
      </c>
      <c r="S548" s="59" t="str">
        <f>IF([2]道具信息!S548="","",[2]道具信息!S548)</f>
        <v/>
      </c>
      <c r="T548" s="59" t="str">
        <f>IF([2]道具信息!T548="","",[2]道具信息!T548)</f>
        <v/>
      </c>
      <c r="U548" s="59" t="str">
        <f>IF([2]道具信息!U548="","",[2]道具信息!U548)</f>
        <v/>
      </c>
      <c r="V548" s="59" t="str">
        <f>IF([2]道具信息!V548="","",[2]道具信息!V548)</f>
        <v/>
      </c>
      <c r="W548" s="59" t="str">
        <f>IF([2]道具信息!W548="","",[2]道具信息!W548)</f>
        <v/>
      </c>
      <c r="X548" s="59" t="str">
        <f>IF([2]道具信息!X548="","",[2]道具信息!X548)</f>
        <v/>
      </c>
      <c r="Y548" s="59" t="str">
        <f>IF([2]道具信息!Y548="","",[2]道具信息!Y548)</f>
        <v/>
      </c>
      <c r="Z548" s="59" t="str">
        <f>IF([2]道具信息!Z548="","",[2]道具信息!Z548)</f>
        <v/>
      </c>
    </row>
    <row r="549" spans="1:26" x14ac:dyDescent="0.15">
      <c r="A549" s="59" t="str">
        <f>IF([2]道具信息!A549="","",[2]道具信息!A549)</f>
        <v/>
      </c>
      <c r="B549" s="59" t="str">
        <f>IF([2]道具信息!B549="","",[2]道具信息!B549)</f>
        <v/>
      </c>
      <c r="C549" s="59" t="str">
        <f>IF([2]道具信息!C549="","",[2]道具信息!C549)</f>
        <v/>
      </c>
      <c r="D549" s="59" t="str">
        <f>IF([2]道具信息!D549="","",[2]道具信息!D549)</f>
        <v/>
      </c>
      <c r="E549" s="59" t="str">
        <f>IF([2]道具信息!E549="","",[2]道具信息!E549)</f>
        <v/>
      </c>
      <c r="F549" s="59" t="str">
        <f>IF([2]道具信息!F549="","",[2]道具信息!F549)</f>
        <v/>
      </c>
      <c r="G549" s="59" t="str">
        <f>IF([2]道具信息!G549="","",[2]道具信息!G549)</f>
        <v/>
      </c>
      <c r="H549" s="59" t="str">
        <f>IF([2]道具信息!H549="","",[2]道具信息!H549)</f>
        <v/>
      </c>
      <c r="I549" s="59" t="str">
        <f>IF([2]道具信息!I549="","",[2]道具信息!I549)</f>
        <v/>
      </c>
      <c r="J549" s="59" t="str">
        <f>IF([2]道具信息!J549="","",[2]道具信息!J549)</f>
        <v/>
      </c>
      <c r="K549" s="59" t="str">
        <f>IF([2]道具信息!K549="","",[2]道具信息!K549)</f>
        <v/>
      </c>
      <c r="L549" s="59" t="str">
        <f>IF([2]道具信息!L549="","",[2]道具信息!L549)</f>
        <v/>
      </c>
      <c r="M549" s="59" t="str">
        <f>IF([2]道具信息!M549="","",[2]道具信息!M549)</f>
        <v/>
      </c>
      <c r="N549" s="59" t="str">
        <f>IF([2]道具信息!N549="","",[2]道具信息!N549)</f>
        <v/>
      </c>
      <c r="O549" s="59" t="str">
        <f>IF([2]道具信息!O549="","",[2]道具信息!O549)</f>
        <v/>
      </c>
      <c r="P549" s="59" t="str">
        <f>IF([2]道具信息!P549="","",[2]道具信息!P549)</f>
        <v/>
      </c>
      <c r="Q549" s="59" t="str">
        <f>IF([2]道具信息!Q549="","",[2]道具信息!Q549)</f>
        <v/>
      </c>
      <c r="R549" s="59" t="str">
        <f>IF([2]道具信息!R549="","",[2]道具信息!R549)</f>
        <v/>
      </c>
      <c r="S549" s="59" t="str">
        <f>IF([2]道具信息!S549="","",[2]道具信息!S549)</f>
        <v/>
      </c>
      <c r="T549" s="59" t="str">
        <f>IF([2]道具信息!T549="","",[2]道具信息!T549)</f>
        <v/>
      </c>
      <c r="U549" s="59" t="str">
        <f>IF([2]道具信息!U549="","",[2]道具信息!U549)</f>
        <v/>
      </c>
      <c r="V549" s="59" t="str">
        <f>IF([2]道具信息!V549="","",[2]道具信息!V549)</f>
        <v/>
      </c>
      <c r="W549" s="59" t="str">
        <f>IF([2]道具信息!W549="","",[2]道具信息!W549)</f>
        <v/>
      </c>
      <c r="X549" s="59" t="str">
        <f>IF([2]道具信息!X549="","",[2]道具信息!X549)</f>
        <v/>
      </c>
      <c r="Y549" s="59" t="str">
        <f>IF([2]道具信息!Y549="","",[2]道具信息!Y549)</f>
        <v/>
      </c>
      <c r="Z549" s="59" t="str">
        <f>IF([2]道具信息!Z549="","",[2]道具信息!Z549)</f>
        <v/>
      </c>
    </row>
    <row r="550" spans="1:26" x14ac:dyDescent="0.15">
      <c r="A550" s="59" t="str">
        <f>IF([2]道具信息!A550="","",[2]道具信息!A550)</f>
        <v/>
      </c>
      <c r="B550" s="59" t="str">
        <f>IF([2]道具信息!B550="","",[2]道具信息!B550)</f>
        <v/>
      </c>
      <c r="C550" s="59" t="str">
        <f>IF([2]道具信息!C550="","",[2]道具信息!C550)</f>
        <v/>
      </c>
      <c r="D550" s="59" t="str">
        <f>IF([2]道具信息!D550="","",[2]道具信息!D550)</f>
        <v/>
      </c>
      <c r="E550" s="59" t="str">
        <f>IF([2]道具信息!E550="","",[2]道具信息!E550)</f>
        <v/>
      </c>
      <c r="F550" s="59" t="str">
        <f>IF([2]道具信息!F550="","",[2]道具信息!F550)</f>
        <v/>
      </c>
      <c r="G550" s="59" t="str">
        <f>IF([2]道具信息!G550="","",[2]道具信息!G550)</f>
        <v/>
      </c>
      <c r="H550" s="59" t="str">
        <f>IF([2]道具信息!H550="","",[2]道具信息!H550)</f>
        <v/>
      </c>
      <c r="I550" s="59" t="str">
        <f>IF([2]道具信息!I550="","",[2]道具信息!I550)</f>
        <v/>
      </c>
      <c r="J550" s="59" t="str">
        <f>IF([2]道具信息!J550="","",[2]道具信息!J550)</f>
        <v/>
      </c>
      <c r="K550" s="59" t="str">
        <f>IF([2]道具信息!K550="","",[2]道具信息!K550)</f>
        <v/>
      </c>
      <c r="L550" s="59" t="str">
        <f>IF([2]道具信息!L550="","",[2]道具信息!L550)</f>
        <v/>
      </c>
      <c r="M550" s="59" t="str">
        <f>IF([2]道具信息!M550="","",[2]道具信息!M550)</f>
        <v/>
      </c>
      <c r="N550" s="59" t="str">
        <f>IF([2]道具信息!N550="","",[2]道具信息!N550)</f>
        <v/>
      </c>
      <c r="O550" s="59" t="str">
        <f>IF([2]道具信息!O550="","",[2]道具信息!O550)</f>
        <v/>
      </c>
      <c r="P550" s="59" t="str">
        <f>IF([2]道具信息!P550="","",[2]道具信息!P550)</f>
        <v/>
      </c>
      <c r="Q550" s="59" t="str">
        <f>IF([2]道具信息!Q550="","",[2]道具信息!Q550)</f>
        <v/>
      </c>
      <c r="R550" s="59" t="str">
        <f>IF([2]道具信息!R550="","",[2]道具信息!R550)</f>
        <v/>
      </c>
      <c r="S550" s="59" t="str">
        <f>IF([2]道具信息!S550="","",[2]道具信息!S550)</f>
        <v/>
      </c>
      <c r="T550" s="59" t="str">
        <f>IF([2]道具信息!T550="","",[2]道具信息!T550)</f>
        <v/>
      </c>
      <c r="U550" s="59" t="str">
        <f>IF([2]道具信息!U550="","",[2]道具信息!U550)</f>
        <v/>
      </c>
      <c r="V550" s="59" t="str">
        <f>IF([2]道具信息!V550="","",[2]道具信息!V550)</f>
        <v/>
      </c>
      <c r="W550" s="59" t="str">
        <f>IF([2]道具信息!W550="","",[2]道具信息!W550)</f>
        <v/>
      </c>
      <c r="X550" s="59" t="str">
        <f>IF([2]道具信息!X550="","",[2]道具信息!X550)</f>
        <v/>
      </c>
      <c r="Y550" s="59" t="str">
        <f>IF([2]道具信息!Y550="","",[2]道具信息!Y550)</f>
        <v/>
      </c>
      <c r="Z550" s="59" t="str">
        <f>IF([2]道具信息!Z550="","",[2]道具信息!Z550)</f>
        <v/>
      </c>
    </row>
    <row r="551" spans="1:26" x14ac:dyDescent="0.15">
      <c r="A551" s="59" t="str">
        <f>IF([2]道具信息!A551="","",[2]道具信息!A551)</f>
        <v/>
      </c>
      <c r="B551" s="59" t="str">
        <f>IF([2]道具信息!B551="","",[2]道具信息!B551)</f>
        <v/>
      </c>
      <c r="C551" s="59" t="str">
        <f>IF([2]道具信息!C551="","",[2]道具信息!C551)</f>
        <v/>
      </c>
      <c r="D551" s="59" t="str">
        <f>IF([2]道具信息!D551="","",[2]道具信息!D551)</f>
        <v/>
      </c>
      <c r="E551" s="59" t="str">
        <f>IF([2]道具信息!E551="","",[2]道具信息!E551)</f>
        <v/>
      </c>
      <c r="F551" s="59" t="str">
        <f>IF([2]道具信息!F551="","",[2]道具信息!F551)</f>
        <v/>
      </c>
      <c r="G551" s="59" t="str">
        <f>IF([2]道具信息!G551="","",[2]道具信息!G551)</f>
        <v/>
      </c>
      <c r="H551" s="59" t="str">
        <f>IF([2]道具信息!H551="","",[2]道具信息!H551)</f>
        <v/>
      </c>
      <c r="I551" s="59" t="str">
        <f>IF([2]道具信息!I551="","",[2]道具信息!I551)</f>
        <v/>
      </c>
      <c r="J551" s="59" t="str">
        <f>IF([2]道具信息!J551="","",[2]道具信息!J551)</f>
        <v/>
      </c>
      <c r="K551" s="59" t="str">
        <f>IF([2]道具信息!K551="","",[2]道具信息!K551)</f>
        <v/>
      </c>
      <c r="L551" s="59" t="str">
        <f>IF([2]道具信息!L551="","",[2]道具信息!L551)</f>
        <v/>
      </c>
      <c r="M551" s="59" t="str">
        <f>IF([2]道具信息!M551="","",[2]道具信息!M551)</f>
        <v/>
      </c>
      <c r="N551" s="59" t="str">
        <f>IF([2]道具信息!N551="","",[2]道具信息!N551)</f>
        <v/>
      </c>
      <c r="O551" s="59" t="str">
        <f>IF([2]道具信息!O551="","",[2]道具信息!O551)</f>
        <v/>
      </c>
      <c r="P551" s="59" t="str">
        <f>IF([2]道具信息!P551="","",[2]道具信息!P551)</f>
        <v/>
      </c>
      <c r="Q551" s="59" t="str">
        <f>IF([2]道具信息!Q551="","",[2]道具信息!Q551)</f>
        <v/>
      </c>
      <c r="R551" s="59" t="str">
        <f>IF([2]道具信息!R551="","",[2]道具信息!R551)</f>
        <v/>
      </c>
      <c r="S551" s="59" t="str">
        <f>IF([2]道具信息!S551="","",[2]道具信息!S551)</f>
        <v/>
      </c>
      <c r="T551" s="59" t="str">
        <f>IF([2]道具信息!T551="","",[2]道具信息!T551)</f>
        <v/>
      </c>
      <c r="U551" s="59" t="str">
        <f>IF([2]道具信息!U551="","",[2]道具信息!U551)</f>
        <v/>
      </c>
      <c r="V551" s="59" t="str">
        <f>IF([2]道具信息!V551="","",[2]道具信息!V551)</f>
        <v/>
      </c>
      <c r="W551" s="59" t="str">
        <f>IF([2]道具信息!W551="","",[2]道具信息!W551)</f>
        <v/>
      </c>
      <c r="X551" s="59" t="str">
        <f>IF([2]道具信息!X551="","",[2]道具信息!X551)</f>
        <v/>
      </c>
      <c r="Y551" s="59" t="str">
        <f>IF([2]道具信息!Y551="","",[2]道具信息!Y551)</f>
        <v/>
      </c>
      <c r="Z551" s="59" t="str">
        <f>IF([2]道具信息!Z551="","",[2]道具信息!Z551)</f>
        <v/>
      </c>
    </row>
    <row r="552" spans="1:26" x14ac:dyDescent="0.15">
      <c r="A552" s="59" t="str">
        <f>IF([2]道具信息!A552="","",[2]道具信息!A552)</f>
        <v/>
      </c>
      <c r="B552" s="59" t="str">
        <f>IF([2]道具信息!B552="","",[2]道具信息!B552)</f>
        <v/>
      </c>
      <c r="C552" s="59" t="str">
        <f>IF([2]道具信息!C552="","",[2]道具信息!C552)</f>
        <v/>
      </c>
      <c r="D552" s="59" t="str">
        <f>IF([2]道具信息!D552="","",[2]道具信息!D552)</f>
        <v/>
      </c>
      <c r="E552" s="59" t="str">
        <f>IF([2]道具信息!E552="","",[2]道具信息!E552)</f>
        <v/>
      </c>
      <c r="F552" s="59" t="str">
        <f>IF([2]道具信息!F552="","",[2]道具信息!F552)</f>
        <v/>
      </c>
      <c r="G552" s="59" t="str">
        <f>IF([2]道具信息!G552="","",[2]道具信息!G552)</f>
        <v/>
      </c>
      <c r="H552" s="59" t="str">
        <f>IF([2]道具信息!H552="","",[2]道具信息!H552)</f>
        <v/>
      </c>
      <c r="I552" s="59" t="str">
        <f>IF([2]道具信息!I552="","",[2]道具信息!I552)</f>
        <v/>
      </c>
      <c r="J552" s="59" t="str">
        <f>IF([2]道具信息!J552="","",[2]道具信息!J552)</f>
        <v/>
      </c>
      <c r="K552" s="59" t="str">
        <f>IF([2]道具信息!K552="","",[2]道具信息!K552)</f>
        <v/>
      </c>
      <c r="L552" s="59" t="str">
        <f>IF([2]道具信息!L552="","",[2]道具信息!L552)</f>
        <v/>
      </c>
      <c r="M552" s="59" t="str">
        <f>IF([2]道具信息!M552="","",[2]道具信息!M552)</f>
        <v/>
      </c>
      <c r="N552" s="59" t="str">
        <f>IF([2]道具信息!N552="","",[2]道具信息!N552)</f>
        <v/>
      </c>
      <c r="O552" s="59" t="str">
        <f>IF([2]道具信息!O552="","",[2]道具信息!O552)</f>
        <v/>
      </c>
      <c r="P552" s="59" t="str">
        <f>IF([2]道具信息!P552="","",[2]道具信息!P552)</f>
        <v/>
      </c>
      <c r="Q552" s="59" t="str">
        <f>IF([2]道具信息!Q552="","",[2]道具信息!Q552)</f>
        <v/>
      </c>
      <c r="R552" s="59" t="str">
        <f>IF([2]道具信息!R552="","",[2]道具信息!R552)</f>
        <v/>
      </c>
      <c r="S552" s="59" t="str">
        <f>IF([2]道具信息!S552="","",[2]道具信息!S552)</f>
        <v/>
      </c>
      <c r="T552" s="59" t="str">
        <f>IF([2]道具信息!T552="","",[2]道具信息!T552)</f>
        <v/>
      </c>
      <c r="U552" s="59" t="str">
        <f>IF([2]道具信息!U552="","",[2]道具信息!U552)</f>
        <v/>
      </c>
      <c r="V552" s="59" t="str">
        <f>IF([2]道具信息!V552="","",[2]道具信息!V552)</f>
        <v/>
      </c>
      <c r="W552" s="59" t="str">
        <f>IF([2]道具信息!W552="","",[2]道具信息!W552)</f>
        <v/>
      </c>
      <c r="X552" s="59" t="str">
        <f>IF([2]道具信息!X552="","",[2]道具信息!X552)</f>
        <v/>
      </c>
      <c r="Y552" s="59" t="str">
        <f>IF([2]道具信息!Y552="","",[2]道具信息!Y552)</f>
        <v/>
      </c>
      <c r="Z552" s="59" t="str">
        <f>IF([2]道具信息!Z552="","",[2]道具信息!Z552)</f>
        <v/>
      </c>
    </row>
    <row r="553" spans="1:26" x14ac:dyDescent="0.15">
      <c r="A553" s="59" t="str">
        <f>IF([2]道具信息!A553="","",[2]道具信息!A553)</f>
        <v/>
      </c>
      <c r="B553" s="59" t="str">
        <f>IF([2]道具信息!B553="","",[2]道具信息!B553)</f>
        <v/>
      </c>
      <c r="C553" s="59" t="str">
        <f>IF([2]道具信息!C553="","",[2]道具信息!C553)</f>
        <v/>
      </c>
      <c r="D553" s="59" t="str">
        <f>IF([2]道具信息!D553="","",[2]道具信息!D553)</f>
        <v/>
      </c>
      <c r="E553" s="59" t="str">
        <f>IF([2]道具信息!E553="","",[2]道具信息!E553)</f>
        <v/>
      </c>
      <c r="F553" s="59" t="str">
        <f>IF([2]道具信息!F553="","",[2]道具信息!F553)</f>
        <v/>
      </c>
      <c r="G553" s="59" t="str">
        <f>IF([2]道具信息!G553="","",[2]道具信息!G553)</f>
        <v/>
      </c>
      <c r="H553" s="59" t="str">
        <f>IF([2]道具信息!H553="","",[2]道具信息!H553)</f>
        <v/>
      </c>
      <c r="I553" s="59" t="str">
        <f>IF([2]道具信息!I553="","",[2]道具信息!I553)</f>
        <v/>
      </c>
      <c r="J553" s="59" t="str">
        <f>IF([2]道具信息!J553="","",[2]道具信息!J553)</f>
        <v/>
      </c>
      <c r="K553" s="59" t="str">
        <f>IF([2]道具信息!K553="","",[2]道具信息!K553)</f>
        <v/>
      </c>
      <c r="L553" s="59" t="str">
        <f>IF([2]道具信息!L553="","",[2]道具信息!L553)</f>
        <v/>
      </c>
      <c r="M553" s="59" t="str">
        <f>IF([2]道具信息!M553="","",[2]道具信息!M553)</f>
        <v/>
      </c>
      <c r="N553" s="59" t="str">
        <f>IF([2]道具信息!N553="","",[2]道具信息!N553)</f>
        <v/>
      </c>
      <c r="O553" s="59" t="str">
        <f>IF([2]道具信息!O553="","",[2]道具信息!O553)</f>
        <v/>
      </c>
      <c r="P553" s="59" t="str">
        <f>IF([2]道具信息!P553="","",[2]道具信息!P553)</f>
        <v/>
      </c>
      <c r="Q553" s="59" t="str">
        <f>IF([2]道具信息!Q553="","",[2]道具信息!Q553)</f>
        <v/>
      </c>
      <c r="R553" s="59" t="str">
        <f>IF([2]道具信息!R553="","",[2]道具信息!R553)</f>
        <v/>
      </c>
      <c r="S553" s="59" t="str">
        <f>IF([2]道具信息!S553="","",[2]道具信息!S553)</f>
        <v/>
      </c>
      <c r="T553" s="59" t="str">
        <f>IF([2]道具信息!T553="","",[2]道具信息!T553)</f>
        <v/>
      </c>
      <c r="U553" s="59" t="str">
        <f>IF([2]道具信息!U553="","",[2]道具信息!U553)</f>
        <v/>
      </c>
      <c r="V553" s="59" t="str">
        <f>IF([2]道具信息!V553="","",[2]道具信息!V553)</f>
        <v/>
      </c>
      <c r="W553" s="59" t="str">
        <f>IF([2]道具信息!W553="","",[2]道具信息!W553)</f>
        <v/>
      </c>
      <c r="X553" s="59" t="str">
        <f>IF([2]道具信息!X553="","",[2]道具信息!X553)</f>
        <v/>
      </c>
      <c r="Y553" s="59" t="str">
        <f>IF([2]道具信息!Y553="","",[2]道具信息!Y553)</f>
        <v/>
      </c>
      <c r="Z553" s="59" t="str">
        <f>IF([2]道具信息!Z553="","",[2]道具信息!Z553)</f>
        <v/>
      </c>
    </row>
    <row r="554" spans="1:26" x14ac:dyDescent="0.15">
      <c r="A554" s="59" t="str">
        <f>IF([2]道具信息!A554="","",[2]道具信息!A554)</f>
        <v/>
      </c>
      <c r="B554" s="59" t="str">
        <f>IF([2]道具信息!B554="","",[2]道具信息!B554)</f>
        <v/>
      </c>
      <c r="C554" s="59" t="str">
        <f>IF([2]道具信息!C554="","",[2]道具信息!C554)</f>
        <v/>
      </c>
      <c r="D554" s="59" t="str">
        <f>IF([2]道具信息!D554="","",[2]道具信息!D554)</f>
        <v/>
      </c>
      <c r="E554" s="59" t="str">
        <f>IF([2]道具信息!E554="","",[2]道具信息!E554)</f>
        <v/>
      </c>
      <c r="F554" s="59" t="str">
        <f>IF([2]道具信息!F554="","",[2]道具信息!F554)</f>
        <v/>
      </c>
      <c r="G554" s="59" t="str">
        <f>IF([2]道具信息!G554="","",[2]道具信息!G554)</f>
        <v/>
      </c>
      <c r="H554" s="59" t="str">
        <f>IF([2]道具信息!H554="","",[2]道具信息!H554)</f>
        <v/>
      </c>
      <c r="I554" s="59" t="str">
        <f>IF([2]道具信息!I554="","",[2]道具信息!I554)</f>
        <v/>
      </c>
      <c r="J554" s="59" t="str">
        <f>IF([2]道具信息!J554="","",[2]道具信息!J554)</f>
        <v/>
      </c>
      <c r="K554" s="59" t="str">
        <f>IF([2]道具信息!K554="","",[2]道具信息!K554)</f>
        <v/>
      </c>
      <c r="L554" s="59" t="str">
        <f>IF([2]道具信息!L554="","",[2]道具信息!L554)</f>
        <v/>
      </c>
      <c r="M554" s="59" t="str">
        <f>IF([2]道具信息!M554="","",[2]道具信息!M554)</f>
        <v/>
      </c>
      <c r="N554" s="59" t="str">
        <f>IF([2]道具信息!N554="","",[2]道具信息!N554)</f>
        <v/>
      </c>
      <c r="O554" s="59" t="str">
        <f>IF([2]道具信息!O554="","",[2]道具信息!O554)</f>
        <v/>
      </c>
      <c r="P554" s="59" t="str">
        <f>IF([2]道具信息!P554="","",[2]道具信息!P554)</f>
        <v/>
      </c>
      <c r="Q554" s="59" t="str">
        <f>IF([2]道具信息!Q554="","",[2]道具信息!Q554)</f>
        <v/>
      </c>
      <c r="R554" s="59" t="str">
        <f>IF([2]道具信息!R554="","",[2]道具信息!R554)</f>
        <v/>
      </c>
      <c r="S554" s="59" t="str">
        <f>IF([2]道具信息!S554="","",[2]道具信息!S554)</f>
        <v/>
      </c>
      <c r="T554" s="59" t="str">
        <f>IF([2]道具信息!T554="","",[2]道具信息!T554)</f>
        <v/>
      </c>
      <c r="U554" s="59" t="str">
        <f>IF([2]道具信息!U554="","",[2]道具信息!U554)</f>
        <v/>
      </c>
      <c r="V554" s="59" t="str">
        <f>IF([2]道具信息!V554="","",[2]道具信息!V554)</f>
        <v/>
      </c>
      <c r="W554" s="59" t="str">
        <f>IF([2]道具信息!W554="","",[2]道具信息!W554)</f>
        <v/>
      </c>
      <c r="X554" s="59" t="str">
        <f>IF([2]道具信息!X554="","",[2]道具信息!X554)</f>
        <v/>
      </c>
      <c r="Y554" s="59" t="str">
        <f>IF([2]道具信息!Y554="","",[2]道具信息!Y554)</f>
        <v/>
      </c>
      <c r="Z554" s="59" t="str">
        <f>IF([2]道具信息!Z554="","",[2]道具信息!Z554)</f>
        <v/>
      </c>
    </row>
    <row r="555" spans="1:26" x14ac:dyDescent="0.15">
      <c r="A555" s="59" t="str">
        <f>IF([2]道具信息!A555="","",[2]道具信息!A555)</f>
        <v/>
      </c>
      <c r="B555" s="59" t="str">
        <f>IF([2]道具信息!B555="","",[2]道具信息!B555)</f>
        <v/>
      </c>
      <c r="C555" s="59" t="str">
        <f>IF([2]道具信息!C555="","",[2]道具信息!C555)</f>
        <v/>
      </c>
      <c r="D555" s="59" t="str">
        <f>IF([2]道具信息!D555="","",[2]道具信息!D555)</f>
        <v/>
      </c>
      <c r="E555" s="59" t="str">
        <f>IF([2]道具信息!E555="","",[2]道具信息!E555)</f>
        <v/>
      </c>
      <c r="F555" s="59" t="str">
        <f>IF([2]道具信息!F555="","",[2]道具信息!F555)</f>
        <v/>
      </c>
      <c r="G555" s="59" t="str">
        <f>IF([2]道具信息!G555="","",[2]道具信息!G555)</f>
        <v/>
      </c>
      <c r="H555" s="59" t="str">
        <f>IF([2]道具信息!H555="","",[2]道具信息!H555)</f>
        <v/>
      </c>
      <c r="I555" s="59" t="str">
        <f>IF([2]道具信息!I555="","",[2]道具信息!I555)</f>
        <v/>
      </c>
      <c r="J555" s="59" t="str">
        <f>IF([2]道具信息!J555="","",[2]道具信息!J555)</f>
        <v/>
      </c>
      <c r="K555" s="59" t="str">
        <f>IF([2]道具信息!K555="","",[2]道具信息!K555)</f>
        <v/>
      </c>
      <c r="L555" s="59" t="str">
        <f>IF([2]道具信息!L555="","",[2]道具信息!L555)</f>
        <v/>
      </c>
      <c r="M555" s="59" t="str">
        <f>IF([2]道具信息!M555="","",[2]道具信息!M555)</f>
        <v/>
      </c>
      <c r="N555" s="59" t="str">
        <f>IF([2]道具信息!N555="","",[2]道具信息!N555)</f>
        <v/>
      </c>
      <c r="O555" s="59" t="str">
        <f>IF([2]道具信息!O555="","",[2]道具信息!O555)</f>
        <v/>
      </c>
      <c r="P555" s="59" t="str">
        <f>IF([2]道具信息!P555="","",[2]道具信息!P555)</f>
        <v/>
      </c>
      <c r="Q555" s="59" t="str">
        <f>IF([2]道具信息!Q555="","",[2]道具信息!Q555)</f>
        <v/>
      </c>
      <c r="R555" s="59" t="str">
        <f>IF([2]道具信息!R555="","",[2]道具信息!R555)</f>
        <v/>
      </c>
      <c r="S555" s="59" t="str">
        <f>IF([2]道具信息!S555="","",[2]道具信息!S555)</f>
        <v/>
      </c>
      <c r="T555" s="59" t="str">
        <f>IF([2]道具信息!T555="","",[2]道具信息!T555)</f>
        <v/>
      </c>
      <c r="U555" s="59" t="str">
        <f>IF([2]道具信息!U555="","",[2]道具信息!U555)</f>
        <v/>
      </c>
      <c r="V555" s="59" t="str">
        <f>IF([2]道具信息!V555="","",[2]道具信息!V555)</f>
        <v/>
      </c>
      <c r="W555" s="59" t="str">
        <f>IF([2]道具信息!W555="","",[2]道具信息!W555)</f>
        <v/>
      </c>
      <c r="X555" s="59" t="str">
        <f>IF([2]道具信息!X555="","",[2]道具信息!X555)</f>
        <v/>
      </c>
      <c r="Y555" s="59" t="str">
        <f>IF([2]道具信息!Y555="","",[2]道具信息!Y555)</f>
        <v/>
      </c>
      <c r="Z555" s="59" t="str">
        <f>IF([2]道具信息!Z555="","",[2]道具信息!Z555)</f>
        <v/>
      </c>
    </row>
    <row r="556" spans="1:26" x14ac:dyDescent="0.15">
      <c r="A556" s="59" t="str">
        <f>IF([2]道具信息!A556="","",[2]道具信息!A556)</f>
        <v/>
      </c>
      <c r="B556" s="59" t="str">
        <f>IF([2]道具信息!B556="","",[2]道具信息!B556)</f>
        <v/>
      </c>
      <c r="C556" s="59" t="str">
        <f>IF([2]道具信息!C556="","",[2]道具信息!C556)</f>
        <v/>
      </c>
      <c r="D556" s="59" t="str">
        <f>IF([2]道具信息!D556="","",[2]道具信息!D556)</f>
        <v/>
      </c>
      <c r="E556" s="59" t="str">
        <f>IF([2]道具信息!E556="","",[2]道具信息!E556)</f>
        <v/>
      </c>
      <c r="F556" s="59" t="str">
        <f>IF([2]道具信息!F556="","",[2]道具信息!F556)</f>
        <v/>
      </c>
      <c r="G556" s="59" t="str">
        <f>IF([2]道具信息!G556="","",[2]道具信息!G556)</f>
        <v/>
      </c>
      <c r="H556" s="59" t="str">
        <f>IF([2]道具信息!H556="","",[2]道具信息!H556)</f>
        <v/>
      </c>
      <c r="I556" s="59" t="str">
        <f>IF([2]道具信息!I556="","",[2]道具信息!I556)</f>
        <v/>
      </c>
      <c r="J556" s="59" t="str">
        <f>IF([2]道具信息!J556="","",[2]道具信息!J556)</f>
        <v/>
      </c>
      <c r="K556" s="59" t="str">
        <f>IF([2]道具信息!K556="","",[2]道具信息!K556)</f>
        <v/>
      </c>
      <c r="L556" s="59" t="str">
        <f>IF([2]道具信息!L556="","",[2]道具信息!L556)</f>
        <v/>
      </c>
      <c r="M556" s="59" t="str">
        <f>IF([2]道具信息!M556="","",[2]道具信息!M556)</f>
        <v/>
      </c>
      <c r="N556" s="59" t="str">
        <f>IF([2]道具信息!N556="","",[2]道具信息!N556)</f>
        <v/>
      </c>
      <c r="O556" s="59" t="str">
        <f>IF([2]道具信息!O556="","",[2]道具信息!O556)</f>
        <v/>
      </c>
      <c r="P556" s="59" t="str">
        <f>IF([2]道具信息!P556="","",[2]道具信息!P556)</f>
        <v/>
      </c>
      <c r="Q556" s="59" t="str">
        <f>IF([2]道具信息!Q556="","",[2]道具信息!Q556)</f>
        <v/>
      </c>
      <c r="R556" s="59" t="str">
        <f>IF([2]道具信息!R556="","",[2]道具信息!R556)</f>
        <v/>
      </c>
      <c r="S556" s="59" t="str">
        <f>IF([2]道具信息!S556="","",[2]道具信息!S556)</f>
        <v/>
      </c>
      <c r="T556" s="59" t="str">
        <f>IF([2]道具信息!T556="","",[2]道具信息!T556)</f>
        <v/>
      </c>
      <c r="U556" s="59" t="str">
        <f>IF([2]道具信息!U556="","",[2]道具信息!U556)</f>
        <v/>
      </c>
      <c r="V556" s="59" t="str">
        <f>IF([2]道具信息!V556="","",[2]道具信息!V556)</f>
        <v/>
      </c>
      <c r="W556" s="59" t="str">
        <f>IF([2]道具信息!W556="","",[2]道具信息!W556)</f>
        <v/>
      </c>
      <c r="X556" s="59" t="str">
        <f>IF([2]道具信息!X556="","",[2]道具信息!X556)</f>
        <v/>
      </c>
      <c r="Y556" s="59" t="str">
        <f>IF([2]道具信息!Y556="","",[2]道具信息!Y556)</f>
        <v/>
      </c>
      <c r="Z556" s="59" t="str">
        <f>IF([2]道具信息!Z556="","",[2]道具信息!Z556)</f>
        <v/>
      </c>
    </row>
    <row r="557" spans="1:26" x14ac:dyDescent="0.15">
      <c r="A557" s="59" t="str">
        <f>IF([2]道具信息!A557="","",[2]道具信息!A557)</f>
        <v/>
      </c>
      <c r="B557" s="59" t="str">
        <f>IF([2]道具信息!B557="","",[2]道具信息!B557)</f>
        <v/>
      </c>
      <c r="C557" s="59" t="str">
        <f>IF([2]道具信息!C557="","",[2]道具信息!C557)</f>
        <v/>
      </c>
      <c r="D557" s="59" t="str">
        <f>IF([2]道具信息!D557="","",[2]道具信息!D557)</f>
        <v/>
      </c>
      <c r="E557" s="59" t="str">
        <f>IF([2]道具信息!E557="","",[2]道具信息!E557)</f>
        <v/>
      </c>
      <c r="F557" s="59" t="str">
        <f>IF([2]道具信息!F557="","",[2]道具信息!F557)</f>
        <v/>
      </c>
      <c r="G557" s="59" t="str">
        <f>IF([2]道具信息!G557="","",[2]道具信息!G557)</f>
        <v/>
      </c>
      <c r="H557" s="59" t="str">
        <f>IF([2]道具信息!H557="","",[2]道具信息!H557)</f>
        <v/>
      </c>
      <c r="I557" s="59" t="str">
        <f>IF([2]道具信息!I557="","",[2]道具信息!I557)</f>
        <v/>
      </c>
      <c r="J557" s="59" t="str">
        <f>IF([2]道具信息!J557="","",[2]道具信息!J557)</f>
        <v/>
      </c>
      <c r="K557" s="59" t="str">
        <f>IF([2]道具信息!K557="","",[2]道具信息!K557)</f>
        <v/>
      </c>
      <c r="L557" s="59" t="str">
        <f>IF([2]道具信息!L557="","",[2]道具信息!L557)</f>
        <v/>
      </c>
      <c r="M557" s="59" t="str">
        <f>IF([2]道具信息!M557="","",[2]道具信息!M557)</f>
        <v/>
      </c>
      <c r="N557" s="59" t="str">
        <f>IF([2]道具信息!N557="","",[2]道具信息!N557)</f>
        <v/>
      </c>
      <c r="O557" s="59" t="str">
        <f>IF([2]道具信息!O557="","",[2]道具信息!O557)</f>
        <v/>
      </c>
      <c r="P557" s="59" t="str">
        <f>IF([2]道具信息!P557="","",[2]道具信息!P557)</f>
        <v/>
      </c>
      <c r="Q557" s="59" t="str">
        <f>IF([2]道具信息!Q557="","",[2]道具信息!Q557)</f>
        <v/>
      </c>
      <c r="R557" s="59" t="str">
        <f>IF([2]道具信息!R557="","",[2]道具信息!R557)</f>
        <v/>
      </c>
      <c r="S557" s="59" t="str">
        <f>IF([2]道具信息!S557="","",[2]道具信息!S557)</f>
        <v/>
      </c>
      <c r="T557" s="59" t="str">
        <f>IF([2]道具信息!T557="","",[2]道具信息!T557)</f>
        <v/>
      </c>
      <c r="U557" s="59" t="str">
        <f>IF([2]道具信息!U557="","",[2]道具信息!U557)</f>
        <v/>
      </c>
      <c r="V557" s="59" t="str">
        <f>IF([2]道具信息!V557="","",[2]道具信息!V557)</f>
        <v/>
      </c>
      <c r="W557" s="59" t="str">
        <f>IF([2]道具信息!W557="","",[2]道具信息!W557)</f>
        <v/>
      </c>
      <c r="X557" s="59" t="str">
        <f>IF([2]道具信息!X557="","",[2]道具信息!X557)</f>
        <v/>
      </c>
      <c r="Y557" s="59" t="str">
        <f>IF([2]道具信息!Y557="","",[2]道具信息!Y557)</f>
        <v/>
      </c>
      <c r="Z557" s="59" t="str">
        <f>IF([2]道具信息!Z557="","",[2]道具信息!Z557)</f>
        <v/>
      </c>
    </row>
    <row r="558" spans="1:26" x14ac:dyDescent="0.15">
      <c r="A558" s="59" t="str">
        <f>IF([2]道具信息!A558="","",[2]道具信息!A558)</f>
        <v/>
      </c>
      <c r="B558" s="59" t="str">
        <f>IF([2]道具信息!B558="","",[2]道具信息!B558)</f>
        <v/>
      </c>
      <c r="C558" s="59" t="str">
        <f>IF([2]道具信息!C558="","",[2]道具信息!C558)</f>
        <v/>
      </c>
      <c r="D558" s="59" t="str">
        <f>IF([2]道具信息!D558="","",[2]道具信息!D558)</f>
        <v/>
      </c>
      <c r="E558" s="59" t="str">
        <f>IF([2]道具信息!E558="","",[2]道具信息!E558)</f>
        <v/>
      </c>
      <c r="F558" s="59" t="str">
        <f>IF([2]道具信息!F558="","",[2]道具信息!F558)</f>
        <v/>
      </c>
      <c r="G558" s="59" t="str">
        <f>IF([2]道具信息!G558="","",[2]道具信息!G558)</f>
        <v/>
      </c>
      <c r="H558" s="59" t="str">
        <f>IF([2]道具信息!H558="","",[2]道具信息!H558)</f>
        <v/>
      </c>
      <c r="I558" s="59" t="str">
        <f>IF([2]道具信息!I558="","",[2]道具信息!I558)</f>
        <v/>
      </c>
      <c r="J558" s="59" t="str">
        <f>IF([2]道具信息!J558="","",[2]道具信息!J558)</f>
        <v/>
      </c>
      <c r="K558" s="59" t="str">
        <f>IF([2]道具信息!K558="","",[2]道具信息!K558)</f>
        <v/>
      </c>
      <c r="L558" s="59" t="str">
        <f>IF([2]道具信息!L558="","",[2]道具信息!L558)</f>
        <v/>
      </c>
      <c r="M558" s="59" t="str">
        <f>IF([2]道具信息!M558="","",[2]道具信息!M558)</f>
        <v/>
      </c>
      <c r="N558" s="59" t="str">
        <f>IF([2]道具信息!N558="","",[2]道具信息!N558)</f>
        <v/>
      </c>
      <c r="O558" s="59" t="str">
        <f>IF([2]道具信息!O558="","",[2]道具信息!O558)</f>
        <v/>
      </c>
      <c r="P558" s="59" t="str">
        <f>IF([2]道具信息!P558="","",[2]道具信息!P558)</f>
        <v/>
      </c>
      <c r="Q558" s="59" t="str">
        <f>IF([2]道具信息!Q558="","",[2]道具信息!Q558)</f>
        <v/>
      </c>
      <c r="R558" s="59" t="str">
        <f>IF([2]道具信息!R558="","",[2]道具信息!R558)</f>
        <v/>
      </c>
      <c r="S558" s="59" t="str">
        <f>IF([2]道具信息!S558="","",[2]道具信息!S558)</f>
        <v/>
      </c>
      <c r="T558" s="59" t="str">
        <f>IF([2]道具信息!T558="","",[2]道具信息!T558)</f>
        <v/>
      </c>
      <c r="U558" s="59" t="str">
        <f>IF([2]道具信息!U558="","",[2]道具信息!U558)</f>
        <v/>
      </c>
      <c r="V558" s="59" t="str">
        <f>IF([2]道具信息!V558="","",[2]道具信息!V558)</f>
        <v/>
      </c>
      <c r="W558" s="59" t="str">
        <f>IF([2]道具信息!W558="","",[2]道具信息!W558)</f>
        <v/>
      </c>
      <c r="X558" s="59" t="str">
        <f>IF([2]道具信息!X558="","",[2]道具信息!X558)</f>
        <v/>
      </c>
      <c r="Y558" s="59" t="str">
        <f>IF([2]道具信息!Y558="","",[2]道具信息!Y558)</f>
        <v/>
      </c>
      <c r="Z558" s="59" t="str">
        <f>IF([2]道具信息!Z558="","",[2]道具信息!Z558)</f>
        <v/>
      </c>
    </row>
    <row r="559" spans="1:26" x14ac:dyDescent="0.15">
      <c r="A559" s="59" t="str">
        <f>IF([2]道具信息!A559="","",[2]道具信息!A559)</f>
        <v/>
      </c>
      <c r="B559" s="59" t="str">
        <f>IF([2]道具信息!B559="","",[2]道具信息!B559)</f>
        <v/>
      </c>
      <c r="C559" s="59" t="str">
        <f>IF([2]道具信息!C559="","",[2]道具信息!C559)</f>
        <v/>
      </c>
      <c r="D559" s="59" t="str">
        <f>IF([2]道具信息!D559="","",[2]道具信息!D559)</f>
        <v/>
      </c>
      <c r="E559" s="59" t="str">
        <f>IF([2]道具信息!E559="","",[2]道具信息!E559)</f>
        <v/>
      </c>
      <c r="F559" s="59" t="str">
        <f>IF([2]道具信息!F559="","",[2]道具信息!F559)</f>
        <v/>
      </c>
      <c r="G559" s="59" t="str">
        <f>IF([2]道具信息!G559="","",[2]道具信息!G559)</f>
        <v/>
      </c>
      <c r="H559" s="59" t="str">
        <f>IF([2]道具信息!H559="","",[2]道具信息!H559)</f>
        <v/>
      </c>
      <c r="I559" s="59" t="str">
        <f>IF([2]道具信息!I559="","",[2]道具信息!I559)</f>
        <v/>
      </c>
      <c r="J559" s="59" t="str">
        <f>IF([2]道具信息!J559="","",[2]道具信息!J559)</f>
        <v/>
      </c>
      <c r="K559" s="59" t="str">
        <f>IF([2]道具信息!K559="","",[2]道具信息!K559)</f>
        <v/>
      </c>
      <c r="L559" s="59" t="str">
        <f>IF([2]道具信息!L559="","",[2]道具信息!L559)</f>
        <v/>
      </c>
      <c r="M559" s="59" t="str">
        <f>IF([2]道具信息!M559="","",[2]道具信息!M559)</f>
        <v/>
      </c>
      <c r="N559" s="59" t="str">
        <f>IF([2]道具信息!N559="","",[2]道具信息!N559)</f>
        <v/>
      </c>
      <c r="O559" s="59" t="str">
        <f>IF([2]道具信息!O559="","",[2]道具信息!O559)</f>
        <v/>
      </c>
      <c r="P559" s="59" t="str">
        <f>IF([2]道具信息!P559="","",[2]道具信息!P559)</f>
        <v/>
      </c>
      <c r="Q559" s="59" t="str">
        <f>IF([2]道具信息!Q559="","",[2]道具信息!Q559)</f>
        <v/>
      </c>
      <c r="R559" s="59" t="str">
        <f>IF([2]道具信息!R559="","",[2]道具信息!R559)</f>
        <v/>
      </c>
      <c r="S559" s="59" t="str">
        <f>IF([2]道具信息!S559="","",[2]道具信息!S559)</f>
        <v/>
      </c>
      <c r="T559" s="59" t="str">
        <f>IF([2]道具信息!T559="","",[2]道具信息!T559)</f>
        <v/>
      </c>
      <c r="U559" s="59" t="str">
        <f>IF([2]道具信息!U559="","",[2]道具信息!U559)</f>
        <v/>
      </c>
      <c r="V559" s="59" t="str">
        <f>IF([2]道具信息!V559="","",[2]道具信息!V559)</f>
        <v/>
      </c>
      <c r="W559" s="59" t="str">
        <f>IF([2]道具信息!W559="","",[2]道具信息!W559)</f>
        <v/>
      </c>
      <c r="X559" s="59" t="str">
        <f>IF([2]道具信息!X559="","",[2]道具信息!X559)</f>
        <v/>
      </c>
      <c r="Y559" s="59" t="str">
        <f>IF([2]道具信息!Y559="","",[2]道具信息!Y559)</f>
        <v/>
      </c>
      <c r="Z559" s="59" t="str">
        <f>IF([2]道具信息!Z559="","",[2]道具信息!Z559)</f>
        <v/>
      </c>
    </row>
    <row r="560" spans="1:26" x14ac:dyDescent="0.15">
      <c r="A560" s="59" t="str">
        <f>IF([2]道具信息!A560="","",[2]道具信息!A560)</f>
        <v/>
      </c>
      <c r="B560" s="59" t="str">
        <f>IF([2]道具信息!B560="","",[2]道具信息!B560)</f>
        <v/>
      </c>
      <c r="C560" s="59" t="str">
        <f>IF([2]道具信息!C560="","",[2]道具信息!C560)</f>
        <v/>
      </c>
      <c r="D560" s="59" t="str">
        <f>IF([2]道具信息!D560="","",[2]道具信息!D560)</f>
        <v/>
      </c>
      <c r="E560" s="59" t="str">
        <f>IF([2]道具信息!E560="","",[2]道具信息!E560)</f>
        <v/>
      </c>
      <c r="F560" s="59" t="str">
        <f>IF([2]道具信息!F560="","",[2]道具信息!F560)</f>
        <v/>
      </c>
      <c r="G560" s="59" t="str">
        <f>IF([2]道具信息!G560="","",[2]道具信息!G560)</f>
        <v/>
      </c>
      <c r="H560" s="59" t="str">
        <f>IF([2]道具信息!H560="","",[2]道具信息!H560)</f>
        <v/>
      </c>
      <c r="I560" s="59" t="str">
        <f>IF([2]道具信息!I560="","",[2]道具信息!I560)</f>
        <v/>
      </c>
      <c r="J560" s="59" t="str">
        <f>IF([2]道具信息!J560="","",[2]道具信息!J560)</f>
        <v/>
      </c>
      <c r="K560" s="59" t="str">
        <f>IF([2]道具信息!K560="","",[2]道具信息!K560)</f>
        <v/>
      </c>
      <c r="L560" s="59" t="str">
        <f>IF([2]道具信息!L560="","",[2]道具信息!L560)</f>
        <v/>
      </c>
      <c r="M560" s="59" t="str">
        <f>IF([2]道具信息!M560="","",[2]道具信息!M560)</f>
        <v/>
      </c>
      <c r="N560" s="59" t="str">
        <f>IF([2]道具信息!N560="","",[2]道具信息!N560)</f>
        <v/>
      </c>
      <c r="O560" s="59" t="str">
        <f>IF([2]道具信息!O560="","",[2]道具信息!O560)</f>
        <v/>
      </c>
      <c r="P560" s="59" t="str">
        <f>IF([2]道具信息!P560="","",[2]道具信息!P560)</f>
        <v/>
      </c>
      <c r="Q560" s="59" t="str">
        <f>IF([2]道具信息!Q560="","",[2]道具信息!Q560)</f>
        <v/>
      </c>
      <c r="R560" s="59" t="str">
        <f>IF([2]道具信息!R560="","",[2]道具信息!R560)</f>
        <v/>
      </c>
      <c r="S560" s="59" t="str">
        <f>IF([2]道具信息!S560="","",[2]道具信息!S560)</f>
        <v/>
      </c>
      <c r="T560" s="59" t="str">
        <f>IF([2]道具信息!T560="","",[2]道具信息!T560)</f>
        <v/>
      </c>
      <c r="U560" s="59" t="str">
        <f>IF([2]道具信息!U560="","",[2]道具信息!U560)</f>
        <v/>
      </c>
      <c r="V560" s="59" t="str">
        <f>IF([2]道具信息!V560="","",[2]道具信息!V560)</f>
        <v/>
      </c>
      <c r="W560" s="59" t="str">
        <f>IF([2]道具信息!W560="","",[2]道具信息!W560)</f>
        <v/>
      </c>
      <c r="X560" s="59" t="str">
        <f>IF([2]道具信息!X560="","",[2]道具信息!X560)</f>
        <v/>
      </c>
      <c r="Y560" s="59" t="str">
        <f>IF([2]道具信息!Y560="","",[2]道具信息!Y560)</f>
        <v/>
      </c>
      <c r="Z560" s="59" t="str">
        <f>IF([2]道具信息!Z560="","",[2]道具信息!Z560)</f>
        <v/>
      </c>
    </row>
    <row r="561" spans="1:26" x14ac:dyDescent="0.15">
      <c r="A561" s="59" t="str">
        <f>IF([2]道具信息!A561="","",[2]道具信息!A561)</f>
        <v/>
      </c>
      <c r="B561" s="59" t="str">
        <f>IF([2]道具信息!B561="","",[2]道具信息!B561)</f>
        <v/>
      </c>
      <c r="C561" s="59" t="str">
        <f>IF([2]道具信息!C561="","",[2]道具信息!C561)</f>
        <v/>
      </c>
      <c r="D561" s="59" t="str">
        <f>IF([2]道具信息!D561="","",[2]道具信息!D561)</f>
        <v/>
      </c>
      <c r="E561" s="59" t="str">
        <f>IF([2]道具信息!E561="","",[2]道具信息!E561)</f>
        <v/>
      </c>
      <c r="F561" s="59" t="str">
        <f>IF([2]道具信息!F561="","",[2]道具信息!F561)</f>
        <v/>
      </c>
      <c r="G561" s="59" t="str">
        <f>IF([2]道具信息!G561="","",[2]道具信息!G561)</f>
        <v/>
      </c>
      <c r="H561" s="59" t="str">
        <f>IF([2]道具信息!H561="","",[2]道具信息!H561)</f>
        <v/>
      </c>
      <c r="I561" s="59" t="str">
        <f>IF([2]道具信息!I561="","",[2]道具信息!I561)</f>
        <v/>
      </c>
      <c r="J561" s="59" t="str">
        <f>IF([2]道具信息!J561="","",[2]道具信息!J561)</f>
        <v/>
      </c>
      <c r="K561" s="59" t="str">
        <f>IF([2]道具信息!K561="","",[2]道具信息!K561)</f>
        <v/>
      </c>
      <c r="L561" s="59" t="str">
        <f>IF([2]道具信息!L561="","",[2]道具信息!L561)</f>
        <v/>
      </c>
      <c r="M561" s="59" t="str">
        <f>IF([2]道具信息!M561="","",[2]道具信息!M561)</f>
        <v/>
      </c>
      <c r="N561" s="59" t="str">
        <f>IF([2]道具信息!N561="","",[2]道具信息!N561)</f>
        <v/>
      </c>
      <c r="O561" s="59" t="str">
        <f>IF([2]道具信息!O561="","",[2]道具信息!O561)</f>
        <v/>
      </c>
      <c r="P561" s="59" t="str">
        <f>IF([2]道具信息!P561="","",[2]道具信息!P561)</f>
        <v/>
      </c>
      <c r="Q561" s="59" t="str">
        <f>IF([2]道具信息!Q561="","",[2]道具信息!Q561)</f>
        <v/>
      </c>
      <c r="R561" s="59" t="str">
        <f>IF([2]道具信息!R561="","",[2]道具信息!R561)</f>
        <v/>
      </c>
      <c r="S561" s="59" t="str">
        <f>IF([2]道具信息!S561="","",[2]道具信息!S561)</f>
        <v/>
      </c>
      <c r="T561" s="59" t="str">
        <f>IF([2]道具信息!T561="","",[2]道具信息!T561)</f>
        <v/>
      </c>
      <c r="U561" s="59" t="str">
        <f>IF([2]道具信息!U561="","",[2]道具信息!U561)</f>
        <v/>
      </c>
      <c r="V561" s="59" t="str">
        <f>IF([2]道具信息!V561="","",[2]道具信息!V561)</f>
        <v/>
      </c>
      <c r="W561" s="59" t="str">
        <f>IF([2]道具信息!W561="","",[2]道具信息!W561)</f>
        <v/>
      </c>
      <c r="X561" s="59" t="str">
        <f>IF([2]道具信息!X561="","",[2]道具信息!X561)</f>
        <v/>
      </c>
      <c r="Y561" s="59" t="str">
        <f>IF([2]道具信息!Y561="","",[2]道具信息!Y561)</f>
        <v/>
      </c>
      <c r="Z561" s="59" t="str">
        <f>IF([2]道具信息!Z561="","",[2]道具信息!Z561)</f>
        <v/>
      </c>
    </row>
    <row r="562" spans="1:26" x14ac:dyDescent="0.15">
      <c r="A562" s="59" t="str">
        <f>IF([2]道具信息!A562="","",[2]道具信息!A562)</f>
        <v/>
      </c>
      <c r="B562" s="59" t="str">
        <f>IF([2]道具信息!B562="","",[2]道具信息!B562)</f>
        <v/>
      </c>
      <c r="C562" s="59" t="str">
        <f>IF([2]道具信息!C562="","",[2]道具信息!C562)</f>
        <v/>
      </c>
      <c r="D562" s="59" t="str">
        <f>IF([2]道具信息!D562="","",[2]道具信息!D562)</f>
        <v/>
      </c>
      <c r="E562" s="59" t="str">
        <f>IF([2]道具信息!E562="","",[2]道具信息!E562)</f>
        <v/>
      </c>
      <c r="F562" s="59" t="str">
        <f>IF([2]道具信息!F562="","",[2]道具信息!F562)</f>
        <v/>
      </c>
      <c r="G562" s="59" t="str">
        <f>IF([2]道具信息!G562="","",[2]道具信息!G562)</f>
        <v/>
      </c>
      <c r="H562" s="59" t="str">
        <f>IF([2]道具信息!H562="","",[2]道具信息!H562)</f>
        <v/>
      </c>
      <c r="I562" s="59" t="str">
        <f>IF([2]道具信息!I562="","",[2]道具信息!I562)</f>
        <v/>
      </c>
      <c r="J562" s="59" t="str">
        <f>IF([2]道具信息!J562="","",[2]道具信息!J562)</f>
        <v/>
      </c>
      <c r="K562" s="59" t="str">
        <f>IF([2]道具信息!K562="","",[2]道具信息!K562)</f>
        <v/>
      </c>
      <c r="L562" s="59" t="str">
        <f>IF([2]道具信息!L562="","",[2]道具信息!L562)</f>
        <v/>
      </c>
      <c r="M562" s="59" t="str">
        <f>IF([2]道具信息!M562="","",[2]道具信息!M562)</f>
        <v/>
      </c>
      <c r="N562" s="59" t="str">
        <f>IF([2]道具信息!N562="","",[2]道具信息!N562)</f>
        <v/>
      </c>
      <c r="O562" s="59" t="str">
        <f>IF([2]道具信息!O562="","",[2]道具信息!O562)</f>
        <v/>
      </c>
      <c r="P562" s="59" t="str">
        <f>IF([2]道具信息!P562="","",[2]道具信息!P562)</f>
        <v/>
      </c>
      <c r="Q562" s="59" t="str">
        <f>IF([2]道具信息!Q562="","",[2]道具信息!Q562)</f>
        <v/>
      </c>
      <c r="R562" s="59" t="str">
        <f>IF([2]道具信息!R562="","",[2]道具信息!R562)</f>
        <v/>
      </c>
      <c r="S562" s="59" t="str">
        <f>IF([2]道具信息!S562="","",[2]道具信息!S562)</f>
        <v/>
      </c>
      <c r="T562" s="59" t="str">
        <f>IF([2]道具信息!T562="","",[2]道具信息!T562)</f>
        <v/>
      </c>
      <c r="U562" s="59" t="str">
        <f>IF([2]道具信息!U562="","",[2]道具信息!U562)</f>
        <v/>
      </c>
      <c r="V562" s="59" t="str">
        <f>IF([2]道具信息!V562="","",[2]道具信息!V562)</f>
        <v/>
      </c>
      <c r="W562" s="59" t="str">
        <f>IF([2]道具信息!W562="","",[2]道具信息!W562)</f>
        <v/>
      </c>
      <c r="X562" s="59" t="str">
        <f>IF([2]道具信息!X562="","",[2]道具信息!X562)</f>
        <v/>
      </c>
      <c r="Y562" s="59" t="str">
        <f>IF([2]道具信息!Y562="","",[2]道具信息!Y562)</f>
        <v/>
      </c>
      <c r="Z562" s="59" t="str">
        <f>IF([2]道具信息!Z562="","",[2]道具信息!Z562)</f>
        <v/>
      </c>
    </row>
    <row r="563" spans="1:26" x14ac:dyDescent="0.15">
      <c r="A563" s="59" t="str">
        <f>IF([2]道具信息!A563="","",[2]道具信息!A563)</f>
        <v/>
      </c>
      <c r="B563" s="59" t="str">
        <f>IF([2]道具信息!B563="","",[2]道具信息!B563)</f>
        <v/>
      </c>
      <c r="C563" s="59" t="str">
        <f>IF([2]道具信息!C563="","",[2]道具信息!C563)</f>
        <v/>
      </c>
      <c r="D563" s="59" t="str">
        <f>IF([2]道具信息!D563="","",[2]道具信息!D563)</f>
        <v/>
      </c>
      <c r="E563" s="59" t="str">
        <f>IF([2]道具信息!E563="","",[2]道具信息!E563)</f>
        <v/>
      </c>
      <c r="F563" s="59" t="str">
        <f>IF([2]道具信息!F563="","",[2]道具信息!F563)</f>
        <v/>
      </c>
      <c r="G563" s="59" t="str">
        <f>IF([2]道具信息!G563="","",[2]道具信息!G563)</f>
        <v/>
      </c>
      <c r="H563" s="59" t="str">
        <f>IF([2]道具信息!H563="","",[2]道具信息!H563)</f>
        <v/>
      </c>
      <c r="I563" s="59" t="str">
        <f>IF([2]道具信息!I563="","",[2]道具信息!I563)</f>
        <v/>
      </c>
      <c r="J563" s="59" t="str">
        <f>IF([2]道具信息!J563="","",[2]道具信息!J563)</f>
        <v/>
      </c>
      <c r="K563" s="59" t="str">
        <f>IF([2]道具信息!K563="","",[2]道具信息!K563)</f>
        <v/>
      </c>
      <c r="L563" s="59" t="str">
        <f>IF([2]道具信息!L563="","",[2]道具信息!L563)</f>
        <v/>
      </c>
      <c r="M563" s="59" t="str">
        <f>IF([2]道具信息!M563="","",[2]道具信息!M563)</f>
        <v/>
      </c>
      <c r="N563" s="59" t="str">
        <f>IF([2]道具信息!N563="","",[2]道具信息!N563)</f>
        <v/>
      </c>
      <c r="O563" s="59" t="str">
        <f>IF([2]道具信息!O563="","",[2]道具信息!O563)</f>
        <v/>
      </c>
      <c r="P563" s="59" t="str">
        <f>IF([2]道具信息!P563="","",[2]道具信息!P563)</f>
        <v/>
      </c>
      <c r="Q563" s="59" t="str">
        <f>IF([2]道具信息!Q563="","",[2]道具信息!Q563)</f>
        <v/>
      </c>
      <c r="R563" s="59" t="str">
        <f>IF([2]道具信息!R563="","",[2]道具信息!R563)</f>
        <v/>
      </c>
      <c r="S563" s="59" t="str">
        <f>IF([2]道具信息!S563="","",[2]道具信息!S563)</f>
        <v/>
      </c>
      <c r="T563" s="59" t="str">
        <f>IF([2]道具信息!T563="","",[2]道具信息!T563)</f>
        <v/>
      </c>
      <c r="U563" s="59" t="str">
        <f>IF([2]道具信息!U563="","",[2]道具信息!U563)</f>
        <v/>
      </c>
      <c r="V563" s="59" t="str">
        <f>IF([2]道具信息!V563="","",[2]道具信息!V563)</f>
        <v/>
      </c>
      <c r="W563" s="59" t="str">
        <f>IF([2]道具信息!W563="","",[2]道具信息!W563)</f>
        <v/>
      </c>
      <c r="X563" s="59" t="str">
        <f>IF([2]道具信息!X563="","",[2]道具信息!X563)</f>
        <v/>
      </c>
      <c r="Y563" s="59" t="str">
        <f>IF([2]道具信息!Y563="","",[2]道具信息!Y563)</f>
        <v/>
      </c>
      <c r="Z563" s="59" t="str">
        <f>IF([2]道具信息!Z563="","",[2]道具信息!Z563)</f>
        <v/>
      </c>
    </row>
    <row r="564" spans="1:26" x14ac:dyDescent="0.15">
      <c r="A564" s="59" t="str">
        <f>IF([2]道具信息!A564="","",[2]道具信息!A564)</f>
        <v/>
      </c>
      <c r="B564" s="59" t="str">
        <f>IF([2]道具信息!B564="","",[2]道具信息!B564)</f>
        <v/>
      </c>
      <c r="C564" s="59" t="str">
        <f>IF([2]道具信息!C564="","",[2]道具信息!C564)</f>
        <v/>
      </c>
      <c r="D564" s="59" t="str">
        <f>IF([2]道具信息!D564="","",[2]道具信息!D564)</f>
        <v/>
      </c>
      <c r="E564" s="59" t="str">
        <f>IF([2]道具信息!E564="","",[2]道具信息!E564)</f>
        <v/>
      </c>
      <c r="F564" s="59" t="str">
        <f>IF([2]道具信息!F564="","",[2]道具信息!F564)</f>
        <v/>
      </c>
      <c r="G564" s="59" t="str">
        <f>IF([2]道具信息!G564="","",[2]道具信息!G564)</f>
        <v/>
      </c>
      <c r="H564" s="59" t="str">
        <f>IF([2]道具信息!H564="","",[2]道具信息!H564)</f>
        <v/>
      </c>
      <c r="I564" s="59" t="str">
        <f>IF([2]道具信息!I564="","",[2]道具信息!I564)</f>
        <v/>
      </c>
      <c r="J564" s="59" t="str">
        <f>IF([2]道具信息!J564="","",[2]道具信息!J564)</f>
        <v/>
      </c>
      <c r="K564" s="59" t="str">
        <f>IF([2]道具信息!K564="","",[2]道具信息!K564)</f>
        <v/>
      </c>
      <c r="L564" s="59" t="str">
        <f>IF([2]道具信息!L564="","",[2]道具信息!L564)</f>
        <v/>
      </c>
      <c r="M564" s="59" t="str">
        <f>IF([2]道具信息!M564="","",[2]道具信息!M564)</f>
        <v/>
      </c>
      <c r="N564" s="59" t="str">
        <f>IF([2]道具信息!N564="","",[2]道具信息!N564)</f>
        <v/>
      </c>
      <c r="O564" s="59" t="str">
        <f>IF([2]道具信息!O564="","",[2]道具信息!O564)</f>
        <v/>
      </c>
      <c r="P564" s="59" t="str">
        <f>IF([2]道具信息!P564="","",[2]道具信息!P564)</f>
        <v/>
      </c>
      <c r="Q564" s="59" t="str">
        <f>IF([2]道具信息!Q564="","",[2]道具信息!Q564)</f>
        <v/>
      </c>
      <c r="R564" s="59" t="str">
        <f>IF([2]道具信息!R564="","",[2]道具信息!R564)</f>
        <v/>
      </c>
      <c r="S564" s="59" t="str">
        <f>IF([2]道具信息!S564="","",[2]道具信息!S564)</f>
        <v/>
      </c>
      <c r="T564" s="59" t="str">
        <f>IF([2]道具信息!T564="","",[2]道具信息!T564)</f>
        <v/>
      </c>
      <c r="U564" s="59" t="str">
        <f>IF([2]道具信息!U564="","",[2]道具信息!U564)</f>
        <v/>
      </c>
      <c r="V564" s="59" t="str">
        <f>IF([2]道具信息!V564="","",[2]道具信息!V564)</f>
        <v/>
      </c>
      <c r="W564" s="59" t="str">
        <f>IF([2]道具信息!W564="","",[2]道具信息!W564)</f>
        <v/>
      </c>
      <c r="X564" s="59" t="str">
        <f>IF([2]道具信息!X564="","",[2]道具信息!X564)</f>
        <v/>
      </c>
      <c r="Y564" s="59" t="str">
        <f>IF([2]道具信息!Y564="","",[2]道具信息!Y564)</f>
        <v/>
      </c>
      <c r="Z564" s="59" t="str">
        <f>IF([2]道具信息!Z564="","",[2]道具信息!Z564)</f>
        <v/>
      </c>
    </row>
    <row r="565" spans="1:26" x14ac:dyDescent="0.15">
      <c r="A565" s="59" t="str">
        <f>IF([2]道具信息!A565="","",[2]道具信息!A565)</f>
        <v/>
      </c>
      <c r="B565" s="59" t="str">
        <f>IF([2]道具信息!B565="","",[2]道具信息!B565)</f>
        <v/>
      </c>
      <c r="C565" s="59" t="str">
        <f>IF([2]道具信息!C565="","",[2]道具信息!C565)</f>
        <v/>
      </c>
      <c r="D565" s="59" t="str">
        <f>IF([2]道具信息!D565="","",[2]道具信息!D565)</f>
        <v/>
      </c>
      <c r="E565" s="59" t="str">
        <f>IF([2]道具信息!E565="","",[2]道具信息!E565)</f>
        <v/>
      </c>
      <c r="F565" s="59" t="str">
        <f>IF([2]道具信息!F565="","",[2]道具信息!F565)</f>
        <v/>
      </c>
      <c r="G565" s="59" t="str">
        <f>IF([2]道具信息!G565="","",[2]道具信息!G565)</f>
        <v/>
      </c>
      <c r="H565" s="59" t="str">
        <f>IF([2]道具信息!H565="","",[2]道具信息!H565)</f>
        <v/>
      </c>
      <c r="I565" s="59" t="str">
        <f>IF([2]道具信息!I565="","",[2]道具信息!I565)</f>
        <v/>
      </c>
      <c r="J565" s="59" t="str">
        <f>IF([2]道具信息!J565="","",[2]道具信息!J565)</f>
        <v/>
      </c>
      <c r="K565" s="59" t="str">
        <f>IF([2]道具信息!K565="","",[2]道具信息!K565)</f>
        <v/>
      </c>
      <c r="L565" s="59" t="str">
        <f>IF([2]道具信息!L565="","",[2]道具信息!L565)</f>
        <v/>
      </c>
      <c r="M565" s="59" t="str">
        <f>IF([2]道具信息!M565="","",[2]道具信息!M565)</f>
        <v/>
      </c>
      <c r="N565" s="59" t="str">
        <f>IF([2]道具信息!N565="","",[2]道具信息!N565)</f>
        <v/>
      </c>
      <c r="O565" s="59" t="str">
        <f>IF([2]道具信息!O565="","",[2]道具信息!O565)</f>
        <v/>
      </c>
      <c r="P565" s="59" t="str">
        <f>IF([2]道具信息!P565="","",[2]道具信息!P565)</f>
        <v/>
      </c>
      <c r="Q565" s="59" t="str">
        <f>IF([2]道具信息!Q565="","",[2]道具信息!Q565)</f>
        <v/>
      </c>
      <c r="R565" s="59" t="str">
        <f>IF([2]道具信息!R565="","",[2]道具信息!R565)</f>
        <v/>
      </c>
      <c r="S565" s="59" t="str">
        <f>IF([2]道具信息!S565="","",[2]道具信息!S565)</f>
        <v/>
      </c>
      <c r="T565" s="59" t="str">
        <f>IF([2]道具信息!T565="","",[2]道具信息!T565)</f>
        <v/>
      </c>
      <c r="U565" s="59" t="str">
        <f>IF([2]道具信息!U565="","",[2]道具信息!U565)</f>
        <v/>
      </c>
      <c r="V565" s="59" t="str">
        <f>IF([2]道具信息!V565="","",[2]道具信息!V565)</f>
        <v/>
      </c>
      <c r="W565" s="59" t="str">
        <f>IF([2]道具信息!W565="","",[2]道具信息!W565)</f>
        <v/>
      </c>
      <c r="X565" s="59" t="str">
        <f>IF([2]道具信息!X565="","",[2]道具信息!X565)</f>
        <v/>
      </c>
      <c r="Y565" s="59" t="str">
        <f>IF([2]道具信息!Y565="","",[2]道具信息!Y565)</f>
        <v/>
      </c>
      <c r="Z565" s="59" t="str">
        <f>IF([2]道具信息!Z565="","",[2]道具信息!Z565)</f>
        <v/>
      </c>
    </row>
    <row r="566" spans="1:26" x14ac:dyDescent="0.15">
      <c r="A566" s="59" t="str">
        <f>IF([2]道具信息!A566="","",[2]道具信息!A566)</f>
        <v/>
      </c>
      <c r="B566" s="59" t="str">
        <f>IF([2]道具信息!B566="","",[2]道具信息!B566)</f>
        <v/>
      </c>
      <c r="C566" s="59" t="str">
        <f>IF([2]道具信息!C566="","",[2]道具信息!C566)</f>
        <v/>
      </c>
      <c r="D566" s="59" t="str">
        <f>IF([2]道具信息!D566="","",[2]道具信息!D566)</f>
        <v/>
      </c>
      <c r="E566" s="59" t="str">
        <f>IF([2]道具信息!E566="","",[2]道具信息!E566)</f>
        <v/>
      </c>
      <c r="F566" s="59" t="str">
        <f>IF([2]道具信息!F566="","",[2]道具信息!F566)</f>
        <v/>
      </c>
      <c r="G566" s="59" t="str">
        <f>IF([2]道具信息!G566="","",[2]道具信息!G566)</f>
        <v/>
      </c>
      <c r="H566" s="59" t="str">
        <f>IF([2]道具信息!H566="","",[2]道具信息!H566)</f>
        <v/>
      </c>
      <c r="I566" s="59" t="str">
        <f>IF([2]道具信息!I566="","",[2]道具信息!I566)</f>
        <v/>
      </c>
      <c r="J566" s="59" t="str">
        <f>IF([2]道具信息!J566="","",[2]道具信息!J566)</f>
        <v/>
      </c>
      <c r="K566" s="59" t="str">
        <f>IF([2]道具信息!K566="","",[2]道具信息!K566)</f>
        <v/>
      </c>
      <c r="L566" s="59" t="str">
        <f>IF([2]道具信息!L566="","",[2]道具信息!L566)</f>
        <v/>
      </c>
      <c r="M566" s="59" t="str">
        <f>IF([2]道具信息!M566="","",[2]道具信息!M566)</f>
        <v/>
      </c>
      <c r="N566" s="59" t="str">
        <f>IF([2]道具信息!N566="","",[2]道具信息!N566)</f>
        <v/>
      </c>
      <c r="O566" s="59" t="str">
        <f>IF([2]道具信息!O566="","",[2]道具信息!O566)</f>
        <v/>
      </c>
      <c r="P566" s="59" t="str">
        <f>IF([2]道具信息!P566="","",[2]道具信息!P566)</f>
        <v/>
      </c>
      <c r="Q566" s="59" t="str">
        <f>IF([2]道具信息!Q566="","",[2]道具信息!Q566)</f>
        <v/>
      </c>
      <c r="R566" s="59" t="str">
        <f>IF([2]道具信息!R566="","",[2]道具信息!R566)</f>
        <v/>
      </c>
      <c r="S566" s="59" t="str">
        <f>IF([2]道具信息!S566="","",[2]道具信息!S566)</f>
        <v/>
      </c>
      <c r="T566" s="59" t="str">
        <f>IF([2]道具信息!T566="","",[2]道具信息!T566)</f>
        <v/>
      </c>
      <c r="U566" s="59" t="str">
        <f>IF([2]道具信息!U566="","",[2]道具信息!U566)</f>
        <v/>
      </c>
      <c r="V566" s="59" t="str">
        <f>IF([2]道具信息!V566="","",[2]道具信息!V566)</f>
        <v/>
      </c>
      <c r="W566" s="59" t="str">
        <f>IF([2]道具信息!W566="","",[2]道具信息!W566)</f>
        <v/>
      </c>
      <c r="X566" s="59" t="str">
        <f>IF([2]道具信息!X566="","",[2]道具信息!X566)</f>
        <v/>
      </c>
      <c r="Y566" s="59" t="str">
        <f>IF([2]道具信息!Y566="","",[2]道具信息!Y566)</f>
        <v/>
      </c>
      <c r="Z566" s="59" t="str">
        <f>IF([2]道具信息!Z566="","",[2]道具信息!Z566)</f>
        <v/>
      </c>
    </row>
    <row r="567" spans="1:26" x14ac:dyDescent="0.15">
      <c r="A567" s="59" t="str">
        <f>IF([2]道具信息!A567="","",[2]道具信息!A567)</f>
        <v/>
      </c>
      <c r="B567" s="59" t="str">
        <f>IF([2]道具信息!B567="","",[2]道具信息!B567)</f>
        <v/>
      </c>
      <c r="C567" s="59" t="str">
        <f>IF([2]道具信息!C567="","",[2]道具信息!C567)</f>
        <v/>
      </c>
      <c r="D567" s="59" t="str">
        <f>IF([2]道具信息!D567="","",[2]道具信息!D567)</f>
        <v/>
      </c>
      <c r="E567" s="59" t="str">
        <f>IF([2]道具信息!E567="","",[2]道具信息!E567)</f>
        <v/>
      </c>
      <c r="F567" s="59" t="str">
        <f>IF([2]道具信息!F567="","",[2]道具信息!F567)</f>
        <v/>
      </c>
      <c r="G567" s="59" t="str">
        <f>IF([2]道具信息!G567="","",[2]道具信息!G567)</f>
        <v/>
      </c>
      <c r="H567" s="59" t="str">
        <f>IF([2]道具信息!H567="","",[2]道具信息!H567)</f>
        <v/>
      </c>
      <c r="I567" s="59" t="str">
        <f>IF([2]道具信息!I567="","",[2]道具信息!I567)</f>
        <v/>
      </c>
      <c r="J567" s="59" t="str">
        <f>IF([2]道具信息!J567="","",[2]道具信息!J567)</f>
        <v/>
      </c>
      <c r="K567" s="59" t="str">
        <f>IF([2]道具信息!K567="","",[2]道具信息!K567)</f>
        <v/>
      </c>
      <c r="L567" s="59" t="str">
        <f>IF([2]道具信息!L567="","",[2]道具信息!L567)</f>
        <v/>
      </c>
      <c r="M567" s="59" t="str">
        <f>IF([2]道具信息!M567="","",[2]道具信息!M567)</f>
        <v/>
      </c>
      <c r="N567" s="59" t="str">
        <f>IF([2]道具信息!N567="","",[2]道具信息!N567)</f>
        <v/>
      </c>
      <c r="O567" s="59" t="str">
        <f>IF([2]道具信息!O567="","",[2]道具信息!O567)</f>
        <v/>
      </c>
      <c r="P567" s="59" t="str">
        <f>IF([2]道具信息!P567="","",[2]道具信息!P567)</f>
        <v/>
      </c>
      <c r="Q567" s="59" t="str">
        <f>IF([2]道具信息!Q567="","",[2]道具信息!Q567)</f>
        <v/>
      </c>
      <c r="R567" s="59" t="str">
        <f>IF([2]道具信息!R567="","",[2]道具信息!R567)</f>
        <v/>
      </c>
      <c r="S567" s="59" t="str">
        <f>IF([2]道具信息!S567="","",[2]道具信息!S567)</f>
        <v/>
      </c>
      <c r="T567" s="59" t="str">
        <f>IF([2]道具信息!T567="","",[2]道具信息!T567)</f>
        <v/>
      </c>
      <c r="U567" s="59" t="str">
        <f>IF([2]道具信息!U567="","",[2]道具信息!U567)</f>
        <v/>
      </c>
      <c r="V567" s="59" t="str">
        <f>IF([2]道具信息!V567="","",[2]道具信息!V567)</f>
        <v/>
      </c>
      <c r="W567" s="59" t="str">
        <f>IF([2]道具信息!W567="","",[2]道具信息!W567)</f>
        <v/>
      </c>
      <c r="X567" s="59" t="str">
        <f>IF([2]道具信息!X567="","",[2]道具信息!X567)</f>
        <v/>
      </c>
      <c r="Y567" s="59" t="str">
        <f>IF([2]道具信息!Y567="","",[2]道具信息!Y567)</f>
        <v/>
      </c>
      <c r="Z567" s="59" t="str">
        <f>IF([2]道具信息!Z567="","",[2]道具信息!Z567)</f>
        <v/>
      </c>
    </row>
    <row r="568" spans="1:26" x14ac:dyDescent="0.15">
      <c r="A568" s="59" t="str">
        <f>IF([2]道具信息!A568="","",[2]道具信息!A568)</f>
        <v/>
      </c>
      <c r="B568" s="59" t="str">
        <f>IF([2]道具信息!B568="","",[2]道具信息!B568)</f>
        <v/>
      </c>
      <c r="C568" s="59" t="str">
        <f>IF([2]道具信息!C568="","",[2]道具信息!C568)</f>
        <v/>
      </c>
      <c r="D568" s="59" t="str">
        <f>IF([2]道具信息!D568="","",[2]道具信息!D568)</f>
        <v/>
      </c>
      <c r="E568" s="59" t="str">
        <f>IF([2]道具信息!E568="","",[2]道具信息!E568)</f>
        <v/>
      </c>
      <c r="F568" s="59" t="str">
        <f>IF([2]道具信息!F568="","",[2]道具信息!F568)</f>
        <v/>
      </c>
      <c r="G568" s="59" t="str">
        <f>IF([2]道具信息!G568="","",[2]道具信息!G568)</f>
        <v/>
      </c>
      <c r="H568" s="59" t="str">
        <f>IF([2]道具信息!H568="","",[2]道具信息!H568)</f>
        <v/>
      </c>
      <c r="I568" s="59" t="str">
        <f>IF([2]道具信息!I568="","",[2]道具信息!I568)</f>
        <v/>
      </c>
      <c r="J568" s="59" t="str">
        <f>IF([2]道具信息!J568="","",[2]道具信息!J568)</f>
        <v/>
      </c>
      <c r="K568" s="59" t="str">
        <f>IF([2]道具信息!K568="","",[2]道具信息!K568)</f>
        <v/>
      </c>
      <c r="L568" s="59" t="str">
        <f>IF([2]道具信息!L568="","",[2]道具信息!L568)</f>
        <v/>
      </c>
      <c r="M568" s="59" t="str">
        <f>IF([2]道具信息!M568="","",[2]道具信息!M568)</f>
        <v/>
      </c>
      <c r="N568" s="59" t="str">
        <f>IF([2]道具信息!N568="","",[2]道具信息!N568)</f>
        <v/>
      </c>
      <c r="O568" s="59" t="str">
        <f>IF([2]道具信息!O568="","",[2]道具信息!O568)</f>
        <v/>
      </c>
      <c r="P568" s="59" t="str">
        <f>IF([2]道具信息!P568="","",[2]道具信息!P568)</f>
        <v/>
      </c>
      <c r="Q568" s="59" t="str">
        <f>IF([2]道具信息!Q568="","",[2]道具信息!Q568)</f>
        <v/>
      </c>
      <c r="R568" s="59" t="str">
        <f>IF([2]道具信息!R568="","",[2]道具信息!R568)</f>
        <v/>
      </c>
      <c r="S568" s="59" t="str">
        <f>IF([2]道具信息!S568="","",[2]道具信息!S568)</f>
        <v/>
      </c>
      <c r="T568" s="59" t="str">
        <f>IF([2]道具信息!T568="","",[2]道具信息!T568)</f>
        <v/>
      </c>
      <c r="U568" s="59" t="str">
        <f>IF([2]道具信息!U568="","",[2]道具信息!U568)</f>
        <v/>
      </c>
      <c r="V568" s="59" t="str">
        <f>IF([2]道具信息!V568="","",[2]道具信息!V568)</f>
        <v/>
      </c>
      <c r="W568" s="59" t="str">
        <f>IF([2]道具信息!W568="","",[2]道具信息!W568)</f>
        <v/>
      </c>
      <c r="X568" s="59" t="str">
        <f>IF([2]道具信息!X568="","",[2]道具信息!X568)</f>
        <v/>
      </c>
      <c r="Y568" s="59" t="str">
        <f>IF([2]道具信息!Y568="","",[2]道具信息!Y568)</f>
        <v/>
      </c>
      <c r="Z568" s="59" t="str">
        <f>IF([2]道具信息!Z568="","",[2]道具信息!Z568)</f>
        <v/>
      </c>
    </row>
    <row r="569" spans="1:26" x14ac:dyDescent="0.15">
      <c r="A569" s="59" t="str">
        <f>IF([2]道具信息!A569="","",[2]道具信息!A569)</f>
        <v/>
      </c>
      <c r="B569" s="59" t="str">
        <f>IF([2]道具信息!B569="","",[2]道具信息!B569)</f>
        <v/>
      </c>
      <c r="C569" s="59" t="str">
        <f>IF([2]道具信息!C569="","",[2]道具信息!C569)</f>
        <v/>
      </c>
      <c r="D569" s="59" t="str">
        <f>IF([2]道具信息!D569="","",[2]道具信息!D569)</f>
        <v/>
      </c>
      <c r="E569" s="59" t="str">
        <f>IF([2]道具信息!E569="","",[2]道具信息!E569)</f>
        <v/>
      </c>
      <c r="F569" s="59" t="str">
        <f>IF([2]道具信息!F569="","",[2]道具信息!F569)</f>
        <v/>
      </c>
      <c r="G569" s="59" t="str">
        <f>IF([2]道具信息!G569="","",[2]道具信息!G569)</f>
        <v/>
      </c>
      <c r="H569" s="59" t="str">
        <f>IF([2]道具信息!H569="","",[2]道具信息!H569)</f>
        <v/>
      </c>
      <c r="I569" s="59" t="str">
        <f>IF([2]道具信息!I569="","",[2]道具信息!I569)</f>
        <v/>
      </c>
      <c r="J569" s="59" t="str">
        <f>IF([2]道具信息!J569="","",[2]道具信息!J569)</f>
        <v/>
      </c>
      <c r="K569" s="59" t="str">
        <f>IF([2]道具信息!K569="","",[2]道具信息!K569)</f>
        <v/>
      </c>
      <c r="L569" s="59" t="str">
        <f>IF([2]道具信息!L569="","",[2]道具信息!L569)</f>
        <v/>
      </c>
      <c r="M569" s="59" t="str">
        <f>IF([2]道具信息!M569="","",[2]道具信息!M569)</f>
        <v/>
      </c>
      <c r="N569" s="59" t="str">
        <f>IF([2]道具信息!N569="","",[2]道具信息!N569)</f>
        <v/>
      </c>
      <c r="O569" s="59" t="str">
        <f>IF([2]道具信息!O569="","",[2]道具信息!O569)</f>
        <v/>
      </c>
      <c r="P569" s="59" t="str">
        <f>IF([2]道具信息!P569="","",[2]道具信息!P569)</f>
        <v/>
      </c>
      <c r="Q569" s="59" t="str">
        <f>IF([2]道具信息!Q569="","",[2]道具信息!Q569)</f>
        <v/>
      </c>
      <c r="R569" s="59" t="str">
        <f>IF([2]道具信息!R569="","",[2]道具信息!R569)</f>
        <v/>
      </c>
      <c r="S569" s="59" t="str">
        <f>IF([2]道具信息!S569="","",[2]道具信息!S569)</f>
        <v/>
      </c>
      <c r="T569" s="59" t="str">
        <f>IF([2]道具信息!T569="","",[2]道具信息!T569)</f>
        <v/>
      </c>
      <c r="U569" s="59" t="str">
        <f>IF([2]道具信息!U569="","",[2]道具信息!U569)</f>
        <v/>
      </c>
      <c r="V569" s="59" t="str">
        <f>IF([2]道具信息!V569="","",[2]道具信息!V569)</f>
        <v/>
      </c>
      <c r="W569" s="59" t="str">
        <f>IF([2]道具信息!W569="","",[2]道具信息!W569)</f>
        <v/>
      </c>
      <c r="X569" s="59" t="str">
        <f>IF([2]道具信息!X569="","",[2]道具信息!X569)</f>
        <v/>
      </c>
      <c r="Y569" s="59" t="str">
        <f>IF([2]道具信息!Y569="","",[2]道具信息!Y569)</f>
        <v/>
      </c>
      <c r="Z569" s="59" t="str">
        <f>IF([2]道具信息!Z569="","",[2]道具信息!Z569)</f>
        <v/>
      </c>
    </row>
    <row r="570" spans="1:26" x14ac:dyDescent="0.15">
      <c r="A570" s="59" t="str">
        <f>IF([2]道具信息!A570="","",[2]道具信息!A570)</f>
        <v/>
      </c>
      <c r="B570" s="59" t="str">
        <f>IF([2]道具信息!B570="","",[2]道具信息!B570)</f>
        <v/>
      </c>
      <c r="C570" s="59" t="str">
        <f>IF([2]道具信息!C570="","",[2]道具信息!C570)</f>
        <v/>
      </c>
      <c r="D570" s="59" t="str">
        <f>IF([2]道具信息!D570="","",[2]道具信息!D570)</f>
        <v/>
      </c>
      <c r="E570" s="59" t="str">
        <f>IF([2]道具信息!E570="","",[2]道具信息!E570)</f>
        <v/>
      </c>
      <c r="F570" s="59" t="str">
        <f>IF([2]道具信息!F570="","",[2]道具信息!F570)</f>
        <v/>
      </c>
      <c r="G570" s="59" t="str">
        <f>IF([2]道具信息!G570="","",[2]道具信息!G570)</f>
        <v/>
      </c>
      <c r="H570" s="59" t="str">
        <f>IF([2]道具信息!H570="","",[2]道具信息!H570)</f>
        <v/>
      </c>
      <c r="I570" s="59" t="str">
        <f>IF([2]道具信息!I570="","",[2]道具信息!I570)</f>
        <v/>
      </c>
      <c r="J570" s="59" t="str">
        <f>IF([2]道具信息!J570="","",[2]道具信息!J570)</f>
        <v/>
      </c>
      <c r="K570" s="59" t="str">
        <f>IF([2]道具信息!K570="","",[2]道具信息!K570)</f>
        <v/>
      </c>
      <c r="L570" s="59" t="str">
        <f>IF([2]道具信息!L570="","",[2]道具信息!L570)</f>
        <v/>
      </c>
      <c r="M570" s="59" t="str">
        <f>IF([2]道具信息!M570="","",[2]道具信息!M570)</f>
        <v/>
      </c>
      <c r="N570" s="59" t="str">
        <f>IF([2]道具信息!N570="","",[2]道具信息!N570)</f>
        <v/>
      </c>
      <c r="O570" s="59" t="str">
        <f>IF([2]道具信息!O570="","",[2]道具信息!O570)</f>
        <v/>
      </c>
      <c r="P570" s="59" t="str">
        <f>IF([2]道具信息!P570="","",[2]道具信息!P570)</f>
        <v/>
      </c>
      <c r="Q570" s="59" t="str">
        <f>IF([2]道具信息!Q570="","",[2]道具信息!Q570)</f>
        <v/>
      </c>
      <c r="R570" s="59" t="str">
        <f>IF([2]道具信息!R570="","",[2]道具信息!R570)</f>
        <v/>
      </c>
      <c r="S570" s="59" t="str">
        <f>IF([2]道具信息!S570="","",[2]道具信息!S570)</f>
        <v/>
      </c>
      <c r="T570" s="59" t="str">
        <f>IF([2]道具信息!T570="","",[2]道具信息!T570)</f>
        <v/>
      </c>
      <c r="U570" s="59" t="str">
        <f>IF([2]道具信息!U570="","",[2]道具信息!U570)</f>
        <v/>
      </c>
      <c r="V570" s="59" t="str">
        <f>IF([2]道具信息!V570="","",[2]道具信息!V570)</f>
        <v/>
      </c>
      <c r="W570" s="59" t="str">
        <f>IF([2]道具信息!W570="","",[2]道具信息!W570)</f>
        <v/>
      </c>
      <c r="X570" s="59" t="str">
        <f>IF([2]道具信息!X570="","",[2]道具信息!X570)</f>
        <v/>
      </c>
      <c r="Y570" s="59" t="str">
        <f>IF([2]道具信息!Y570="","",[2]道具信息!Y570)</f>
        <v/>
      </c>
      <c r="Z570" s="59" t="str">
        <f>IF([2]道具信息!Z570="","",[2]道具信息!Z570)</f>
        <v/>
      </c>
    </row>
    <row r="571" spans="1:26" x14ac:dyDescent="0.15">
      <c r="A571" s="59" t="str">
        <f>IF([2]道具信息!A571="","",[2]道具信息!A571)</f>
        <v/>
      </c>
      <c r="B571" s="59" t="str">
        <f>IF([2]道具信息!B571="","",[2]道具信息!B571)</f>
        <v/>
      </c>
      <c r="C571" s="59" t="str">
        <f>IF([2]道具信息!C571="","",[2]道具信息!C571)</f>
        <v/>
      </c>
      <c r="D571" s="59" t="str">
        <f>IF([2]道具信息!D571="","",[2]道具信息!D571)</f>
        <v/>
      </c>
      <c r="E571" s="59" t="str">
        <f>IF([2]道具信息!E571="","",[2]道具信息!E571)</f>
        <v/>
      </c>
      <c r="F571" s="59" t="str">
        <f>IF([2]道具信息!F571="","",[2]道具信息!F571)</f>
        <v/>
      </c>
      <c r="G571" s="59" t="str">
        <f>IF([2]道具信息!G571="","",[2]道具信息!G571)</f>
        <v/>
      </c>
      <c r="H571" s="59" t="str">
        <f>IF([2]道具信息!H571="","",[2]道具信息!H571)</f>
        <v/>
      </c>
      <c r="I571" s="59" t="str">
        <f>IF([2]道具信息!I571="","",[2]道具信息!I571)</f>
        <v/>
      </c>
      <c r="J571" s="59" t="str">
        <f>IF([2]道具信息!J571="","",[2]道具信息!J571)</f>
        <v/>
      </c>
      <c r="K571" s="59" t="str">
        <f>IF([2]道具信息!K571="","",[2]道具信息!K571)</f>
        <v/>
      </c>
      <c r="L571" s="59" t="str">
        <f>IF([2]道具信息!L571="","",[2]道具信息!L571)</f>
        <v/>
      </c>
      <c r="M571" s="59" t="str">
        <f>IF([2]道具信息!M571="","",[2]道具信息!M571)</f>
        <v/>
      </c>
      <c r="N571" s="59" t="str">
        <f>IF([2]道具信息!N571="","",[2]道具信息!N571)</f>
        <v/>
      </c>
      <c r="O571" s="59" t="str">
        <f>IF([2]道具信息!O571="","",[2]道具信息!O571)</f>
        <v/>
      </c>
      <c r="P571" s="59" t="str">
        <f>IF([2]道具信息!P571="","",[2]道具信息!P571)</f>
        <v/>
      </c>
      <c r="Q571" s="59" t="str">
        <f>IF([2]道具信息!Q571="","",[2]道具信息!Q571)</f>
        <v/>
      </c>
      <c r="R571" s="59" t="str">
        <f>IF([2]道具信息!R571="","",[2]道具信息!R571)</f>
        <v/>
      </c>
      <c r="S571" s="59" t="str">
        <f>IF([2]道具信息!S571="","",[2]道具信息!S571)</f>
        <v/>
      </c>
      <c r="T571" s="59" t="str">
        <f>IF([2]道具信息!T571="","",[2]道具信息!T571)</f>
        <v/>
      </c>
      <c r="U571" s="59" t="str">
        <f>IF([2]道具信息!U571="","",[2]道具信息!U571)</f>
        <v/>
      </c>
      <c r="V571" s="59" t="str">
        <f>IF([2]道具信息!V571="","",[2]道具信息!V571)</f>
        <v/>
      </c>
      <c r="W571" s="59" t="str">
        <f>IF([2]道具信息!W571="","",[2]道具信息!W571)</f>
        <v/>
      </c>
      <c r="X571" s="59" t="str">
        <f>IF([2]道具信息!X571="","",[2]道具信息!X571)</f>
        <v/>
      </c>
      <c r="Y571" s="59" t="str">
        <f>IF([2]道具信息!Y571="","",[2]道具信息!Y571)</f>
        <v/>
      </c>
      <c r="Z571" s="59" t="str">
        <f>IF([2]道具信息!Z571="","",[2]道具信息!Z571)</f>
        <v/>
      </c>
    </row>
    <row r="572" spans="1:26" x14ac:dyDescent="0.15">
      <c r="A572" s="59" t="str">
        <f>IF([2]道具信息!A572="","",[2]道具信息!A572)</f>
        <v/>
      </c>
      <c r="B572" s="59" t="str">
        <f>IF([2]道具信息!B572="","",[2]道具信息!B572)</f>
        <v/>
      </c>
      <c r="C572" s="59" t="str">
        <f>IF([2]道具信息!C572="","",[2]道具信息!C572)</f>
        <v/>
      </c>
      <c r="D572" s="59" t="str">
        <f>IF([2]道具信息!D572="","",[2]道具信息!D572)</f>
        <v/>
      </c>
      <c r="E572" s="59" t="str">
        <f>IF([2]道具信息!E572="","",[2]道具信息!E572)</f>
        <v/>
      </c>
      <c r="F572" s="59" t="str">
        <f>IF([2]道具信息!F572="","",[2]道具信息!F572)</f>
        <v/>
      </c>
      <c r="G572" s="59" t="str">
        <f>IF([2]道具信息!G572="","",[2]道具信息!G572)</f>
        <v/>
      </c>
      <c r="H572" s="59" t="str">
        <f>IF([2]道具信息!H572="","",[2]道具信息!H572)</f>
        <v/>
      </c>
      <c r="I572" s="59" t="str">
        <f>IF([2]道具信息!I572="","",[2]道具信息!I572)</f>
        <v/>
      </c>
      <c r="J572" s="59" t="str">
        <f>IF([2]道具信息!J572="","",[2]道具信息!J572)</f>
        <v/>
      </c>
      <c r="K572" s="59" t="str">
        <f>IF([2]道具信息!K572="","",[2]道具信息!K572)</f>
        <v/>
      </c>
      <c r="L572" s="59" t="str">
        <f>IF([2]道具信息!L572="","",[2]道具信息!L572)</f>
        <v/>
      </c>
      <c r="M572" s="59" t="str">
        <f>IF([2]道具信息!M572="","",[2]道具信息!M572)</f>
        <v/>
      </c>
      <c r="N572" s="59" t="str">
        <f>IF([2]道具信息!N572="","",[2]道具信息!N572)</f>
        <v/>
      </c>
      <c r="O572" s="59" t="str">
        <f>IF([2]道具信息!O572="","",[2]道具信息!O572)</f>
        <v/>
      </c>
      <c r="P572" s="59" t="str">
        <f>IF([2]道具信息!P572="","",[2]道具信息!P572)</f>
        <v/>
      </c>
      <c r="Q572" s="59" t="str">
        <f>IF([2]道具信息!Q572="","",[2]道具信息!Q572)</f>
        <v/>
      </c>
      <c r="R572" s="59" t="str">
        <f>IF([2]道具信息!R572="","",[2]道具信息!R572)</f>
        <v/>
      </c>
      <c r="S572" s="59" t="str">
        <f>IF([2]道具信息!S572="","",[2]道具信息!S572)</f>
        <v/>
      </c>
      <c r="T572" s="59" t="str">
        <f>IF([2]道具信息!T572="","",[2]道具信息!T572)</f>
        <v/>
      </c>
      <c r="U572" s="59" t="str">
        <f>IF([2]道具信息!U572="","",[2]道具信息!U572)</f>
        <v/>
      </c>
      <c r="V572" s="59" t="str">
        <f>IF([2]道具信息!V572="","",[2]道具信息!V572)</f>
        <v/>
      </c>
      <c r="W572" s="59" t="str">
        <f>IF([2]道具信息!W572="","",[2]道具信息!W572)</f>
        <v/>
      </c>
      <c r="X572" s="59" t="str">
        <f>IF([2]道具信息!X572="","",[2]道具信息!X572)</f>
        <v/>
      </c>
      <c r="Y572" s="59" t="str">
        <f>IF([2]道具信息!Y572="","",[2]道具信息!Y572)</f>
        <v/>
      </c>
      <c r="Z572" s="59" t="str">
        <f>IF([2]道具信息!Z572="","",[2]道具信息!Z572)</f>
        <v/>
      </c>
    </row>
    <row r="573" spans="1:26" x14ac:dyDescent="0.15">
      <c r="A573" s="59" t="str">
        <f>IF([2]道具信息!A573="","",[2]道具信息!A573)</f>
        <v/>
      </c>
      <c r="B573" s="59" t="str">
        <f>IF([2]道具信息!B573="","",[2]道具信息!B573)</f>
        <v/>
      </c>
      <c r="C573" s="59" t="str">
        <f>IF([2]道具信息!C573="","",[2]道具信息!C573)</f>
        <v/>
      </c>
      <c r="D573" s="59" t="str">
        <f>IF([2]道具信息!D573="","",[2]道具信息!D573)</f>
        <v/>
      </c>
      <c r="E573" s="59" t="str">
        <f>IF([2]道具信息!E573="","",[2]道具信息!E573)</f>
        <v/>
      </c>
      <c r="F573" s="59" t="str">
        <f>IF([2]道具信息!F573="","",[2]道具信息!F573)</f>
        <v/>
      </c>
      <c r="G573" s="59" t="str">
        <f>IF([2]道具信息!G573="","",[2]道具信息!G573)</f>
        <v/>
      </c>
      <c r="H573" s="59" t="str">
        <f>IF([2]道具信息!H573="","",[2]道具信息!H573)</f>
        <v/>
      </c>
      <c r="I573" s="59" t="str">
        <f>IF([2]道具信息!I573="","",[2]道具信息!I573)</f>
        <v/>
      </c>
      <c r="J573" s="59" t="str">
        <f>IF([2]道具信息!J573="","",[2]道具信息!J573)</f>
        <v/>
      </c>
      <c r="K573" s="59" t="str">
        <f>IF([2]道具信息!K573="","",[2]道具信息!K573)</f>
        <v/>
      </c>
      <c r="L573" s="59" t="str">
        <f>IF([2]道具信息!L573="","",[2]道具信息!L573)</f>
        <v/>
      </c>
      <c r="M573" s="59" t="str">
        <f>IF([2]道具信息!M573="","",[2]道具信息!M573)</f>
        <v/>
      </c>
      <c r="N573" s="59" t="str">
        <f>IF([2]道具信息!N573="","",[2]道具信息!N573)</f>
        <v/>
      </c>
      <c r="O573" s="59" t="str">
        <f>IF([2]道具信息!O573="","",[2]道具信息!O573)</f>
        <v/>
      </c>
      <c r="P573" s="59" t="str">
        <f>IF([2]道具信息!P573="","",[2]道具信息!P573)</f>
        <v/>
      </c>
      <c r="Q573" s="59" t="str">
        <f>IF([2]道具信息!Q573="","",[2]道具信息!Q573)</f>
        <v/>
      </c>
      <c r="R573" s="59" t="str">
        <f>IF([2]道具信息!R573="","",[2]道具信息!R573)</f>
        <v/>
      </c>
      <c r="S573" s="59" t="str">
        <f>IF([2]道具信息!S573="","",[2]道具信息!S573)</f>
        <v/>
      </c>
      <c r="T573" s="59" t="str">
        <f>IF([2]道具信息!T573="","",[2]道具信息!T573)</f>
        <v/>
      </c>
      <c r="U573" s="59" t="str">
        <f>IF([2]道具信息!U573="","",[2]道具信息!U573)</f>
        <v/>
      </c>
      <c r="V573" s="59" t="str">
        <f>IF([2]道具信息!V573="","",[2]道具信息!V573)</f>
        <v/>
      </c>
      <c r="W573" s="59" t="str">
        <f>IF([2]道具信息!W573="","",[2]道具信息!W573)</f>
        <v/>
      </c>
      <c r="X573" s="59" t="str">
        <f>IF([2]道具信息!X573="","",[2]道具信息!X573)</f>
        <v/>
      </c>
      <c r="Y573" s="59" t="str">
        <f>IF([2]道具信息!Y573="","",[2]道具信息!Y573)</f>
        <v/>
      </c>
      <c r="Z573" s="59" t="str">
        <f>IF([2]道具信息!Z573="","",[2]道具信息!Z573)</f>
        <v/>
      </c>
    </row>
    <row r="574" spans="1:26" x14ac:dyDescent="0.15">
      <c r="A574" s="59" t="str">
        <f>IF([2]道具信息!A574="","",[2]道具信息!A574)</f>
        <v/>
      </c>
      <c r="B574" s="59" t="str">
        <f>IF([2]道具信息!B574="","",[2]道具信息!B574)</f>
        <v/>
      </c>
      <c r="C574" s="59" t="str">
        <f>IF([2]道具信息!C574="","",[2]道具信息!C574)</f>
        <v/>
      </c>
      <c r="D574" s="59" t="str">
        <f>IF([2]道具信息!D574="","",[2]道具信息!D574)</f>
        <v/>
      </c>
      <c r="E574" s="59" t="str">
        <f>IF([2]道具信息!E574="","",[2]道具信息!E574)</f>
        <v/>
      </c>
      <c r="F574" s="59" t="str">
        <f>IF([2]道具信息!F574="","",[2]道具信息!F574)</f>
        <v/>
      </c>
      <c r="G574" s="59" t="str">
        <f>IF([2]道具信息!G574="","",[2]道具信息!G574)</f>
        <v/>
      </c>
      <c r="H574" s="59" t="str">
        <f>IF([2]道具信息!H574="","",[2]道具信息!H574)</f>
        <v/>
      </c>
      <c r="I574" s="59" t="str">
        <f>IF([2]道具信息!I574="","",[2]道具信息!I574)</f>
        <v/>
      </c>
      <c r="J574" s="59" t="str">
        <f>IF([2]道具信息!J574="","",[2]道具信息!J574)</f>
        <v/>
      </c>
      <c r="K574" s="59" t="str">
        <f>IF([2]道具信息!K574="","",[2]道具信息!K574)</f>
        <v/>
      </c>
      <c r="L574" s="59" t="str">
        <f>IF([2]道具信息!L574="","",[2]道具信息!L574)</f>
        <v/>
      </c>
      <c r="M574" s="59" t="str">
        <f>IF([2]道具信息!M574="","",[2]道具信息!M574)</f>
        <v/>
      </c>
      <c r="N574" s="59" t="str">
        <f>IF([2]道具信息!N574="","",[2]道具信息!N574)</f>
        <v/>
      </c>
      <c r="O574" s="59" t="str">
        <f>IF([2]道具信息!O574="","",[2]道具信息!O574)</f>
        <v/>
      </c>
      <c r="P574" s="59" t="str">
        <f>IF([2]道具信息!P574="","",[2]道具信息!P574)</f>
        <v/>
      </c>
      <c r="Q574" s="59" t="str">
        <f>IF([2]道具信息!Q574="","",[2]道具信息!Q574)</f>
        <v/>
      </c>
      <c r="R574" s="59" t="str">
        <f>IF([2]道具信息!R574="","",[2]道具信息!R574)</f>
        <v/>
      </c>
      <c r="S574" s="59" t="str">
        <f>IF([2]道具信息!S574="","",[2]道具信息!S574)</f>
        <v/>
      </c>
      <c r="T574" s="59" t="str">
        <f>IF([2]道具信息!T574="","",[2]道具信息!T574)</f>
        <v/>
      </c>
      <c r="U574" s="59" t="str">
        <f>IF([2]道具信息!U574="","",[2]道具信息!U574)</f>
        <v/>
      </c>
      <c r="V574" s="59" t="str">
        <f>IF([2]道具信息!V574="","",[2]道具信息!V574)</f>
        <v/>
      </c>
      <c r="W574" s="59" t="str">
        <f>IF([2]道具信息!W574="","",[2]道具信息!W574)</f>
        <v/>
      </c>
      <c r="X574" s="59" t="str">
        <f>IF([2]道具信息!X574="","",[2]道具信息!X574)</f>
        <v/>
      </c>
      <c r="Y574" s="59" t="str">
        <f>IF([2]道具信息!Y574="","",[2]道具信息!Y574)</f>
        <v/>
      </c>
      <c r="Z574" s="59" t="str">
        <f>IF([2]道具信息!Z574="","",[2]道具信息!Z574)</f>
        <v/>
      </c>
    </row>
    <row r="575" spans="1:26" x14ac:dyDescent="0.15">
      <c r="A575" s="59" t="str">
        <f>IF([2]道具信息!A575="","",[2]道具信息!A575)</f>
        <v/>
      </c>
      <c r="B575" s="59" t="str">
        <f>IF([2]道具信息!B575="","",[2]道具信息!B575)</f>
        <v/>
      </c>
      <c r="C575" s="59" t="str">
        <f>IF([2]道具信息!C575="","",[2]道具信息!C575)</f>
        <v/>
      </c>
      <c r="D575" s="59" t="str">
        <f>IF([2]道具信息!D575="","",[2]道具信息!D575)</f>
        <v/>
      </c>
      <c r="E575" s="59" t="str">
        <f>IF([2]道具信息!E575="","",[2]道具信息!E575)</f>
        <v/>
      </c>
      <c r="F575" s="59" t="str">
        <f>IF([2]道具信息!F575="","",[2]道具信息!F575)</f>
        <v/>
      </c>
      <c r="G575" s="59" t="str">
        <f>IF([2]道具信息!G575="","",[2]道具信息!G575)</f>
        <v/>
      </c>
      <c r="H575" s="59" t="str">
        <f>IF([2]道具信息!H575="","",[2]道具信息!H575)</f>
        <v/>
      </c>
      <c r="I575" s="59" t="str">
        <f>IF([2]道具信息!I575="","",[2]道具信息!I575)</f>
        <v/>
      </c>
      <c r="J575" s="59" t="str">
        <f>IF([2]道具信息!J575="","",[2]道具信息!J575)</f>
        <v/>
      </c>
      <c r="K575" s="59" t="str">
        <f>IF([2]道具信息!K575="","",[2]道具信息!K575)</f>
        <v/>
      </c>
      <c r="L575" s="59" t="str">
        <f>IF([2]道具信息!L575="","",[2]道具信息!L575)</f>
        <v/>
      </c>
      <c r="M575" s="59" t="str">
        <f>IF([2]道具信息!M575="","",[2]道具信息!M575)</f>
        <v/>
      </c>
      <c r="N575" s="59" t="str">
        <f>IF([2]道具信息!N575="","",[2]道具信息!N575)</f>
        <v/>
      </c>
      <c r="O575" s="59" t="str">
        <f>IF([2]道具信息!O575="","",[2]道具信息!O575)</f>
        <v/>
      </c>
      <c r="P575" s="59" t="str">
        <f>IF([2]道具信息!P575="","",[2]道具信息!P575)</f>
        <v/>
      </c>
      <c r="Q575" s="59" t="str">
        <f>IF([2]道具信息!Q575="","",[2]道具信息!Q575)</f>
        <v/>
      </c>
      <c r="R575" s="59" t="str">
        <f>IF([2]道具信息!R575="","",[2]道具信息!R575)</f>
        <v/>
      </c>
      <c r="S575" s="59" t="str">
        <f>IF([2]道具信息!S575="","",[2]道具信息!S575)</f>
        <v/>
      </c>
      <c r="T575" s="59" t="str">
        <f>IF([2]道具信息!T575="","",[2]道具信息!T575)</f>
        <v/>
      </c>
      <c r="U575" s="59" t="str">
        <f>IF([2]道具信息!U575="","",[2]道具信息!U575)</f>
        <v/>
      </c>
      <c r="V575" s="59" t="str">
        <f>IF([2]道具信息!V575="","",[2]道具信息!V575)</f>
        <v/>
      </c>
      <c r="W575" s="59" t="str">
        <f>IF([2]道具信息!W575="","",[2]道具信息!W575)</f>
        <v/>
      </c>
      <c r="X575" s="59" t="str">
        <f>IF([2]道具信息!X575="","",[2]道具信息!X575)</f>
        <v/>
      </c>
      <c r="Y575" s="59" t="str">
        <f>IF([2]道具信息!Y575="","",[2]道具信息!Y575)</f>
        <v/>
      </c>
      <c r="Z575" s="59" t="str">
        <f>IF([2]道具信息!Z575="","",[2]道具信息!Z575)</f>
        <v/>
      </c>
    </row>
    <row r="576" spans="1:26" x14ac:dyDescent="0.15">
      <c r="A576" s="59" t="str">
        <f>IF([2]道具信息!A576="","",[2]道具信息!A576)</f>
        <v/>
      </c>
      <c r="B576" s="59" t="str">
        <f>IF([2]道具信息!B576="","",[2]道具信息!B576)</f>
        <v/>
      </c>
      <c r="C576" s="59" t="str">
        <f>IF([2]道具信息!C576="","",[2]道具信息!C576)</f>
        <v/>
      </c>
      <c r="D576" s="59" t="str">
        <f>IF([2]道具信息!D576="","",[2]道具信息!D576)</f>
        <v/>
      </c>
      <c r="E576" s="59" t="str">
        <f>IF([2]道具信息!E576="","",[2]道具信息!E576)</f>
        <v/>
      </c>
      <c r="F576" s="59" t="str">
        <f>IF([2]道具信息!F576="","",[2]道具信息!F576)</f>
        <v/>
      </c>
      <c r="G576" s="59" t="str">
        <f>IF([2]道具信息!G576="","",[2]道具信息!G576)</f>
        <v/>
      </c>
      <c r="H576" s="59" t="str">
        <f>IF([2]道具信息!H576="","",[2]道具信息!H576)</f>
        <v/>
      </c>
      <c r="I576" s="59" t="str">
        <f>IF([2]道具信息!I576="","",[2]道具信息!I576)</f>
        <v/>
      </c>
      <c r="J576" s="59" t="str">
        <f>IF([2]道具信息!J576="","",[2]道具信息!J576)</f>
        <v/>
      </c>
      <c r="K576" s="59" t="str">
        <f>IF([2]道具信息!K576="","",[2]道具信息!K576)</f>
        <v/>
      </c>
      <c r="L576" s="59" t="str">
        <f>IF([2]道具信息!L576="","",[2]道具信息!L576)</f>
        <v/>
      </c>
      <c r="M576" s="59" t="str">
        <f>IF([2]道具信息!M576="","",[2]道具信息!M576)</f>
        <v/>
      </c>
      <c r="N576" s="59" t="str">
        <f>IF([2]道具信息!N576="","",[2]道具信息!N576)</f>
        <v/>
      </c>
      <c r="O576" s="59" t="str">
        <f>IF([2]道具信息!O576="","",[2]道具信息!O576)</f>
        <v/>
      </c>
      <c r="P576" s="59" t="str">
        <f>IF([2]道具信息!P576="","",[2]道具信息!P576)</f>
        <v/>
      </c>
      <c r="Q576" s="59" t="str">
        <f>IF([2]道具信息!Q576="","",[2]道具信息!Q576)</f>
        <v/>
      </c>
      <c r="R576" s="59" t="str">
        <f>IF([2]道具信息!R576="","",[2]道具信息!R576)</f>
        <v/>
      </c>
      <c r="S576" s="59" t="str">
        <f>IF([2]道具信息!S576="","",[2]道具信息!S576)</f>
        <v/>
      </c>
      <c r="T576" s="59" t="str">
        <f>IF([2]道具信息!T576="","",[2]道具信息!T576)</f>
        <v/>
      </c>
      <c r="U576" s="59" t="str">
        <f>IF([2]道具信息!U576="","",[2]道具信息!U576)</f>
        <v/>
      </c>
      <c r="V576" s="59" t="str">
        <f>IF([2]道具信息!V576="","",[2]道具信息!V576)</f>
        <v/>
      </c>
      <c r="W576" s="59" t="str">
        <f>IF([2]道具信息!W576="","",[2]道具信息!W576)</f>
        <v/>
      </c>
      <c r="X576" s="59" t="str">
        <f>IF([2]道具信息!X576="","",[2]道具信息!X576)</f>
        <v/>
      </c>
      <c r="Y576" s="59" t="str">
        <f>IF([2]道具信息!Y576="","",[2]道具信息!Y576)</f>
        <v/>
      </c>
      <c r="Z576" s="59" t="str">
        <f>IF([2]道具信息!Z576="","",[2]道具信息!Z576)</f>
        <v/>
      </c>
    </row>
    <row r="577" spans="1:26" x14ac:dyDescent="0.15">
      <c r="A577" s="59" t="str">
        <f>IF([2]道具信息!A577="","",[2]道具信息!A577)</f>
        <v/>
      </c>
      <c r="B577" s="59" t="str">
        <f>IF([2]道具信息!B577="","",[2]道具信息!B577)</f>
        <v/>
      </c>
      <c r="C577" s="59" t="str">
        <f>IF([2]道具信息!C577="","",[2]道具信息!C577)</f>
        <v/>
      </c>
      <c r="D577" s="59" t="str">
        <f>IF([2]道具信息!D577="","",[2]道具信息!D577)</f>
        <v/>
      </c>
      <c r="E577" s="59" t="str">
        <f>IF([2]道具信息!E577="","",[2]道具信息!E577)</f>
        <v/>
      </c>
      <c r="F577" s="59" t="str">
        <f>IF([2]道具信息!F577="","",[2]道具信息!F577)</f>
        <v/>
      </c>
      <c r="G577" s="59" t="str">
        <f>IF([2]道具信息!G577="","",[2]道具信息!G577)</f>
        <v/>
      </c>
      <c r="H577" s="59" t="str">
        <f>IF([2]道具信息!H577="","",[2]道具信息!H577)</f>
        <v/>
      </c>
      <c r="I577" s="59" t="str">
        <f>IF([2]道具信息!I577="","",[2]道具信息!I577)</f>
        <v/>
      </c>
      <c r="J577" s="59" t="str">
        <f>IF([2]道具信息!J577="","",[2]道具信息!J577)</f>
        <v/>
      </c>
      <c r="K577" s="59" t="str">
        <f>IF([2]道具信息!K577="","",[2]道具信息!K577)</f>
        <v/>
      </c>
      <c r="L577" s="59" t="str">
        <f>IF([2]道具信息!L577="","",[2]道具信息!L577)</f>
        <v/>
      </c>
      <c r="M577" s="59" t="str">
        <f>IF([2]道具信息!M577="","",[2]道具信息!M577)</f>
        <v/>
      </c>
      <c r="N577" s="59" t="str">
        <f>IF([2]道具信息!N577="","",[2]道具信息!N577)</f>
        <v/>
      </c>
      <c r="O577" s="59" t="str">
        <f>IF([2]道具信息!O577="","",[2]道具信息!O577)</f>
        <v/>
      </c>
      <c r="P577" s="59" t="str">
        <f>IF([2]道具信息!P577="","",[2]道具信息!P577)</f>
        <v/>
      </c>
      <c r="Q577" s="59" t="str">
        <f>IF([2]道具信息!Q577="","",[2]道具信息!Q577)</f>
        <v/>
      </c>
      <c r="R577" s="59" t="str">
        <f>IF([2]道具信息!R577="","",[2]道具信息!R577)</f>
        <v/>
      </c>
      <c r="S577" s="59" t="str">
        <f>IF([2]道具信息!S577="","",[2]道具信息!S577)</f>
        <v/>
      </c>
      <c r="T577" s="59" t="str">
        <f>IF([2]道具信息!T577="","",[2]道具信息!T577)</f>
        <v/>
      </c>
      <c r="U577" s="59" t="str">
        <f>IF([2]道具信息!U577="","",[2]道具信息!U577)</f>
        <v/>
      </c>
      <c r="V577" s="59" t="str">
        <f>IF([2]道具信息!V577="","",[2]道具信息!V577)</f>
        <v/>
      </c>
      <c r="W577" s="59" t="str">
        <f>IF([2]道具信息!W577="","",[2]道具信息!W577)</f>
        <v/>
      </c>
      <c r="X577" s="59" t="str">
        <f>IF([2]道具信息!X577="","",[2]道具信息!X577)</f>
        <v/>
      </c>
      <c r="Y577" s="59" t="str">
        <f>IF([2]道具信息!Y577="","",[2]道具信息!Y577)</f>
        <v/>
      </c>
      <c r="Z577" s="59" t="str">
        <f>IF([2]道具信息!Z577="","",[2]道具信息!Z577)</f>
        <v/>
      </c>
    </row>
    <row r="578" spans="1:26" x14ac:dyDescent="0.15">
      <c r="A578" s="59" t="str">
        <f>IF([2]道具信息!A578="","",[2]道具信息!A578)</f>
        <v/>
      </c>
      <c r="B578" s="59" t="str">
        <f>IF([2]道具信息!B578="","",[2]道具信息!B578)</f>
        <v/>
      </c>
      <c r="C578" s="59" t="str">
        <f>IF([2]道具信息!C578="","",[2]道具信息!C578)</f>
        <v/>
      </c>
      <c r="D578" s="59" t="str">
        <f>IF([2]道具信息!D578="","",[2]道具信息!D578)</f>
        <v/>
      </c>
      <c r="E578" s="59" t="str">
        <f>IF([2]道具信息!E578="","",[2]道具信息!E578)</f>
        <v/>
      </c>
      <c r="F578" s="59" t="str">
        <f>IF([2]道具信息!F578="","",[2]道具信息!F578)</f>
        <v/>
      </c>
      <c r="G578" s="59" t="str">
        <f>IF([2]道具信息!G578="","",[2]道具信息!G578)</f>
        <v/>
      </c>
      <c r="H578" s="59" t="str">
        <f>IF([2]道具信息!H578="","",[2]道具信息!H578)</f>
        <v/>
      </c>
      <c r="I578" s="59" t="str">
        <f>IF([2]道具信息!I578="","",[2]道具信息!I578)</f>
        <v/>
      </c>
      <c r="J578" s="59" t="str">
        <f>IF([2]道具信息!J578="","",[2]道具信息!J578)</f>
        <v/>
      </c>
      <c r="K578" s="59" t="str">
        <f>IF([2]道具信息!K578="","",[2]道具信息!K578)</f>
        <v/>
      </c>
      <c r="L578" s="59" t="str">
        <f>IF([2]道具信息!L578="","",[2]道具信息!L578)</f>
        <v/>
      </c>
      <c r="M578" s="59" t="str">
        <f>IF([2]道具信息!M578="","",[2]道具信息!M578)</f>
        <v/>
      </c>
      <c r="N578" s="59" t="str">
        <f>IF([2]道具信息!N578="","",[2]道具信息!N578)</f>
        <v/>
      </c>
      <c r="O578" s="59" t="str">
        <f>IF([2]道具信息!O578="","",[2]道具信息!O578)</f>
        <v/>
      </c>
      <c r="P578" s="59" t="str">
        <f>IF([2]道具信息!P578="","",[2]道具信息!P578)</f>
        <v/>
      </c>
      <c r="Q578" s="59" t="str">
        <f>IF([2]道具信息!Q578="","",[2]道具信息!Q578)</f>
        <v/>
      </c>
      <c r="R578" s="59" t="str">
        <f>IF([2]道具信息!R578="","",[2]道具信息!R578)</f>
        <v/>
      </c>
      <c r="S578" s="59" t="str">
        <f>IF([2]道具信息!S578="","",[2]道具信息!S578)</f>
        <v/>
      </c>
      <c r="T578" s="59" t="str">
        <f>IF([2]道具信息!T578="","",[2]道具信息!T578)</f>
        <v/>
      </c>
      <c r="U578" s="59" t="str">
        <f>IF([2]道具信息!U578="","",[2]道具信息!U578)</f>
        <v/>
      </c>
      <c r="V578" s="59" t="str">
        <f>IF([2]道具信息!V578="","",[2]道具信息!V578)</f>
        <v/>
      </c>
      <c r="W578" s="59" t="str">
        <f>IF([2]道具信息!W578="","",[2]道具信息!W578)</f>
        <v/>
      </c>
      <c r="X578" s="59" t="str">
        <f>IF([2]道具信息!X578="","",[2]道具信息!X578)</f>
        <v/>
      </c>
      <c r="Y578" s="59" t="str">
        <f>IF([2]道具信息!Y578="","",[2]道具信息!Y578)</f>
        <v/>
      </c>
      <c r="Z578" s="59" t="str">
        <f>IF([2]道具信息!Z578="","",[2]道具信息!Z578)</f>
        <v/>
      </c>
    </row>
    <row r="579" spans="1:26" x14ac:dyDescent="0.15">
      <c r="A579" s="59" t="str">
        <f>IF([2]道具信息!A579="","",[2]道具信息!A579)</f>
        <v/>
      </c>
      <c r="B579" s="59" t="str">
        <f>IF([2]道具信息!B579="","",[2]道具信息!B579)</f>
        <v/>
      </c>
      <c r="C579" s="59" t="str">
        <f>IF([2]道具信息!C579="","",[2]道具信息!C579)</f>
        <v/>
      </c>
      <c r="D579" s="59" t="str">
        <f>IF([2]道具信息!D579="","",[2]道具信息!D579)</f>
        <v/>
      </c>
      <c r="E579" s="59" t="str">
        <f>IF([2]道具信息!E579="","",[2]道具信息!E579)</f>
        <v/>
      </c>
      <c r="F579" s="59" t="str">
        <f>IF([2]道具信息!F579="","",[2]道具信息!F579)</f>
        <v/>
      </c>
      <c r="G579" s="59" t="str">
        <f>IF([2]道具信息!G579="","",[2]道具信息!G579)</f>
        <v/>
      </c>
      <c r="H579" s="59" t="str">
        <f>IF([2]道具信息!H579="","",[2]道具信息!H579)</f>
        <v/>
      </c>
      <c r="I579" s="59" t="str">
        <f>IF([2]道具信息!I579="","",[2]道具信息!I579)</f>
        <v/>
      </c>
      <c r="J579" s="59" t="str">
        <f>IF([2]道具信息!J579="","",[2]道具信息!J579)</f>
        <v/>
      </c>
      <c r="K579" s="59" t="str">
        <f>IF([2]道具信息!K579="","",[2]道具信息!K579)</f>
        <v/>
      </c>
      <c r="L579" s="59" t="str">
        <f>IF([2]道具信息!L579="","",[2]道具信息!L579)</f>
        <v/>
      </c>
      <c r="M579" s="59" t="str">
        <f>IF([2]道具信息!M579="","",[2]道具信息!M579)</f>
        <v/>
      </c>
      <c r="N579" s="59" t="str">
        <f>IF([2]道具信息!N579="","",[2]道具信息!N579)</f>
        <v/>
      </c>
      <c r="O579" s="59" t="str">
        <f>IF([2]道具信息!O579="","",[2]道具信息!O579)</f>
        <v/>
      </c>
      <c r="P579" s="59" t="str">
        <f>IF([2]道具信息!P579="","",[2]道具信息!P579)</f>
        <v/>
      </c>
      <c r="Q579" s="59" t="str">
        <f>IF([2]道具信息!Q579="","",[2]道具信息!Q579)</f>
        <v/>
      </c>
      <c r="R579" s="59" t="str">
        <f>IF([2]道具信息!R579="","",[2]道具信息!R579)</f>
        <v/>
      </c>
      <c r="S579" s="59" t="str">
        <f>IF([2]道具信息!S579="","",[2]道具信息!S579)</f>
        <v/>
      </c>
      <c r="T579" s="59" t="str">
        <f>IF([2]道具信息!T579="","",[2]道具信息!T579)</f>
        <v/>
      </c>
      <c r="U579" s="59" t="str">
        <f>IF([2]道具信息!U579="","",[2]道具信息!U579)</f>
        <v/>
      </c>
      <c r="V579" s="59" t="str">
        <f>IF([2]道具信息!V579="","",[2]道具信息!V579)</f>
        <v/>
      </c>
      <c r="W579" s="59" t="str">
        <f>IF([2]道具信息!W579="","",[2]道具信息!W579)</f>
        <v/>
      </c>
      <c r="X579" s="59" t="str">
        <f>IF([2]道具信息!X579="","",[2]道具信息!X579)</f>
        <v/>
      </c>
      <c r="Y579" s="59" t="str">
        <f>IF([2]道具信息!Y579="","",[2]道具信息!Y579)</f>
        <v/>
      </c>
      <c r="Z579" s="59" t="str">
        <f>IF([2]道具信息!Z579="","",[2]道具信息!Z579)</f>
        <v/>
      </c>
    </row>
    <row r="580" spans="1:26" x14ac:dyDescent="0.15">
      <c r="A580" s="59" t="str">
        <f>IF([2]道具信息!A580="","",[2]道具信息!A580)</f>
        <v/>
      </c>
      <c r="B580" s="59" t="str">
        <f>IF([2]道具信息!B580="","",[2]道具信息!B580)</f>
        <v/>
      </c>
      <c r="C580" s="59" t="str">
        <f>IF([2]道具信息!C580="","",[2]道具信息!C580)</f>
        <v/>
      </c>
      <c r="D580" s="59" t="str">
        <f>IF([2]道具信息!D580="","",[2]道具信息!D580)</f>
        <v/>
      </c>
      <c r="E580" s="59" t="str">
        <f>IF([2]道具信息!E580="","",[2]道具信息!E580)</f>
        <v/>
      </c>
      <c r="F580" s="59" t="str">
        <f>IF([2]道具信息!F580="","",[2]道具信息!F580)</f>
        <v/>
      </c>
      <c r="G580" s="59" t="str">
        <f>IF([2]道具信息!G580="","",[2]道具信息!G580)</f>
        <v/>
      </c>
      <c r="H580" s="59" t="str">
        <f>IF([2]道具信息!H580="","",[2]道具信息!H580)</f>
        <v/>
      </c>
      <c r="I580" s="59" t="str">
        <f>IF([2]道具信息!I580="","",[2]道具信息!I580)</f>
        <v/>
      </c>
      <c r="J580" s="59" t="str">
        <f>IF([2]道具信息!J580="","",[2]道具信息!J580)</f>
        <v/>
      </c>
      <c r="K580" s="59" t="str">
        <f>IF([2]道具信息!K580="","",[2]道具信息!K580)</f>
        <v/>
      </c>
      <c r="L580" s="59" t="str">
        <f>IF([2]道具信息!L580="","",[2]道具信息!L580)</f>
        <v/>
      </c>
      <c r="M580" s="59" t="str">
        <f>IF([2]道具信息!M580="","",[2]道具信息!M580)</f>
        <v/>
      </c>
      <c r="N580" s="59" t="str">
        <f>IF([2]道具信息!N580="","",[2]道具信息!N580)</f>
        <v/>
      </c>
      <c r="O580" s="59" t="str">
        <f>IF([2]道具信息!O580="","",[2]道具信息!O580)</f>
        <v/>
      </c>
      <c r="P580" s="59" t="str">
        <f>IF([2]道具信息!P580="","",[2]道具信息!P580)</f>
        <v/>
      </c>
      <c r="Q580" s="59" t="str">
        <f>IF([2]道具信息!Q580="","",[2]道具信息!Q580)</f>
        <v/>
      </c>
      <c r="R580" s="59" t="str">
        <f>IF([2]道具信息!R580="","",[2]道具信息!R580)</f>
        <v/>
      </c>
      <c r="S580" s="59" t="str">
        <f>IF([2]道具信息!S580="","",[2]道具信息!S580)</f>
        <v/>
      </c>
      <c r="T580" s="59" t="str">
        <f>IF([2]道具信息!T580="","",[2]道具信息!T580)</f>
        <v/>
      </c>
      <c r="U580" s="59" t="str">
        <f>IF([2]道具信息!U580="","",[2]道具信息!U580)</f>
        <v/>
      </c>
      <c r="V580" s="59" t="str">
        <f>IF([2]道具信息!V580="","",[2]道具信息!V580)</f>
        <v/>
      </c>
      <c r="W580" s="59" t="str">
        <f>IF([2]道具信息!W580="","",[2]道具信息!W580)</f>
        <v/>
      </c>
      <c r="X580" s="59" t="str">
        <f>IF([2]道具信息!X580="","",[2]道具信息!X580)</f>
        <v/>
      </c>
      <c r="Y580" s="59" t="str">
        <f>IF([2]道具信息!Y580="","",[2]道具信息!Y580)</f>
        <v/>
      </c>
      <c r="Z580" s="59" t="str">
        <f>IF([2]道具信息!Z580="","",[2]道具信息!Z580)</f>
        <v/>
      </c>
    </row>
    <row r="581" spans="1:26" x14ac:dyDescent="0.15">
      <c r="A581" s="59" t="str">
        <f>IF([2]道具信息!A581="","",[2]道具信息!A581)</f>
        <v/>
      </c>
      <c r="B581" s="59" t="str">
        <f>IF([2]道具信息!B581="","",[2]道具信息!B581)</f>
        <v/>
      </c>
      <c r="C581" s="59" t="str">
        <f>IF([2]道具信息!C581="","",[2]道具信息!C581)</f>
        <v/>
      </c>
      <c r="D581" s="59" t="str">
        <f>IF([2]道具信息!D581="","",[2]道具信息!D581)</f>
        <v/>
      </c>
      <c r="E581" s="59" t="str">
        <f>IF([2]道具信息!E581="","",[2]道具信息!E581)</f>
        <v/>
      </c>
      <c r="F581" s="59" t="str">
        <f>IF([2]道具信息!F581="","",[2]道具信息!F581)</f>
        <v/>
      </c>
      <c r="G581" s="59" t="str">
        <f>IF([2]道具信息!G581="","",[2]道具信息!G581)</f>
        <v/>
      </c>
      <c r="H581" s="59" t="str">
        <f>IF([2]道具信息!H581="","",[2]道具信息!H581)</f>
        <v/>
      </c>
      <c r="I581" s="59" t="str">
        <f>IF([2]道具信息!I581="","",[2]道具信息!I581)</f>
        <v/>
      </c>
      <c r="J581" s="59" t="str">
        <f>IF([2]道具信息!J581="","",[2]道具信息!J581)</f>
        <v/>
      </c>
      <c r="K581" s="59" t="str">
        <f>IF([2]道具信息!K581="","",[2]道具信息!K581)</f>
        <v/>
      </c>
      <c r="L581" s="59" t="str">
        <f>IF([2]道具信息!L581="","",[2]道具信息!L581)</f>
        <v/>
      </c>
      <c r="M581" s="59" t="str">
        <f>IF([2]道具信息!M581="","",[2]道具信息!M581)</f>
        <v/>
      </c>
      <c r="N581" s="59" t="str">
        <f>IF([2]道具信息!N581="","",[2]道具信息!N581)</f>
        <v/>
      </c>
      <c r="O581" s="59" t="str">
        <f>IF([2]道具信息!O581="","",[2]道具信息!O581)</f>
        <v/>
      </c>
      <c r="P581" s="59" t="str">
        <f>IF([2]道具信息!P581="","",[2]道具信息!P581)</f>
        <v/>
      </c>
      <c r="Q581" s="59" t="str">
        <f>IF([2]道具信息!Q581="","",[2]道具信息!Q581)</f>
        <v/>
      </c>
      <c r="R581" s="59" t="str">
        <f>IF([2]道具信息!R581="","",[2]道具信息!R581)</f>
        <v/>
      </c>
      <c r="S581" s="59" t="str">
        <f>IF([2]道具信息!S581="","",[2]道具信息!S581)</f>
        <v/>
      </c>
      <c r="T581" s="59" t="str">
        <f>IF([2]道具信息!T581="","",[2]道具信息!T581)</f>
        <v/>
      </c>
      <c r="U581" s="59" t="str">
        <f>IF([2]道具信息!U581="","",[2]道具信息!U581)</f>
        <v/>
      </c>
      <c r="V581" s="59" t="str">
        <f>IF([2]道具信息!V581="","",[2]道具信息!V581)</f>
        <v/>
      </c>
      <c r="W581" s="59" t="str">
        <f>IF([2]道具信息!W581="","",[2]道具信息!W581)</f>
        <v/>
      </c>
      <c r="X581" s="59" t="str">
        <f>IF([2]道具信息!X581="","",[2]道具信息!X581)</f>
        <v/>
      </c>
      <c r="Y581" s="59" t="str">
        <f>IF([2]道具信息!Y581="","",[2]道具信息!Y581)</f>
        <v/>
      </c>
      <c r="Z581" s="59" t="str">
        <f>IF([2]道具信息!Z581="","",[2]道具信息!Z581)</f>
        <v/>
      </c>
    </row>
    <row r="582" spans="1:26" x14ac:dyDescent="0.15">
      <c r="A582" s="59" t="str">
        <f>IF([2]道具信息!A582="","",[2]道具信息!A582)</f>
        <v/>
      </c>
      <c r="B582" s="59" t="str">
        <f>IF([2]道具信息!B582="","",[2]道具信息!B582)</f>
        <v/>
      </c>
      <c r="C582" s="59" t="str">
        <f>IF([2]道具信息!C582="","",[2]道具信息!C582)</f>
        <v/>
      </c>
      <c r="D582" s="59" t="str">
        <f>IF([2]道具信息!D582="","",[2]道具信息!D582)</f>
        <v/>
      </c>
      <c r="E582" s="59" t="str">
        <f>IF([2]道具信息!E582="","",[2]道具信息!E582)</f>
        <v/>
      </c>
      <c r="F582" s="59" t="str">
        <f>IF([2]道具信息!F582="","",[2]道具信息!F582)</f>
        <v/>
      </c>
      <c r="G582" s="59" t="str">
        <f>IF([2]道具信息!G582="","",[2]道具信息!G582)</f>
        <v/>
      </c>
      <c r="H582" s="59" t="str">
        <f>IF([2]道具信息!H582="","",[2]道具信息!H582)</f>
        <v/>
      </c>
      <c r="I582" s="59" t="str">
        <f>IF([2]道具信息!I582="","",[2]道具信息!I582)</f>
        <v/>
      </c>
      <c r="J582" s="59" t="str">
        <f>IF([2]道具信息!J582="","",[2]道具信息!J582)</f>
        <v/>
      </c>
      <c r="K582" s="59" t="str">
        <f>IF([2]道具信息!K582="","",[2]道具信息!K582)</f>
        <v/>
      </c>
      <c r="L582" s="59" t="str">
        <f>IF([2]道具信息!L582="","",[2]道具信息!L582)</f>
        <v/>
      </c>
      <c r="M582" s="59" t="str">
        <f>IF([2]道具信息!M582="","",[2]道具信息!M582)</f>
        <v/>
      </c>
      <c r="N582" s="59" t="str">
        <f>IF([2]道具信息!N582="","",[2]道具信息!N582)</f>
        <v/>
      </c>
      <c r="O582" s="59" t="str">
        <f>IF([2]道具信息!O582="","",[2]道具信息!O582)</f>
        <v/>
      </c>
      <c r="P582" s="59" t="str">
        <f>IF([2]道具信息!P582="","",[2]道具信息!P582)</f>
        <v/>
      </c>
      <c r="Q582" s="59" t="str">
        <f>IF([2]道具信息!Q582="","",[2]道具信息!Q582)</f>
        <v/>
      </c>
      <c r="R582" s="59" t="str">
        <f>IF([2]道具信息!R582="","",[2]道具信息!R582)</f>
        <v/>
      </c>
      <c r="S582" s="59" t="str">
        <f>IF([2]道具信息!S582="","",[2]道具信息!S582)</f>
        <v/>
      </c>
      <c r="T582" s="59" t="str">
        <f>IF([2]道具信息!T582="","",[2]道具信息!T582)</f>
        <v/>
      </c>
      <c r="U582" s="59" t="str">
        <f>IF([2]道具信息!U582="","",[2]道具信息!U582)</f>
        <v/>
      </c>
      <c r="V582" s="59" t="str">
        <f>IF([2]道具信息!V582="","",[2]道具信息!V582)</f>
        <v/>
      </c>
      <c r="W582" s="59" t="str">
        <f>IF([2]道具信息!W582="","",[2]道具信息!W582)</f>
        <v/>
      </c>
      <c r="X582" s="59" t="str">
        <f>IF([2]道具信息!X582="","",[2]道具信息!X582)</f>
        <v/>
      </c>
      <c r="Y582" s="59" t="str">
        <f>IF([2]道具信息!Y582="","",[2]道具信息!Y582)</f>
        <v/>
      </c>
      <c r="Z582" s="59" t="str">
        <f>IF([2]道具信息!Z582="","",[2]道具信息!Z582)</f>
        <v/>
      </c>
    </row>
    <row r="583" spans="1:26" x14ac:dyDescent="0.15">
      <c r="A583" s="59" t="str">
        <f>IF([2]道具信息!A583="","",[2]道具信息!A583)</f>
        <v/>
      </c>
      <c r="B583" s="59" t="str">
        <f>IF([2]道具信息!B583="","",[2]道具信息!B583)</f>
        <v/>
      </c>
      <c r="C583" s="59" t="str">
        <f>IF([2]道具信息!C583="","",[2]道具信息!C583)</f>
        <v/>
      </c>
      <c r="D583" s="59" t="str">
        <f>IF([2]道具信息!D583="","",[2]道具信息!D583)</f>
        <v/>
      </c>
      <c r="E583" s="59" t="str">
        <f>IF([2]道具信息!E583="","",[2]道具信息!E583)</f>
        <v/>
      </c>
      <c r="F583" s="59" t="str">
        <f>IF([2]道具信息!F583="","",[2]道具信息!F583)</f>
        <v/>
      </c>
      <c r="G583" s="59" t="str">
        <f>IF([2]道具信息!G583="","",[2]道具信息!G583)</f>
        <v/>
      </c>
      <c r="H583" s="59" t="str">
        <f>IF([2]道具信息!H583="","",[2]道具信息!H583)</f>
        <v/>
      </c>
      <c r="I583" s="59" t="str">
        <f>IF([2]道具信息!I583="","",[2]道具信息!I583)</f>
        <v/>
      </c>
      <c r="J583" s="59" t="str">
        <f>IF([2]道具信息!J583="","",[2]道具信息!J583)</f>
        <v/>
      </c>
      <c r="K583" s="59" t="str">
        <f>IF([2]道具信息!K583="","",[2]道具信息!K583)</f>
        <v/>
      </c>
      <c r="L583" s="59" t="str">
        <f>IF([2]道具信息!L583="","",[2]道具信息!L583)</f>
        <v/>
      </c>
      <c r="M583" s="59" t="str">
        <f>IF([2]道具信息!M583="","",[2]道具信息!M583)</f>
        <v/>
      </c>
      <c r="N583" s="59" t="str">
        <f>IF([2]道具信息!N583="","",[2]道具信息!N583)</f>
        <v/>
      </c>
      <c r="O583" s="59" t="str">
        <f>IF([2]道具信息!O583="","",[2]道具信息!O583)</f>
        <v/>
      </c>
      <c r="P583" s="59" t="str">
        <f>IF([2]道具信息!P583="","",[2]道具信息!P583)</f>
        <v/>
      </c>
      <c r="Q583" s="59" t="str">
        <f>IF([2]道具信息!Q583="","",[2]道具信息!Q583)</f>
        <v/>
      </c>
      <c r="R583" s="59" t="str">
        <f>IF([2]道具信息!R583="","",[2]道具信息!R583)</f>
        <v/>
      </c>
      <c r="S583" s="59" t="str">
        <f>IF([2]道具信息!S583="","",[2]道具信息!S583)</f>
        <v/>
      </c>
      <c r="T583" s="59" t="str">
        <f>IF([2]道具信息!T583="","",[2]道具信息!T583)</f>
        <v/>
      </c>
      <c r="U583" s="59" t="str">
        <f>IF([2]道具信息!U583="","",[2]道具信息!U583)</f>
        <v/>
      </c>
      <c r="V583" s="59" t="str">
        <f>IF([2]道具信息!V583="","",[2]道具信息!V583)</f>
        <v/>
      </c>
      <c r="W583" s="59" t="str">
        <f>IF([2]道具信息!W583="","",[2]道具信息!W583)</f>
        <v/>
      </c>
      <c r="X583" s="59" t="str">
        <f>IF([2]道具信息!X583="","",[2]道具信息!X583)</f>
        <v/>
      </c>
      <c r="Y583" s="59" t="str">
        <f>IF([2]道具信息!Y583="","",[2]道具信息!Y583)</f>
        <v/>
      </c>
      <c r="Z583" s="59" t="str">
        <f>IF([2]道具信息!Z583="","",[2]道具信息!Z583)</f>
        <v/>
      </c>
    </row>
    <row r="584" spans="1:26" x14ac:dyDescent="0.15">
      <c r="A584" s="59" t="str">
        <f>IF([2]道具信息!A584="","",[2]道具信息!A584)</f>
        <v/>
      </c>
      <c r="B584" s="59" t="str">
        <f>IF([2]道具信息!B584="","",[2]道具信息!B584)</f>
        <v/>
      </c>
      <c r="C584" s="59" t="str">
        <f>IF([2]道具信息!C584="","",[2]道具信息!C584)</f>
        <v/>
      </c>
      <c r="D584" s="59" t="str">
        <f>IF([2]道具信息!D584="","",[2]道具信息!D584)</f>
        <v/>
      </c>
      <c r="E584" s="59" t="str">
        <f>IF([2]道具信息!E584="","",[2]道具信息!E584)</f>
        <v/>
      </c>
      <c r="F584" s="59" t="str">
        <f>IF([2]道具信息!F584="","",[2]道具信息!F584)</f>
        <v/>
      </c>
      <c r="G584" s="59" t="str">
        <f>IF([2]道具信息!G584="","",[2]道具信息!G584)</f>
        <v/>
      </c>
      <c r="H584" s="59" t="str">
        <f>IF([2]道具信息!H584="","",[2]道具信息!H584)</f>
        <v/>
      </c>
      <c r="I584" s="59" t="str">
        <f>IF([2]道具信息!I584="","",[2]道具信息!I584)</f>
        <v/>
      </c>
      <c r="J584" s="59" t="str">
        <f>IF([2]道具信息!J584="","",[2]道具信息!J584)</f>
        <v/>
      </c>
      <c r="K584" s="59" t="str">
        <f>IF([2]道具信息!K584="","",[2]道具信息!K584)</f>
        <v/>
      </c>
      <c r="L584" s="59" t="str">
        <f>IF([2]道具信息!L584="","",[2]道具信息!L584)</f>
        <v/>
      </c>
      <c r="M584" s="59" t="str">
        <f>IF([2]道具信息!M584="","",[2]道具信息!M584)</f>
        <v/>
      </c>
      <c r="N584" s="59" t="str">
        <f>IF([2]道具信息!N584="","",[2]道具信息!N584)</f>
        <v/>
      </c>
      <c r="O584" s="59" t="str">
        <f>IF([2]道具信息!O584="","",[2]道具信息!O584)</f>
        <v/>
      </c>
      <c r="P584" s="59" t="str">
        <f>IF([2]道具信息!P584="","",[2]道具信息!P584)</f>
        <v/>
      </c>
      <c r="Q584" s="59" t="str">
        <f>IF([2]道具信息!Q584="","",[2]道具信息!Q584)</f>
        <v/>
      </c>
      <c r="R584" s="59" t="str">
        <f>IF([2]道具信息!R584="","",[2]道具信息!R584)</f>
        <v/>
      </c>
      <c r="S584" s="59" t="str">
        <f>IF([2]道具信息!S584="","",[2]道具信息!S584)</f>
        <v/>
      </c>
      <c r="T584" s="59" t="str">
        <f>IF([2]道具信息!T584="","",[2]道具信息!T584)</f>
        <v/>
      </c>
      <c r="U584" s="59" t="str">
        <f>IF([2]道具信息!U584="","",[2]道具信息!U584)</f>
        <v/>
      </c>
      <c r="V584" s="59" t="str">
        <f>IF([2]道具信息!V584="","",[2]道具信息!V584)</f>
        <v/>
      </c>
      <c r="W584" s="59" t="str">
        <f>IF([2]道具信息!W584="","",[2]道具信息!W584)</f>
        <v/>
      </c>
      <c r="X584" s="59" t="str">
        <f>IF([2]道具信息!X584="","",[2]道具信息!X584)</f>
        <v/>
      </c>
      <c r="Y584" s="59" t="str">
        <f>IF([2]道具信息!Y584="","",[2]道具信息!Y584)</f>
        <v/>
      </c>
      <c r="Z584" s="59" t="str">
        <f>IF([2]道具信息!Z584="","",[2]道具信息!Z584)</f>
        <v/>
      </c>
    </row>
    <row r="585" spans="1:26" x14ac:dyDescent="0.15">
      <c r="A585" s="59" t="str">
        <f>IF([2]道具信息!A585="","",[2]道具信息!A585)</f>
        <v/>
      </c>
      <c r="B585" s="59" t="str">
        <f>IF([2]道具信息!B585="","",[2]道具信息!B585)</f>
        <v/>
      </c>
      <c r="C585" s="59" t="str">
        <f>IF([2]道具信息!C585="","",[2]道具信息!C585)</f>
        <v/>
      </c>
      <c r="D585" s="59" t="str">
        <f>IF([2]道具信息!D585="","",[2]道具信息!D585)</f>
        <v/>
      </c>
      <c r="E585" s="59" t="str">
        <f>IF([2]道具信息!E585="","",[2]道具信息!E585)</f>
        <v/>
      </c>
      <c r="F585" s="59" t="str">
        <f>IF([2]道具信息!F585="","",[2]道具信息!F585)</f>
        <v/>
      </c>
      <c r="G585" s="59" t="str">
        <f>IF([2]道具信息!G585="","",[2]道具信息!G585)</f>
        <v/>
      </c>
      <c r="H585" s="59" t="str">
        <f>IF([2]道具信息!H585="","",[2]道具信息!H585)</f>
        <v/>
      </c>
      <c r="I585" s="59" t="str">
        <f>IF([2]道具信息!I585="","",[2]道具信息!I585)</f>
        <v/>
      </c>
      <c r="J585" s="59" t="str">
        <f>IF([2]道具信息!J585="","",[2]道具信息!J585)</f>
        <v/>
      </c>
      <c r="K585" s="59" t="str">
        <f>IF([2]道具信息!K585="","",[2]道具信息!K585)</f>
        <v/>
      </c>
      <c r="L585" s="59" t="str">
        <f>IF([2]道具信息!L585="","",[2]道具信息!L585)</f>
        <v/>
      </c>
      <c r="M585" s="59" t="str">
        <f>IF([2]道具信息!M585="","",[2]道具信息!M585)</f>
        <v/>
      </c>
      <c r="N585" s="59" t="str">
        <f>IF([2]道具信息!N585="","",[2]道具信息!N585)</f>
        <v/>
      </c>
      <c r="O585" s="59" t="str">
        <f>IF([2]道具信息!O585="","",[2]道具信息!O585)</f>
        <v/>
      </c>
      <c r="P585" s="59" t="str">
        <f>IF([2]道具信息!P585="","",[2]道具信息!P585)</f>
        <v/>
      </c>
      <c r="Q585" s="59" t="str">
        <f>IF([2]道具信息!Q585="","",[2]道具信息!Q585)</f>
        <v/>
      </c>
      <c r="R585" s="59" t="str">
        <f>IF([2]道具信息!R585="","",[2]道具信息!R585)</f>
        <v/>
      </c>
      <c r="S585" s="59" t="str">
        <f>IF([2]道具信息!S585="","",[2]道具信息!S585)</f>
        <v/>
      </c>
      <c r="T585" s="59" t="str">
        <f>IF([2]道具信息!T585="","",[2]道具信息!T585)</f>
        <v/>
      </c>
      <c r="U585" s="59" t="str">
        <f>IF([2]道具信息!U585="","",[2]道具信息!U585)</f>
        <v/>
      </c>
      <c r="V585" s="59" t="str">
        <f>IF([2]道具信息!V585="","",[2]道具信息!V585)</f>
        <v/>
      </c>
      <c r="W585" s="59" t="str">
        <f>IF([2]道具信息!W585="","",[2]道具信息!W585)</f>
        <v/>
      </c>
      <c r="X585" s="59" t="str">
        <f>IF([2]道具信息!X585="","",[2]道具信息!X585)</f>
        <v/>
      </c>
      <c r="Y585" s="59" t="str">
        <f>IF([2]道具信息!Y585="","",[2]道具信息!Y585)</f>
        <v/>
      </c>
      <c r="Z585" s="59" t="str">
        <f>IF([2]道具信息!Z585="","",[2]道具信息!Z585)</f>
        <v/>
      </c>
    </row>
    <row r="586" spans="1:26" x14ac:dyDescent="0.15">
      <c r="A586" s="59" t="str">
        <f>IF([2]道具信息!A586="","",[2]道具信息!A586)</f>
        <v/>
      </c>
      <c r="B586" s="59" t="str">
        <f>IF([2]道具信息!B586="","",[2]道具信息!B586)</f>
        <v/>
      </c>
      <c r="C586" s="59" t="str">
        <f>IF([2]道具信息!C586="","",[2]道具信息!C586)</f>
        <v/>
      </c>
      <c r="D586" s="59" t="str">
        <f>IF([2]道具信息!D586="","",[2]道具信息!D586)</f>
        <v/>
      </c>
      <c r="E586" s="59" t="str">
        <f>IF([2]道具信息!E586="","",[2]道具信息!E586)</f>
        <v/>
      </c>
      <c r="F586" s="59" t="str">
        <f>IF([2]道具信息!F586="","",[2]道具信息!F586)</f>
        <v/>
      </c>
      <c r="G586" s="59" t="str">
        <f>IF([2]道具信息!G586="","",[2]道具信息!G586)</f>
        <v/>
      </c>
      <c r="H586" s="59" t="str">
        <f>IF([2]道具信息!H586="","",[2]道具信息!H586)</f>
        <v/>
      </c>
      <c r="I586" s="59" t="str">
        <f>IF([2]道具信息!I586="","",[2]道具信息!I586)</f>
        <v/>
      </c>
      <c r="J586" s="59" t="str">
        <f>IF([2]道具信息!J586="","",[2]道具信息!J586)</f>
        <v/>
      </c>
      <c r="K586" s="59" t="str">
        <f>IF([2]道具信息!K586="","",[2]道具信息!K586)</f>
        <v/>
      </c>
      <c r="L586" s="59" t="str">
        <f>IF([2]道具信息!L586="","",[2]道具信息!L586)</f>
        <v/>
      </c>
      <c r="M586" s="59" t="str">
        <f>IF([2]道具信息!M586="","",[2]道具信息!M586)</f>
        <v/>
      </c>
      <c r="N586" s="59" t="str">
        <f>IF([2]道具信息!N586="","",[2]道具信息!N586)</f>
        <v/>
      </c>
      <c r="O586" s="59" t="str">
        <f>IF([2]道具信息!O586="","",[2]道具信息!O586)</f>
        <v/>
      </c>
      <c r="P586" s="59" t="str">
        <f>IF([2]道具信息!P586="","",[2]道具信息!P586)</f>
        <v/>
      </c>
      <c r="Q586" s="59" t="str">
        <f>IF([2]道具信息!Q586="","",[2]道具信息!Q586)</f>
        <v/>
      </c>
      <c r="R586" s="59" t="str">
        <f>IF([2]道具信息!R586="","",[2]道具信息!R586)</f>
        <v/>
      </c>
      <c r="S586" s="59" t="str">
        <f>IF([2]道具信息!S586="","",[2]道具信息!S586)</f>
        <v/>
      </c>
      <c r="T586" s="59" t="str">
        <f>IF([2]道具信息!T586="","",[2]道具信息!T586)</f>
        <v/>
      </c>
      <c r="U586" s="59" t="str">
        <f>IF([2]道具信息!U586="","",[2]道具信息!U586)</f>
        <v/>
      </c>
      <c r="V586" s="59" t="str">
        <f>IF([2]道具信息!V586="","",[2]道具信息!V586)</f>
        <v/>
      </c>
      <c r="W586" s="59" t="str">
        <f>IF([2]道具信息!W586="","",[2]道具信息!W586)</f>
        <v/>
      </c>
      <c r="X586" s="59" t="str">
        <f>IF([2]道具信息!X586="","",[2]道具信息!X586)</f>
        <v/>
      </c>
      <c r="Y586" s="59" t="str">
        <f>IF([2]道具信息!Y586="","",[2]道具信息!Y586)</f>
        <v/>
      </c>
      <c r="Z586" s="59" t="str">
        <f>IF([2]道具信息!Z586="","",[2]道具信息!Z586)</f>
        <v/>
      </c>
    </row>
    <row r="587" spans="1:26" x14ac:dyDescent="0.15">
      <c r="A587" s="59" t="str">
        <f>IF([2]道具信息!A587="","",[2]道具信息!A587)</f>
        <v/>
      </c>
      <c r="B587" s="59" t="str">
        <f>IF([2]道具信息!B587="","",[2]道具信息!B587)</f>
        <v/>
      </c>
      <c r="C587" s="59" t="str">
        <f>IF([2]道具信息!C587="","",[2]道具信息!C587)</f>
        <v/>
      </c>
      <c r="D587" s="59" t="str">
        <f>IF([2]道具信息!D587="","",[2]道具信息!D587)</f>
        <v/>
      </c>
      <c r="E587" s="59" t="str">
        <f>IF([2]道具信息!E587="","",[2]道具信息!E587)</f>
        <v/>
      </c>
      <c r="F587" s="59" t="str">
        <f>IF([2]道具信息!F587="","",[2]道具信息!F587)</f>
        <v/>
      </c>
      <c r="G587" s="59" t="str">
        <f>IF([2]道具信息!G587="","",[2]道具信息!G587)</f>
        <v/>
      </c>
      <c r="H587" s="59" t="str">
        <f>IF([2]道具信息!H587="","",[2]道具信息!H587)</f>
        <v/>
      </c>
      <c r="I587" s="59" t="str">
        <f>IF([2]道具信息!I587="","",[2]道具信息!I587)</f>
        <v/>
      </c>
      <c r="J587" s="59" t="str">
        <f>IF([2]道具信息!J587="","",[2]道具信息!J587)</f>
        <v/>
      </c>
      <c r="K587" s="59" t="str">
        <f>IF([2]道具信息!K587="","",[2]道具信息!K587)</f>
        <v/>
      </c>
      <c r="L587" s="59" t="str">
        <f>IF([2]道具信息!L587="","",[2]道具信息!L587)</f>
        <v/>
      </c>
      <c r="M587" s="59" t="str">
        <f>IF([2]道具信息!M587="","",[2]道具信息!M587)</f>
        <v/>
      </c>
      <c r="N587" s="59" t="str">
        <f>IF([2]道具信息!N587="","",[2]道具信息!N587)</f>
        <v/>
      </c>
      <c r="O587" s="59" t="str">
        <f>IF([2]道具信息!O587="","",[2]道具信息!O587)</f>
        <v/>
      </c>
      <c r="P587" s="59" t="str">
        <f>IF([2]道具信息!P587="","",[2]道具信息!P587)</f>
        <v/>
      </c>
      <c r="Q587" s="59" t="str">
        <f>IF([2]道具信息!Q587="","",[2]道具信息!Q587)</f>
        <v/>
      </c>
      <c r="R587" s="59" t="str">
        <f>IF([2]道具信息!R587="","",[2]道具信息!R587)</f>
        <v/>
      </c>
      <c r="S587" s="59" t="str">
        <f>IF([2]道具信息!S587="","",[2]道具信息!S587)</f>
        <v/>
      </c>
      <c r="T587" s="59" t="str">
        <f>IF([2]道具信息!T587="","",[2]道具信息!T587)</f>
        <v/>
      </c>
      <c r="U587" s="59" t="str">
        <f>IF([2]道具信息!U587="","",[2]道具信息!U587)</f>
        <v/>
      </c>
      <c r="V587" s="59" t="str">
        <f>IF([2]道具信息!V587="","",[2]道具信息!V587)</f>
        <v/>
      </c>
      <c r="W587" s="59" t="str">
        <f>IF([2]道具信息!W587="","",[2]道具信息!W587)</f>
        <v/>
      </c>
      <c r="X587" s="59" t="str">
        <f>IF([2]道具信息!X587="","",[2]道具信息!X587)</f>
        <v/>
      </c>
      <c r="Y587" s="59" t="str">
        <f>IF([2]道具信息!Y587="","",[2]道具信息!Y587)</f>
        <v/>
      </c>
      <c r="Z587" s="59" t="str">
        <f>IF([2]道具信息!Z587="","",[2]道具信息!Z587)</f>
        <v/>
      </c>
    </row>
    <row r="588" spans="1:26" x14ac:dyDescent="0.15">
      <c r="A588" s="59" t="str">
        <f>IF([2]道具信息!A588="","",[2]道具信息!A588)</f>
        <v/>
      </c>
      <c r="B588" s="59" t="str">
        <f>IF([2]道具信息!B588="","",[2]道具信息!B588)</f>
        <v/>
      </c>
      <c r="C588" s="59" t="str">
        <f>IF([2]道具信息!C588="","",[2]道具信息!C588)</f>
        <v/>
      </c>
      <c r="D588" s="59" t="str">
        <f>IF([2]道具信息!D588="","",[2]道具信息!D588)</f>
        <v/>
      </c>
      <c r="E588" s="59" t="str">
        <f>IF([2]道具信息!E588="","",[2]道具信息!E588)</f>
        <v/>
      </c>
      <c r="F588" s="59" t="str">
        <f>IF([2]道具信息!F588="","",[2]道具信息!F588)</f>
        <v/>
      </c>
      <c r="G588" s="59" t="str">
        <f>IF([2]道具信息!G588="","",[2]道具信息!G588)</f>
        <v/>
      </c>
      <c r="H588" s="59" t="str">
        <f>IF([2]道具信息!H588="","",[2]道具信息!H588)</f>
        <v/>
      </c>
      <c r="I588" s="59" t="str">
        <f>IF([2]道具信息!I588="","",[2]道具信息!I588)</f>
        <v/>
      </c>
      <c r="J588" s="59" t="str">
        <f>IF([2]道具信息!J588="","",[2]道具信息!J588)</f>
        <v/>
      </c>
      <c r="K588" s="59" t="str">
        <f>IF([2]道具信息!K588="","",[2]道具信息!K588)</f>
        <v/>
      </c>
      <c r="L588" s="59" t="str">
        <f>IF([2]道具信息!L588="","",[2]道具信息!L588)</f>
        <v/>
      </c>
      <c r="M588" s="59" t="str">
        <f>IF([2]道具信息!M588="","",[2]道具信息!M588)</f>
        <v/>
      </c>
      <c r="N588" s="59" t="str">
        <f>IF([2]道具信息!N588="","",[2]道具信息!N588)</f>
        <v/>
      </c>
      <c r="O588" s="59" t="str">
        <f>IF([2]道具信息!O588="","",[2]道具信息!O588)</f>
        <v/>
      </c>
      <c r="P588" s="59" t="str">
        <f>IF([2]道具信息!P588="","",[2]道具信息!P588)</f>
        <v/>
      </c>
      <c r="Q588" s="59" t="str">
        <f>IF([2]道具信息!Q588="","",[2]道具信息!Q588)</f>
        <v/>
      </c>
      <c r="R588" s="59" t="str">
        <f>IF([2]道具信息!R588="","",[2]道具信息!R588)</f>
        <v/>
      </c>
      <c r="S588" s="59" t="str">
        <f>IF([2]道具信息!S588="","",[2]道具信息!S588)</f>
        <v/>
      </c>
      <c r="T588" s="59" t="str">
        <f>IF([2]道具信息!T588="","",[2]道具信息!T588)</f>
        <v/>
      </c>
      <c r="U588" s="59" t="str">
        <f>IF([2]道具信息!U588="","",[2]道具信息!U588)</f>
        <v/>
      </c>
      <c r="V588" s="59" t="str">
        <f>IF([2]道具信息!V588="","",[2]道具信息!V588)</f>
        <v/>
      </c>
      <c r="W588" s="59" t="str">
        <f>IF([2]道具信息!W588="","",[2]道具信息!W588)</f>
        <v/>
      </c>
      <c r="X588" s="59" t="str">
        <f>IF([2]道具信息!X588="","",[2]道具信息!X588)</f>
        <v/>
      </c>
      <c r="Y588" s="59" t="str">
        <f>IF([2]道具信息!Y588="","",[2]道具信息!Y588)</f>
        <v/>
      </c>
      <c r="Z588" s="59" t="str">
        <f>IF([2]道具信息!Z588="","",[2]道具信息!Z588)</f>
        <v/>
      </c>
    </row>
    <row r="589" spans="1:26" x14ac:dyDescent="0.15">
      <c r="A589" s="59" t="str">
        <f>IF([2]道具信息!A589="","",[2]道具信息!A589)</f>
        <v/>
      </c>
      <c r="B589" s="59" t="str">
        <f>IF([2]道具信息!B589="","",[2]道具信息!B589)</f>
        <v/>
      </c>
      <c r="C589" s="59" t="str">
        <f>IF([2]道具信息!C589="","",[2]道具信息!C589)</f>
        <v/>
      </c>
      <c r="D589" s="59" t="str">
        <f>IF([2]道具信息!D589="","",[2]道具信息!D589)</f>
        <v/>
      </c>
      <c r="E589" s="59" t="str">
        <f>IF([2]道具信息!E589="","",[2]道具信息!E589)</f>
        <v/>
      </c>
      <c r="F589" s="59" t="str">
        <f>IF([2]道具信息!F589="","",[2]道具信息!F589)</f>
        <v/>
      </c>
      <c r="G589" s="59" t="str">
        <f>IF([2]道具信息!G589="","",[2]道具信息!G589)</f>
        <v/>
      </c>
      <c r="H589" s="59" t="str">
        <f>IF([2]道具信息!H589="","",[2]道具信息!H589)</f>
        <v/>
      </c>
      <c r="I589" s="59" t="str">
        <f>IF([2]道具信息!I589="","",[2]道具信息!I589)</f>
        <v/>
      </c>
      <c r="J589" s="59" t="str">
        <f>IF([2]道具信息!J589="","",[2]道具信息!J589)</f>
        <v/>
      </c>
      <c r="K589" s="59" t="str">
        <f>IF([2]道具信息!K589="","",[2]道具信息!K589)</f>
        <v/>
      </c>
      <c r="L589" s="59" t="str">
        <f>IF([2]道具信息!L589="","",[2]道具信息!L589)</f>
        <v/>
      </c>
      <c r="M589" s="59" t="str">
        <f>IF([2]道具信息!M589="","",[2]道具信息!M589)</f>
        <v/>
      </c>
      <c r="N589" s="59" t="str">
        <f>IF([2]道具信息!N589="","",[2]道具信息!N589)</f>
        <v/>
      </c>
      <c r="O589" s="59" t="str">
        <f>IF([2]道具信息!O589="","",[2]道具信息!O589)</f>
        <v/>
      </c>
      <c r="P589" s="59" t="str">
        <f>IF([2]道具信息!P589="","",[2]道具信息!P589)</f>
        <v/>
      </c>
      <c r="Q589" s="59" t="str">
        <f>IF([2]道具信息!Q589="","",[2]道具信息!Q589)</f>
        <v/>
      </c>
      <c r="R589" s="59" t="str">
        <f>IF([2]道具信息!R589="","",[2]道具信息!R589)</f>
        <v/>
      </c>
      <c r="S589" s="59" t="str">
        <f>IF([2]道具信息!S589="","",[2]道具信息!S589)</f>
        <v/>
      </c>
      <c r="T589" s="59" t="str">
        <f>IF([2]道具信息!T589="","",[2]道具信息!T589)</f>
        <v/>
      </c>
      <c r="U589" s="59" t="str">
        <f>IF([2]道具信息!U589="","",[2]道具信息!U589)</f>
        <v/>
      </c>
      <c r="V589" s="59" t="str">
        <f>IF([2]道具信息!V589="","",[2]道具信息!V589)</f>
        <v/>
      </c>
      <c r="W589" s="59" t="str">
        <f>IF([2]道具信息!W589="","",[2]道具信息!W589)</f>
        <v/>
      </c>
      <c r="X589" s="59" t="str">
        <f>IF([2]道具信息!X589="","",[2]道具信息!X589)</f>
        <v/>
      </c>
      <c r="Y589" s="59" t="str">
        <f>IF([2]道具信息!Y589="","",[2]道具信息!Y589)</f>
        <v/>
      </c>
      <c r="Z589" s="59" t="str">
        <f>IF([2]道具信息!Z589="","",[2]道具信息!Z589)</f>
        <v/>
      </c>
    </row>
    <row r="590" spans="1:26" x14ac:dyDescent="0.15">
      <c r="A590" s="59" t="str">
        <f>IF([2]道具信息!A590="","",[2]道具信息!A590)</f>
        <v/>
      </c>
      <c r="B590" s="59" t="str">
        <f>IF([2]道具信息!B590="","",[2]道具信息!B590)</f>
        <v/>
      </c>
      <c r="C590" s="59" t="str">
        <f>IF([2]道具信息!C590="","",[2]道具信息!C590)</f>
        <v/>
      </c>
      <c r="D590" s="59" t="str">
        <f>IF([2]道具信息!D590="","",[2]道具信息!D590)</f>
        <v/>
      </c>
      <c r="E590" s="59" t="str">
        <f>IF([2]道具信息!E590="","",[2]道具信息!E590)</f>
        <v/>
      </c>
      <c r="F590" s="59" t="str">
        <f>IF([2]道具信息!F590="","",[2]道具信息!F590)</f>
        <v/>
      </c>
      <c r="G590" s="59" t="str">
        <f>IF([2]道具信息!G590="","",[2]道具信息!G590)</f>
        <v/>
      </c>
      <c r="H590" s="59" t="str">
        <f>IF([2]道具信息!H590="","",[2]道具信息!H590)</f>
        <v/>
      </c>
      <c r="I590" s="59" t="str">
        <f>IF([2]道具信息!I590="","",[2]道具信息!I590)</f>
        <v/>
      </c>
      <c r="J590" s="59" t="str">
        <f>IF([2]道具信息!J590="","",[2]道具信息!J590)</f>
        <v/>
      </c>
      <c r="K590" s="59" t="str">
        <f>IF([2]道具信息!K590="","",[2]道具信息!K590)</f>
        <v/>
      </c>
      <c r="L590" s="59" t="str">
        <f>IF([2]道具信息!L590="","",[2]道具信息!L590)</f>
        <v/>
      </c>
      <c r="M590" s="59" t="str">
        <f>IF([2]道具信息!M590="","",[2]道具信息!M590)</f>
        <v/>
      </c>
      <c r="N590" s="59" t="str">
        <f>IF([2]道具信息!N590="","",[2]道具信息!N590)</f>
        <v/>
      </c>
      <c r="O590" s="59" t="str">
        <f>IF([2]道具信息!O590="","",[2]道具信息!O590)</f>
        <v/>
      </c>
      <c r="P590" s="59" t="str">
        <f>IF([2]道具信息!P590="","",[2]道具信息!P590)</f>
        <v/>
      </c>
      <c r="Q590" s="59" t="str">
        <f>IF([2]道具信息!Q590="","",[2]道具信息!Q590)</f>
        <v/>
      </c>
      <c r="R590" s="59" t="str">
        <f>IF([2]道具信息!R590="","",[2]道具信息!R590)</f>
        <v/>
      </c>
      <c r="S590" s="59" t="str">
        <f>IF([2]道具信息!S590="","",[2]道具信息!S590)</f>
        <v/>
      </c>
      <c r="T590" s="59" t="str">
        <f>IF([2]道具信息!T590="","",[2]道具信息!T590)</f>
        <v/>
      </c>
      <c r="U590" s="59" t="str">
        <f>IF([2]道具信息!U590="","",[2]道具信息!U590)</f>
        <v/>
      </c>
      <c r="V590" s="59" t="str">
        <f>IF([2]道具信息!V590="","",[2]道具信息!V590)</f>
        <v/>
      </c>
      <c r="W590" s="59" t="str">
        <f>IF([2]道具信息!W590="","",[2]道具信息!W590)</f>
        <v/>
      </c>
      <c r="X590" s="59" t="str">
        <f>IF([2]道具信息!X590="","",[2]道具信息!X590)</f>
        <v/>
      </c>
      <c r="Y590" s="59" t="str">
        <f>IF([2]道具信息!Y590="","",[2]道具信息!Y590)</f>
        <v/>
      </c>
      <c r="Z590" s="59" t="str">
        <f>IF([2]道具信息!Z590="","",[2]道具信息!Z590)</f>
        <v/>
      </c>
    </row>
    <row r="591" spans="1:26" x14ac:dyDescent="0.15">
      <c r="A591" s="59" t="str">
        <f>IF([2]道具信息!A591="","",[2]道具信息!A591)</f>
        <v/>
      </c>
      <c r="B591" s="59" t="str">
        <f>IF([2]道具信息!B591="","",[2]道具信息!B591)</f>
        <v/>
      </c>
      <c r="C591" s="59" t="str">
        <f>IF([2]道具信息!C591="","",[2]道具信息!C591)</f>
        <v/>
      </c>
      <c r="D591" s="59" t="str">
        <f>IF([2]道具信息!D591="","",[2]道具信息!D591)</f>
        <v/>
      </c>
      <c r="E591" s="59" t="str">
        <f>IF([2]道具信息!E591="","",[2]道具信息!E591)</f>
        <v/>
      </c>
      <c r="F591" s="59" t="str">
        <f>IF([2]道具信息!F591="","",[2]道具信息!F591)</f>
        <v/>
      </c>
      <c r="G591" s="59" t="str">
        <f>IF([2]道具信息!G591="","",[2]道具信息!G591)</f>
        <v/>
      </c>
      <c r="H591" s="59" t="str">
        <f>IF([2]道具信息!H591="","",[2]道具信息!H591)</f>
        <v/>
      </c>
      <c r="I591" s="59" t="str">
        <f>IF([2]道具信息!I591="","",[2]道具信息!I591)</f>
        <v/>
      </c>
      <c r="J591" s="59" t="str">
        <f>IF([2]道具信息!J591="","",[2]道具信息!J591)</f>
        <v/>
      </c>
      <c r="K591" s="59" t="str">
        <f>IF([2]道具信息!K591="","",[2]道具信息!K591)</f>
        <v/>
      </c>
      <c r="L591" s="59" t="str">
        <f>IF([2]道具信息!L591="","",[2]道具信息!L591)</f>
        <v/>
      </c>
      <c r="M591" s="59" t="str">
        <f>IF([2]道具信息!M591="","",[2]道具信息!M591)</f>
        <v/>
      </c>
      <c r="N591" s="59" t="str">
        <f>IF([2]道具信息!N591="","",[2]道具信息!N591)</f>
        <v/>
      </c>
      <c r="O591" s="59" t="str">
        <f>IF([2]道具信息!O591="","",[2]道具信息!O591)</f>
        <v/>
      </c>
      <c r="P591" s="59" t="str">
        <f>IF([2]道具信息!P591="","",[2]道具信息!P591)</f>
        <v/>
      </c>
      <c r="Q591" s="59" t="str">
        <f>IF([2]道具信息!Q591="","",[2]道具信息!Q591)</f>
        <v/>
      </c>
      <c r="R591" s="59" t="str">
        <f>IF([2]道具信息!R591="","",[2]道具信息!R591)</f>
        <v/>
      </c>
      <c r="S591" s="59" t="str">
        <f>IF([2]道具信息!S591="","",[2]道具信息!S591)</f>
        <v/>
      </c>
      <c r="T591" s="59" t="str">
        <f>IF([2]道具信息!T591="","",[2]道具信息!T591)</f>
        <v/>
      </c>
      <c r="U591" s="59" t="str">
        <f>IF([2]道具信息!U591="","",[2]道具信息!U591)</f>
        <v/>
      </c>
      <c r="V591" s="59" t="str">
        <f>IF([2]道具信息!V591="","",[2]道具信息!V591)</f>
        <v/>
      </c>
      <c r="W591" s="59" t="str">
        <f>IF([2]道具信息!W591="","",[2]道具信息!W591)</f>
        <v/>
      </c>
      <c r="X591" s="59" t="str">
        <f>IF([2]道具信息!X591="","",[2]道具信息!X591)</f>
        <v/>
      </c>
      <c r="Y591" s="59" t="str">
        <f>IF([2]道具信息!Y591="","",[2]道具信息!Y591)</f>
        <v/>
      </c>
      <c r="Z591" s="59" t="str">
        <f>IF([2]道具信息!Z591="","",[2]道具信息!Z591)</f>
        <v/>
      </c>
    </row>
    <row r="592" spans="1:26" x14ac:dyDescent="0.15">
      <c r="A592" s="59" t="str">
        <f>IF([2]道具信息!A592="","",[2]道具信息!A592)</f>
        <v/>
      </c>
      <c r="B592" s="59" t="str">
        <f>IF([2]道具信息!B592="","",[2]道具信息!B592)</f>
        <v/>
      </c>
      <c r="C592" s="59" t="str">
        <f>IF([2]道具信息!C592="","",[2]道具信息!C592)</f>
        <v/>
      </c>
      <c r="D592" s="59" t="str">
        <f>IF([2]道具信息!D592="","",[2]道具信息!D592)</f>
        <v/>
      </c>
      <c r="E592" s="59" t="str">
        <f>IF([2]道具信息!E592="","",[2]道具信息!E592)</f>
        <v/>
      </c>
      <c r="F592" s="59" t="str">
        <f>IF([2]道具信息!F592="","",[2]道具信息!F592)</f>
        <v/>
      </c>
      <c r="G592" s="59" t="str">
        <f>IF([2]道具信息!G592="","",[2]道具信息!G592)</f>
        <v/>
      </c>
      <c r="H592" s="59" t="str">
        <f>IF([2]道具信息!H592="","",[2]道具信息!H592)</f>
        <v/>
      </c>
      <c r="I592" s="59" t="str">
        <f>IF([2]道具信息!I592="","",[2]道具信息!I592)</f>
        <v/>
      </c>
      <c r="J592" s="59" t="str">
        <f>IF([2]道具信息!J592="","",[2]道具信息!J592)</f>
        <v/>
      </c>
      <c r="K592" s="59" t="str">
        <f>IF([2]道具信息!K592="","",[2]道具信息!K592)</f>
        <v/>
      </c>
      <c r="L592" s="59" t="str">
        <f>IF([2]道具信息!L592="","",[2]道具信息!L592)</f>
        <v/>
      </c>
      <c r="M592" s="59" t="str">
        <f>IF([2]道具信息!M592="","",[2]道具信息!M592)</f>
        <v/>
      </c>
      <c r="N592" s="59" t="str">
        <f>IF([2]道具信息!N592="","",[2]道具信息!N592)</f>
        <v/>
      </c>
      <c r="O592" s="59" t="str">
        <f>IF([2]道具信息!O592="","",[2]道具信息!O592)</f>
        <v/>
      </c>
      <c r="P592" s="59" t="str">
        <f>IF([2]道具信息!P592="","",[2]道具信息!P592)</f>
        <v/>
      </c>
      <c r="Q592" s="59" t="str">
        <f>IF([2]道具信息!Q592="","",[2]道具信息!Q592)</f>
        <v/>
      </c>
      <c r="R592" s="59" t="str">
        <f>IF([2]道具信息!R592="","",[2]道具信息!R592)</f>
        <v/>
      </c>
      <c r="S592" s="59" t="str">
        <f>IF([2]道具信息!S592="","",[2]道具信息!S592)</f>
        <v/>
      </c>
      <c r="T592" s="59" t="str">
        <f>IF([2]道具信息!T592="","",[2]道具信息!T592)</f>
        <v/>
      </c>
      <c r="U592" s="59" t="str">
        <f>IF([2]道具信息!U592="","",[2]道具信息!U592)</f>
        <v/>
      </c>
      <c r="V592" s="59" t="str">
        <f>IF([2]道具信息!V592="","",[2]道具信息!V592)</f>
        <v/>
      </c>
      <c r="W592" s="59" t="str">
        <f>IF([2]道具信息!W592="","",[2]道具信息!W592)</f>
        <v/>
      </c>
      <c r="X592" s="59" t="str">
        <f>IF([2]道具信息!X592="","",[2]道具信息!X592)</f>
        <v/>
      </c>
      <c r="Y592" s="59" t="str">
        <f>IF([2]道具信息!Y592="","",[2]道具信息!Y592)</f>
        <v/>
      </c>
      <c r="Z592" s="59" t="str">
        <f>IF([2]道具信息!Z592="","",[2]道具信息!Z592)</f>
        <v/>
      </c>
    </row>
    <row r="593" spans="1:26" x14ac:dyDescent="0.15">
      <c r="A593" s="59" t="str">
        <f>IF([2]道具信息!A593="","",[2]道具信息!A593)</f>
        <v/>
      </c>
      <c r="B593" s="59" t="str">
        <f>IF([2]道具信息!B593="","",[2]道具信息!B593)</f>
        <v/>
      </c>
      <c r="C593" s="59" t="str">
        <f>IF([2]道具信息!C593="","",[2]道具信息!C593)</f>
        <v/>
      </c>
      <c r="D593" s="59" t="str">
        <f>IF([2]道具信息!D593="","",[2]道具信息!D593)</f>
        <v/>
      </c>
      <c r="E593" s="59" t="str">
        <f>IF([2]道具信息!E593="","",[2]道具信息!E593)</f>
        <v/>
      </c>
      <c r="F593" s="59" t="str">
        <f>IF([2]道具信息!F593="","",[2]道具信息!F593)</f>
        <v/>
      </c>
      <c r="G593" s="59" t="str">
        <f>IF([2]道具信息!G593="","",[2]道具信息!G593)</f>
        <v/>
      </c>
      <c r="H593" s="59" t="str">
        <f>IF([2]道具信息!H593="","",[2]道具信息!H593)</f>
        <v/>
      </c>
      <c r="I593" s="59" t="str">
        <f>IF([2]道具信息!I593="","",[2]道具信息!I593)</f>
        <v/>
      </c>
      <c r="J593" s="59" t="str">
        <f>IF([2]道具信息!J593="","",[2]道具信息!J593)</f>
        <v/>
      </c>
      <c r="K593" s="59" t="str">
        <f>IF([2]道具信息!K593="","",[2]道具信息!K593)</f>
        <v/>
      </c>
      <c r="L593" s="59" t="str">
        <f>IF([2]道具信息!L593="","",[2]道具信息!L593)</f>
        <v/>
      </c>
      <c r="M593" s="59" t="str">
        <f>IF([2]道具信息!M593="","",[2]道具信息!M593)</f>
        <v/>
      </c>
      <c r="N593" s="59" t="str">
        <f>IF([2]道具信息!N593="","",[2]道具信息!N593)</f>
        <v/>
      </c>
      <c r="O593" s="59" t="str">
        <f>IF([2]道具信息!O593="","",[2]道具信息!O593)</f>
        <v/>
      </c>
      <c r="P593" s="59" t="str">
        <f>IF([2]道具信息!P593="","",[2]道具信息!P593)</f>
        <v/>
      </c>
      <c r="Q593" s="59" t="str">
        <f>IF([2]道具信息!Q593="","",[2]道具信息!Q593)</f>
        <v/>
      </c>
      <c r="R593" s="59" t="str">
        <f>IF([2]道具信息!R593="","",[2]道具信息!R593)</f>
        <v/>
      </c>
      <c r="S593" s="59" t="str">
        <f>IF([2]道具信息!S593="","",[2]道具信息!S593)</f>
        <v/>
      </c>
      <c r="T593" s="59" t="str">
        <f>IF([2]道具信息!T593="","",[2]道具信息!T593)</f>
        <v/>
      </c>
      <c r="U593" s="59" t="str">
        <f>IF([2]道具信息!U593="","",[2]道具信息!U593)</f>
        <v/>
      </c>
      <c r="V593" s="59" t="str">
        <f>IF([2]道具信息!V593="","",[2]道具信息!V593)</f>
        <v/>
      </c>
      <c r="W593" s="59" t="str">
        <f>IF([2]道具信息!W593="","",[2]道具信息!W593)</f>
        <v/>
      </c>
      <c r="X593" s="59" t="str">
        <f>IF([2]道具信息!X593="","",[2]道具信息!X593)</f>
        <v/>
      </c>
      <c r="Y593" s="59" t="str">
        <f>IF([2]道具信息!Y593="","",[2]道具信息!Y593)</f>
        <v/>
      </c>
      <c r="Z593" s="59" t="str">
        <f>IF([2]道具信息!Z593="","",[2]道具信息!Z593)</f>
        <v/>
      </c>
    </row>
    <row r="594" spans="1:26" x14ac:dyDescent="0.15">
      <c r="A594" s="59" t="str">
        <f>IF([2]道具信息!A594="","",[2]道具信息!A594)</f>
        <v/>
      </c>
      <c r="B594" s="59" t="str">
        <f>IF([2]道具信息!B594="","",[2]道具信息!B594)</f>
        <v/>
      </c>
      <c r="C594" s="59" t="str">
        <f>IF([2]道具信息!C594="","",[2]道具信息!C594)</f>
        <v/>
      </c>
      <c r="D594" s="59" t="str">
        <f>IF([2]道具信息!D594="","",[2]道具信息!D594)</f>
        <v/>
      </c>
      <c r="E594" s="59" t="str">
        <f>IF([2]道具信息!E594="","",[2]道具信息!E594)</f>
        <v/>
      </c>
      <c r="F594" s="59" t="str">
        <f>IF([2]道具信息!F594="","",[2]道具信息!F594)</f>
        <v/>
      </c>
      <c r="G594" s="59" t="str">
        <f>IF([2]道具信息!G594="","",[2]道具信息!G594)</f>
        <v/>
      </c>
      <c r="H594" s="59" t="str">
        <f>IF([2]道具信息!H594="","",[2]道具信息!H594)</f>
        <v/>
      </c>
      <c r="I594" s="59" t="str">
        <f>IF([2]道具信息!I594="","",[2]道具信息!I594)</f>
        <v/>
      </c>
      <c r="J594" s="59" t="str">
        <f>IF([2]道具信息!J594="","",[2]道具信息!J594)</f>
        <v/>
      </c>
      <c r="K594" s="59" t="str">
        <f>IF([2]道具信息!K594="","",[2]道具信息!K594)</f>
        <v/>
      </c>
      <c r="L594" s="59" t="str">
        <f>IF([2]道具信息!L594="","",[2]道具信息!L594)</f>
        <v/>
      </c>
      <c r="M594" s="59" t="str">
        <f>IF([2]道具信息!M594="","",[2]道具信息!M594)</f>
        <v/>
      </c>
      <c r="N594" s="59" t="str">
        <f>IF([2]道具信息!N594="","",[2]道具信息!N594)</f>
        <v/>
      </c>
      <c r="O594" s="59" t="str">
        <f>IF([2]道具信息!O594="","",[2]道具信息!O594)</f>
        <v/>
      </c>
      <c r="P594" s="59" t="str">
        <f>IF([2]道具信息!P594="","",[2]道具信息!P594)</f>
        <v/>
      </c>
      <c r="Q594" s="59" t="str">
        <f>IF([2]道具信息!Q594="","",[2]道具信息!Q594)</f>
        <v/>
      </c>
      <c r="R594" s="59" t="str">
        <f>IF([2]道具信息!R594="","",[2]道具信息!R594)</f>
        <v/>
      </c>
      <c r="S594" s="59" t="str">
        <f>IF([2]道具信息!S594="","",[2]道具信息!S594)</f>
        <v/>
      </c>
      <c r="T594" s="59" t="str">
        <f>IF([2]道具信息!T594="","",[2]道具信息!T594)</f>
        <v/>
      </c>
      <c r="U594" s="59" t="str">
        <f>IF([2]道具信息!U594="","",[2]道具信息!U594)</f>
        <v/>
      </c>
      <c r="V594" s="59" t="str">
        <f>IF([2]道具信息!V594="","",[2]道具信息!V594)</f>
        <v/>
      </c>
      <c r="W594" s="59" t="str">
        <f>IF([2]道具信息!W594="","",[2]道具信息!W594)</f>
        <v/>
      </c>
      <c r="X594" s="59" t="str">
        <f>IF([2]道具信息!X594="","",[2]道具信息!X594)</f>
        <v/>
      </c>
      <c r="Y594" s="59" t="str">
        <f>IF([2]道具信息!Y594="","",[2]道具信息!Y594)</f>
        <v/>
      </c>
      <c r="Z594" s="59" t="str">
        <f>IF([2]道具信息!Z594="","",[2]道具信息!Z594)</f>
        <v/>
      </c>
    </row>
    <row r="595" spans="1:26" x14ac:dyDescent="0.15">
      <c r="A595" s="59" t="str">
        <f>IF([2]道具信息!A595="","",[2]道具信息!A595)</f>
        <v/>
      </c>
      <c r="B595" s="59" t="str">
        <f>IF([2]道具信息!B595="","",[2]道具信息!B595)</f>
        <v/>
      </c>
      <c r="C595" s="59" t="str">
        <f>IF([2]道具信息!C595="","",[2]道具信息!C595)</f>
        <v/>
      </c>
      <c r="D595" s="59" t="str">
        <f>IF([2]道具信息!D595="","",[2]道具信息!D595)</f>
        <v/>
      </c>
      <c r="E595" s="59" t="str">
        <f>IF([2]道具信息!E595="","",[2]道具信息!E595)</f>
        <v/>
      </c>
      <c r="F595" s="59" t="str">
        <f>IF([2]道具信息!F595="","",[2]道具信息!F595)</f>
        <v/>
      </c>
      <c r="G595" s="59" t="str">
        <f>IF([2]道具信息!G595="","",[2]道具信息!G595)</f>
        <v/>
      </c>
      <c r="H595" s="59" t="str">
        <f>IF([2]道具信息!H595="","",[2]道具信息!H595)</f>
        <v/>
      </c>
      <c r="I595" s="59" t="str">
        <f>IF([2]道具信息!I595="","",[2]道具信息!I595)</f>
        <v/>
      </c>
      <c r="J595" s="59" t="str">
        <f>IF([2]道具信息!J595="","",[2]道具信息!J595)</f>
        <v/>
      </c>
      <c r="K595" s="59" t="str">
        <f>IF([2]道具信息!K595="","",[2]道具信息!K595)</f>
        <v/>
      </c>
      <c r="L595" s="59" t="str">
        <f>IF([2]道具信息!L595="","",[2]道具信息!L595)</f>
        <v/>
      </c>
      <c r="M595" s="59" t="str">
        <f>IF([2]道具信息!M595="","",[2]道具信息!M595)</f>
        <v/>
      </c>
      <c r="N595" s="59" t="str">
        <f>IF([2]道具信息!N595="","",[2]道具信息!N595)</f>
        <v/>
      </c>
      <c r="O595" s="59" t="str">
        <f>IF([2]道具信息!O595="","",[2]道具信息!O595)</f>
        <v/>
      </c>
      <c r="P595" s="59" t="str">
        <f>IF([2]道具信息!P595="","",[2]道具信息!P595)</f>
        <v/>
      </c>
      <c r="Q595" s="59" t="str">
        <f>IF([2]道具信息!Q595="","",[2]道具信息!Q595)</f>
        <v/>
      </c>
      <c r="R595" s="59" t="str">
        <f>IF([2]道具信息!R595="","",[2]道具信息!R595)</f>
        <v/>
      </c>
      <c r="S595" s="59" t="str">
        <f>IF([2]道具信息!S595="","",[2]道具信息!S595)</f>
        <v/>
      </c>
      <c r="T595" s="59" t="str">
        <f>IF([2]道具信息!T595="","",[2]道具信息!T595)</f>
        <v/>
      </c>
      <c r="U595" s="59" t="str">
        <f>IF([2]道具信息!U595="","",[2]道具信息!U595)</f>
        <v/>
      </c>
      <c r="V595" s="59" t="str">
        <f>IF([2]道具信息!V595="","",[2]道具信息!V595)</f>
        <v/>
      </c>
      <c r="W595" s="59" t="str">
        <f>IF([2]道具信息!W595="","",[2]道具信息!W595)</f>
        <v/>
      </c>
      <c r="X595" s="59" t="str">
        <f>IF([2]道具信息!X595="","",[2]道具信息!X595)</f>
        <v/>
      </c>
      <c r="Y595" s="59" t="str">
        <f>IF([2]道具信息!Y595="","",[2]道具信息!Y595)</f>
        <v/>
      </c>
      <c r="Z595" s="59" t="str">
        <f>IF([2]道具信息!Z595="","",[2]道具信息!Z595)</f>
        <v/>
      </c>
    </row>
    <row r="596" spans="1:26" x14ac:dyDescent="0.15">
      <c r="A596" s="59" t="str">
        <f>IF([2]道具信息!A596="","",[2]道具信息!A596)</f>
        <v/>
      </c>
      <c r="B596" s="59" t="str">
        <f>IF([2]道具信息!B596="","",[2]道具信息!B596)</f>
        <v/>
      </c>
      <c r="C596" s="59" t="str">
        <f>IF([2]道具信息!C596="","",[2]道具信息!C596)</f>
        <v/>
      </c>
      <c r="D596" s="59" t="str">
        <f>IF([2]道具信息!D596="","",[2]道具信息!D596)</f>
        <v/>
      </c>
      <c r="E596" s="59" t="str">
        <f>IF([2]道具信息!E596="","",[2]道具信息!E596)</f>
        <v/>
      </c>
      <c r="F596" s="59" t="str">
        <f>IF([2]道具信息!F596="","",[2]道具信息!F596)</f>
        <v/>
      </c>
      <c r="G596" s="59" t="str">
        <f>IF([2]道具信息!G596="","",[2]道具信息!G596)</f>
        <v/>
      </c>
      <c r="H596" s="59" t="str">
        <f>IF([2]道具信息!H596="","",[2]道具信息!H596)</f>
        <v/>
      </c>
      <c r="I596" s="59" t="str">
        <f>IF([2]道具信息!I596="","",[2]道具信息!I596)</f>
        <v/>
      </c>
      <c r="J596" s="59" t="str">
        <f>IF([2]道具信息!J596="","",[2]道具信息!J596)</f>
        <v/>
      </c>
      <c r="K596" s="59" t="str">
        <f>IF([2]道具信息!K596="","",[2]道具信息!K596)</f>
        <v/>
      </c>
      <c r="L596" s="59" t="str">
        <f>IF([2]道具信息!L596="","",[2]道具信息!L596)</f>
        <v/>
      </c>
      <c r="M596" s="59" t="str">
        <f>IF([2]道具信息!M596="","",[2]道具信息!M596)</f>
        <v/>
      </c>
      <c r="N596" s="59" t="str">
        <f>IF([2]道具信息!N596="","",[2]道具信息!N596)</f>
        <v/>
      </c>
      <c r="O596" s="59" t="str">
        <f>IF([2]道具信息!O596="","",[2]道具信息!O596)</f>
        <v/>
      </c>
      <c r="P596" s="59" t="str">
        <f>IF([2]道具信息!P596="","",[2]道具信息!P596)</f>
        <v/>
      </c>
      <c r="Q596" s="59" t="str">
        <f>IF([2]道具信息!Q596="","",[2]道具信息!Q596)</f>
        <v/>
      </c>
      <c r="R596" s="59" t="str">
        <f>IF([2]道具信息!R596="","",[2]道具信息!R596)</f>
        <v/>
      </c>
      <c r="S596" s="59" t="str">
        <f>IF([2]道具信息!S596="","",[2]道具信息!S596)</f>
        <v/>
      </c>
      <c r="T596" s="59" t="str">
        <f>IF([2]道具信息!T596="","",[2]道具信息!T596)</f>
        <v/>
      </c>
      <c r="U596" s="59" t="str">
        <f>IF([2]道具信息!U596="","",[2]道具信息!U596)</f>
        <v/>
      </c>
      <c r="V596" s="59" t="str">
        <f>IF([2]道具信息!V596="","",[2]道具信息!V596)</f>
        <v/>
      </c>
      <c r="W596" s="59" t="str">
        <f>IF([2]道具信息!W596="","",[2]道具信息!W596)</f>
        <v/>
      </c>
      <c r="X596" s="59" t="str">
        <f>IF([2]道具信息!X596="","",[2]道具信息!X596)</f>
        <v/>
      </c>
      <c r="Y596" s="59" t="str">
        <f>IF([2]道具信息!Y596="","",[2]道具信息!Y596)</f>
        <v/>
      </c>
      <c r="Z596" s="59" t="str">
        <f>IF([2]道具信息!Z596="","",[2]道具信息!Z596)</f>
        <v/>
      </c>
    </row>
    <row r="597" spans="1:26" x14ac:dyDescent="0.15">
      <c r="A597" s="59" t="str">
        <f>IF([2]道具信息!A597="","",[2]道具信息!A597)</f>
        <v/>
      </c>
      <c r="B597" s="59" t="str">
        <f>IF([2]道具信息!B597="","",[2]道具信息!B597)</f>
        <v/>
      </c>
      <c r="C597" s="59" t="str">
        <f>IF([2]道具信息!C597="","",[2]道具信息!C597)</f>
        <v/>
      </c>
      <c r="D597" s="59" t="str">
        <f>IF([2]道具信息!D597="","",[2]道具信息!D597)</f>
        <v/>
      </c>
      <c r="E597" s="59" t="str">
        <f>IF([2]道具信息!E597="","",[2]道具信息!E597)</f>
        <v/>
      </c>
      <c r="F597" s="59" t="str">
        <f>IF([2]道具信息!F597="","",[2]道具信息!F597)</f>
        <v/>
      </c>
      <c r="G597" s="59" t="str">
        <f>IF([2]道具信息!G597="","",[2]道具信息!G597)</f>
        <v/>
      </c>
      <c r="H597" s="59" t="str">
        <f>IF([2]道具信息!H597="","",[2]道具信息!H597)</f>
        <v/>
      </c>
      <c r="I597" s="59" t="str">
        <f>IF([2]道具信息!I597="","",[2]道具信息!I597)</f>
        <v/>
      </c>
      <c r="J597" s="59" t="str">
        <f>IF([2]道具信息!J597="","",[2]道具信息!J597)</f>
        <v/>
      </c>
      <c r="K597" s="59" t="str">
        <f>IF([2]道具信息!K597="","",[2]道具信息!K597)</f>
        <v/>
      </c>
      <c r="L597" s="59" t="str">
        <f>IF([2]道具信息!L597="","",[2]道具信息!L597)</f>
        <v/>
      </c>
      <c r="M597" s="59" t="str">
        <f>IF([2]道具信息!M597="","",[2]道具信息!M597)</f>
        <v/>
      </c>
      <c r="N597" s="59" t="str">
        <f>IF([2]道具信息!N597="","",[2]道具信息!N597)</f>
        <v/>
      </c>
      <c r="O597" s="59" t="str">
        <f>IF([2]道具信息!O597="","",[2]道具信息!O597)</f>
        <v/>
      </c>
      <c r="P597" s="59" t="str">
        <f>IF([2]道具信息!P597="","",[2]道具信息!P597)</f>
        <v/>
      </c>
      <c r="Q597" s="59" t="str">
        <f>IF([2]道具信息!Q597="","",[2]道具信息!Q597)</f>
        <v/>
      </c>
      <c r="R597" s="59" t="str">
        <f>IF([2]道具信息!R597="","",[2]道具信息!R597)</f>
        <v/>
      </c>
      <c r="S597" s="59" t="str">
        <f>IF([2]道具信息!S597="","",[2]道具信息!S597)</f>
        <v/>
      </c>
      <c r="T597" s="59" t="str">
        <f>IF([2]道具信息!T597="","",[2]道具信息!T597)</f>
        <v/>
      </c>
      <c r="U597" s="59" t="str">
        <f>IF([2]道具信息!U597="","",[2]道具信息!U597)</f>
        <v/>
      </c>
      <c r="V597" s="59" t="str">
        <f>IF([2]道具信息!V597="","",[2]道具信息!V597)</f>
        <v/>
      </c>
      <c r="W597" s="59" t="str">
        <f>IF([2]道具信息!W597="","",[2]道具信息!W597)</f>
        <v/>
      </c>
      <c r="X597" s="59" t="str">
        <f>IF([2]道具信息!X597="","",[2]道具信息!X597)</f>
        <v/>
      </c>
      <c r="Y597" s="59" t="str">
        <f>IF([2]道具信息!Y597="","",[2]道具信息!Y597)</f>
        <v/>
      </c>
      <c r="Z597" s="59" t="str">
        <f>IF([2]道具信息!Z597="","",[2]道具信息!Z597)</f>
        <v/>
      </c>
    </row>
    <row r="598" spans="1:26" x14ac:dyDescent="0.15">
      <c r="A598" s="59" t="str">
        <f>IF([2]道具信息!A598="","",[2]道具信息!A598)</f>
        <v/>
      </c>
      <c r="B598" s="59" t="str">
        <f>IF([2]道具信息!B598="","",[2]道具信息!B598)</f>
        <v/>
      </c>
      <c r="C598" s="59" t="str">
        <f>IF([2]道具信息!C598="","",[2]道具信息!C598)</f>
        <v/>
      </c>
      <c r="D598" s="59" t="str">
        <f>IF([2]道具信息!D598="","",[2]道具信息!D598)</f>
        <v/>
      </c>
      <c r="E598" s="59" t="str">
        <f>IF([2]道具信息!E598="","",[2]道具信息!E598)</f>
        <v/>
      </c>
      <c r="F598" s="59" t="str">
        <f>IF([2]道具信息!F598="","",[2]道具信息!F598)</f>
        <v/>
      </c>
      <c r="G598" s="59" t="str">
        <f>IF([2]道具信息!G598="","",[2]道具信息!G598)</f>
        <v/>
      </c>
      <c r="H598" s="59" t="str">
        <f>IF([2]道具信息!H598="","",[2]道具信息!H598)</f>
        <v/>
      </c>
      <c r="I598" s="59" t="str">
        <f>IF([2]道具信息!I598="","",[2]道具信息!I598)</f>
        <v/>
      </c>
      <c r="J598" s="59" t="str">
        <f>IF([2]道具信息!J598="","",[2]道具信息!J598)</f>
        <v/>
      </c>
      <c r="K598" s="59" t="str">
        <f>IF([2]道具信息!K598="","",[2]道具信息!K598)</f>
        <v/>
      </c>
      <c r="L598" s="59" t="str">
        <f>IF([2]道具信息!L598="","",[2]道具信息!L598)</f>
        <v/>
      </c>
      <c r="M598" s="59" t="str">
        <f>IF([2]道具信息!M598="","",[2]道具信息!M598)</f>
        <v/>
      </c>
      <c r="N598" s="59" t="str">
        <f>IF([2]道具信息!N598="","",[2]道具信息!N598)</f>
        <v/>
      </c>
      <c r="O598" s="59" t="str">
        <f>IF([2]道具信息!O598="","",[2]道具信息!O598)</f>
        <v/>
      </c>
      <c r="P598" s="59" t="str">
        <f>IF([2]道具信息!P598="","",[2]道具信息!P598)</f>
        <v/>
      </c>
      <c r="Q598" s="59" t="str">
        <f>IF([2]道具信息!Q598="","",[2]道具信息!Q598)</f>
        <v/>
      </c>
      <c r="R598" s="59" t="str">
        <f>IF([2]道具信息!R598="","",[2]道具信息!R598)</f>
        <v/>
      </c>
      <c r="S598" s="59" t="str">
        <f>IF([2]道具信息!S598="","",[2]道具信息!S598)</f>
        <v/>
      </c>
      <c r="T598" s="59" t="str">
        <f>IF([2]道具信息!T598="","",[2]道具信息!T598)</f>
        <v/>
      </c>
      <c r="U598" s="59" t="str">
        <f>IF([2]道具信息!U598="","",[2]道具信息!U598)</f>
        <v/>
      </c>
      <c r="V598" s="59" t="str">
        <f>IF([2]道具信息!V598="","",[2]道具信息!V598)</f>
        <v/>
      </c>
      <c r="W598" s="59" t="str">
        <f>IF([2]道具信息!W598="","",[2]道具信息!W598)</f>
        <v/>
      </c>
      <c r="X598" s="59" t="str">
        <f>IF([2]道具信息!X598="","",[2]道具信息!X598)</f>
        <v/>
      </c>
      <c r="Y598" s="59" t="str">
        <f>IF([2]道具信息!Y598="","",[2]道具信息!Y598)</f>
        <v/>
      </c>
      <c r="Z598" s="59" t="str">
        <f>IF([2]道具信息!Z598="","",[2]道具信息!Z598)</f>
        <v/>
      </c>
    </row>
    <row r="599" spans="1:26" x14ac:dyDescent="0.15">
      <c r="A599" s="59" t="str">
        <f>IF([2]道具信息!A599="","",[2]道具信息!A599)</f>
        <v/>
      </c>
      <c r="B599" s="59" t="str">
        <f>IF([2]道具信息!B599="","",[2]道具信息!B599)</f>
        <v/>
      </c>
      <c r="C599" s="59" t="str">
        <f>IF([2]道具信息!C599="","",[2]道具信息!C599)</f>
        <v/>
      </c>
      <c r="D599" s="59" t="str">
        <f>IF([2]道具信息!D599="","",[2]道具信息!D599)</f>
        <v/>
      </c>
      <c r="E599" s="59" t="str">
        <f>IF([2]道具信息!E599="","",[2]道具信息!E599)</f>
        <v/>
      </c>
      <c r="F599" s="59" t="str">
        <f>IF([2]道具信息!F599="","",[2]道具信息!F599)</f>
        <v/>
      </c>
      <c r="G599" s="59" t="str">
        <f>IF([2]道具信息!G599="","",[2]道具信息!G599)</f>
        <v/>
      </c>
      <c r="H599" s="59" t="str">
        <f>IF([2]道具信息!H599="","",[2]道具信息!H599)</f>
        <v/>
      </c>
      <c r="I599" s="59" t="str">
        <f>IF([2]道具信息!I599="","",[2]道具信息!I599)</f>
        <v/>
      </c>
      <c r="J599" s="59" t="str">
        <f>IF([2]道具信息!J599="","",[2]道具信息!J599)</f>
        <v/>
      </c>
      <c r="K599" s="59" t="str">
        <f>IF([2]道具信息!K599="","",[2]道具信息!K599)</f>
        <v/>
      </c>
      <c r="L599" s="59" t="str">
        <f>IF([2]道具信息!L599="","",[2]道具信息!L599)</f>
        <v/>
      </c>
      <c r="M599" s="59" t="str">
        <f>IF([2]道具信息!M599="","",[2]道具信息!M599)</f>
        <v/>
      </c>
      <c r="N599" s="59" t="str">
        <f>IF([2]道具信息!N599="","",[2]道具信息!N599)</f>
        <v/>
      </c>
      <c r="O599" s="59" t="str">
        <f>IF([2]道具信息!O599="","",[2]道具信息!O599)</f>
        <v/>
      </c>
      <c r="P599" s="59" t="str">
        <f>IF([2]道具信息!P599="","",[2]道具信息!P599)</f>
        <v/>
      </c>
      <c r="Q599" s="59" t="str">
        <f>IF([2]道具信息!Q599="","",[2]道具信息!Q599)</f>
        <v/>
      </c>
      <c r="R599" s="59" t="str">
        <f>IF([2]道具信息!R599="","",[2]道具信息!R599)</f>
        <v/>
      </c>
      <c r="S599" s="59" t="str">
        <f>IF([2]道具信息!S599="","",[2]道具信息!S599)</f>
        <v/>
      </c>
      <c r="T599" s="59" t="str">
        <f>IF([2]道具信息!T599="","",[2]道具信息!T599)</f>
        <v/>
      </c>
      <c r="U599" s="59" t="str">
        <f>IF([2]道具信息!U599="","",[2]道具信息!U599)</f>
        <v/>
      </c>
      <c r="V599" s="59" t="str">
        <f>IF([2]道具信息!V599="","",[2]道具信息!V599)</f>
        <v/>
      </c>
      <c r="W599" s="59" t="str">
        <f>IF([2]道具信息!W599="","",[2]道具信息!W599)</f>
        <v/>
      </c>
      <c r="X599" s="59" t="str">
        <f>IF([2]道具信息!X599="","",[2]道具信息!X599)</f>
        <v/>
      </c>
      <c r="Y599" s="59" t="str">
        <f>IF([2]道具信息!Y599="","",[2]道具信息!Y599)</f>
        <v/>
      </c>
      <c r="Z599" s="59" t="str">
        <f>IF([2]道具信息!Z599="","",[2]道具信息!Z599)</f>
        <v/>
      </c>
    </row>
    <row r="600" spans="1:26" x14ac:dyDescent="0.15">
      <c r="A600" s="59" t="str">
        <f>IF([2]道具信息!A600="","",[2]道具信息!A600)</f>
        <v/>
      </c>
      <c r="B600" s="59" t="str">
        <f>IF([2]道具信息!B600="","",[2]道具信息!B600)</f>
        <v/>
      </c>
      <c r="C600" s="59" t="str">
        <f>IF([2]道具信息!C600="","",[2]道具信息!C600)</f>
        <v/>
      </c>
      <c r="D600" s="59" t="str">
        <f>IF([2]道具信息!D600="","",[2]道具信息!D600)</f>
        <v/>
      </c>
      <c r="E600" s="59" t="str">
        <f>IF([2]道具信息!E600="","",[2]道具信息!E600)</f>
        <v/>
      </c>
      <c r="F600" s="59" t="str">
        <f>IF([2]道具信息!F600="","",[2]道具信息!F600)</f>
        <v/>
      </c>
      <c r="G600" s="59" t="str">
        <f>IF([2]道具信息!G600="","",[2]道具信息!G600)</f>
        <v/>
      </c>
      <c r="H600" s="59" t="str">
        <f>IF([2]道具信息!H600="","",[2]道具信息!H600)</f>
        <v/>
      </c>
      <c r="I600" s="59" t="str">
        <f>IF([2]道具信息!I600="","",[2]道具信息!I600)</f>
        <v/>
      </c>
      <c r="J600" s="59" t="str">
        <f>IF([2]道具信息!J600="","",[2]道具信息!J600)</f>
        <v/>
      </c>
      <c r="K600" s="59" t="str">
        <f>IF([2]道具信息!K600="","",[2]道具信息!K600)</f>
        <v/>
      </c>
      <c r="L600" s="59" t="str">
        <f>IF([2]道具信息!L600="","",[2]道具信息!L600)</f>
        <v/>
      </c>
      <c r="M600" s="59" t="str">
        <f>IF([2]道具信息!M600="","",[2]道具信息!M600)</f>
        <v/>
      </c>
      <c r="N600" s="59" t="str">
        <f>IF([2]道具信息!N600="","",[2]道具信息!N600)</f>
        <v/>
      </c>
      <c r="O600" s="59" t="str">
        <f>IF([2]道具信息!O600="","",[2]道具信息!O600)</f>
        <v/>
      </c>
      <c r="P600" s="59" t="str">
        <f>IF([2]道具信息!P600="","",[2]道具信息!P600)</f>
        <v/>
      </c>
      <c r="Q600" s="59" t="str">
        <f>IF([2]道具信息!Q600="","",[2]道具信息!Q600)</f>
        <v/>
      </c>
      <c r="R600" s="59" t="str">
        <f>IF([2]道具信息!R600="","",[2]道具信息!R600)</f>
        <v/>
      </c>
      <c r="S600" s="59" t="str">
        <f>IF([2]道具信息!S600="","",[2]道具信息!S600)</f>
        <v/>
      </c>
      <c r="T600" s="59" t="str">
        <f>IF([2]道具信息!T600="","",[2]道具信息!T600)</f>
        <v/>
      </c>
      <c r="U600" s="59" t="str">
        <f>IF([2]道具信息!U600="","",[2]道具信息!U600)</f>
        <v/>
      </c>
      <c r="V600" s="59" t="str">
        <f>IF([2]道具信息!V600="","",[2]道具信息!V600)</f>
        <v/>
      </c>
      <c r="W600" s="59" t="str">
        <f>IF([2]道具信息!W600="","",[2]道具信息!W600)</f>
        <v/>
      </c>
      <c r="X600" s="59" t="str">
        <f>IF([2]道具信息!X600="","",[2]道具信息!X600)</f>
        <v/>
      </c>
      <c r="Y600" s="59" t="str">
        <f>IF([2]道具信息!Y600="","",[2]道具信息!Y600)</f>
        <v/>
      </c>
      <c r="Z600" s="59" t="str">
        <f>IF([2]道具信息!Z600="","",[2]道具信息!Z600)</f>
        <v/>
      </c>
    </row>
    <row r="601" spans="1:26" x14ac:dyDescent="0.15">
      <c r="A601" s="59" t="str">
        <f>IF([2]道具信息!A601="","",[2]道具信息!A601)</f>
        <v/>
      </c>
      <c r="B601" s="59" t="str">
        <f>IF([2]道具信息!B601="","",[2]道具信息!B601)</f>
        <v/>
      </c>
      <c r="C601" s="59" t="str">
        <f>IF([2]道具信息!C601="","",[2]道具信息!C601)</f>
        <v/>
      </c>
      <c r="D601" s="59" t="str">
        <f>IF([2]道具信息!D601="","",[2]道具信息!D601)</f>
        <v/>
      </c>
      <c r="E601" s="59" t="str">
        <f>IF([2]道具信息!E601="","",[2]道具信息!E601)</f>
        <v/>
      </c>
      <c r="F601" s="59" t="str">
        <f>IF([2]道具信息!F601="","",[2]道具信息!F601)</f>
        <v/>
      </c>
      <c r="G601" s="59" t="str">
        <f>IF([2]道具信息!G601="","",[2]道具信息!G601)</f>
        <v/>
      </c>
      <c r="H601" s="59" t="str">
        <f>IF([2]道具信息!H601="","",[2]道具信息!H601)</f>
        <v/>
      </c>
      <c r="I601" s="59" t="str">
        <f>IF([2]道具信息!I601="","",[2]道具信息!I601)</f>
        <v/>
      </c>
      <c r="J601" s="59" t="str">
        <f>IF([2]道具信息!J601="","",[2]道具信息!J601)</f>
        <v/>
      </c>
      <c r="K601" s="59" t="str">
        <f>IF([2]道具信息!K601="","",[2]道具信息!K601)</f>
        <v/>
      </c>
      <c r="L601" s="59" t="str">
        <f>IF([2]道具信息!L601="","",[2]道具信息!L601)</f>
        <v/>
      </c>
      <c r="M601" s="59" t="str">
        <f>IF([2]道具信息!M601="","",[2]道具信息!M601)</f>
        <v/>
      </c>
      <c r="N601" s="59" t="str">
        <f>IF([2]道具信息!N601="","",[2]道具信息!N601)</f>
        <v/>
      </c>
      <c r="O601" s="59" t="str">
        <f>IF([2]道具信息!O601="","",[2]道具信息!O601)</f>
        <v/>
      </c>
      <c r="P601" s="59" t="str">
        <f>IF([2]道具信息!P601="","",[2]道具信息!P601)</f>
        <v/>
      </c>
      <c r="Q601" s="59" t="str">
        <f>IF([2]道具信息!Q601="","",[2]道具信息!Q601)</f>
        <v/>
      </c>
      <c r="R601" s="59" t="str">
        <f>IF([2]道具信息!R601="","",[2]道具信息!R601)</f>
        <v/>
      </c>
      <c r="S601" s="59" t="str">
        <f>IF([2]道具信息!S601="","",[2]道具信息!S601)</f>
        <v/>
      </c>
      <c r="T601" s="59" t="str">
        <f>IF([2]道具信息!T601="","",[2]道具信息!T601)</f>
        <v/>
      </c>
      <c r="U601" s="59" t="str">
        <f>IF([2]道具信息!U601="","",[2]道具信息!U601)</f>
        <v/>
      </c>
      <c r="V601" s="59" t="str">
        <f>IF([2]道具信息!V601="","",[2]道具信息!V601)</f>
        <v/>
      </c>
      <c r="W601" s="59" t="str">
        <f>IF([2]道具信息!W601="","",[2]道具信息!W601)</f>
        <v/>
      </c>
      <c r="X601" s="59" t="str">
        <f>IF([2]道具信息!X601="","",[2]道具信息!X601)</f>
        <v/>
      </c>
      <c r="Y601" s="59" t="str">
        <f>IF([2]道具信息!Y601="","",[2]道具信息!Y601)</f>
        <v/>
      </c>
      <c r="Z601" s="59" t="str">
        <f>IF([2]道具信息!Z601="","",[2]道具信息!Z601)</f>
        <v/>
      </c>
    </row>
    <row r="602" spans="1:26" x14ac:dyDescent="0.15">
      <c r="A602" s="59" t="str">
        <f>IF([2]道具信息!A602="","",[2]道具信息!A602)</f>
        <v/>
      </c>
      <c r="B602" s="59" t="str">
        <f>IF([2]道具信息!B602="","",[2]道具信息!B602)</f>
        <v/>
      </c>
      <c r="C602" s="59" t="str">
        <f>IF([2]道具信息!C602="","",[2]道具信息!C602)</f>
        <v/>
      </c>
      <c r="D602" s="59" t="str">
        <f>IF([2]道具信息!D602="","",[2]道具信息!D602)</f>
        <v/>
      </c>
      <c r="E602" s="59" t="str">
        <f>IF([2]道具信息!E602="","",[2]道具信息!E602)</f>
        <v/>
      </c>
      <c r="F602" s="59" t="str">
        <f>IF([2]道具信息!F602="","",[2]道具信息!F602)</f>
        <v/>
      </c>
      <c r="G602" s="59" t="str">
        <f>IF([2]道具信息!G602="","",[2]道具信息!G602)</f>
        <v/>
      </c>
      <c r="H602" s="59" t="str">
        <f>IF([2]道具信息!H602="","",[2]道具信息!H602)</f>
        <v/>
      </c>
      <c r="I602" s="59" t="str">
        <f>IF([2]道具信息!I602="","",[2]道具信息!I602)</f>
        <v/>
      </c>
      <c r="J602" s="59" t="str">
        <f>IF([2]道具信息!J602="","",[2]道具信息!J602)</f>
        <v/>
      </c>
      <c r="K602" s="59" t="str">
        <f>IF([2]道具信息!K602="","",[2]道具信息!K602)</f>
        <v/>
      </c>
      <c r="L602" s="59" t="str">
        <f>IF([2]道具信息!L602="","",[2]道具信息!L602)</f>
        <v/>
      </c>
      <c r="M602" s="59" t="str">
        <f>IF([2]道具信息!M602="","",[2]道具信息!M602)</f>
        <v/>
      </c>
      <c r="N602" s="59" t="str">
        <f>IF([2]道具信息!N602="","",[2]道具信息!N602)</f>
        <v/>
      </c>
      <c r="O602" s="59" t="str">
        <f>IF([2]道具信息!O602="","",[2]道具信息!O602)</f>
        <v/>
      </c>
      <c r="P602" s="59" t="str">
        <f>IF([2]道具信息!P602="","",[2]道具信息!P602)</f>
        <v/>
      </c>
      <c r="Q602" s="59" t="str">
        <f>IF([2]道具信息!Q602="","",[2]道具信息!Q602)</f>
        <v/>
      </c>
      <c r="R602" s="59" t="str">
        <f>IF([2]道具信息!R602="","",[2]道具信息!R602)</f>
        <v/>
      </c>
      <c r="S602" s="59" t="str">
        <f>IF([2]道具信息!S602="","",[2]道具信息!S602)</f>
        <v/>
      </c>
      <c r="T602" s="59" t="str">
        <f>IF([2]道具信息!T602="","",[2]道具信息!T602)</f>
        <v/>
      </c>
      <c r="U602" s="59" t="str">
        <f>IF([2]道具信息!U602="","",[2]道具信息!U602)</f>
        <v/>
      </c>
      <c r="V602" s="59" t="str">
        <f>IF([2]道具信息!V602="","",[2]道具信息!V602)</f>
        <v/>
      </c>
      <c r="W602" s="59" t="str">
        <f>IF([2]道具信息!W602="","",[2]道具信息!W602)</f>
        <v/>
      </c>
      <c r="X602" s="59" t="str">
        <f>IF([2]道具信息!X602="","",[2]道具信息!X602)</f>
        <v/>
      </c>
      <c r="Y602" s="59" t="str">
        <f>IF([2]道具信息!Y602="","",[2]道具信息!Y602)</f>
        <v/>
      </c>
      <c r="Z602" s="59" t="str">
        <f>IF([2]道具信息!Z602="","",[2]道具信息!Z602)</f>
        <v/>
      </c>
    </row>
    <row r="603" spans="1:26" x14ac:dyDescent="0.15">
      <c r="A603" s="59" t="str">
        <f>IF([2]道具信息!A603="","",[2]道具信息!A603)</f>
        <v/>
      </c>
      <c r="B603" s="59" t="str">
        <f>IF([2]道具信息!B603="","",[2]道具信息!B603)</f>
        <v/>
      </c>
      <c r="C603" s="59" t="str">
        <f>IF([2]道具信息!C603="","",[2]道具信息!C603)</f>
        <v/>
      </c>
      <c r="D603" s="59" t="str">
        <f>IF([2]道具信息!D603="","",[2]道具信息!D603)</f>
        <v/>
      </c>
      <c r="E603" s="59" t="str">
        <f>IF([2]道具信息!E603="","",[2]道具信息!E603)</f>
        <v/>
      </c>
      <c r="F603" s="59" t="str">
        <f>IF([2]道具信息!F603="","",[2]道具信息!F603)</f>
        <v/>
      </c>
      <c r="G603" s="59" t="str">
        <f>IF([2]道具信息!G603="","",[2]道具信息!G603)</f>
        <v/>
      </c>
      <c r="H603" s="59" t="str">
        <f>IF([2]道具信息!H603="","",[2]道具信息!H603)</f>
        <v/>
      </c>
      <c r="I603" s="59" t="str">
        <f>IF([2]道具信息!I603="","",[2]道具信息!I603)</f>
        <v/>
      </c>
      <c r="J603" s="59" t="str">
        <f>IF([2]道具信息!J603="","",[2]道具信息!J603)</f>
        <v/>
      </c>
      <c r="K603" s="59" t="str">
        <f>IF([2]道具信息!K603="","",[2]道具信息!K603)</f>
        <v/>
      </c>
      <c r="L603" s="59" t="str">
        <f>IF([2]道具信息!L603="","",[2]道具信息!L603)</f>
        <v/>
      </c>
      <c r="M603" s="59" t="str">
        <f>IF([2]道具信息!M603="","",[2]道具信息!M603)</f>
        <v/>
      </c>
      <c r="N603" s="59" t="str">
        <f>IF([2]道具信息!N603="","",[2]道具信息!N603)</f>
        <v/>
      </c>
      <c r="O603" s="59" t="str">
        <f>IF([2]道具信息!O603="","",[2]道具信息!O603)</f>
        <v/>
      </c>
      <c r="P603" s="59" t="str">
        <f>IF([2]道具信息!P603="","",[2]道具信息!P603)</f>
        <v/>
      </c>
      <c r="Q603" s="59" t="str">
        <f>IF([2]道具信息!Q603="","",[2]道具信息!Q603)</f>
        <v/>
      </c>
      <c r="R603" s="59" t="str">
        <f>IF([2]道具信息!R603="","",[2]道具信息!R603)</f>
        <v/>
      </c>
      <c r="S603" s="59" t="str">
        <f>IF([2]道具信息!S603="","",[2]道具信息!S603)</f>
        <v/>
      </c>
      <c r="T603" s="59" t="str">
        <f>IF([2]道具信息!T603="","",[2]道具信息!T603)</f>
        <v/>
      </c>
      <c r="U603" s="59" t="str">
        <f>IF([2]道具信息!U603="","",[2]道具信息!U603)</f>
        <v/>
      </c>
      <c r="V603" s="59" t="str">
        <f>IF([2]道具信息!V603="","",[2]道具信息!V603)</f>
        <v/>
      </c>
      <c r="W603" s="59" t="str">
        <f>IF([2]道具信息!W603="","",[2]道具信息!W603)</f>
        <v/>
      </c>
      <c r="X603" s="59" t="str">
        <f>IF([2]道具信息!X603="","",[2]道具信息!X603)</f>
        <v/>
      </c>
      <c r="Y603" s="59" t="str">
        <f>IF([2]道具信息!Y603="","",[2]道具信息!Y603)</f>
        <v/>
      </c>
      <c r="Z603" s="59" t="str">
        <f>IF([2]道具信息!Z603="","",[2]道具信息!Z603)</f>
        <v/>
      </c>
    </row>
    <row r="604" spans="1:26" x14ac:dyDescent="0.15">
      <c r="A604" s="59" t="str">
        <f>IF([2]道具信息!A604="","",[2]道具信息!A604)</f>
        <v/>
      </c>
      <c r="B604" s="59" t="str">
        <f>IF([2]道具信息!B604="","",[2]道具信息!B604)</f>
        <v/>
      </c>
      <c r="C604" s="59" t="str">
        <f>IF([2]道具信息!C604="","",[2]道具信息!C604)</f>
        <v/>
      </c>
      <c r="D604" s="59" t="str">
        <f>IF([2]道具信息!D604="","",[2]道具信息!D604)</f>
        <v/>
      </c>
      <c r="E604" s="59" t="str">
        <f>IF([2]道具信息!E604="","",[2]道具信息!E604)</f>
        <v/>
      </c>
      <c r="F604" s="59" t="str">
        <f>IF([2]道具信息!F604="","",[2]道具信息!F604)</f>
        <v/>
      </c>
      <c r="G604" s="59" t="str">
        <f>IF([2]道具信息!G604="","",[2]道具信息!G604)</f>
        <v/>
      </c>
      <c r="H604" s="59" t="str">
        <f>IF([2]道具信息!H604="","",[2]道具信息!H604)</f>
        <v/>
      </c>
      <c r="I604" s="59" t="str">
        <f>IF([2]道具信息!I604="","",[2]道具信息!I604)</f>
        <v/>
      </c>
      <c r="J604" s="59" t="str">
        <f>IF([2]道具信息!J604="","",[2]道具信息!J604)</f>
        <v/>
      </c>
      <c r="K604" s="59" t="str">
        <f>IF([2]道具信息!K604="","",[2]道具信息!K604)</f>
        <v/>
      </c>
      <c r="L604" s="59" t="str">
        <f>IF([2]道具信息!L604="","",[2]道具信息!L604)</f>
        <v/>
      </c>
      <c r="M604" s="59" t="str">
        <f>IF([2]道具信息!M604="","",[2]道具信息!M604)</f>
        <v/>
      </c>
      <c r="N604" s="59" t="str">
        <f>IF([2]道具信息!N604="","",[2]道具信息!N604)</f>
        <v/>
      </c>
      <c r="O604" s="59" t="str">
        <f>IF([2]道具信息!O604="","",[2]道具信息!O604)</f>
        <v/>
      </c>
      <c r="P604" s="59" t="str">
        <f>IF([2]道具信息!P604="","",[2]道具信息!P604)</f>
        <v/>
      </c>
      <c r="Q604" s="59" t="str">
        <f>IF([2]道具信息!Q604="","",[2]道具信息!Q604)</f>
        <v/>
      </c>
      <c r="R604" s="59" t="str">
        <f>IF([2]道具信息!R604="","",[2]道具信息!R604)</f>
        <v/>
      </c>
      <c r="S604" s="59" t="str">
        <f>IF([2]道具信息!S604="","",[2]道具信息!S604)</f>
        <v/>
      </c>
      <c r="T604" s="59" t="str">
        <f>IF([2]道具信息!T604="","",[2]道具信息!T604)</f>
        <v/>
      </c>
      <c r="U604" s="59" t="str">
        <f>IF([2]道具信息!U604="","",[2]道具信息!U604)</f>
        <v/>
      </c>
      <c r="V604" s="59" t="str">
        <f>IF([2]道具信息!V604="","",[2]道具信息!V604)</f>
        <v/>
      </c>
      <c r="W604" s="59" t="str">
        <f>IF([2]道具信息!W604="","",[2]道具信息!W604)</f>
        <v/>
      </c>
      <c r="X604" s="59" t="str">
        <f>IF([2]道具信息!X604="","",[2]道具信息!X604)</f>
        <v/>
      </c>
      <c r="Y604" s="59" t="str">
        <f>IF([2]道具信息!Y604="","",[2]道具信息!Y604)</f>
        <v/>
      </c>
      <c r="Z604" s="59" t="str">
        <f>IF([2]道具信息!Z604="","",[2]道具信息!Z604)</f>
        <v/>
      </c>
    </row>
    <row r="605" spans="1:26" x14ac:dyDescent="0.15">
      <c r="A605" s="59" t="str">
        <f>IF([2]道具信息!A605="","",[2]道具信息!A605)</f>
        <v/>
      </c>
      <c r="B605" s="59" t="str">
        <f>IF([2]道具信息!B605="","",[2]道具信息!B605)</f>
        <v/>
      </c>
      <c r="C605" s="59" t="str">
        <f>IF([2]道具信息!C605="","",[2]道具信息!C605)</f>
        <v/>
      </c>
      <c r="D605" s="59" t="str">
        <f>IF([2]道具信息!D605="","",[2]道具信息!D605)</f>
        <v/>
      </c>
      <c r="E605" s="59" t="str">
        <f>IF([2]道具信息!E605="","",[2]道具信息!E605)</f>
        <v/>
      </c>
      <c r="F605" s="59" t="str">
        <f>IF([2]道具信息!F605="","",[2]道具信息!F605)</f>
        <v/>
      </c>
      <c r="G605" s="59" t="str">
        <f>IF([2]道具信息!G605="","",[2]道具信息!G605)</f>
        <v/>
      </c>
      <c r="H605" s="59" t="str">
        <f>IF([2]道具信息!H605="","",[2]道具信息!H605)</f>
        <v/>
      </c>
      <c r="I605" s="59" t="str">
        <f>IF([2]道具信息!I605="","",[2]道具信息!I605)</f>
        <v/>
      </c>
      <c r="J605" s="59" t="str">
        <f>IF([2]道具信息!J605="","",[2]道具信息!J605)</f>
        <v/>
      </c>
      <c r="K605" s="59" t="str">
        <f>IF([2]道具信息!K605="","",[2]道具信息!K605)</f>
        <v/>
      </c>
      <c r="L605" s="59" t="str">
        <f>IF([2]道具信息!L605="","",[2]道具信息!L605)</f>
        <v/>
      </c>
      <c r="M605" s="59" t="str">
        <f>IF([2]道具信息!M605="","",[2]道具信息!M605)</f>
        <v/>
      </c>
      <c r="N605" s="59" t="str">
        <f>IF([2]道具信息!N605="","",[2]道具信息!N605)</f>
        <v/>
      </c>
      <c r="O605" s="59" t="str">
        <f>IF([2]道具信息!O605="","",[2]道具信息!O605)</f>
        <v/>
      </c>
      <c r="P605" s="59" t="str">
        <f>IF([2]道具信息!P605="","",[2]道具信息!P605)</f>
        <v/>
      </c>
      <c r="Q605" s="59" t="str">
        <f>IF([2]道具信息!Q605="","",[2]道具信息!Q605)</f>
        <v/>
      </c>
      <c r="R605" s="59" t="str">
        <f>IF([2]道具信息!R605="","",[2]道具信息!R605)</f>
        <v/>
      </c>
      <c r="S605" s="59" t="str">
        <f>IF([2]道具信息!S605="","",[2]道具信息!S605)</f>
        <v/>
      </c>
      <c r="T605" s="59" t="str">
        <f>IF([2]道具信息!T605="","",[2]道具信息!T605)</f>
        <v/>
      </c>
      <c r="U605" s="59" t="str">
        <f>IF([2]道具信息!U605="","",[2]道具信息!U605)</f>
        <v/>
      </c>
      <c r="V605" s="59" t="str">
        <f>IF([2]道具信息!V605="","",[2]道具信息!V605)</f>
        <v/>
      </c>
      <c r="W605" s="59" t="str">
        <f>IF([2]道具信息!W605="","",[2]道具信息!W605)</f>
        <v/>
      </c>
      <c r="X605" s="59" t="str">
        <f>IF([2]道具信息!X605="","",[2]道具信息!X605)</f>
        <v/>
      </c>
      <c r="Y605" s="59" t="str">
        <f>IF([2]道具信息!Y605="","",[2]道具信息!Y605)</f>
        <v/>
      </c>
      <c r="Z605" s="59" t="str">
        <f>IF([2]道具信息!Z605="","",[2]道具信息!Z605)</f>
        <v/>
      </c>
    </row>
    <row r="606" spans="1:26" x14ac:dyDescent="0.15">
      <c r="A606" s="59" t="str">
        <f>IF([2]道具信息!A606="","",[2]道具信息!A606)</f>
        <v/>
      </c>
      <c r="B606" s="59" t="str">
        <f>IF([2]道具信息!B606="","",[2]道具信息!B606)</f>
        <v/>
      </c>
      <c r="C606" s="59" t="str">
        <f>IF([2]道具信息!C606="","",[2]道具信息!C606)</f>
        <v/>
      </c>
      <c r="D606" s="59" t="str">
        <f>IF([2]道具信息!D606="","",[2]道具信息!D606)</f>
        <v/>
      </c>
      <c r="E606" s="59" t="str">
        <f>IF([2]道具信息!E606="","",[2]道具信息!E606)</f>
        <v/>
      </c>
      <c r="F606" s="59" t="str">
        <f>IF([2]道具信息!F606="","",[2]道具信息!F606)</f>
        <v/>
      </c>
      <c r="G606" s="59" t="str">
        <f>IF([2]道具信息!G606="","",[2]道具信息!G606)</f>
        <v/>
      </c>
      <c r="H606" s="59" t="str">
        <f>IF([2]道具信息!H606="","",[2]道具信息!H606)</f>
        <v/>
      </c>
      <c r="I606" s="59" t="str">
        <f>IF([2]道具信息!I606="","",[2]道具信息!I606)</f>
        <v/>
      </c>
      <c r="J606" s="59" t="str">
        <f>IF([2]道具信息!J606="","",[2]道具信息!J606)</f>
        <v/>
      </c>
      <c r="K606" s="59" t="str">
        <f>IF([2]道具信息!K606="","",[2]道具信息!K606)</f>
        <v/>
      </c>
      <c r="L606" s="59" t="str">
        <f>IF([2]道具信息!L606="","",[2]道具信息!L606)</f>
        <v/>
      </c>
      <c r="M606" s="59" t="str">
        <f>IF([2]道具信息!M606="","",[2]道具信息!M606)</f>
        <v/>
      </c>
      <c r="N606" s="59" t="str">
        <f>IF([2]道具信息!N606="","",[2]道具信息!N606)</f>
        <v/>
      </c>
      <c r="O606" s="59" t="str">
        <f>IF([2]道具信息!O606="","",[2]道具信息!O606)</f>
        <v/>
      </c>
      <c r="P606" s="59" t="str">
        <f>IF([2]道具信息!P606="","",[2]道具信息!P606)</f>
        <v/>
      </c>
      <c r="Q606" s="59" t="str">
        <f>IF([2]道具信息!Q606="","",[2]道具信息!Q606)</f>
        <v/>
      </c>
      <c r="R606" s="59" t="str">
        <f>IF([2]道具信息!R606="","",[2]道具信息!R606)</f>
        <v/>
      </c>
      <c r="S606" s="59" t="str">
        <f>IF([2]道具信息!S606="","",[2]道具信息!S606)</f>
        <v/>
      </c>
      <c r="T606" s="59" t="str">
        <f>IF([2]道具信息!T606="","",[2]道具信息!T606)</f>
        <v/>
      </c>
      <c r="U606" s="59" t="str">
        <f>IF([2]道具信息!U606="","",[2]道具信息!U606)</f>
        <v/>
      </c>
      <c r="V606" s="59" t="str">
        <f>IF([2]道具信息!V606="","",[2]道具信息!V606)</f>
        <v/>
      </c>
      <c r="W606" s="59" t="str">
        <f>IF([2]道具信息!W606="","",[2]道具信息!W606)</f>
        <v/>
      </c>
      <c r="X606" s="59" t="str">
        <f>IF([2]道具信息!X606="","",[2]道具信息!X606)</f>
        <v/>
      </c>
      <c r="Y606" s="59" t="str">
        <f>IF([2]道具信息!Y606="","",[2]道具信息!Y606)</f>
        <v/>
      </c>
      <c r="Z606" s="59" t="str">
        <f>IF([2]道具信息!Z606="","",[2]道具信息!Z606)</f>
        <v/>
      </c>
    </row>
    <row r="607" spans="1:26" x14ac:dyDescent="0.15">
      <c r="A607" s="59" t="str">
        <f>IF([2]道具信息!A607="","",[2]道具信息!A607)</f>
        <v/>
      </c>
      <c r="B607" s="59" t="str">
        <f>IF([2]道具信息!B607="","",[2]道具信息!B607)</f>
        <v/>
      </c>
      <c r="C607" s="59" t="str">
        <f>IF([2]道具信息!C607="","",[2]道具信息!C607)</f>
        <v/>
      </c>
      <c r="D607" s="59" t="str">
        <f>IF([2]道具信息!D607="","",[2]道具信息!D607)</f>
        <v/>
      </c>
      <c r="E607" s="59" t="str">
        <f>IF([2]道具信息!E607="","",[2]道具信息!E607)</f>
        <v/>
      </c>
      <c r="F607" s="59" t="str">
        <f>IF([2]道具信息!F607="","",[2]道具信息!F607)</f>
        <v/>
      </c>
      <c r="G607" s="59" t="str">
        <f>IF([2]道具信息!G607="","",[2]道具信息!G607)</f>
        <v/>
      </c>
      <c r="H607" s="59" t="str">
        <f>IF([2]道具信息!H607="","",[2]道具信息!H607)</f>
        <v/>
      </c>
      <c r="I607" s="59" t="str">
        <f>IF([2]道具信息!I607="","",[2]道具信息!I607)</f>
        <v/>
      </c>
      <c r="J607" s="59" t="str">
        <f>IF([2]道具信息!J607="","",[2]道具信息!J607)</f>
        <v/>
      </c>
      <c r="K607" s="59" t="str">
        <f>IF([2]道具信息!K607="","",[2]道具信息!K607)</f>
        <v/>
      </c>
      <c r="L607" s="59" t="str">
        <f>IF([2]道具信息!L607="","",[2]道具信息!L607)</f>
        <v/>
      </c>
      <c r="M607" s="59" t="str">
        <f>IF([2]道具信息!M607="","",[2]道具信息!M607)</f>
        <v/>
      </c>
      <c r="N607" s="59" t="str">
        <f>IF([2]道具信息!N607="","",[2]道具信息!N607)</f>
        <v/>
      </c>
      <c r="O607" s="59" t="str">
        <f>IF([2]道具信息!O607="","",[2]道具信息!O607)</f>
        <v/>
      </c>
      <c r="P607" s="59" t="str">
        <f>IF([2]道具信息!P607="","",[2]道具信息!P607)</f>
        <v/>
      </c>
      <c r="Q607" s="59" t="str">
        <f>IF([2]道具信息!Q607="","",[2]道具信息!Q607)</f>
        <v/>
      </c>
      <c r="R607" s="59" t="str">
        <f>IF([2]道具信息!R607="","",[2]道具信息!R607)</f>
        <v/>
      </c>
      <c r="S607" s="59" t="str">
        <f>IF([2]道具信息!S607="","",[2]道具信息!S607)</f>
        <v/>
      </c>
      <c r="T607" s="59" t="str">
        <f>IF([2]道具信息!T607="","",[2]道具信息!T607)</f>
        <v/>
      </c>
      <c r="U607" s="59" t="str">
        <f>IF([2]道具信息!U607="","",[2]道具信息!U607)</f>
        <v/>
      </c>
      <c r="V607" s="59" t="str">
        <f>IF([2]道具信息!V607="","",[2]道具信息!V607)</f>
        <v/>
      </c>
      <c r="W607" s="59" t="str">
        <f>IF([2]道具信息!W607="","",[2]道具信息!W607)</f>
        <v/>
      </c>
      <c r="X607" s="59" t="str">
        <f>IF([2]道具信息!X607="","",[2]道具信息!X607)</f>
        <v/>
      </c>
      <c r="Y607" s="59" t="str">
        <f>IF([2]道具信息!Y607="","",[2]道具信息!Y607)</f>
        <v/>
      </c>
      <c r="Z607" s="59" t="str">
        <f>IF([2]道具信息!Z607="","",[2]道具信息!Z607)</f>
        <v/>
      </c>
    </row>
    <row r="608" spans="1:26" x14ac:dyDescent="0.15">
      <c r="A608" s="59" t="str">
        <f>IF([2]道具信息!A608="","",[2]道具信息!A608)</f>
        <v/>
      </c>
      <c r="B608" s="59" t="str">
        <f>IF([2]道具信息!B608="","",[2]道具信息!B608)</f>
        <v/>
      </c>
      <c r="C608" s="59" t="str">
        <f>IF([2]道具信息!C608="","",[2]道具信息!C608)</f>
        <v/>
      </c>
      <c r="D608" s="59" t="str">
        <f>IF([2]道具信息!D608="","",[2]道具信息!D608)</f>
        <v/>
      </c>
      <c r="E608" s="59" t="str">
        <f>IF([2]道具信息!E608="","",[2]道具信息!E608)</f>
        <v/>
      </c>
      <c r="F608" s="59" t="str">
        <f>IF([2]道具信息!F608="","",[2]道具信息!F608)</f>
        <v/>
      </c>
      <c r="G608" s="59" t="str">
        <f>IF([2]道具信息!G608="","",[2]道具信息!G608)</f>
        <v/>
      </c>
      <c r="H608" s="59" t="str">
        <f>IF([2]道具信息!H608="","",[2]道具信息!H608)</f>
        <v/>
      </c>
      <c r="I608" s="59" t="str">
        <f>IF([2]道具信息!I608="","",[2]道具信息!I608)</f>
        <v/>
      </c>
      <c r="J608" s="59" t="str">
        <f>IF([2]道具信息!J608="","",[2]道具信息!J608)</f>
        <v/>
      </c>
      <c r="K608" s="59" t="str">
        <f>IF([2]道具信息!K608="","",[2]道具信息!K608)</f>
        <v/>
      </c>
      <c r="L608" s="59" t="str">
        <f>IF([2]道具信息!L608="","",[2]道具信息!L608)</f>
        <v/>
      </c>
      <c r="M608" s="59" t="str">
        <f>IF([2]道具信息!M608="","",[2]道具信息!M608)</f>
        <v/>
      </c>
      <c r="N608" s="59" t="str">
        <f>IF([2]道具信息!N608="","",[2]道具信息!N608)</f>
        <v/>
      </c>
      <c r="O608" s="59" t="str">
        <f>IF([2]道具信息!O608="","",[2]道具信息!O608)</f>
        <v/>
      </c>
      <c r="P608" s="59" t="str">
        <f>IF([2]道具信息!P608="","",[2]道具信息!P608)</f>
        <v/>
      </c>
      <c r="Q608" s="59" t="str">
        <f>IF([2]道具信息!Q608="","",[2]道具信息!Q608)</f>
        <v/>
      </c>
      <c r="R608" s="59" t="str">
        <f>IF([2]道具信息!R608="","",[2]道具信息!R608)</f>
        <v/>
      </c>
      <c r="S608" s="59" t="str">
        <f>IF([2]道具信息!S608="","",[2]道具信息!S608)</f>
        <v/>
      </c>
      <c r="T608" s="59" t="str">
        <f>IF([2]道具信息!T608="","",[2]道具信息!T608)</f>
        <v/>
      </c>
      <c r="U608" s="59" t="str">
        <f>IF([2]道具信息!U608="","",[2]道具信息!U608)</f>
        <v/>
      </c>
      <c r="V608" s="59" t="str">
        <f>IF([2]道具信息!V608="","",[2]道具信息!V608)</f>
        <v/>
      </c>
      <c r="W608" s="59" t="str">
        <f>IF([2]道具信息!W608="","",[2]道具信息!W608)</f>
        <v/>
      </c>
      <c r="X608" s="59" t="str">
        <f>IF([2]道具信息!X608="","",[2]道具信息!X608)</f>
        <v/>
      </c>
      <c r="Y608" s="59" t="str">
        <f>IF([2]道具信息!Y608="","",[2]道具信息!Y608)</f>
        <v/>
      </c>
      <c r="Z608" s="59" t="str">
        <f>IF([2]道具信息!Z608="","",[2]道具信息!Z608)</f>
        <v/>
      </c>
    </row>
    <row r="609" spans="1:26" x14ac:dyDescent="0.15">
      <c r="A609" s="59" t="str">
        <f>IF([2]道具信息!A609="","",[2]道具信息!A609)</f>
        <v/>
      </c>
      <c r="B609" s="59" t="str">
        <f>IF([2]道具信息!B609="","",[2]道具信息!B609)</f>
        <v/>
      </c>
      <c r="C609" s="59" t="str">
        <f>IF([2]道具信息!C609="","",[2]道具信息!C609)</f>
        <v/>
      </c>
      <c r="D609" s="59" t="str">
        <f>IF([2]道具信息!D609="","",[2]道具信息!D609)</f>
        <v/>
      </c>
      <c r="E609" s="59" t="str">
        <f>IF([2]道具信息!E609="","",[2]道具信息!E609)</f>
        <v/>
      </c>
      <c r="F609" s="59" t="str">
        <f>IF([2]道具信息!F609="","",[2]道具信息!F609)</f>
        <v/>
      </c>
      <c r="G609" s="59" t="str">
        <f>IF([2]道具信息!G609="","",[2]道具信息!G609)</f>
        <v/>
      </c>
      <c r="H609" s="59" t="str">
        <f>IF([2]道具信息!H609="","",[2]道具信息!H609)</f>
        <v/>
      </c>
      <c r="I609" s="59" t="str">
        <f>IF([2]道具信息!I609="","",[2]道具信息!I609)</f>
        <v/>
      </c>
      <c r="J609" s="59" t="str">
        <f>IF([2]道具信息!J609="","",[2]道具信息!J609)</f>
        <v/>
      </c>
      <c r="K609" s="59" t="str">
        <f>IF([2]道具信息!K609="","",[2]道具信息!K609)</f>
        <v/>
      </c>
      <c r="L609" s="59" t="str">
        <f>IF([2]道具信息!L609="","",[2]道具信息!L609)</f>
        <v/>
      </c>
      <c r="M609" s="59" t="str">
        <f>IF([2]道具信息!M609="","",[2]道具信息!M609)</f>
        <v/>
      </c>
      <c r="N609" s="59" t="str">
        <f>IF([2]道具信息!N609="","",[2]道具信息!N609)</f>
        <v/>
      </c>
      <c r="O609" s="59" t="str">
        <f>IF([2]道具信息!O609="","",[2]道具信息!O609)</f>
        <v/>
      </c>
      <c r="P609" s="59" t="str">
        <f>IF([2]道具信息!P609="","",[2]道具信息!P609)</f>
        <v/>
      </c>
      <c r="Q609" s="59" t="str">
        <f>IF([2]道具信息!Q609="","",[2]道具信息!Q609)</f>
        <v/>
      </c>
      <c r="R609" s="59" t="str">
        <f>IF([2]道具信息!R609="","",[2]道具信息!R609)</f>
        <v/>
      </c>
      <c r="S609" s="59" t="str">
        <f>IF([2]道具信息!S609="","",[2]道具信息!S609)</f>
        <v/>
      </c>
      <c r="T609" s="59" t="str">
        <f>IF([2]道具信息!T609="","",[2]道具信息!T609)</f>
        <v/>
      </c>
      <c r="U609" s="59" t="str">
        <f>IF([2]道具信息!U609="","",[2]道具信息!U609)</f>
        <v/>
      </c>
      <c r="V609" s="59" t="str">
        <f>IF([2]道具信息!V609="","",[2]道具信息!V609)</f>
        <v/>
      </c>
      <c r="W609" s="59" t="str">
        <f>IF([2]道具信息!W609="","",[2]道具信息!W609)</f>
        <v/>
      </c>
      <c r="X609" s="59" t="str">
        <f>IF([2]道具信息!X609="","",[2]道具信息!X609)</f>
        <v/>
      </c>
      <c r="Y609" s="59" t="str">
        <f>IF([2]道具信息!Y609="","",[2]道具信息!Y609)</f>
        <v/>
      </c>
      <c r="Z609" s="59" t="str">
        <f>IF([2]道具信息!Z609="","",[2]道具信息!Z609)</f>
        <v/>
      </c>
    </row>
    <row r="610" spans="1:26" x14ac:dyDescent="0.15">
      <c r="A610" s="59" t="str">
        <f>IF([2]道具信息!A610="","",[2]道具信息!A610)</f>
        <v/>
      </c>
      <c r="B610" s="59" t="str">
        <f>IF([2]道具信息!B610="","",[2]道具信息!B610)</f>
        <v/>
      </c>
      <c r="C610" s="59" t="str">
        <f>IF([2]道具信息!C610="","",[2]道具信息!C610)</f>
        <v/>
      </c>
      <c r="D610" s="59" t="str">
        <f>IF([2]道具信息!D610="","",[2]道具信息!D610)</f>
        <v/>
      </c>
      <c r="E610" s="59" t="str">
        <f>IF([2]道具信息!E610="","",[2]道具信息!E610)</f>
        <v/>
      </c>
      <c r="F610" s="59" t="str">
        <f>IF([2]道具信息!F610="","",[2]道具信息!F610)</f>
        <v/>
      </c>
      <c r="G610" s="59" t="str">
        <f>IF([2]道具信息!G610="","",[2]道具信息!G610)</f>
        <v/>
      </c>
      <c r="H610" s="59" t="str">
        <f>IF([2]道具信息!H610="","",[2]道具信息!H610)</f>
        <v/>
      </c>
      <c r="I610" s="59" t="str">
        <f>IF([2]道具信息!I610="","",[2]道具信息!I610)</f>
        <v/>
      </c>
      <c r="J610" s="59" t="str">
        <f>IF([2]道具信息!J610="","",[2]道具信息!J610)</f>
        <v/>
      </c>
      <c r="K610" s="59" t="str">
        <f>IF([2]道具信息!K610="","",[2]道具信息!K610)</f>
        <v/>
      </c>
      <c r="L610" s="59" t="str">
        <f>IF([2]道具信息!L610="","",[2]道具信息!L610)</f>
        <v/>
      </c>
      <c r="M610" s="59" t="str">
        <f>IF([2]道具信息!M610="","",[2]道具信息!M610)</f>
        <v/>
      </c>
      <c r="N610" s="59" t="str">
        <f>IF([2]道具信息!N610="","",[2]道具信息!N610)</f>
        <v/>
      </c>
      <c r="O610" s="59" t="str">
        <f>IF([2]道具信息!O610="","",[2]道具信息!O610)</f>
        <v/>
      </c>
      <c r="P610" s="59" t="str">
        <f>IF([2]道具信息!P610="","",[2]道具信息!P610)</f>
        <v/>
      </c>
      <c r="Q610" s="59" t="str">
        <f>IF([2]道具信息!Q610="","",[2]道具信息!Q610)</f>
        <v/>
      </c>
      <c r="R610" s="59" t="str">
        <f>IF([2]道具信息!R610="","",[2]道具信息!R610)</f>
        <v/>
      </c>
      <c r="S610" s="59" t="str">
        <f>IF([2]道具信息!S610="","",[2]道具信息!S610)</f>
        <v/>
      </c>
      <c r="T610" s="59" t="str">
        <f>IF([2]道具信息!T610="","",[2]道具信息!T610)</f>
        <v/>
      </c>
      <c r="U610" s="59" t="str">
        <f>IF([2]道具信息!U610="","",[2]道具信息!U610)</f>
        <v/>
      </c>
      <c r="V610" s="59" t="str">
        <f>IF([2]道具信息!V610="","",[2]道具信息!V610)</f>
        <v/>
      </c>
      <c r="W610" s="59" t="str">
        <f>IF([2]道具信息!W610="","",[2]道具信息!W610)</f>
        <v/>
      </c>
      <c r="X610" s="59" t="str">
        <f>IF([2]道具信息!X610="","",[2]道具信息!X610)</f>
        <v/>
      </c>
      <c r="Y610" s="59" t="str">
        <f>IF([2]道具信息!Y610="","",[2]道具信息!Y610)</f>
        <v/>
      </c>
      <c r="Z610" s="59" t="str">
        <f>IF([2]道具信息!Z610="","",[2]道具信息!Z610)</f>
        <v/>
      </c>
    </row>
    <row r="611" spans="1:26" x14ac:dyDescent="0.15">
      <c r="A611" s="59" t="str">
        <f>IF([2]道具信息!A611="","",[2]道具信息!A611)</f>
        <v/>
      </c>
      <c r="B611" s="59" t="str">
        <f>IF([2]道具信息!B611="","",[2]道具信息!B611)</f>
        <v/>
      </c>
      <c r="C611" s="59" t="str">
        <f>IF([2]道具信息!C611="","",[2]道具信息!C611)</f>
        <v/>
      </c>
      <c r="D611" s="59" t="str">
        <f>IF([2]道具信息!D611="","",[2]道具信息!D611)</f>
        <v/>
      </c>
      <c r="E611" s="59" t="str">
        <f>IF([2]道具信息!E611="","",[2]道具信息!E611)</f>
        <v/>
      </c>
      <c r="F611" s="59" t="str">
        <f>IF([2]道具信息!F611="","",[2]道具信息!F611)</f>
        <v/>
      </c>
      <c r="G611" s="59" t="str">
        <f>IF([2]道具信息!G611="","",[2]道具信息!G611)</f>
        <v/>
      </c>
      <c r="H611" s="59" t="str">
        <f>IF([2]道具信息!H611="","",[2]道具信息!H611)</f>
        <v/>
      </c>
      <c r="I611" s="59" t="str">
        <f>IF([2]道具信息!I611="","",[2]道具信息!I611)</f>
        <v/>
      </c>
      <c r="J611" s="59" t="str">
        <f>IF([2]道具信息!J611="","",[2]道具信息!J611)</f>
        <v/>
      </c>
      <c r="K611" s="59" t="str">
        <f>IF([2]道具信息!K611="","",[2]道具信息!K611)</f>
        <v/>
      </c>
      <c r="L611" s="59" t="str">
        <f>IF([2]道具信息!L611="","",[2]道具信息!L611)</f>
        <v/>
      </c>
      <c r="M611" s="59" t="str">
        <f>IF([2]道具信息!M611="","",[2]道具信息!M611)</f>
        <v/>
      </c>
      <c r="N611" s="59" t="str">
        <f>IF([2]道具信息!N611="","",[2]道具信息!N611)</f>
        <v/>
      </c>
      <c r="O611" s="59" t="str">
        <f>IF([2]道具信息!O611="","",[2]道具信息!O611)</f>
        <v/>
      </c>
      <c r="P611" s="59" t="str">
        <f>IF([2]道具信息!P611="","",[2]道具信息!P611)</f>
        <v/>
      </c>
      <c r="Q611" s="59" t="str">
        <f>IF([2]道具信息!Q611="","",[2]道具信息!Q611)</f>
        <v/>
      </c>
      <c r="R611" s="59" t="str">
        <f>IF([2]道具信息!R611="","",[2]道具信息!R611)</f>
        <v/>
      </c>
      <c r="S611" s="59" t="str">
        <f>IF([2]道具信息!S611="","",[2]道具信息!S611)</f>
        <v/>
      </c>
      <c r="T611" s="59" t="str">
        <f>IF([2]道具信息!T611="","",[2]道具信息!T611)</f>
        <v/>
      </c>
      <c r="U611" s="59" t="str">
        <f>IF([2]道具信息!U611="","",[2]道具信息!U611)</f>
        <v/>
      </c>
      <c r="V611" s="59" t="str">
        <f>IF([2]道具信息!V611="","",[2]道具信息!V611)</f>
        <v/>
      </c>
      <c r="W611" s="59" t="str">
        <f>IF([2]道具信息!W611="","",[2]道具信息!W611)</f>
        <v/>
      </c>
      <c r="X611" s="59" t="str">
        <f>IF([2]道具信息!X611="","",[2]道具信息!X611)</f>
        <v/>
      </c>
      <c r="Y611" s="59" t="str">
        <f>IF([2]道具信息!Y611="","",[2]道具信息!Y611)</f>
        <v/>
      </c>
      <c r="Z611" s="59" t="str">
        <f>IF([2]道具信息!Z611="","",[2]道具信息!Z611)</f>
        <v/>
      </c>
    </row>
    <row r="612" spans="1:26" x14ac:dyDescent="0.15">
      <c r="A612" s="59" t="str">
        <f>IF([2]道具信息!A612="","",[2]道具信息!A612)</f>
        <v/>
      </c>
      <c r="B612" s="59" t="str">
        <f>IF([2]道具信息!B612="","",[2]道具信息!B612)</f>
        <v/>
      </c>
      <c r="C612" s="59" t="str">
        <f>IF([2]道具信息!C612="","",[2]道具信息!C612)</f>
        <v/>
      </c>
      <c r="D612" s="59" t="str">
        <f>IF([2]道具信息!D612="","",[2]道具信息!D612)</f>
        <v/>
      </c>
      <c r="E612" s="59" t="str">
        <f>IF([2]道具信息!E612="","",[2]道具信息!E612)</f>
        <v/>
      </c>
      <c r="F612" s="59" t="str">
        <f>IF([2]道具信息!F612="","",[2]道具信息!F612)</f>
        <v/>
      </c>
      <c r="G612" s="59" t="str">
        <f>IF([2]道具信息!G612="","",[2]道具信息!G612)</f>
        <v/>
      </c>
      <c r="H612" s="59" t="str">
        <f>IF([2]道具信息!H612="","",[2]道具信息!H612)</f>
        <v/>
      </c>
      <c r="I612" s="59" t="str">
        <f>IF([2]道具信息!I612="","",[2]道具信息!I612)</f>
        <v/>
      </c>
      <c r="J612" s="59" t="str">
        <f>IF([2]道具信息!J612="","",[2]道具信息!J612)</f>
        <v/>
      </c>
      <c r="K612" s="59" t="str">
        <f>IF([2]道具信息!K612="","",[2]道具信息!K612)</f>
        <v/>
      </c>
      <c r="L612" s="59" t="str">
        <f>IF([2]道具信息!L612="","",[2]道具信息!L612)</f>
        <v/>
      </c>
      <c r="M612" s="59" t="str">
        <f>IF([2]道具信息!M612="","",[2]道具信息!M612)</f>
        <v/>
      </c>
      <c r="N612" s="59" t="str">
        <f>IF([2]道具信息!N612="","",[2]道具信息!N612)</f>
        <v/>
      </c>
      <c r="O612" s="59" t="str">
        <f>IF([2]道具信息!O612="","",[2]道具信息!O612)</f>
        <v/>
      </c>
      <c r="P612" s="59" t="str">
        <f>IF([2]道具信息!P612="","",[2]道具信息!P612)</f>
        <v/>
      </c>
      <c r="Q612" s="59" t="str">
        <f>IF([2]道具信息!Q612="","",[2]道具信息!Q612)</f>
        <v/>
      </c>
      <c r="R612" s="59" t="str">
        <f>IF([2]道具信息!R612="","",[2]道具信息!R612)</f>
        <v/>
      </c>
      <c r="S612" s="59" t="str">
        <f>IF([2]道具信息!S612="","",[2]道具信息!S612)</f>
        <v/>
      </c>
      <c r="T612" s="59" t="str">
        <f>IF([2]道具信息!T612="","",[2]道具信息!T612)</f>
        <v/>
      </c>
      <c r="U612" s="59" t="str">
        <f>IF([2]道具信息!U612="","",[2]道具信息!U612)</f>
        <v/>
      </c>
      <c r="V612" s="59" t="str">
        <f>IF([2]道具信息!V612="","",[2]道具信息!V612)</f>
        <v/>
      </c>
      <c r="W612" s="59" t="str">
        <f>IF([2]道具信息!W612="","",[2]道具信息!W612)</f>
        <v/>
      </c>
      <c r="X612" s="59" t="str">
        <f>IF([2]道具信息!X612="","",[2]道具信息!X612)</f>
        <v/>
      </c>
      <c r="Y612" s="59" t="str">
        <f>IF([2]道具信息!Y612="","",[2]道具信息!Y612)</f>
        <v/>
      </c>
      <c r="Z612" s="59" t="str">
        <f>IF([2]道具信息!Z612="","",[2]道具信息!Z612)</f>
        <v/>
      </c>
    </row>
    <row r="613" spans="1:26" x14ac:dyDescent="0.15">
      <c r="A613" s="59" t="str">
        <f>IF([2]道具信息!A613="","",[2]道具信息!A613)</f>
        <v/>
      </c>
      <c r="B613" s="59" t="str">
        <f>IF([2]道具信息!B613="","",[2]道具信息!B613)</f>
        <v/>
      </c>
      <c r="C613" s="59" t="str">
        <f>IF([2]道具信息!C613="","",[2]道具信息!C613)</f>
        <v/>
      </c>
      <c r="D613" s="59" t="str">
        <f>IF([2]道具信息!D613="","",[2]道具信息!D613)</f>
        <v/>
      </c>
      <c r="E613" s="59" t="str">
        <f>IF([2]道具信息!E613="","",[2]道具信息!E613)</f>
        <v/>
      </c>
      <c r="F613" s="59" t="str">
        <f>IF([2]道具信息!F613="","",[2]道具信息!F613)</f>
        <v/>
      </c>
      <c r="G613" s="59" t="str">
        <f>IF([2]道具信息!G613="","",[2]道具信息!G613)</f>
        <v/>
      </c>
      <c r="H613" s="59" t="str">
        <f>IF([2]道具信息!H613="","",[2]道具信息!H613)</f>
        <v/>
      </c>
      <c r="I613" s="59" t="str">
        <f>IF([2]道具信息!I613="","",[2]道具信息!I613)</f>
        <v/>
      </c>
      <c r="J613" s="59" t="str">
        <f>IF([2]道具信息!J613="","",[2]道具信息!J613)</f>
        <v/>
      </c>
      <c r="K613" s="59" t="str">
        <f>IF([2]道具信息!K613="","",[2]道具信息!K613)</f>
        <v/>
      </c>
      <c r="L613" s="59" t="str">
        <f>IF([2]道具信息!L613="","",[2]道具信息!L613)</f>
        <v/>
      </c>
      <c r="M613" s="59" t="str">
        <f>IF([2]道具信息!M613="","",[2]道具信息!M613)</f>
        <v/>
      </c>
      <c r="N613" s="59" t="str">
        <f>IF([2]道具信息!N613="","",[2]道具信息!N613)</f>
        <v/>
      </c>
      <c r="O613" s="59" t="str">
        <f>IF([2]道具信息!O613="","",[2]道具信息!O613)</f>
        <v/>
      </c>
      <c r="P613" s="59" t="str">
        <f>IF([2]道具信息!P613="","",[2]道具信息!P613)</f>
        <v/>
      </c>
      <c r="Q613" s="59" t="str">
        <f>IF([2]道具信息!Q613="","",[2]道具信息!Q613)</f>
        <v/>
      </c>
      <c r="R613" s="59" t="str">
        <f>IF([2]道具信息!R613="","",[2]道具信息!R613)</f>
        <v/>
      </c>
      <c r="S613" s="59" t="str">
        <f>IF([2]道具信息!S613="","",[2]道具信息!S613)</f>
        <v/>
      </c>
      <c r="T613" s="59" t="str">
        <f>IF([2]道具信息!T613="","",[2]道具信息!T613)</f>
        <v/>
      </c>
      <c r="U613" s="59" t="str">
        <f>IF([2]道具信息!U613="","",[2]道具信息!U613)</f>
        <v/>
      </c>
      <c r="V613" s="59" t="str">
        <f>IF([2]道具信息!V613="","",[2]道具信息!V613)</f>
        <v/>
      </c>
      <c r="W613" s="59" t="str">
        <f>IF([2]道具信息!W613="","",[2]道具信息!W613)</f>
        <v/>
      </c>
      <c r="X613" s="59" t="str">
        <f>IF([2]道具信息!X613="","",[2]道具信息!X613)</f>
        <v/>
      </c>
      <c r="Y613" s="59" t="str">
        <f>IF([2]道具信息!Y613="","",[2]道具信息!Y613)</f>
        <v/>
      </c>
      <c r="Z613" s="59" t="str">
        <f>IF([2]道具信息!Z613="","",[2]道具信息!Z613)</f>
        <v/>
      </c>
    </row>
    <row r="614" spans="1:26" x14ac:dyDescent="0.15">
      <c r="A614" s="59" t="str">
        <f>IF([2]道具信息!A614="","",[2]道具信息!A614)</f>
        <v/>
      </c>
      <c r="B614" s="59" t="str">
        <f>IF([2]道具信息!B614="","",[2]道具信息!B614)</f>
        <v/>
      </c>
      <c r="C614" s="59" t="str">
        <f>IF([2]道具信息!C614="","",[2]道具信息!C614)</f>
        <v/>
      </c>
      <c r="D614" s="59" t="str">
        <f>IF([2]道具信息!D614="","",[2]道具信息!D614)</f>
        <v/>
      </c>
      <c r="E614" s="59" t="str">
        <f>IF([2]道具信息!E614="","",[2]道具信息!E614)</f>
        <v/>
      </c>
      <c r="F614" s="59" t="str">
        <f>IF([2]道具信息!F614="","",[2]道具信息!F614)</f>
        <v/>
      </c>
      <c r="G614" s="59" t="str">
        <f>IF([2]道具信息!G614="","",[2]道具信息!G614)</f>
        <v/>
      </c>
      <c r="H614" s="59" t="str">
        <f>IF([2]道具信息!H614="","",[2]道具信息!H614)</f>
        <v/>
      </c>
      <c r="I614" s="59" t="str">
        <f>IF([2]道具信息!I614="","",[2]道具信息!I614)</f>
        <v/>
      </c>
      <c r="J614" s="59" t="str">
        <f>IF([2]道具信息!J614="","",[2]道具信息!J614)</f>
        <v/>
      </c>
      <c r="K614" s="59" t="str">
        <f>IF([2]道具信息!K614="","",[2]道具信息!K614)</f>
        <v/>
      </c>
      <c r="L614" s="59" t="str">
        <f>IF([2]道具信息!L614="","",[2]道具信息!L614)</f>
        <v/>
      </c>
      <c r="M614" s="59" t="str">
        <f>IF([2]道具信息!M614="","",[2]道具信息!M614)</f>
        <v/>
      </c>
      <c r="N614" s="59" t="str">
        <f>IF([2]道具信息!N614="","",[2]道具信息!N614)</f>
        <v/>
      </c>
      <c r="O614" s="59" t="str">
        <f>IF([2]道具信息!O614="","",[2]道具信息!O614)</f>
        <v/>
      </c>
      <c r="P614" s="59" t="str">
        <f>IF([2]道具信息!P614="","",[2]道具信息!P614)</f>
        <v/>
      </c>
      <c r="Q614" s="59" t="str">
        <f>IF([2]道具信息!Q614="","",[2]道具信息!Q614)</f>
        <v/>
      </c>
      <c r="R614" s="59" t="str">
        <f>IF([2]道具信息!R614="","",[2]道具信息!R614)</f>
        <v/>
      </c>
      <c r="S614" s="59" t="str">
        <f>IF([2]道具信息!S614="","",[2]道具信息!S614)</f>
        <v/>
      </c>
      <c r="T614" s="59" t="str">
        <f>IF([2]道具信息!T614="","",[2]道具信息!T614)</f>
        <v/>
      </c>
      <c r="U614" s="59" t="str">
        <f>IF([2]道具信息!U614="","",[2]道具信息!U614)</f>
        <v/>
      </c>
      <c r="V614" s="59" t="str">
        <f>IF([2]道具信息!V614="","",[2]道具信息!V614)</f>
        <v/>
      </c>
      <c r="W614" s="59" t="str">
        <f>IF([2]道具信息!W614="","",[2]道具信息!W614)</f>
        <v/>
      </c>
      <c r="X614" s="59" t="str">
        <f>IF([2]道具信息!X614="","",[2]道具信息!X614)</f>
        <v/>
      </c>
      <c r="Y614" s="59" t="str">
        <f>IF([2]道具信息!Y614="","",[2]道具信息!Y614)</f>
        <v/>
      </c>
      <c r="Z614" s="59" t="str">
        <f>IF([2]道具信息!Z614="","",[2]道具信息!Z614)</f>
        <v/>
      </c>
    </row>
    <row r="615" spans="1:26" x14ac:dyDescent="0.15">
      <c r="A615" s="59" t="str">
        <f>IF([2]道具信息!A615="","",[2]道具信息!A615)</f>
        <v/>
      </c>
      <c r="B615" s="59" t="str">
        <f>IF([2]道具信息!B615="","",[2]道具信息!B615)</f>
        <v/>
      </c>
      <c r="C615" s="59" t="str">
        <f>IF([2]道具信息!C615="","",[2]道具信息!C615)</f>
        <v/>
      </c>
      <c r="D615" s="59" t="str">
        <f>IF([2]道具信息!D615="","",[2]道具信息!D615)</f>
        <v/>
      </c>
      <c r="E615" s="59" t="str">
        <f>IF([2]道具信息!E615="","",[2]道具信息!E615)</f>
        <v/>
      </c>
      <c r="F615" s="59" t="str">
        <f>IF([2]道具信息!F615="","",[2]道具信息!F615)</f>
        <v/>
      </c>
      <c r="G615" s="59" t="str">
        <f>IF([2]道具信息!G615="","",[2]道具信息!G615)</f>
        <v/>
      </c>
      <c r="H615" s="59" t="str">
        <f>IF([2]道具信息!H615="","",[2]道具信息!H615)</f>
        <v/>
      </c>
      <c r="I615" s="59" t="str">
        <f>IF([2]道具信息!I615="","",[2]道具信息!I615)</f>
        <v/>
      </c>
      <c r="J615" s="59" t="str">
        <f>IF([2]道具信息!J615="","",[2]道具信息!J615)</f>
        <v/>
      </c>
      <c r="K615" s="59" t="str">
        <f>IF([2]道具信息!K615="","",[2]道具信息!K615)</f>
        <v/>
      </c>
      <c r="L615" s="59" t="str">
        <f>IF([2]道具信息!L615="","",[2]道具信息!L615)</f>
        <v/>
      </c>
      <c r="M615" s="59" t="str">
        <f>IF([2]道具信息!M615="","",[2]道具信息!M615)</f>
        <v/>
      </c>
      <c r="N615" s="59" t="str">
        <f>IF([2]道具信息!N615="","",[2]道具信息!N615)</f>
        <v/>
      </c>
      <c r="O615" s="59" t="str">
        <f>IF([2]道具信息!O615="","",[2]道具信息!O615)</f>
        <v/>
      </c>
      <c r="P615" s="59" t="str">
        <f>IF([2]道具信息!P615="","",[2]道具信息!P615)</f>
        <v/>
      </c>
      <c r="Q615" s="59" t="str">
        <f>IF([2]道具信息!Q615="","",[2]道具信息!Q615)</f>
        <v/>
      </c>
      <c r="R615" s="59" t="str">
        <f>IF([2]道具信息!R615="","",[2]道具信息!R615)</f>
        <v/>
      </c>
      <c r="S615" s="59" t="str">
        <f>IF([2]道具信息!S615="","",[2]道具信息!S615)</f>
        <v/>
      </c>
      <c r="T615" s="59" t="str">
        <f>IF([2]道具信息!T615="","",[2]道具信息!T615)</f>
        <v/>
      </c>
      <c r="U615" s="59" t="str">
        <f>IF([2]道具信息!U615="","",[2]道具信息!U615)</f>
        <v/>
      </c>
      <c r="V615" s="59" t="str">
        <f>IF([2]道具信息!V615="","",[2]道具信息!V615)</f>
        <v/>
      </c>
      <c r="W615" s="59" t="str">
        <f>IF([2]道具信息!W615="","",[2]道具信息!W615)</f>
        <v/>
      </c>
      <c r="X615" s="59" t="str">
        <f>IF([2]道具信息!X615="","",[2]道具信息!X615)</f>
        <v/>
      </c>
      <c r="Y615" s="59" t="str">
        <f>IF([2]道具信息!Y615="","",[2]道具信息!Y615)</f>
        <v/>
      </c>
      <c r="Z615" s="59" t="str">
        <f>IF([2]道具信息!Z615="","",[2]道具信息!Z615)</f>
        <v/>
      </c>
    </row>
    <row r="616" spans="1:26" x14ac:dyDescent="0.15">
      <c r="A616" s="59" t="str">
        <f>IF([2]道具信息!A616="","",[2]道具信息!A616)</f>
        <v/>
      </c>
      <c r="B616" s="59" t="str">
        <f>IF([2]道具信息!B616="","",[2]道具信息!B616)</f>
        <v/>
      </c>
      <c r="C616" s="59" t="str">
        <f>IF([2]道具信息!C616="","",[2]道具信息!C616)</f>
        <v/>
      </c>
      <c r="D616" s="59" t="str">
        <f>IF([2]道具信息!D616="","",[2]道具信息!D616)</f>
        <v/>
      </c>
      <c r="E616" s="59" t="str">
        <f>IF([2]道具信息!E616="","",[2]道具信息!E616)</f>
        <v/>
      </c>
      <c r="F616" s="59" t="str">
        <f>IF([2]道具信息!F616="","",[2]道具信息!F616)</f>
        <v/>
      </c>
      <c r="G616" s="59" t="str">
        <f>IF([2]道具信息!G616="","",[2]道具信息!G616)</f>
        <v/>
      </c>
      <c r="H616" s="59" t="str">
        <f>IF([2]道具信息!H616="","",[2]道具信息!H616)</f>
        <v/>
      </c>
      <c r="I616" s="59" t="str">
        <f>IF([2]道具信息!I616="","",[2]道具信息!I616)</f>
        <v/>
      </c>
      <c r="J616" s="59" t="str">
        <f>IF([2]道具信息!J616="","",[2]道具信息!J616)</f>
        <v/>
      </c>
      <c r="K616" s="59" t="str">
        <f>IF([2]道具信息!K616="","",[2]道具信息!K616)</f>
        <v/>
      </c>
      <c r="L616" s="59" t="str">
        <f>IF([2]道具信息!L616="","",[2]道具信息!L616)</f>
        <v/>
      </c>
      <c r="M616" s="59" t="str">
        <f>IF([2]道具信息!M616="","",[2]道具信息!M616)</f>
        <v/>
      </c>
      <c r="N616" s="59" t="str">
        <f>IF([2]道具信息!N616="","",[2]道具信息!N616)</f>
        <v/>
      </c>
      <c r="O616" s="59" t="str">
        <f>IF([2]道具信息!O616="","",[2]道具信息!O616)</f>
        <v/>
      </c>
      <c r="P616" s="59" t="str">
        <f>IF([2]道具信息!P616="","",[2]道具信息!P616)</f>
        <v/>
      </c>
      <c r="Q616" s="59" t="str">
        <f>IF([2]道具信息!Q616="","",[2]道具信息!Q616)</f>
        <v/>
      </c>
      <c r="R616" s="59" t="str">
        <f>IF([2]道具信息!R616="","",[2]道具信息!R616)</f>
        <v/>
      </c>
      <c r="S616" s="59" t="str">
        <f>IF([2]道具信息!S616="","",[2]道具信息!S616)</f>
        <v/>
      </c>
      <c r="T616" s="59" t="str">
        <f>IF([2]道具信息!T616="","",[2]道具信息!T616)</f>
        <v/>
      </c>
      <c r="U616" s="59" t="str">
        <f>IF([2]道具信息!U616="","",[2]道具信息!U616)</f>
        <v/>
      </c>
      <c r="V616" s="59" t="str">
        <f>IF([2]道具信息!V616="","",[2]道具信息!V616)</f>
        <v/>
      </c>
      <c r="W616" s="59" t="str">
        <f>IF([2]道具信息!W616="","",[2]道具信息!W616)</f>
        <v/>
      </c>
      <c r="X616" s="59" t="str">
        <f>IF([2]道具信息!X616="","",[2]道具信息!X616)</f>
        <v/>
      </c>
      <c r="Y616" s="59" t="str">
        <f>IF([2]道具信息!Y616="","",[2]道具信息!Y616)</f>
        <v/>
      </c>
      <c r="Z616" s="59" t="str">
        <f>IF([2]道具信息!Z616="","",[2]道具信息!Z616)</f>
        <v/>
      </c>
    </row>
    <row r="617" spans="1:26" x14ac:dyDescent="0.15">
      <c r="A617" s="59" t="str">
        <f>IF([2]道具信息!A617="","",[2]道具信息!A617)</f>
        <v/>
      </c>
      <c r="B617" s="59" t="str">
        <f>IF([2]道具信息!B617="","",[2]道具信息!B617)</f>
        <v/>
      </c>
      <c r="C617" s="59" t="str">
        <f>IF([2]道具信息!C617="","",[2]道具信息!C617)</f>
        <v/>
      </c>
      <c r="D617" s="59" t="str">
        <f>IF([2]道具信息!D617="","",[2]道具信息!D617)</f>
        <v/>
      </c>
      <c r="E617" s="59" t="str">
        <f>IF([2]道具信息!E617="","",[2]道具信息!E617)</f>
        <v/>
      </c>
      <c r="F617" s="59" t="str">
        <f>IF([2]道具信息!F617="","",[2]道具信息!F617)</f>
        <v/>
      </c>
      <c r="G617" s="59" t="str">
        <f>IF([2]道具信息!G617="","",[2]道具信息!G617)</f>
        <v/>
      </c>
      <c r="H617" s="59" t="str">
        <f>IF([2]道具信息!H617="","",[2]道具信息!H617)</f>
        <v/>
      </c>
      <c r="I617" s="59" t="str">
        <f>IF([2]道具信息!I617="","",[2]道具信息!I617)</f>
        <v/>
      </c>
      <c r="J617" s="59" t="str">
        <f>IF([2]道具信息!J617="","",[2]道具信息!J617)</f>
        <v/>
      </c>
      <c r="K617" s="59" t="str">
        <f>IF([2]道具信息!K617="","",[2]道具信息!K617)</f>
        <v/>
      </c>
      <c r="L617" s="59" t="str">
        <f>IF([2]道具信息!L617="","",[2]道具信息!L617)</f>
        <v/>
      </c>
      <c r="M617" s="59" t="str">
        <f>IF([2]道具信息!M617="","",[2]道具信息!M617)</f>
        <v/>
      </c>
      <c r="N617" s="59" t="str">
        <f>IF([2]道具信息!N617="","",[2]道具信息!N617)</f>
        <v/>
      </c>
      <c r="O617" s="59" t="str">
        <f>IF([2]道具信息!O617="","",[2]道具信息!O617)</f>
        <v/>
      </c>
      <c r="P617" s="59" t="str">
        <f>IF([2]道具信息!P617="","",[2]道具信息!P617)</f>
        <v/>
      </c>
      <c r="Q617" s="59" t="str">
        <f>IF([2]道具信息!Q617="","",[2]道具信息!Q617)</f>
        <v/>
      </c>
      <c r="R617" s="59" t="str">
        <f>IF([2]道具信息!R617="","",[2]道具信息!R617)</f>
        <v/>
      </c>
      <c r="S617" s="59" t="str">
        <f>IF([2]道具信息!S617="","",[2]道具信息!S617)</f>
        <v/>
      </c>
      <c r="T617" s="59" t="str">
        <f>IF([2]道具信息!T617="","",[2]道具信息!T617)</f>
        <v/>
      </c>
      <c r="U617" s="59" t="str">
        <f>IF([2]道具信息!U617="","",[2]道具信息!U617)</f>
        <v/>
      </c>
      <c r="V617" s="59" t="str">
        <f>IF([2]道具信息!V617="","",[2]道具信息!V617)</f>
        <v/>
      </c>
      <c r="W617" s="59" t="str">
        <f>IF([2]道具信息!W617="","",[2]道具信息!W617)</f>
        <v/>
      </c>
      <c r="X617" s="59" t="str">
        <f>IF([2]道具信息!X617="","",[2]道具信息!X617)</f>
        <v/>
      </c>
      <c r="Y617" s="59" t="str">
        <f>IF([2]道具信息!Y617="","",[2]道具信息!Y617)</f>
        <v/>
      </c>
      <c r="Z617" s="59" t="str">
        <f>IF([2]道具信息!Z617="","",[2]道具信息!Z617)</f>
        <v/>
      </c>
    </row>
    <row r="618" spans="1:26" x14ac:dyDescent="0.15">
      <c r="A618" s="59" t="str">
        <f>IF([2]道具信息!A618="","",[2]道具信息!A618)</f>
        <v/>
      </c>
      <c r="B618" s="59" t="str">
        <f>IF([2]道具信息!B618="","",[2]道具信息!B618)</f>
        <v/>
      </c>
      <c r="C618" s="59" t="str">
        <f>IF([2]道具信息!C618="","",[2]道具信息!C618)</f>
        <v/>
      </c>
      <c r="D618" s="59" t="str">
        <f>IF([2]道具信息!D618="","",[2]道具信息!D618)</f>
        <v/>
      </c>
      <c r="E618" s="59" t="str">
        <f>IF([2]道具信息!E618="","",[2]道具信息!E618)</f>
        <v/>
      </c>
      <c r="F618" s="59" t="str">
        <f>IF([2]道具信息!F618="","",[2]道具信息!F618)</f>
        <v/>
      </c>
      <c r="G618" s="59" t="str">
        <f>IF([2]道具信息!G618="","",[2]道具信息!G618)</f>
        <v/>
      </c>
      <c r="H618" s="59" t="str">
        <f>IF([2]道具信息!H618="","",[2]道具信息!H618)</f>
        <v/>
      </c>
      <c r="I618" s="59" t="str">
        <f>IF([2]道具信息!I618="","",[2]道具信息!I618)</f>
        <v/>
      </c>
      <c r="J618" s="59" t="str">
        <f>IF([2]道具信息!J618="","",[2]道具信息!J618)</f>
        <v/>
      </c>
      <c r="K618" s="59" t="str">
        <f>IF([2]道具信息!K618="","",[2]道具信息!K618)</f>
        <v/>
      </c>
      <c r="L618" s="59" t="str">
        <f>IF([2]道具信息!L618="","",[2]道具信息!L618)</f>
        <v/>
      </c>
      <c r="M618" s="59" t="str">
        <f>IF([2]道具信息!M618="","",[2]道具信息!M618)</f>
        <v/>
      </c>
      <c r="N618" s="59" t="str">
        <f>IF([2]道具信息!N618="","",[2]道具信息!N618)</f>
        <v/>
      </c>
      <c r="O618" s="59" t="str">
        <f>IF([2]道具信息!O618="","",[2]道具信息!O618)</f>
        <v/>
      </c>
      <c r="P618" s="59" t="str">
        <f>IF([2]道具信息!P618="","",[2]道具信息!P618)</f>
        <v/>
      </c>
      <c r="Q618" s="59" t="str">
        <f>IF([2]道具信息!Q618="","",[2]道具信息!Q618)</f>
        <v/>
      </c>
      <c r="R618" s="59" t="str">
        <f>IF([2]道具信息!R618="","",[2]道具信息!R618)</f>
        <v/>
      </c>
      <c r="S618" s="59" t="str">
        <f>IF([2]道具信息!S618="","",[2]道具信息!S618)</f>
        <v/>
      </c>
      <c r="T618" s="59" t="str">
        <f>IF([2]道具信息!T618="","",[2]道具信息!T618)</f>
        <v/>
      </c>
      <c r="U618" s="59" t="str">
        <f>IF([2]道具信息!U618="","",[2]道具信息!U618)</f>
        <v/>
      </c>
      <c r="V618" s="59" t="str">
        <f>IF([2]道具信息!V618="","",[2]道具信息!V618)</f>
        <v/>
      </c>
      <c r="W618" s="59" t="str">
        <f>IF([2]道具信息!W618="","",[2]道具信息!W618)</f>
        <v/>
      </c>
      <c r="X618" s="59" t="str">
        <f>IF([2]道具信息!X618="","",[2]道具信息!X618)</f>
        <v/>
      </c>
      <c r="Y618" s="59" t="str">
        <f>IF([2]道具信息!Y618="","",[2]道具信息!Y618)</f>
        <v/>
      </c>
      <c r="Z618" s="59" t="str">
        <f>IF([2]道具信息!Z618="","",[2]道具信息!Z618)</f>
        <v/>
      </c>
    </row>
    <row r="619" spans="1:26" x14ac:dyDescent="0.15">
      <c r="A619" s="59" t="str">
        <f>IF([2]道具信息!A619="","",[2]道具信息!A619)</f>
        <v/>
      </c>
      <c r="B619" s="59" t="str">
        <f>IF([2]道具信息!B619="","",[2]道具信息!B619)</f>
        <v/>
      </c>
      <c r="C619" s="59" t="str">
        <f>IF([2]道具信息!C619="","",[2]道具信息!C619)</f>
        <v/>
      </c>
      <c r="D619" s="59" t="str">
        <f>IF([2]道具信息!D619="","",[2]道具信息!D619)</f>
        <v/>
      </c>
      <c r="E619" s="59" t="str">
        <f>IF([2]道具信息!E619="","",[2]道具信息!E619)</f>
        <v/>
      </c>
      <c r="F619" s="59" t="str">
        <f>IF([2]道具信息!F619="","",[2]道具信息!F619)</f>
        <v/>
      </c>
      <c r="G619" s="59" t="str">
        <f>IF([2]道具信息!G619="","",[2]道具信息!G619)</f>
        <v/>
      </c>
      <c r="H619" s="59" t="str">
        <f>IF([2]道具信息!H619="","",[2]道具信息!H619)</f>
        <v/>
      </c>
      <c r="I619" s="59" t="str">
        <f>IF([2]道具信息!I619="","",[2]道具信息!I619)</f>
        <v/>
      </c>
      <c r="J619" s="59" t="str">
        <f>IF([2]道具信息!J619="","",[2]道具信息!J619)</f>
        <v/>
      </c>
      <c r="K619" s="59" t="str">
        <f>IF([2]道具信息!K619="","",[2]道具信息!K619)</f>
        <v/>
      </c>
      <c r="L619" s="59" t="str">
        <f>IF([2]道具信息!L619="","",[2]道具信息!L619)</f>
        <v/>
      </c>
      <c r="M619" s="59" t="str">
        <f>IF([2]道具信息!M619="","",[2]道具信息!M619)</f>
        <v/>
      </c>
      <c r="N619" s="59" t="str">
        <f>IF([2]道具信息!N619="","",[2]道具信息!N619)</f>
        <v/>
      </c>
      <c r="O619" s="59" t="str">
        <f>IF([2]道具信息!O619="","",[2]道具信息!O619)</f>
        <v/>
      </c>
      <c r="P619" s="59" t="str">
        <f>IF([2]道具信息!P619="","",[2]道具信息!P619)</f>
        <v/>
      </c>
      <c r="Q619" s="59" t="str">
        <f>IF([2]道具信息!Q619="","",[2]道具信息!Q619)</f>
        <v/>
      </c>
      <c r="R619" s="59" t="str">
        <f>IF([2]道具信息!R619="","",[2]道具信息!R619)</f>
        <v/>
      </c>
      <c r="S619" s="59" t="str">
        <f>IF([2]道具信息!S619="","",[2]道具信息!S619)</f>
        <v/>
      </c>
      <c r="T619" s="59" t="str">
        <f>IF([2]道具信息!T619="","",[2]道具信息!T619)</f>
        <v/>
      </c>
      <c r="U619" s="59" t="str">
        <f>IF([2]道具信息!U619="","",[2]道具信息!U619)</f>
        <v/>
      </c>
      <c r="V619" s="59" t="str">
        <f>IF([2]道具信息!V619="","",[2]道具信息!V619)</f>
        <v/>
      </c>
      <c r="W619" s="59" t="str">
        <f>IF([2]道具信息!W619="","",[2]道具信息!W619)</f>
        <v/>
      </c>
      <c r="X619" s="59" t="str">
        <f>IF([2]道具信息!X619="","",[2]道具信息!X619)</f>
        <v/>
      </c>
      <c r="Y619" s="59" t="str">
        <f>IF([2]道具信息!Y619="","",[2]道具信息!Y619)</f>
        <v/>
      </c>
      <c r="Z619" s="59" t="str">
        <f>IF([2]道具信息!Z619="","",[2]道具信息!Z619)</f>
        <v/>
      </c>
    </row>
    <row r="620" spans="1:26" x14ac:dyDescent="0.15">
      <c r="A620" s="59" t="str">
        <f>IF([2]道具信息!A620="","",[2]道具信息!A620)</f>
        <v/>
      </c>
      <c r="B620" s="59" t="str">
        <f>IF([2]道具信息!B620="","",[2]道具信息!B620)</f>
        <v/>
      </c>
      <c r="C620" s="59" t="str">
        <f>IF([2]道具信息!C620="","",[2]道具信息!C620)</f>
        <v/>
      </c>
      <c r="D620" s="59" t="str">
        <f>IF([2]道具信息!D620="","",[2]道具信息!D620)</f>
        <v/>
      </c>
      <c r="E620" s="59" t="str">
        <f>IF([2]道具信息!E620="","",[2]道具信息!E620)</f>
        <v/>
      </c>
      <c r="F620" s="59" t="str">
        <f>IF([2]道具信息!F620="","",[2]道具信息!F620)</f>
        <v/>
      </c>
      <c r="G620" s="59" t="str">
        <f>IF([2]道具信息!G620="","",[2]道具信息!G620)</f>
        <v/>
      </c>
      <c r="H620" s="59" t="str">
        <f>IF([2]道具信息!H620="","",[2]道具信息!H620)</f>
        <v/>
      </c>
      <c r="I620" s="59" t="str">
        <f>IF([2]道具信息!I620="","",[2]道具信息!I620)</f>
        <v/>
      </c>
      <c r="J620" s="59" t="str">
        <f>IF([2]道具信息!J620="","",[2]道具信息!J620)</f>
        <v/>
      </c>
      <c r="K620" s="59" t="str">
        <f>IF([2]道具信息!K620="","",[2]道具信息!K620)</f>
        <v/>
      </c>
      <c r="L620" s="59" t="str">
        <f>IF([2]道具信息!L620="","",[2]道具信息!L620)</f>
        <v/>
      </c>
      <c r="M620" s="59" t="str">
        <f>IF([2]道具信息!M620="","",[2]道具信息!M620)</f>
        <v/>
      </c>
      <c r="N620" s="59" t="str">
        <f>IF([2]道具信息!N620="","",[2]道具信息!N620)</f>
        <v/>
      </c>
      <c r="O620" s="59" t="str">
        <f>IF([2]道具信息!O620="","",[2]道具信息!O620)</f>
        <v/>
      </c>
      <c r="P620" s="59" t="str">
        <f>IF([2]道具信息!P620="","",[2]道具信息!P620)</f>
        <v/>
      </c>
      <c r="Q620" s="59" t="str">
        <f>IF([2]道具信息!Q620="","",[2]道具信息!Q620)</f>
        <v/>
      </c>
      <c r="R620" s="59" t="str">
        <f>IF([2]道具信息!R620="","",[2]道具信息!R620)</f>
        <v/>
      </c>
      <c r="S620" s="59" t="str">
        <f>IF([2]道具信息!S620="","",[2]道具信息!S620)</f>
        <v/>
      </c>
      <c r="T620" s="59" t="str">
        <f>IF([2]道具信息!T620="","",[2]道具信息!T620)</f>
        <v/>
      </c>
      <c r="U620" s="59" t="str">
        <f>IF([2]道具信息!U620="","",[2]道具信息!U620)</f>
        <v/>
      </c>
      <c r="V620" s="59" t="str">
        <f>IF([2]道具信息!V620="","",[2]道具信息!V620)</f>
        <v/>
      </c>
      <c r="W620" s="59" t="str">
        <f>IF([2]道具信息!W620="","",[2]道具信息!W620)</f>
        <v/>
      </c>
      <c r="X620" s="59" t="str">
        <f>IF([2]道具信息!X620="","",[2]道具信息!X620)</f>
        <v/>
      </c>
      <c r="Y620" s="59" t="str">
        <f>IF([2]道具信息!Y620="","",[2]道具信息!Y620)</f>
        <v/>
      </c>
      <c r="Z620" s="59" t="str">
        <f>IF([2]道具信息!Z620="","",[2]道具信息!Z620)</f>
        <v/>
      </c>
    </row>
    <row r="621" spans="1:26" x14ac:dyDescent="0.15">
      <c r="A621" s="59" t="str">
        <f>IF([2]道具信息!A621="","",[2]道具信息!A621)</f>
        <v/>
      </c>
      <c r="B621" s="59" t="str">
        <f>IF([2]道具信息!B621="","",[2]道具信息!B621)</f>
        <v/>
      </c>
      <c r="C621" s="59" t="str">
        <f>IF([2]道具信息!C621="","",[2]道具信息!C621)</f>
        <v/>
      </c>
      <c r="D621" s="59" t="str">
        <f>IF([2]道具信息!D621="","",[2]道具信息!D621)</f>
        <v/>
      </c>
      <c r="E621" s="59" t="str">
        <f>IF([2]道具信息!E621="","",[2]道具信息!E621)</f>
        <v/>
      </c>
      <c r="F621" s="59" t="str">
        <f>IF([2]道具信息!F621="","",[2]道具信息!F621)</f>
        <v/>
      </c>
      <c r="G621" s="59" t="str">
        <f>IF([2]道具信息!G621="","",[2]道具信息!G621)</f>
        <v/>
      </c>
      <c r="H621" s="59" t="str">
        <f>IF([2]道具信息!H621="","",[2]道具信息!H621)</f>
        <v/>
      </c>
      <c r="I621" s="59" t="str">
        <f>IF([2]道具信息!I621="","",[2]道具信息!I621)</f>
        <v/>
      </c>
      <c r="J621" s="59" t="str">
        <f>IF([2]道具信息!J621="","",[2]道具信息!J621)</f>
        <v/>
      </c>
      <c r="K621" s="59" t="str">
        <f>IF([2]道具信息!K621="","",[2]道具信息!K621)</f>
        <v/>
      </c>
      <c r="L621" s="59" t="str">
        <f>IF([2]道具信息!L621="","",[2]道具信息!L621)</f>
        <v/>
      </c>
      <c r="M621" s="59" t="str">
        <f>IF([2]道具信息!M621="","",[2]道具信息!M621)</f>
        <v/>
      </c>
      <c r="N621" s="59" t="str">
        <f>IF([2]道具信息!N621="","",[2]道具信息!N621)</f>
        <v/>
      </c>
      <c r="O621" s="59" t="str">
        <f>IF([2]道具信息!O621="","",[2]道具信息!O621)</f>
        <v/>
      </c>
      <c r="P621" s="59" t="str">
        <f>IF([2]道具信息!P621="","",[2]道具信息!P621)</f>
        <v/>
      </c>
      <c r="Q621" s="59" t="str">
        <f>IF([2]道具信息!Q621="","",[2]道具信息!Q621)</f>
        <v/>
      </c>
      <c r="R621" s="59" t="str">
        <f>IF([2]道具信息!R621="","",[2]道具信息!R621)</f>
        <v/>
      </c>
      <c r="S621" s="59" t="str">
        <f>IF([2]道具信息!S621="","",[2]道具信息!S621)</f>
        <v/>
      </c>
      <c r="T621" s="59" t="str">
        <f>IF([2]道具信息!T621="","",[2]道具信息!T621)</f>
        <v/>
      </c>
      <c r="U621" s="59" t="str">
        <f>IF([2]道具信息!U621="","",[2]道具信息!U621)</f>
        <v/>
      </c>
      <c r="V621" s="59" t="str">
        <f>IF([2]道具信息!V621="","",[2]道具信息!V621)</f>
        <v/>
      </c>
      <c r="W621" s="59" t="str">
        <f>IF([2]道具信息!W621="","",[2]道具信息!W621)</f>
        <v/>
      </c>
      <c r="X621" s="59" t="str">
        <f>IF([2]道具信息!X621="","",[2]道具信息!X621)</f>
        <v/>
      </c>
      <c r="Y621" s="59" t="str">
        <f>IF([2]道具信息!Y621="","",[2]道具信息!Y621)</f>
        <v/>
      </c>
      <c r="Z621" s="59" t="str">
        <f>IF([2]道具信息!Z621="","",[2]道具信息!Z621)</f>
        <v/>
      </c>
    </row>
    <row r="622" spans="1:26" x14ac:dyDescent="0.15">
      <c r="A622" s="59" t="str">
        <f>IF([2]道具信息!A622="","",[2]道具信息!A622)</f>
        <v/>
      </c>
      <c r="B622" s="59" t="str">
        <f>IF([2]道具信息!B622="","",[2]道具信息!B622)</f>
        <v/>
      </c>
      <c r="C622" s="59" t="str">
        <f>IF([2]道具信息!C622="","",[2]道具信息!C622)</f>
        <v/>
      </c>
      <c r="D622" s="59" t="str">
        <f>IF([2]道具信息!D622="","",[2]道具信息!D622)</f>
        <v/>
      </c>
      <c r="E622" s="59" t="str">
        <f>IF([2]道具信息!E622="","",[2]道具信息!E622)</f>
        <v/>
      </c>
      <c r="F622" s="59" t="str">
        <f>IF([2]道具信息!F622="","",[2]道具信息!F622)</f>
        <v/>
      </c>
      <c r="G622" s="59" t="str">
        <f>IF([2]道具信息!G622="","",[2]道具信息!G622)</f>
        <v/>
      </c>
      <c r="H622" s="59" t="str">
        <f>IF([2]道具信息!H622="","",[2]道具信息!H622)</f>
        <v/>
      </c>
      <c r="I622" s="59" t="str">
        <f>IF([2]道具信息!I622="","",[2]道具信息!I622)</f>
        <v/>
      </c>
      <c r="J622" s="59" t="str">
        <f>IF([2]道具信息!J622="","",[2]道具信息!J622)</f>
        <v/>
      </c>
      <c r="K622" s="59" t="str">
        <f>IF([2]道具信息!K622="","",[2]道具信息!K622)</f>
        <v/>
      </c>
      <c r="L622" s="59" t="str">
        <f>IF([2]道具信息!L622="","",[2]道具信息!L622)</f>
        <v/>
      </c>
      <c r="M622" s="59" t="str">
        <f>IF([2]道具信息!M622="","",[2]道具信息!M622)</f>
        <v/>
      </c>
      <c r="N622" s="59" t="str">
        <f>IF([2]道具信息!N622="","",[2]道具信息!N622)</f>
        <v/>
      </c>
      <c r="O622" s="59" t="str">
        <f>IF([2]道具信息!O622="","",[2]道具信息!O622)</f>
        <v/>
      </c>
      <c r="P622" s="59" t="str">
        <f>IF([2]道具信息!P622="","",[2]道具信息!P622)</f>
        <v/>
      </c>
      <c r="Q622" s="59" t="str">
        <f>IF([2]道具信息!Q622="","",[2]道具信息!Q622)</f>
        <v/>
      </c>
      <c r="R622" s="59" t="str">
        <f>IF([2]道具信息!R622="","",[2]道具信息!R622)</f>
        <v/>
      </c>
      <c r="S622" s="59" t="str">
        <f>IF([2]道具信息!S622="","",[2]道具信息!S622)</f>
        <v/>
      </c>
      <c r="T622" s="59" t="str">
        <f>IF([2]道具信息!T622="","",[2]道具信息!T622)</f>
        <v/>
      </c>
      <c r="U622" s="59" t="str">
        <f>IF([2]道具信息!U622="","",[2]道具信息!U622)</f>
        <v/>
      </c>
      <c r="V622" s="59" t="str">
        <f>IF([2]道具信息!V622="","",[2]道具信息!V622)</f>
        <v/>
      </c>
      <c r="W622" s="59" t="str">
        <f>IF([2]道具信息!W622="","",[2]道具信息!W622)</f>
        <v/>
      </c>
      <c r="X622" s="59" t="str">
        <f>IF([2]道具信息!X622="","",[2]道具信息!X622)</f>
        <v/>
      </c>
      <c r="Y622" s="59" t="str">
        <f>IF([2]道具信息!Y622="","",[2]道具信息!Y622)</f>
        <v/>
      </c>
      <c r="Z622" s="59" t="str">
        <f>IF([2]道具信息!Z622="","",[2]道具信息!Z622)</f>
        <v/>
      </c>
    </row>
    <row r="623" spans="1:26" x14ac:dyDescent="0.15">
      <c r="A623" s="59" t="str">
        <f>IF([2]道具信息!A623="","",[2]道具信息!A623)</f>
        <v/>
      </c>
      <c r="B623" s="59" t="str">
        <f>IF([2]道具信息!B623="","",[2]道具信息!B623)</f>
        <v/>
      </c>
      <c r="C623" s="59" t="str">
        <f>IF([2]道具信息!C623="","",[2]道具信息!C623)</f>
        <v/>
      </c>
      <c r="D623" s="59" t="str">
        <f>IF([2]道具信息!D623="","",[2]道具信息!D623)</f>
        <v/>
      </c>
      <c r="E623" s="59" t="str">
        <f>IF([2]道具信息!E623="","",[2]道具信息!E623)</f>
        <v/>
      </c>
      <c r="F623" s="59" t="str">
        <f>IF([2]道具信息!F623="","",[2]道具信息!F623)</f>
        <v/>
      </c>
      <c r="G623" s="59" t="str">
        <f>IF([2]道具信息!G623="","",[2]道具信息!G623)</f>
        <v/>
      </c>
      <c r="H623" s="59" t="str">
        <f>IF([2]道具信息!H623="","",[2]道具信息!H623)</f>
        <v/>
      </c>
      <c r="I623" s="59" t="str">
        <f>IF([2]道具信息!I623="","",[2]道具信息!I623)</f>
        <v/>
      </c>
      <c r="J623" s="59" t="str">
        <f>IF([2]道具信息!J623="","",[2]道具信息!J623)</f>
        <v/>
      </c>
      <c r="K623" s="59" t="str">
        <f>IF([2]道具信息!K623="","",[2]道具信息!K623)</f>
        <v/>
      </c>
      <c r="L623" s="59" t="str">
        <f>IF([2]道具信息!L623="","",[2]道具信息!L623)</f>
        <v/>
      </c>
      <c r="M623" s="59" t="str">
        <f>IF([2]道具信息!M623="","",[2]道具信息!M623)</f>
        <v/>
      </c>
      <c r="N623" s="59" t="str">
        <f>IF([2]道具信息!N623="","",[2]道具信息!N623)</f>
        <v/>
      </c>
      <c r="O623" s="59" t="str">
        <f>IF([2]道具信息!O623="","",[2]道具信息!O623)</f>
        <v/>
      </c>
      <c r="P623" s="59" t="str">
        <f>IF([2]道具信息!P623="","",[2]道具信息!P623)</f>
        <v/>
      </c>
      <c r="Q623" s="59" t="str">
        <f>IF([2]道具信息!Q623="","",[2]道具信息!Q623)</f>
        <v/>
      </c>
      <c r="R623" s="59" t="str">
        <f>IF([2]道具信息!R623="","",[2]道具信息!R623)</f>
        <v/>
      </c>
      <c r="S623" s="59" t="str">
        <f>IF([2]道具信息!S623="","",[2]道具信息!S623)</f>
        <v/>
      </c>
      <c r="T623" s="59" t="str">
        <f>IF([2]道具信息!T623="","",[2]道具信息!T623)</f>
        <v/>
      </c>
      <c r="U623" s="59" t="str">
        <f>IF([2]道具信息!U623="","",[2]道具信息!U623)</f>
        <v/>
      </c>
      <c r="V623" s="59" t="str">
        <f>IF([2]道具信息!V623="","",[2]道具信息!V623)</f>
        <v/>
      </c>
      <c r="W623" s="59" t="str">
        <f>IF([2]道具信息!W623="","",[2]道具信息!W623)</f>
        <v/>
      </c>
      <c r="X623" s="59" t="str">
        <f>IF([2]道具信息!X623="","",[2]道具信息!X623)</f>
        <v/>
      </c>
      <c r="Y623" s="59" t="str">
        <f>IF([2]道具信息!Y623="","",[2]道具信息!Y623)</f>
        <v/>
      </c>
      <c r="Z623" s="59" t="str">
        <f>IF([2]道具信息!Z623="","",[2]道具信息!Z623)</f>
        <v/>
      </c>
    </row>
    <row r="624" spans="1:26" x14ac:dyDescent="0.15">
      <c r="A624" s="59" t="str">
        <f>IF([2]道具信息!A624="","",[2]道具信息!A624)</f>
        <v/>
      </c>
      <c r="B624" s="59" t="str">
        <f>IF([2]道具信息!B624="","",[2]道具信息!B624)</f>
        <v/>
      </c>
      <c r="C624" s="59" t="str">
        <f>IF([2]道具信息!C624="","",[2]道具信息!C624)</f>
        <v/>
      </c>
      <c r="D624" s="59" t="str">
        <f>IF([2]道具信息!D624="","",[2]道具信息!D624)</f>
        <v/>
      </c>
      <c r="E624" s="59" t="str">
        <f>IF([2]道具信息!E624="","",[2]道具信息!E624)</f>
        <v/>
      </c>
      <c r="F624" s="59" t="str">
        <f>IF([2]道具信息!F624="","",[2]道具信息!F624)</f>
        <v/>
      </c>
      <c r="G624" s="59" t="str">
        <f>IF([2]道具信息!G624="","",[2]道具信息!G624)</f>
        <v/>
      </c>
      <c r="H624" s="59" t="str">
        <f>IF([2]道具信息!H624="","",[2]道具信息!H624)</f>
        <v/>
      </c>
      <c r="I624" s="59" t="str">
        <f>IF([2]道具信息!I624="","",[2]道具信息!I624)</f>
        <v/>
      </c>
      <c r="J624" s="59" t="str">
        <f>IF([2]道具信息!J624="","",[2]道具信息!J624)</f>
        <v/>
      </c>
      <c r="K624" s="59" t="str">
        <f>IF([2]道具信息!K624="","",[2]道具信息!K624)</f>
        <v/>
      </c>
      <c r="L624" s="59" t="str">
        <f>IF([2]道具信息!L624="","",[2]道具信息!L624)</f>
        <v/>
      </c>
      <c r="M624" s="59" t="str">
        <f>IF([2]道具信息!M624="","",[2]道具信息!M624)</f>
        <v/>
      </c>
      <c r="N624" s="59" t="str">
        <f>IF([2]道具信息!N624="","",[2]道具信息!N624)</f>
        <v/>
      </c>
      <c r="O624" s="59" t="str">
        <f>IF([2]道具信息!O624="","",[2]道具信息!O624)</f>
        <v/>
      </c>
      <c r="P624" s="59" t="str">
        <f>IF([2]道具信息!P624="","",[2]道具信息!P624)</f>
        <v/>
      </c>
      <c r="Q624" s="59" t="str">
        <f>IF([2]道具信息!Q624="","",[2]道具信息!Q624)</f>
        <v/>
      </c>
      <c r="R624" s="59" t="str">
        <f>IF([2]道具信息!R624="","",[2]道具信息!R624)</f>
        <v/>
      </c>
      <c r="S624" s="59" t="str">
        <f>IF([2]道具信息!S624="","",[2]道具信息!S624)</f>
        <v/>
      </c>
      <c r="T624" s="59" t="str">
        <f>IF([2]道具信息!T624="","",[2]道具信息!T624)</f>
        <v/>
      </c>
      <c r="U624" s="59" t="str">
        <f>IF([2]道具信息!U624="","",[2]道具信息!U624)</f>
        <v/>
      </c>
      <c r="V624" s="59" t="str">
        <f>IF([2]道具信息!V624="","",[2]道具信息!V624)</f>
        <v/>
      </c>
      <c r="W624" s="59" t="str">
        <f>IF([2]道具信息!W624="","",[2]道具信息!W624)</f>
        <v/>
      </c>
      <c r="X624" s="59" t="str">
        <f>IF([2]道具信息!X624="","",[2]道具信息!X624)</f>
        <v/>
      </c>
      <c r="Y624" s="59" t="str">
        <f>IF([2]道具信息!Y624="","",[2]道具信息!Y624)</f>
        <v/>
      </c>
      <c r="Z624" s="59" t="str">
        <f>IF([2]道具信息!Z624="","",[2]道具信息!Z624)</f>
        <v/>
      </c>
    </row>
    <row r="625" spans="1:26" x14ac:dyDescent="0.15">
      <c r="A625" s="59" t="str">
        <f>IF([2]道具信息!A625="","",[2]道具信息!A625)</f>
        <v/>
      </c>
      <c r="B625" s="59" t="str">
        <f>IF([2]道具信息!B625="","",[2]道具信息!B625)</f>
        <v/>
      </c>
      <c r="C625" s="59" t="str">
        <f>IF([2]道具信息!C625="","",[2]道具信息!C625)</f>
        <v/>
      </c>
      <c r="D625" s="59" t="str">
        <f>IF([2]道具信息!D625="","",[2]道具信息!D625)</f>
        <v/>
      </c>
      <c r="E625" s="59" t="str">
        <f>IF([2]道具信息!E625="","",[2]道具信息!E625)</f>
        <v/>
      </c>
      <c r="F625" s="59" t="str">
        <f>IF([2]道具信息!F625="","",[2]道具信息!F625)</f>
        <v/>
      </c>
      <c r="G625" s="59" t="str">
        <f>IF([2]道具信息!G625="","",[2]道具信息!G625)</f>
        <v/>
      </c>
      <c r="H625" s="59" t="str">
        <f>IF([2]道具信息!H625="","",[2]道具信息!H625)</f>
        <v/>
      </c>
      <c r="I625" s="59" t="str">
        <f>IF([2]道具信息!I625="","",[2]道具信息!I625)</f>
        <v/>
      </c>
      <c r="J625" s="59" t="str">
        <f>IF([2]道具信息!J625="","",[2]道具信息!J625)</f>
        <v/>
      </c>
      <c r="K625" s="59" t="str">
        <f>IF([2]道具信息!K625="","",[2]道具信息!K625)</f>
        <v/>
      </c>
      <c r="L625" s="59" t="str">
        <f>IF([2]道具信息!L625="","",[2]道具信息!L625)</f>
        <v/>
      </c>
      <c r="M625" s="59" t="str">
        <f>IF([2]道具信息!M625="","",[2]道具信息!M625)</f>
        <v/>
      </c>
      <c r="N625" s="59" t="str">
        <f>IF([2]道具信息!N625="","",[2]道具信息!N625)</f>
        <v/>
      </c>
      <c r="O625" s="59" t="str">
        <f>IF([2]道具信息!O625="","",[2]道具信息!O625)</f>
        <v/>
      </c>
      <c r="P625" s="59" t="str">
        <f>IF([2]道具信息!P625="","",[2]道具信息!P625)</f>
        <v/>
      </c>
      <c r="Q625" s="59" t="str">
        <f>IF([2]道具信息!Q625="","",[2]道具信息!Q625)</f>
        <v/>
      </c>
      <c r="R625" s="59" t="str">
        <f>IF([2]道具信息!R625="","",[2]道具信息!R625)</f>
        <v/>
      </c>
      <c r="S625" s="59" t="str">
        <f>IF([2]道具信息!S625="","",[2]道具信息!S625)</f>
        <v/>
      </c>
      <c r="T625" s="59" t="str">
        <f>IF([2]道具信息!T625="","",[2]道具信息!T625)</f>
        <v/>
      </c>
      <c r="U625" s="59" t="str">
        <f>IF([2]道具信息!U625="","",[2]道具信息!U625)</f>
        <v/>
      </c>
      <c r="V625" s="59" t="str">
        <f>IF([2]道具信息!V625="","",[2]道具信息!V625)</f>
        <v/>
      </c>
      <c r="W625" s="59" t="str">
        <f>IF([2]道具信息!W625="","",[2]道具信息!W625)</f>
        <v/>
      </c>
      <c r="X625" s="59" t="str">
        <f>IF([2]道具信息!X625="","",[2]道具信息!X625)</f>
        <v/>
      </c>
      <c r="Y625" s="59" t="str">
        <f>IF([2]道具信息!Y625="","",[2]道具信息!Y625)</f>
        <v/>
      </c>
      <c r="Z625" s="59" t="str">
        <f>IF([2]道具信息!Z625="","",[2]道具信息!Z625)</f>
        <v/>
      </c>
    </row>
    <row r="626" spans="1:26" x14ac:dyDescent="0.15">
      <c r="A626" s="59" t="str">
        <f>IF([2]道具信息!A626="","",[2]道具信息!A626)</f>
        <v/>
      </c>
      <c r="B626" s="59" t="str">
        <f>IF([2]道具信息!B626="","",[2]道具信息!B626)</f>
        <v/>
      </c>
      <c r="C626" s="59" t="str">
        <f>IF([2]道具信息!C626="","",[2]道具信息!C626)</f>
        <v/>
      </c>
      <c r="D626" s="59" t="str">
        <f>IF([2]道具信息!D626="","",[2]道具信息!D626)</f>
        <v/>
      </c>
      <c r="E626" s="59" t="str">
        <f>IF([2]道具信息!E626="","",[2]道具信息!E626)</f>
        <v/>
      </c>
      <c r="F626" s="59" t="str">
        <f>IF([2]道具信息!F626="","",[2]道具信息!F626)</f>
        <v/>
      </c>
      <c r="G626" s="59" t="str">
        <f>IF([2]道具信息!G626="","",[2]道具信息!G626)</f>
        <v/>
      </c>
      <c r="H626" s="59" t="str">
        <f>IF([2]道具信息!H626="","",[2]道具信息!H626)</f>
        <v/>
      </c>
      <c r="I626" s="59" t="str">
        <f>IF([2]道具信息!I626="","",[2]道具信息!I626)</f>
        <v/>
      </c>
      <c r="J626" s="59" t="str">
        <f>IF([2]道具信息!J626="","",[2]道具信息!J626)</f>
        <v/>
      </c>
      <c r="K626" s="59" t="str">
        <f>IF([2]道具信息!K626="","",[2]道具信息!K626)</f>
        <v/>
      </c>
      <c r="L626" s="59" t="str">
        <f>IF([2]道具信息!L626="","",[2]道具信息!L626)</f>
        <v/>
      </c>
      <c r="M626" s="59" t="str">
        <f>IF([2]道具信息!M626="","",[2]道具信息!M626)</f>
        <v/>
      </c>
      <c r="N626" s="59" t="str">
        <f>IF([2]道具信息!N626="","",[2]道具信息!N626)</f>
        <v/>
      </c>
      <c r="O626" s="59" t="str">
        <f>IF([2]道具信息!O626="","",[2]道具信息!O626)</f>
        <v/>
      </c>
      <c r="P626" s="59" t="str">
        <f>IF([2]道具信息!P626="","",[2]道具信息!P626)</f>
        <v/>
      </c>
      <c r="Q626" s="59" t="str">
        <f>IF([2]道具信息!Q626="","",[2]道具信息!Q626)</f>
        <v/>
      </c>
      <c r="R626" s="59" t="str">
        <f>IF([2]道具信息!R626="","",[2]道具信息!R626)</f>
        <v/>
      </c>
      <c r="S626" s="59" t="str">
        <f>IF([2]道具信息!S626="","",[2]道具信息!S626)</f>
        <v/>
      </c>
      <c r="T626" s="59" t="str">
        <f>IF([2]道具信息!T626="","",[2]道具信息!T626)</f>
        <v/>
      </c>
      <c r="U626" s="59" t="str">
        <f>IF([2]道具信息!U626="","",[2]道具信息!U626)</f>
        <v/>
      </c>
      <c r="V626" s="59" t="str">
        <f>IF([2]道具信息!V626="","",[2]道具信息!V626)</f>
        <v/>
      </c>
      <c r="W626" s="59" t="str">
        <f>IF([2]道具信息!W626="","",[2]道具信息!W626)</f>
        <v/>
      </c>
      <c r="X626" s="59" t="str">
        <f>IF([2]道具信息!X626="","",[2]道具信息!X626)</f>
        <v/>
      </c>
      <c r="Y626" s="59" t="str">
        <f>IF([2]道具信息!Y626="","",[2]道具信息!Y626)</f>
        <v/>
      </c>
      <c r="Z626" s="59" t="str">
        <f>IF([2]道具信息!Z626="","",[2]道具信息!Z626)</f>
        <v/>
      </c>
    </row>
    <row r="627" spans="1:26" x14ac:dyDescent="0.15">
      <c r="A627" s="59" t="str">
        <f>IF([2]道具信息!A627="","",[2]道具信息!A627)</f>
        <v/>
      </c>
      <c r="B627" s="59" t="str">
        <f>IF([2]道具信息!B627="","",[2]道具信息!B627)</f>
        <v/>
      </c>
      <c r="C627" s="59" t="str">
        <f>IF([2]道具信息!C627="","",[2]道具信息!C627)</f>
        <v/>
      </c>
      <c r="D627" s="59" t="str">
        <f>IF([2]道具信息!D627="","",[2]道具信息!D627)</f>
        <v/>
      </c>
      <c r="E627" s="59" t="str">
        <f>IF([2]道具信息!E627="","",[2]道具信息!E627)</f>
        <v/>
      </c>
      <c r="F627" s="59" t="str">
        <f>IF([2]道具信息!F627="","",[2]道具信息!F627)</f>
        <v/>
      </c>
      <c r="G627" s="59" t="str">
        <f>IF([2]道具信息!G627="","",[2]道具信息!G627)</f>
        <v/>
      </c>
      <c r="H627" s="59" t="str">
        <f>IF([2]道具信息!H627="","",[2]道具信息!H627)</f>
        <v/>
      </c>
      <c r="I627" s="59" t="str">
        <f>IF([2]道具信息!I627="","",[2]道具信息!I627)</f>
        <v/>
      </c>
      <c r="J627" s="59" t="str">
        <f>IF([2]道具信息!J627="","",[2]道具信息!J627)</f>
        <v/>
      </c>
      <c r="K627" s="59" t="str">
        <f>IF([2]道具信息!K627="","",[2]道具信息!K627)</f>
        <v/>
      </c>
      <c r="L627" s="59" t="str">
        <f>IF([2]道具信息!L627="","",[2]道具信息!L627)</f>
        <v/>
      </c>
      <c r="M627" s="59" t="str">
        <f>IF([2]道具信息!M627="","",[2]道具信息!M627)</f>
        <v/>
      </c>
      <c r="N627" s="59" t="str">
        <f>IF([2]道具信息!N627="","",[2]道具信息!N627)</f>
        <v/>
      </c>
      <c r="O627" s="59" t="str">
        <f>IF([2]道具信息!O627="","",[2]道具信息!O627)</f>
        <v/>
      </c>
      <c r="P627" s="59" t="str">
        <f>IF([2]道具信息!P627="","",[2]道具信息!P627)</f>
        <v/>
      </c>
      <c r="Q627" s="59" t="str">
        <f>IF([2]道具信息!Q627="","",[2]道具信息!Q627)</f>
        <v/>
      </c>
      <c r="R627" s="59" t="str">
        <f>IF([2]道具信息!R627="","",[2]道具信息!R627)</f>
        <v/>
      </c>
      <c r="S627" s="59" t="str">
        <f>IF([2]道具信息!S627="","",[2]道具信息!S627)</f>
        <v/>
      </c>
      <c r="T627" s="59" t="str">
        <f>IF([2]道具信息!T627="","",[2]道具信息!T627)</f>
        <v/>
      </c>
      <c r="U627" s="59" t="str">
        <f>IF([2]道具信息!U627="","",[2]道具信息!U627)</f>
        <v/>
      </c>
      <c r="V627" s="59" t="str">
        <f>IF([2]道具信息!V627="","",[2]道具信息!V627)</f>
        <v/>
      </c>
      <c r="W627" s="59" t="str">
        <f>IF([2]道具信息!W627="","",[2]道具信息!W627)</f>
        <v/>
      </c>
      <c r="X627" s="59" t="str">
        <f>IF([2]道具信息!X627="","",[2]道具信息!X627)</f>
        <v/>
      </c>
      <c r="Y627" s="59" t="str">
        <f>IF([2]道具信息!Y627="","",[2]道具信息!Y627)</f>
        <v/>
      </c>
      <c r="Z627" s="59" t="str">
        <f>IF([2]道具信息!Z627="","",[2]道具信息!Z627)</f>
        <v/>
      </c>
    </row>
    <row r="628" spans="1:26" x14ac:dyDescent="0.15">
      <c r="A628" s="59" t="str">
        <f>IF([2]道具信息!A628="","",[2]道具信息!A628)</f>
        <v/>
      </c>
      <c r="B628" s="59" t="str">
        <f>IF([2]道具信息!B628="","",[2]道具信息!B628)</f>
        <v/>
      </c>
      <c r="C628" s="59" t="str">
        <f>IF([2]道具信息!C628="","",[2]道具信息!C628)</f>
        <v/>
      </c>
      <c r="D628" s="59" t="str">
        <f>IF([2]道具信息!D628="","",[2]道具信息!D628)</f>
        <v/>
      </c>
      <c r="E628" s="59" t="str">
        <f>IF([2]道具信息!E628="","",[2]道具信息!E628)</f>
        <v/>
      </c>
      <c r="F628" s="59" t="str">
        <f>IF([2]道具信息!F628="","",[2]道具信息!F628)</f>
        <v/>
      </c>
      <c r="G628" s="59" t="str">
        <f>IF([2]道具信息!G628="","",[2]道具信息!G628)</f>
        <v/>
      </c>
      <c r="H628" s="59" t="str">
        <f>IF([2]道具信息!H628="","",[2]道具信息!H628)</f>
        <v/>
      </c>
      <c r="I628" s="59" t="str">
        <f>IF([2]道具信息!I628="","",[2]道具信息!I628)</f>
        <v/>
      </c>
      <c r="J628" s="59" t="str">
        <f>IF([2]道具信息!J628="","",[2]道具信息!J628)</f>
        <v/>
      </c>
      <c r="K628" s="59" t="str">
        <f>IF([2]道具信息!K628="","",[2]道具信息!K628)</f>
        <v/>
      </c>
      <c r="L628" s="59" t="str">
        <f>IF([2]道具信息!L628="","",[2]道具信息!L628)</f>
        <v/>
      </c>
      <c r="M628" s="59" t="str">
        <f>IF([2]道具信息!M628="","",[2]道具信息!M628)</f>
        <v/>
      </c>
      <c r="N628" s="59" t="str">
        <f>IF([2]道具信息!N628="","",[2]道具信息!N628)</f>
        <v/>
      </c>
      <c r="O628" s="59" t="str">
        <f>IF([2]道具信息!O628="","",[2]道具信息!O628)</f>
        <v/>
      </c>
      <c r="P628" s="59" t="str">
        <f>IF([2]道具信息!P628="","",[2]道具信息!P628)</f>
        <v/>
      </c>
      <c r="Q628" s="59" t="str">
        <f>IF([2]道具信息!Q628="","",[2]道具信息!Q628)</f>
        <v/>
      </c>
      <c r="R628" s="59" t="str">
        <f>IF([2]道具信息!R628="","",[2]道具信息!R628)</f>
        <v/>
      </c>
      <c r="S628" s="59" t="str">
        <f>IF([2]道具信息!S628="","",[2]道具信息!S628)</f>
        <v/>
      </c>
      <c r="T628" s="59" t="str">
        <f>IF([2]道具信息!T628="","",[2]道具信息!T628)</f>
        <v/>
      </c>
      <c r="U628" s="59" t="str">
        <f>IF([2]道具信息!U628="","",[2]道具信息!U628)</f>
        <v/>
      </c>
      <c r="V628" s="59" t="str">
        <f>IF([2]道具信息!V628="","",[2]道具信息!V628)</f>
        <v/>
      </c>
      <c r="W628" s="59" t="str">
        <f>IF([2]道具信息!W628="","",[2]道具信息!W628)</f>
        <v/>
      </c>
      <c r="X628" s="59" t="str">
        <f>IF([2]道具信息!X628="","",[2]道具信息!X628)</f>
        <v/>
      </c>
      <c r="Y628" s="59" t="str">
        <f>IF([2]道具信息!Y628="","",[2]道具信息!Y628)</f>
        <v/>
      </c>
      <c r="Z628" s="59" t="str">
        <f>IF([2]道具信息!Z628="","",[2]道具信息!Z628)</f>
        <v/>
      </c>
    </row>
    <row r="629" spans="1:26" x14ac:dyDescent="0.15">
      <c r="A629" s="59" t="str">
        <f>IF([2]道具信息!A629="","",[2]道具信息!A629)</f>
        <v/>
      </c>
      <c r="B629" s="59" t="str">
        <f>IF([2]道具信息!B629="","",[2]道具信息!B629)</f>
        <v/>
      </c>
      <c r="C629" s="59" t="str">
        <f>IF([2]道具信息!C629="","",[2]道具信息!C629)</f>
        <v/>
      </c>
      <c r="D629" s="59" t="str">
        <f>IF([2]道具信息!D629="","",[2]道具信息!D629)</f>
        <v/>
      </c>
      <c r="E629" s="59" t="str">
        <f>IF([2]道具信息!E629="","",[2]道具信息!E629)</f>
        <v/>
      </c>
      <c r="F629" s="59" t="str">
        <f>IF([2]道具信息!F629="","",[2]道具信息!F629)</f>
        <v/>
      </c>
      <c r="G629" s="59" t="str">
        <f>IF([2]道具信息!G629="","",[2]道具信息!G629)</f>
        <v/>
      </c>
      <c r="H629" s="59" t="str">
        <f>IF([2]道具信息!H629="","",[2]道具信息!H629)</f>
        <v/>
      </c>
      <c r="I629" s="59" t="str">
        <f>IF([2]道具信息!I629="","",[2]道具信息!I629)</f>
        <v/>
      </c>
      <c r="J629" s="59" t="str">
        <f>IF([2]道具信息!J629="","",[2]道具信息!J629)</f>
        <v/>
      </c>
      <c r="K629" s="59" t="str">
        <f>IF([2]道具信息!K629="","",[2]道具信息!K629)</f>
        <v/>
      </c>
      <c r="L629" s="59" t="str">
        <f>IF([2]道具信息!L629="","",[2]道具信息!L629)</f>
        <v/>
      </c>
      <c r="M629" s="59" t="str">
        <f>IF([2]道具信息!M629="","",[2]道具信息!M629)</f>
        <v/>
      </c>
      <c r="N629" s="59" t="str">
        <f>IF([2]道具信息!N629="","",[2]道具信息!N629)</f>
        <v/>
      </c>
      <c r="O629" s="59" t="str">
        <f>IF([2]道具信息!O629="","",[2]道具信息!O629)</f>
        <v/>
      </c>
      <c r="P629" s="59" t="str">
        <f>IF([2]道具信息!P629="","",[2]道具信息!P629)</f>
        <v/>
      </c>
      <c r="Q629" s="59" t="str">
        <f>IF([2]道具信息!Q629="","",[2]道具信息!Q629)</f>
        <v/>
      </c>
      <c r="R629" s="59" t="str">
        <f>IF([2]道具信息!R629="","",[2]道具信息!R629)</f>
        <v/>
      </c>
      <c r="S629" s="59" t="str">
        <f>IF([2]道具信息!S629="","",[2]道具信息!S629)</f>
        <v/>
      </c>
      <c r="T629" s="59" t="str">
        <f>IF([2]道具信息!T629="","",[2]道具信息!T629)</f>
        <v/>
      </c>
      <c r="U629" s="59" t="str">
        <f>IF([2]道具信息!U629="","",[2]道具信息!U629)</f>
        <v/>
      </c>
      <c r="V629" s="59" t="str">
        <f>IF([2]道具信息!V629="","",[2]道具信息!V629)</f>
        <v/>
      </c>
      <c r="W629" s="59" t="str">
        <f>IF([2]道具信息!W629="","",[2]道具信息!W629)</f>
        <v/>
      </c>
      <c r="X629" s="59" t="str">
        <f>IF([2]道具信息!X629="","",[2]道具信息!X629)</f>
        <v/>
      </c>
      <c r="Y629" s="59" t="str">
        <f>IF([2]道具信息!Y629="","",[2]道具信息!Y629)</f>
        <v/>
      </c>
      <c r="Z629" s="59" t="str">
        <f>IF([2]道具信息!Z629="","",[2]道具信息!Z629)</f>
        <v/>
      </c>
    </row>
    <row r="630" spans="1:26" x14ac:dyDescent="0.15">
      <c r="A630" s="59" t="str">
        <f>IF([2]道具信息!A630="","",[2]道具信息!A630)</f>
        <v/>
      </c>
      <c r="B630" s="59" t="str">
        <f>IF([2]道具信息!B630="","",[2]道具信息!B630)</f>
        <v/>
      </c>
      <c r="C630" s="59" t="str">
        <f>IF([2]道具信息!C630="","",[2]道具信息!C630)</f>
        <v/>
      </c>
      <c r="D630" s="59" t="str">
        <f>IF([2]道具信息!D630="","",[2]道具信息!D630)</f>
        <v/>
      </c>
      <c r="E630" s="59" t="str">
        <f>IF([2]道具信息!E630="","",[2]道具信息!E630)</f>
        <v/>
      </c>
      <c r="F630" s="59" t="str">
        <f>IF([2]道具信息!F630="","",[2]道具信息!F630)</f>
        <v/>
      </c>
      <c r="G630" s="59" t="str">
        <f>IF([2]道具信息!G630="","",[2]道具信息!G630)</f>
        <v/>
      </c>
      <c r="H630" s="59" t="str">
        <f>IF([2]道具信息!H630="","",[2]道具信息!H630)</f>
        <v/>
      </c>
      <c r="I630" s="59" t="str">
        <f>IF([2]道具信息!I630="","",[2]道具信息!I630)</f>
        <v/>
      </c>
      <c r="J630" s="59" t="str">
        <f>IF([2]道具信息!J630="","",[2]道具信息!J630)</f>
        <v/>
      </c>
      <c r="K630" s="59" t="str">
        <f>IF([2]道具信息!K630="","",[2]道具信息!K630)</f>
        <v/>
      </c>
      <c r="L630" s="59" t="str">
        <f>IF([2]道具信息!L630="","",[2]道具信息!L630)</f>
        <v/>
      </c>
      <c r="M630" s="59" t="str">
        <f>IF([2]道具信息!M630="","",[2]道具信息!M630)</f>
        <v/>
      </c>
      <c r="N630" s="59" t="str">
        <f>IF([2]道具信息!N630="","",[2]道具信息!N630)</f>
        <v/>
      </c>
      <c r="O630" s="59" t="str">
        <f>IF([2]道具信息!O630="","",[2]道具信息!O630)</f>
        <v/>
      </c>
      <c r="P630" s="59" t="str">
        <f>IF([2]道具信息!P630="","",[2]道具信息!P630)</f>
        <v/>
      </c>
      <c r="Q630" s="59" t="str">
        <f>IF([2]道具信息!Q630="","",[2]道具信息!Q630)</f>
        <v/>
      </c>
      <c r="R630" s="59" t="str">
        <f>IF([2]道具信息!R630="","",[2]道具信息!R630)</f>
        <v/>
      </c>
      <c r="S630" s="59" t="str">
        <f>IF([2]道具信息!S630="","",[2]道具信息!S630)</f>
        <v/>
      </c>
      <c r="T630" s="59" t="str">
        <f>IF([2]道具信息!T630="","",[2]道具信息!T630)</f>
        <v/>
      </c>
      <c r="U630" s="59" t="str">
        <f>IF([2]道具信息!U630="","",[2]道具信息!U630)</f>
        <v/>
      </c>
      <c r="V630" s="59" t="str">
        <f>IF([2]道具信息!V630="","",[2]道具信息!V630)</f>
        <v/>
      </c>
      <c r="W630" s="59" t="str">
        <f>IF([2]道具信息!W630="","",[2]道具信息!W630)</f>
        <v/>
      </c>
      <c r="X630" s="59" t="str">
        <f>IF([2]道具信息!X630="","",[2]道具信息!X630)</f>
        <v/>
      </c>
      <c r="Y630" s="59" t="str">
        <f>IF([2]道具信息!Y630="","",[2]道具信息!Y630)</f>
        <v/>
      </c>
      <c r="Z630" s="59" t="str">
        <f>IF([2]道具信息!Z630="","",[2]道具信息!Z630)</f>
        <v/>
      </c>
    </row>
    <row r="631" spans="1:26" x14ac:dyDescent="0.15">
      <c r="A631" s="59" t="str">
        <f>IF([2]道具信息!A631="","",[2]道具信息!A631)</f>
        <v/>
      </c>
      <c r="B631" s="59" t="str">
        <f>IF([2]道具信息!B631="","",[2]道具信息!B631)</f>
        <v/>
      </c>
      <c r="C631" s="59" t="str">
        <f>IF([2]道具信息!C631="","",[2]道具信息!C631)</f>
        <v/>
      </c>
      <c r="D631" s="59" t="str">
        <f>IF([2]道具信息!D631="","",[2]道具信息!D631)</f>
        <v/>
      </c>
      <c r="E631" s="59" t="str">
        <f>IF([2]道具信息!E631="","",[2]道具信息!E631)</f>
        <v/>
      </c>
      <c r="F631" s="59" t="str">
        <f>IF([2]道具信息!F631="","",[2]道具信息!F631)</f>
        <v/>
      </c>
      <c r="G631" s="59" t="str">
        <f>IF([2]道具信息!G631="","",[2]道具信息!G631)</f>
        <v/>
      </c>
      <c r="H631" s="59" t="str">
        <f>IF([2]道具信息!H631="","",[2]道具信息!H631)</f>
        <v/>
      </c>
      <c r="I631" s="59" t="str">
        <f>IF([2]道具信息!I631="","",[2]道具信息!I631)</f>
        <v/>
      </c>
      <c r="J631" s="59" t="str">
        <f>IF([2]道具信息!J631="","",[2]道具信息!J631)</f>
        <v/>
      </c>
      <c r="K631" s="59" t="str">
        <f>IF([2]道具信息!K631="","",[2]道具信息!K631)</f>
        <v/>
      </c>
      <c r="L631" s="59" t="str">
        <f>IF([2]道具信息!L631="","",[2]道具信息!L631)</f>
        <v/>
      </c>
      <c r="M631" s="59" t="str">
        <f>IF([2]道具信息!M631="","",[2]道具信息!M631)</f>
        <v/>
      </c>
      <c r="N631" s="59" t="str">
        <f>IF([2]道具信息!N631="","",[2]道具信息!N631)</f>
        <v/>
      </c>
      <c r="O631" s="59" t="str">
        <f>IF([2]道具信息!O631="","",[2]道具信息!O631)</f>
        <v/>
      </c>
      <c r="P631" s="59" t="str">
        <f>IF([2]道具信息!P631="","",[2]道具信息!P631)</f>
        <v/>
      </c>
      <c r="Q631" s="59" t="str">
        <f>IF([2]道具信息!Q631="","",[2]道具信息!Q631)</f>
        <v/>
      </c>
      <c r="R631" s="59" t="str">
        <f>IF([2]道具信息!R631="","",[2]道具信息!R631)</f>
        <v/>
      </c>
      <c r="S631" s="59" t="str">
        <f>IF([2]道具信息!S631="","",[2]道具信息!S631)</f>
        <v/>
      </c>
      <c r="T631" s="59" t="str">
        <f>IF([2]道具信息!T631="","",[2]道具信息!T631)</f>
        <v/>
      </c>
      <c r="U631" s="59" t="str">
        <f>IF([2]道具信息!U631="","",[2]道具信息!U631)</f>
        <v/>
      </c>
      <c r="V631" s="59" t="str">
        <f>IF([2]道具信息!V631="","",[2]道具信息!V631)</f>
        <v/>
      </c>
      <c r="W631" s="59" t="str">
        <f>IF([2]道具信息!W631="","",[2]道具信息!W631)</f>
        <v/>
      </c>
      <c r="X631" s="59" t="str">
        <f>IF([2]道具信息!X631="","",[2]道具信息!X631)</f>
        <v/>
      </c>
      <c r="Y631" s="59" t="str">
        <f>IF([2]道具信息!Y631="","",[2]道具信息!Y631)</f>
        <v/>
      </c>
      <c r="Z631" s="59" t="str">
        <f>IF([2]道具信息!Z631="","",[2]道具信息!Z631)</f>
        <v/>
      </c>
    </row>
    <row r="632" spans="1:26" x14ac:dyDescent="0.15">
      <c r="A632" s="59" t="str">
        <f>IF([2]道具信息!A632="","",[2]道具信息!A632)</f>
        <v/>
      </c>
      <c r="B632" s="59" t="str">
        <f>IF([2]道具信息!B632="","",[2]道具信息!B632)</f>
        <v/>
      </c>
      <c r="C632" s="59" t="str">
        <f>IF([2]道具信息!C632="","",[2]道具信息!C632)</f>
        <v/>
      </c>
      <c r="D632" s="59" t="str">
        <f>IF([2]道具信息!D632="","",[2]道具信息!D632)</f>
        <v/>
      </c>
      <c r="E632" s="59" t="str">
        <f>IF([2]道具信息!E632="","",[2]道具信息!E632)</f>
        <v/>
      </c>
      <c r="F632" s="59" t="str">
        <f>IF([2]道具信息!F632="","",[2]道具信息!F632)</f>
        <v/>
      </c>
      <c r="G632" s="59" t="str">
        <f>IF([2]道具信息!G632="","",[2]道具信息!G632)</f>
        <v/>
      </c>
      <c r="H632" s="59" t="str">
        <f>IF([2]道具信息!H632="","",[2]道具信息!H632)</f>
        <v/>
      </c>
      <c r="I632" s="59" t="str">
        <f>IF([2]道具信息!I632="","",[2]道具信息!I632)</f>
        <v/>
      </c>
      <c r="J632" s="59" t="str">
        <f>IF([2]道具信息!J632="","",[2]道具信息!J632)</f>
        <v/>
      </c>
      <c r="K632" s="59" t="str">
        <f>IF([2]道具信息!K632="","",[2]道具信息!K632)</f>
        <v/>
      </c>
      <c r="L632" s="59" t="str">
        <f>IF([2]道具信息!L632="","",[2]道具信息!L632)</f>
        <v/>
      </c>
      <c r="M632" s="59" t="str">
        <f>IF([2]道具信息!M632="","",[2]道具信息!M632)</f>
        <v/>
      </c>
      <c r="N632" s="59" t="str">
        <f>IF([2]道具信息!N632="","",[2]道具信息!N632)</f>
        <v/>
      </c>
      <c r="O632" s="59" t="str">
        <f>IF([2]道具信息!O632="","",[2]道具信息!O632)</f>
        <v/>
      </c>
      <c r="P632" s="59" t="str">
        <f>IF([2]道具信息!P632="","",[2]道具信息!P632)</f>
        <v/>
      </c>
      <c r="Q632" s="59" t="str">
        <f>IF([2]道具信息!Q632="","",[2]道具信息!Q632)</f>
        <v/>
      </c>
      <c r="R632" s="59" t="str">
        <f>IF([2]道具信息!R632="","",[2]道具信息!R632)</f>
        <v/>
      </c>
      <c r="S632" s="59" t="str">
        <f>IF([2]道具信息!S632="","",[2]道具信息!S632)</f>
        <v/>
      </c>
      <c r="T632" s="59" t="str">
        <f>IF([2]道具信息!T632="","",[2]道具信息!T632)</f>
        <v/>
      </c>
      <c r="U632" s="59" t="str">
        <f>IF([2]道具信息!U632="","",[2]道具信息!U632)</f>
        <v/>
      </c>
      <c r="V632" s="59" t="str">
        <f>IF([2]道具信息!V632="","",[2]道具信息!V632)</f>
        <v/>
      </c>
      <c r="W632" s="59" t="str">
        <f>IF([2]道具信息!W632="","",[2]道具信息!W632)</f>
        <v/>
      </c>
      <c r="X632" s="59" t="str">
        <f>IF([2]道具信息!X632="","",[2]道具信息!X632)</f>
        <v/>
      </c>
      <c r="Y632" s="59" t="str">
        <f>IF([2]道具信息!Y632="","",[2]道具信息!Y632)</f>
        <v/>
      </c>
      <c r="Z632" s="59" t="str">
        <f>IF([2]道具信息!Z632="","",[2]道具信息!Z632)</f>
        <v/>
      </c>
    </row>
    <row r="633" spans="1:26" x14ac:dyDescent="0.15">
      <c r="A633" s="59" t="str">
        <f>IF([2]道具信息!A633="","",[2]道具信息!A633)</f>
        <v/>
      </c>
      <c r="B633" s="59" t="str">
        <f>IF([2]道具信息!B633="","",[2]道具信息!B633)</f>
        <v/>
      </c>
      <c r="C633" s="59" t="str">
        <f>IF([2]道具信息!C633="","",[2]道具信息!C633)</f>
        <v/>
      </c>
      <c r="D633" s="59" t="str">
        <f>IF([2]道具信息!D633="","",[2]道具信息!D633)</f>
        <v/>
      </c>
      <c r="E633" s="59" t="str">
        <f>IF([2]道具信息!E633="","",[2]道具信息!E633)</f>
        <v/>
      </c>
      <c r="F633" s="59" t="str">
        <f>IF([2]道具信息!F633="","",[2]道具信息!F633)</f>
        <v/>
      </c>
      <c r="G633" s="59" t="str">
        <f>IF([2]道具信息!G633="","",[2]道具信息!G633)</f>
        <v/>
      </c>
      <c r="H633" s="59" t="str">
        <f>IF([2]道具信息!H633="","",[2]道具信息!H633)</f>
        <v/>
      </c>
      <c r="I633" s="59" t="str">
        <f>IF([2]道具信息!I633="","",[2]道具信息!I633)</f>
        <v/>
      </c>
      <c r="J633" s="59" t="str">
        <f>IF([2]道具信息!J633="","",[2]道具信息!J633)</f>
        <v/>
      </c>
      <c r="K633" s="59" t="str">
        <f>IF([2]道具信息!K633="","",[2]道具信息!K633)</f>
        <v/>
      </c>
      <c r="L633" s="59" t="str">
        <f>IF([2]道具信息!L633="","",[2]道具信息!L633)</f>
        <v/>
      </c>
      <c r="M633" s="59" t="str">
        <f>IF([2]道具信息!M633="","",[2]道具信息!M633)</f>
        <v/>
      </c>
      <c r="N633" s="59" t="str">
        <f>IF([2]道具信息!N633="","",[2]道具信息!N633)</f>
        <v/>
      </c>
      <c r="O633" s="59" t="str">
        <f>IF([2]道具信息!O633="","",[2]道具信息!O633)</f>
        <v/>
      </c>
      <c r="P633" s="59" t="str">
        <f>IF([2]道具信息!P633="","",[2]道具信息!P633)</f>
        <v/>
      </c>
      <c r="Q633" s="59" t="str">
        <f>IF([2]道具信息!Q633="","",[2]道具信息!Q633)</f>
        <v/>
      </c>
      <c r="R633" s="59" t="str">
        <f>IF([2]道具信息!R633="","",[2]道具信息!R633)</f>
        <v/>
      </c>
      <c r="S633" s="59" t="str">
        <f>IF([2]道具信息!S633="","",[2]道具信息!S633)</f>
        <v/>
      </c>
      <c r="T633" s="59" t="str">
        <f>IF([2]道具信息!T633="","",[2]道具信息!T633)</f>
        <v/>
      </c>
      <c r="U633" s="59" t="str">
        <f>IF([2]道具信息!U633="","",[2]道具信息!U633)</f>
        <v/>
      </c>
      <c r="V633" s="59" t="str">
        <f>IF([2]道具信息!V633="","",[2]道具信息!V633)</f>
        <v/>
      </c>
      <c r="W633" s="59" t="str">
        <f>IF([2]道具信息!W633="","",[2]道具信息!W633)</f>
        <v/>
      </c>
      <c r="X633" s="59" t="str">
        <f>IF([2]道具信息!X633="","",[2]道具信息!X633)</f>
        <v/>
      </c>
      <c r="Y633" s="59" t="str">
        <f>IF([2]道具信息!Y633="","",[2]道具信息!Y633)</f>
        <v/>
      </c>
      <c r="Z633" s="59" t="str">
        <f>IF([2]道具信息!Z633="","",[2]道具信息!Z633)</f>
        <v/>
      </c>
    </row>
    <row r="634" spans="1:26" x14ac:dyDescent="0.15">
      <c r="A634" s="59" t="str">
        <f>IF([2]道具信息!A634="","",[2]道具信息!A634)</f>
        <v/>
      </c>
      <c r="B634" s="59" t="str">
        <f>IF([2]道具信息!B634="","",[2]道具信息!B634)</f>
        <v/>
      </c>
      <c r="C634" s="59" t="str">
        <f>IF([2]道具信息!C634="","",[2]道具信息!C634)</f>
        <v/>
      </c>
      <c r="D634" s="59" t="str">
        <f>IF([2]道具信息!D634="","",[2]道具信息!D634)</f>
        <v/>
      </c>
      <c r="E634" s="59" t="str">
        <f>IF([2]道具信息!E634="","",[2]道具信息!E634)</f>
        <v/>
      </c>
      <c r="F634" s="59" t="str">
        <f>IF([2]道具信息!F634="","",[2]道具信息!F634)</f>
        <v/>
      </c>
      <c r="G634" s="59" t="str">
        <f>IF([2]道具信息!G634="","",[2]道具信息!G634)</f>
        <v/>
      </c>
      <c r="H634" s="59" t="str">
        <f>IF([2]道具信息!H634="","",[2]道具信息!H634)</f>
        <v/>
      </c>
      <c r="I634" s="59" t="str">
        <f>IF([2]道具信息!I634="","",[2]道具信息!I634)</f>
        <v/>
      </c>
      <c r="J634" s="59" t="str">
        <f>IF([2]道具信息!J634="","",[2]道具信息!J634)</f>
        <v/>
      </c>
      <c r="K634" s="59" t="str">
        <f>IF([2]道具信息!K634="","",[2]道具信息!K634)</f>
        <v/>
      </c>
      <c r="L634" s="59" t="str">
        <f>IF([2]道具信息!L634="","",[2]道具信息!L634)</f>
        <v/>
      </c>
      <c r="M634" s="59" t="str">
        <f>IF([2]道具信息!M634="","",[2]道具信息!M634)</f>
        <v/>
      </c>
      <c r="N634" s="59" t="str">
        <f>IF([2]道具信息!N634="","",[2]道具信息!N634)</f>
        <v/>
      </c>
      <c r="O634" s="59" t="str">
        <f>IF([2]道具信息!O634="","",[2]道具信息!O634)</f>
        <v/>
      </c>
      <c r="P634" s="59" t="str">
        <f>IF([2]道具信息!P634="","",[2]道具信息!P634)</f>
        <v/>
      </c>
      <c r="Q634" s="59" t="str">
        <f>IF([2]道具信息!Q634="","",[2]道具信息!Q634)</f>
        <v/>
      </c>
      <c r="R634" s="59" t="str">
        <f>IF([2]道具信息!R634="","",[2]道具信息!R634)</f>
        <v/>
      </c>
      <c r="S634" s="59" t="str">
        <f>IF([2]道具信息!S634="","",[2]道具信息!S634)</f>
        <v/>
      </c>
      <c r="T634" s="59" t="str">
        <f>IF([2]道具信息!T634="","",[2]道具信息!T634)</f>
        <v/>
      </c>
      <c r="U634" s="59" t="str">
        <f>IF([2]道具信息!U634="","",[2]道具信息!U634)</f>
        <v/>
      </c>
      <c r="V634" s="59" t="str">
        <f>IF([2]道具信息!V634="","",[2]道具信息!V634)</f>
        <v/>
      </c>
      <c r="W634" s="59" t="str">
        <f>IF([2]道具信息!W634="","",[2]道具信息!W634)</f>
        <v/>
      </c>
      <c r="X634" s="59" t="str">
        <f>IF([2]道具信息!X634="","",[2]道具信息!X634)</f>
        <v/>
      </c>
      <c r="Y634" s="59" t="str">
        <f>IF([2]道具信息!Y634="","",[2]道具信息!Y634)</f>
        <v/>
      </c>
      <c r="Z634" s="59" t="str">
        <f>IF([2]道具信息!Z634="","",[2]道具信息!Z634)</f>
        <v/>
      </c>
    </row>
    <row r="635" spans="1:26" x14ac:dyDescent="0.15">
      <c r="A635" s="59" t="str">
        <f>IF([2]道具信息!A635="","",[2]道具信息!A635)</f>
        <v/>
      </c>
      <c r="B635" s="59" t="str">
        <f>IF([2]道具信息!B635="","",[2]道具信息!B635)</f>
        <v/>
      </c>
      <c r="C635" s="59" t="str">
        <f>IF([2]道具信息!C635="","",[2]道具信息!C635)</f>
        <v/>
      </c>
      <c r="D635" s="59" t="str">
        <f>IF([2]道具信息!D635="","",[2]道具信息!D635)</f>
        <v/>
      </c>
      <c r="E635" s="59" t="str">
        <f>IF([2]道具信息!E635="","",[2]道具信息!E635)</f>
        <v/>
      </c>
      <c r="F635" s="59" t="str">
        <f>IF([2]道具信息!F635="","",[2]道具信息!F635)</f>
        <v/>
      </c>
      <c r="G635" s="59" t="str">
        <f>IF([2]道具信息!G635="","",[2]道具信息!G635)</f>
        <v/>
      </c>
      <c r="H635" s="59" t="str">
        <f>IF([2]道具信息!H635="","",[2]道具信息!H635)</f>
        <v/>
      </c>
      <c r="I635" s="59" t="str">
        <f>IF([2]道具信息!I635="","",[2]道具信息!I635)</f>
        <v/>
      </c>
      <c r="J635" s="59" t="str">
        <f>IF([2]道具信息!J635="","",[2]道具信息!J635)</f>
        <v/>
      </c>
      <c r="K635" s="59" t="str">
        <f>IF([2]道具信息!K635="","",[2]道具信息!K635)</f>
        <v/>
      </c>
      <c r="L635" s="59" t="str">
        <f>IF([2]道具信息!L635="","",[2]道具信息!L635)</f>
        <v/>
      </c>
      <c r="M635" s="59" t="str">
        <f>IF([2]道具信息!M635="","",[2]道具信息!M635)</f>
        <v/>
      </c>
      <c r="N635" s="59" t="str">
        <f>IF([2]道具信息!N635="","",[2]道具信息!N635)</f>
        <v/>
      </c>
      <c r="O635" s="59" t="str">
        <f>IF([2]道具信息!O635="","",[2]道具信息!O635)</f>
        <v/>
      </c>
      <c r="P635" s="59" t="str">
        <f>IF([2]道具信息!P635="","",[2]道具信息!P635)</f>
        <v/>
      </c>
      <c r="Q635" s="59" t="str">
        <f>IF([2]道具信息!Q635="","",[2]道具信息!Q635)</f>
        <v/>
      </c>
      <c r="R635" s="59" t="str">
        <f>IF([2]道具信息!R635="","",[2]道具信息!R635)</f>
        <v/>
      </c>
      <c r="S635" s="59" t="str">
        <f>IF([2]道具信息!S635="","",[2]道具信息!S635)</f>
        <v/>
      </c>
      <c r="T635" s="59" t="str">
        <f>IF([2]道具信息!T635="","",[2]道具信息!T635)</f>
        <v/>
      </c>
      <c r="U635" s="59" t="str">
        <f>IF([2]道具信息!U635="","",[2]道具信息!U635)</f>
        <v/>
      </c>
      <c r="V635" s="59" t="str">
        <f>IF([2]道具信息!V635="","",[2]道具信息!V635)</f>
        <v/>
      </c>
      <c r="W635" s="59" t="str">
        <f>IF([2]道具信息!W635="","",[2]道具信息!W635)</f>
        <v/>
      </c>
      <c r="X635" s="59" t="str">
        <f>IF([2]道具信息!X635="","",[2]道具信息!X635)</f>
        <v/>
      </c>
      <c r="Y635" s="59" t="str">
        <f>IF([2]道具信息!Y635="","",[2]道具信息!Y635)</f>
        <v/>
      </c>
      <c r="Z635" s="59" t="str">
        <f>IF([2]道具信息!Z635="","",[2]道具信息!Z635)</f>
        <v/>
      </c>
    </row>
    <row r="636" spans="1:26" x14ac:dyDescent="0.15">
      <c r="A636" s="59" t="str">
        <f>IF([2]道具信息!A636="","",[2]道具信息!A636)</f>
        <v/>
      </c>
      <c r="B636" s="59" t="str">
        <f>IF([2]道具信息!B636="","",[2]道具信息!B636)</f>
        <v/>
      </c>
      <c r="C636" s="59" t="str">
        <f>IF([2]道具信息!C636="","",[2]道具信息!C636)</f>
        <v/>
      </c>
      <c r="D636" s="59" t="str">
        <f>IF([2]道具信息!D636="","",[2]道具信息!D636)</f>
        <v/>
      </c>
      <c r="E636" s="59" t="str">
        <f>IF([2]道具信息!E636="","",[2]道具信息!E636)</f>
        <v/>
      </c>
      <c r="F636" s="59" t="str">
        <f>IF([2]道具信息!F636="","",[2]道具信息!F636)</f>
        <v/>
      </c>
      <c r="G636" s="59" t="str">
        <f>IF([2]道具信息!G636="","",[2]道具信息!G636)</f>
        <v/>
      </c>
      <c r="H636" s="59" t="str">
        <f>IF([2]道具信息!H636="","",[2]道具信息!H636)</f>
        <v/>
      </c>
      <c r="I636" s="59" t="str">
        <f>IF([2]道具信息!I636="","",[2]道具信息!I636)</f>
        <v/>
      </c>
      <c r="J636" s="59" t="str">
        <f>IF([2]道具信息!J636="","",[2]道具信息!J636)</f>
        <v/>
      </c>
      <c r="K636" s="59" t="str">
        <f>IF([2]道具信息!K636="","",[2]道具信息!K636)</f>
        <v/>
      </c>
      <c r="L636" s="59" t="str">
        <f>IF([2]道具信息!L636="","",[2]道具信息!L636)</f>
        <v/>
      </c>
      <c r="M636" s="59" t="str">
        <f>IF([2]道具信息!M636="","",[2]道具信息!M636)</f>
        <v/>
      </c>
      <c r="N636" s="59" t="str">
        <f>IF([2]道具信息!N636="","",[2]道具信息!N636)</f>
        <v/>
      </c>
      <c r="O636" s="59" t="str">
        <f>IF([2]道具信息!O636="","",[2]道具信息!O636)</f>
        <v/>
      </c>
      <c r="P636" s="59" t="str">
        <f>IF([2]道具信息!P636="","",[2]道具信息!P636)</f>
        <v/>
      </c>
      <c r="Q636" s="59" t="str">
        <f>IF([2]道具信息!Q636="","",[2]道具信息!Q636)</f>
        <v/>
      </c>
      <c r="R636" s="59" t="str">
        <f>IF([2]道具信息!R636="","",[2]道具信息!R636)</f>
        <v/>
      </c>
      <c r="S636" s="59" t="str">
        <f>IF([2]道具信息!S636="","",[2]道具信息!S636)</f>
        <v/>
      </c>
      <c r="T636" s="59" t="str">
        <f>IF([2]道具信息!T636="","",[2]道具信息!T636)</f>
        <v/>
      </c>
      <c r="U636" s="59" t="str">
        <f>IF([2]道具信息!U636="","",[2]道具信息!U636)</f>
        <v/>
      </c>
      <c r="V636" s="59" t="str">
        <f>IF([2]道具信息!V636="","",[2]道具信息!V636)</f>
        <v/>
      </c>
      <c r="W636" s="59" t="str">
        <f>IF([2]道具信息!W636="","",[2]道具信息!W636)</f>
        <v/>
      </c>
      <c r="X636" s="59" t="str">
        <f>IF([2]道具信息!X636="","",[2]道具信息!X636)</f>
        <v/>
      </c>
      <c r="Y636" s="59" t="str">
        <f>IF([2]道具信息!Y636="","",[2]道具信息!Y636)</f>
        <v/>
      </c>
      <c r="Z636" s="59" t="str">
        <f>IF([2]道具信息!Z636="","",[2]道具信息!Z636)</f>
        <v/>
      </c>
    </row>
    <row r="637" spans="1:26" x14ac:dyDescent="0.15">
      <c r="A637" s="59" t="str">
        <f>IF([2]道具信息!A637="","",[2]道具信息!A637)</f>
        <v/>
      </c>
      <c r="B637" s="59" t="str">
        <f>IF([2]道具信息!B637="","",[2]道具信息!B637)</f>
        <v/>
      </c>
      <c r="C637" s="59" t="str">
        <f>IF([2]道具信息!C637="","",[2]道具信息!C637)</f>
        <v/>
      </c>
      <c r="D637" s="59" t="str">
        <f>IF([2]道具信息!D637="","",[2]道具信息!D637)</f>
        <v/>
      </c>
      <c r="E637" s="59" t="str">
        <f>IF([2]道具信息!E637="","",[2]道具信息!E637)</f>
        <v/>
      </c>
      <c r="F637" s="59" t="str">
        <f>IF([2]道具信息!F637="","",[2]道具信息!F637)</f>
        <v/>
      </c>
      <c r="G637" s="59" t="str">
        <f>IF([2]道具信息!G637="","",[2]道具信息!G637)</f>
        <v/>
      </c>
      <c r="H637" s="59" t="str">
        <f>IF([2]道具信息!H637="","",[2]道具信息!H637)</f>
        <v/>
      </c>
      <c r="I637" s="59" t="str">
        <f>IF([2]道具信息!I637="","",[2]道具信息!I637)</f>
        <v/>
      </c>
      <c r="J637" s="59" t="str">
        <f>IF([2]道具信息!J637="","",[2]道具信息!J637)</f>
        <v/>
      </c>
      <c r="K637" s="59" t="str">
        <f>IF([2]道具信息!K637="","",[2]道具信息!K637)</f>
        <v/>
      </c>
      <c r="L637" s="59" t="str">
        <f>IF([2]道具信息!L637="","",[2]道具信息!L637)</f>
        <v/>
      </c>
      <c r="M637" s="59" t="str">
        <f>IF([2]道具信息!M637="","",[2]道具信息!M637)</f>
        <v/>
      </c>
      <c r="N637" s="59" t="str">
        <f>IF([2]道具信息!N637="","",[2]道具信息!N637)</f>
        <v/>
      </c>
      <c r="O637" s="59" t="str">
        <f>IF([2]道具信息!O637="","",[2]道具信息!O637)</f>
        <v/>
      </c>
      <c r="P637" s="59" t="str">
        <f>IF([2]道具信息!P637="","",[2]道具信息!P637)</f>
        <v/>
      </c>
      <c r="Q637" s="59" t="str">
        <f>IF([2]道具信息!Q637="","",[2]道具信息!Q637)</f>
        <v/>
      </c>
      <c r="R637" s="59" t="str">
        <f>IF([2]道具信息!R637="","",[2]道具信息!R637)</f>
        <v/>
      </c>
      <c r="S637" s="59" t="str">
        <f>IF([2]道具信息!S637="","",[2]道具信息!S637)</f>
        <v/>
      </c>
      <c r="T637" s="59" t="str">
        <f>IF([2]道具信息!T637="","",[2]道具信息!T637)</f>
        <v/>
      </c>
      <c r="U637" s="59" t="str">
        <f>IF([2]道具信息!U637="","",[2]道具信息!U637)</f>
        <v/>
      </c>
      <c r="V637" s="59" t="str">
        <f>IF([2]道具信息!V637="","",[2]道具信息!V637)</f>
        <v/>
      </c>
      <c r="W637" s="59" t="str">
        <f>IF([2]道具信息!W637="","",[2]道具信息!W637)</f>
        <v/>
      </c>
      <c r="X637" s="59" t="str">
        <f>IF([2]道具信息!X637="","",[2]道具信息!X637)</f>
        <v/>
      </c>
      <c r="Y637" s="59" t="str">
        <f>IF([2]道具信息!Y637="","",[2]道具信息!Y637)</f>
        <v/>
      </c>
      <c r="Z637" s="59" t="str">
        <f>IF([2]道具信息!Z637="","",[2]道具信息!Z637)</f>
        <v/>
      </c>
    </row>
    <row r="638" spans="1:26" x14ac:dyDescent="0.15">
      <c r="A638" s="59" t="str">
        <f>IF([2]道具信息!A638="","",[2]道具信息!A638)</f>
        <v/>
      </c>
      <c r="B638" s="59" t="str">
        <f>IF([2]道具信息!B638="","",[2]道具信息!B638)</f>
        <v/>
      </c>
      <c r="C638" s="59" t="str">
        <f>IF([2]道具信息!C638="","",[2]道具信息!C638)</f>
        <v/>
      </c>
      <c r="D638" s="59" t="str">
        <f>IF([2]道具信息!D638="","",[2]道具信息!D638)</f>
        <v/>
      </c>
      <c r="E638" s="59" t="str">
        <f>IF([2]道具信息!E638="","",[2]道具信息!E638)</f>
        <v/>
      </c>
      <c r="F638" s="59" t="str">
        <f>IF([2]道具信息!F638="","",[2]道具信息!F638)</f>
        <v/>
      </c>
      <c r="G638" s="59" t="str">
        <f>IF([2]道具信息!G638="","",[2]道具信息!G638)</f>
        <v/>
      </c>
      <c r="H638" s="59" t="str">
        <f>IF([2]道具信息!H638="","",[2]道具信息!H638)</f>
        <v/>
      </c>
      <c r="I638" s="59" t="str">
        <f>IF([2]道具信息!I638="","",[2]道具信息!I638)</f>
        <v/>
      </c>
      <c r="J638" s="59" t="str">
        <f>IF([2]道具信息!J638="","",[2]道具信息!J638)</f>
        <v/>
      </c>
      <c r="K638" s="59" t="str">
        <f>IF([2]道具信息!K638="","",[2]道具信息!K638)</f>
        <v/>
      </c>
      <c r="L638" s="59" t="str">
        <f>IF([2]道具信息!L638="","",[2]道具信息!L638)</f>
        <v/>
      </c>
      <c r="M638" s="59" t="str">
        <f>IF([2]道具信息!M638="","",[2]道具信息!M638)</f>
        <v/>
      </c>
      <c r="N638" s="59" t="str">
        <f>IF([2]道具信息!N638="","",[2]道具信息!N638)</f>
        <v/>
      </c>
      <c r="O638" s="59" t="str">
        <f>IF([2]道具信息!O638="","",[2]道具信息!O638)</f>
        <v/>
      </c>
      <c r="P638" s="59" t="str">
        <f>IF([2]道具信息!P638="","",[2]道具信息!P638)</f>
        <v/>
      </c>
      <c r="Q638" s="59" t="str">
        <f>IF([2]道具信息!Q638="","",[2]道具信息!Q638)</f>
        <v/>
      </c>
      <c r="R638" s="59" t="str">
        <f>IF([2]道具信息!R638="","",[2]道具信息!R638)</f>
        <v/>
      </c>
      <c r="S638" s="59" t="str">
        <f>IF([2]道具信息!S638="","",[2]道具信息!S638)</f>
        <v/>
      </c>
      <c r="T638" s="59" t="str">
        <f>IF([2]道具信息!T638="","",[2]道具信息!T638)</f>
        <v/>
      </c>
      <c r="U638" s="59" t="str">
        <f>IF([2]道具信息!U638="","",[2]道具信息!U638)</f>
        <v/>
      </c>
      <c r="V638" s="59" t="str">
        <f>IF([2]道具信息!V638="","",[2]道具信息!V638)</f>
        <v/>
      </c>
      <c r="W638" s="59" t="str">
        <f>IF([2]道具信息!W638="","",[2]道具信息!W638)</f>
        <v/>
      </c>
      <c r="X638" s="59" t="str">
        <f>IF([2]道具信息!X638="","",[2]道具信息!X638)</f>
        <v/>
      </c>
      <c r="Y638" s="59" t="str">
        <f>IF([2]道具信息!Y638="","",[2]道具信息!Y638)</f>
        <v/>
      </c>
      <c r="Z638" s="59" t="str">
        <f>IF([2]道具信息!Z638="","",[2]道具信息!Z638)</f>
        <v/>
      </c>
    </row>
    <row r="639" spans="1:26" x14ac:dyDescent="0.15">
      <c r="A639" s="59" t="str">
        <f>IF([2]道具信息!A639="","",[2]道具信息!A639)</f>
        <v/>
      </c>
      <c r="B639" s="59" t="str">
        <f>IF([2]道具信息!B639="","",[2]道具信息!B639)</f>
        <v/>
      </c>
      <c r="C639" s="59" t="str">
        <f>IF([2]道具信息!C639="","",[2]道具信息!C639)</f>
        <v/>
      </c>
      <c r="D639" s="59" t="str">
        <f>IF([2]道具信息!D639="","",[2]道具信息!D639)</f>
        <v/>
      </c>
      <c r="E639" s="59" t="str">
        <f>IF([2]道具信息!E639="","",[2]道具信息!E639)</f>
        <v/>
      </c>
      <c r="F639" s="59" t="str">
        <f>IF([2]道具信息!F639="","",[2]道具信息!F639)</f>
        <v/>
      </c>
      <c r="G639" s="59" t="str">
        <f>IF([2]道具信息!G639="","",[2]道具信息!G639)</f>
        <v/>
      </c>
      <c r="H639" s="59" t="str">
        <f>IF([2]道具信息!H639="","",[2]道具信息!H639)</f>
        <v/>
      </c>
      <c r="I639" s="59" t="str">
        <f>IF([2]道具信息!I639="","",[2]道具信息!I639)</f>
        <v/>
      </c>
      <c r="J639" s="59" t="str">
        <f>IF([2]道具信息!J639="","",[2]道具信息!J639)</f>
        <v/>
      </c>
      <c r="K639" s="59" t="str">
        <f>IF([2]道具信息!K639="","",[2]道具信息!K639)</f>
        <v/>
      </c>
      <c r="L639" s="59" t="str">
        <f>IF([2]道具信息!L639="","",[2]道具信息!L639)</f>
        <v/>
      </c>
      <c r="M639" s="59" t="str">
        <f>IF([2]道具信息!M639="","",[2]道具信息!M639)</f>
        <v/>
      </c>
      <c r="N639" s="59" t="str">
        <f>IF([2]道具信息!N639="","",[2]道具信息!N639)</f>
        <v/>
      </c>
      <c r="O639" s="59" t="str">
        <f>IF([2]道具信息!O639="","",[2]道具信息!O639)</f>
        <v/>
      </c>
      <c r="P639" s="59" t="str">
        <f>IF([2]道具信息!P639="","",[2]道具信息!P639)</f>
        <v/>
      </c>
      <c r="Q639" s="59" t="str">
        <f>IF([2]道具信息!Q639="","",[2]道具信息!Q639)</f>
        <v/>
      </c>
      <c r="R639" s="59" t="str">
        <f>IF([2]道具信息!R639="","",[2]道具信息!R639)</f>
        <v/>
      </c>
      <c r="S639" s="59" t="str">
        <f>IF([2]道具信息!S639="","",[2]道具信息!S639)</f>
        <v/>
      </c>
      <c r="T639" s="59" t="str">
        <f>IF([2]道具信息!T639="","",[2]道具信息!T639)</f>
        <v/>
      </c>
      <c r="U639" s="59" t="str">
        <f>IF([2]道具信息!U639="","",[2]道具信息!U639)</f>
        <v/>
      </c>
      <c r="V639" s="59" t="str">
        <f>IF([2]道具信息!V639="","",[2]道具信息!V639)</f>
        <v/>
      </c>
      <c r="W639" s="59" t="str">
        <f>IF([2]道具信息!W639="","",[2]道具信息!W639)</f>
        <v/>
      </c>
      <c r="X639" s="59" t="str">
        <f>IF([2]道具信息!X639="","",[2]道具信息!X639)</f>
        <v/>
      </c>
      <c r="Y639" s="59" t="str">
        <f>IF([2]道具信息!Y639="","",[2]道具信息!Y639)</f>
        <v/>
      </c>
      <c r="Z639" s="59" t="str">
        <f>IF([2]道具信息!Z639="","",[2]道具信息!Z639)</f>
        <v/>
      </c>
    </row>
    <row r="640" spans="1:26" x14ac:dyDescent="0.15">
      <c r="A640" s="59" t="str">
        <f>IF([2]道具信息!A640="","",[2]道具信息!A640)</f>
        <v/>
      </c>
      <c r="B640" s="59" t="str">
        <f>IF([2]道具信息!B640="","",[2]道具信息!B640)</f>
        <v/>
      </c>
      <c r="C640" s="59" t="str">
        <f>IF([2]道具信息!C640="","",[2]道具信息!C640)</f>
        <v/>
      </c>
      <c r="D640" s="59" t="str">
        <f>IF([2]道具信息!D640="","",[2]道具信息!D640)</f>
        <v/>
      </c>
      <c r="E640" s="59" t="str">
        <f>IF([2]道具信息!E640="","",[2]道具信息!E640)</f>
        <v/>
      </c>
      <c r="F640" s="59" t="str">
        <f>IF([2]道具信息!F640="","",[2]道具信息!F640)</f>
        <v/>
      </c>
      <c r="G640" s="59" t="str">
        <f>IF([2]道具信息!G640="","",[2]道具信息!G640)</f>
        <v/>
      </c>
      <c r="H640" s="59" t="str">
        <f>IF([2]道具信息!H640="","",[2]道具信息!H640)</f>
        <v/>
      </c>
      <c r="I640" s="59" t="str">
        <f>IF([2]道具信息!I640="","",[2]道具信息!I640)</f>
        <v/>
      </c>
      <c r="J640" s="59" t="str">
        <f>IF([2]道具信息!J640="","",[2]道具信息!J640)</f>
        <v/>
      </c>
      <c r="K640" s="59" t="str">
        <f>IF([2]道具信息!K640="","",[2]道具信息!K640)</f>
        <v/>
      </c>
      <c r="L640" s="59" t="str">
        <f>IF([2]道具信息!L640="","",[2]道具信息!L640)</f>
        <v/>
      </c>
      <c r="M640" s="59" t="str">
        <f>IF([2]道具信息!M640="","",[2]道具信息!M640)</f>
        <v/>
      </c>
      <c r="N640" s="59" t="str">
        <f>IF([2]道具信息!N640="","",[2]道具信息!N640)</f>
        <v/>
      </c>
      <c r="O640" s="59" t="str">
        <f>IF([2]道具信息!O640="","",[2]道具信息!O640)</f>
        <v/>
      </c>
      <c r="P640" s="59" t="str">
        <f>IF([2]道具信息!P640="","",[2]道具信息!P640)</f>
        <v/>
      </c>
      <c r="Q640" s="59" t="str">
        <f>IF([2]道具信息!Q640="","",[2]道具信息!Q640)</f>
        <v/>
      </c>
      <c r="R640" s="59" t="str">
        <f>IF([2]道具信息!R640="","",[2]道具信息!R640)</f>
        <v/>
      </c>
      <c r="S640" s="59" t="str">
        <f>IF([2]道具信息!S640="","",[2]道具信息!S640)</f>
        <v/>
      </c>
      <c r="T640" s="59" t="str">
        <f>IF([2]道具信息!T640="","",[2]道具信息!T640)</f>
        <v/>
      </c>
      <c r="U640" s="59" t="str">
        <f>IF([2]道具信息!U640="","",[2]道具信息!U640)</f>
        <v/>
      </c>
      <c r="V640" s="59" t="str">
        <f>IF([2]道具信息!V640="","",[2]道具信息!V640)</f>
        <v/>
      </c>
      <c r="W640" s="59" t="str">
        <f>IF([2]道具信息!W640="","",[2]道具信息!W640)</f>
        <v/>
      </c>
      <c r="X640" s="59" t="str">
        <f>IF([2]道具信息!X640="","",[2]道具信息!X640)</f>
        <v/>
      </c>
      <c r="Y640" s="59" t="str">
        <f>IF([2]道具信息!Y640="","",[2]道具信息!Y640)</f>
        <v/>
      </c>
      <c r="Z640" s="59" t="str">
        <f>IF([2]道具信息!Z640="","",[2]道具信息!Z640)</f>
        <v/>
      </c>
    </row>
    <row r="641" spans="1:26" x14ac:dyDescent="0.15">
      <c r="A641" s="59" t="str">
        <f>IF([2]道具信息!A641="","",[2]道具信息!A641)</f>
        <v/>
      </c>
      <c r="B641" s="59" t="str">
        <f>IF([2]道具信息!B641="","",[2]道具信息!B641)</f>
        <v/>
      </c>
      <c r="C641" s="59" t="str">
        <f>IF([2]道具信息!C641="","",[2]道具信息!C641)</f>
        <v/>
      </c>
      <c r="D641" s="59" t="str">
        <f>IF([2]道具信息!D641="","",[2]道具信息!D641)</f>
        <v/>
      </c>
      <c r="E641" s="59" t="str">
        <f>IF([2]道具信息!E641="","",[2]道具信息!E641)</f>
        <v/>
      </c>
      <c r="F641" s="59" t="str">
        <f>IF([2]道具信息!F641="","",[2]道具信息!F641)</f>
        <v/>
      </c>
      <c r="G641" s="59" t="str">
        <f>IF([2]道具信息!G641="","",[2]道具信息!G641)</f>
        <v/>
      </c>
      <c r="H641" s="59" t="str">
        <f>IF([2]道具信息!H641="","",[2]道具信息!H641)</f>
        <v/>
      </c>
      <c r="I641" s="59" t="str">
        <f>IF([2]道具信息!I641="","",[2]道具信息!I641)</f>
        <v/>
      </c>
      <c r="J641" s="59" t="str">
        <f>IF([2]道具信息!J641="","",[2]道具信息!J641)</f>
        <v/>
      </c>
      <c r="K641" s="59" t="str">
        <f>IF([2]道具信息!K641="","",[2]道具信息!K641)</f>
        <v/>
      </c>
      <c r="L641" s="59" t="str">
        <f>IF([2]道具信息!L641="","",[2]道具信息!L641)</f>
        <v/>
      </c>
      <c r="M641" s="59" t="str">
        <f>IF([2]道具信息!M641="","",[2]道具信息!M641)</f>
        <v/>
      </c>
      <c r="N641" s="59" t="str">
        <f>IF([2]道具信息!N641="","",[2]道具信息!N641)</f>
        <v/>
      </c>
      <c r="O641" s="59" t="str">
        <f>IF([2]道具信息!O641="","",[2]道具信息!O641)</f>
        <v/>
      </c>
      <c r="P641" s="59" t="str">
        <f>IF([2]道具信息!P641="","",[2]道具信息!P641)</f>
        <v/>
      </c>
      <c r="Q641" s="59" t="str">
        <f>IF([2]道具信息!Q641="","",[2]道具信息!Q641)</f>
        <v/>
      </c>
      <c r="R641" s="59" t="str">
        <f>IF([2]道具信息!R641="","",[2]道具信息!R641)</f>
        <v/>
      </c>
      <c r="S641" s="59" t="str">
        <f>IF([2]道具信息!S641="","",[2]道具信息!S641)</f>
        <v/>
      </c>
      <c r="T641" s="59" t="str">
        <f>IF([2]道具信息!T641="","",[2]道具信息!T641)</f>
        <v/>
      </c>
      <c r="U641" s="59" t="str">
        <f>IF([2]道具信息!U641="","",[2]道具信息!U641)</f>
        <v/>
      </c>
      <c r="V641" s="59" t="str">
        <f>IF([2]道具信息!V641="","",[2]道具信息!V641)</f>
        <v/>
      </c>
      <c r="W641" s="59" t="str">
        <f>IF([2]道具信息!W641="","",[2]道具信息!W641)</f>
        <v/>
      </c>
      <c r="X641" s="59" t="str">
        <f>IF([2]道具信息!X641="","",[2]道具信息!X641)</f>
        <v/>
      </c>
      <c r="Y641" s="59" t="str">
        <f>IF([2]道具信息!Y641="","",[2]道具信息!Y641)</f>
        <v/>
      </c>
      <c r="Z641" s="59" t="str">
        <f>IF([2]道具信息!Z641="","",[2]道具信息!Z641)</f>
        <v/>
      </c>
    </row>
    <row r="642" spans="1:26" x14ac:dyDescent="0.15">
      <c r="A642" s="59" t="str">
        <f>IF([2]道具信息!A642="","",[2]道具信息!A642)</f>
        <v/>
      </c>
      <c r="B642" s="59" t="str">
        <f>IF([2]道具信息!B642="","",[2]道具信息!B642)</f>
        <v/>
      </c>
      <c r="C642" s="59" t="str">
        <f>IF([2]道具信息!C642="","",[2]道具信息!C642)</f>
        <v/>
      </c>
      <c r="D642" s="59" t="str">
        <f>IF([2]道具信息!D642="","",[2]道具信息!D642)</f>
        <v/>
      </c>
      <c r="E642" s="59" t="str">
        <f>IF([2]道具信息!E642="","",[2]道具信息!E642)</f>
        <v/>
      </c>
      <c r="F642" s="59" t="str">
        <f>IF([2]道具信息!F642="","",[2]道具信息!F642)</f>
        <v/>
      </c>
      <c r="G642" s="59" t="str">
        <f>IF([2]道具信息!G642="","",[2]道具信息!G642)</f>
        <v/>
      </c>
      <c r="H642" s="59" t="str">
        <f>IF([2]道具信息!H642="","",[2]道具信息!H642)</f>
        <v/>
      </c>
      <c r="I642" s="59" t="str">
        <f>IF([2]道具信息!I642="","",[2]道具信息!I642)</f>
        <v/>
      </c>
      <c r="J642" s="59" t="str">
        <f>IF([2]道具信息!J642="","",[2]道具信息!J642)</f>
        <v/>
      </c>
      <c r="K642" s="59" t="str">
        <f>IF([2]道具信息!K642="","",[2]道具信息!K642)</f>
        <v/>
      </c>
      <c r="L642" s="59" t="str">
        <f>IF([2]道具信息!L642="","",[2]道具信息!L642)</f>
        <v/>
      </c>
      <c r="M642" s="59" t="str">
        <f>IF([2]道具信息!M642="","",[2]道具信息!M642)</f>
        <v/>
      </c>
      <c r="N642" s="59" t="str">
        <f>IF([2]道具信息!N642="","",[2]道具信息!N642)</f>
        <v/>
      </c>
      <c r="O642" s="59" t="str">
        <f>IF([2]道具信息!O642="","",[2]道具信息!O642)</f>
        <v/>
      </c>
      <c r="P642" s="59" t="str">
        <f>IF([2]道具信息!P642="","",[2]道具信息!P642)</f>
        <v/>
      </c>
      <c r="Q642" s="59" t="str">
        <f>IF([2]道具信息!Q642="","",[2]道具信息!Q642)</f>
        <v/>
      </c>
      <c r="R642" s="59" t="str">
        <f>IF([2]道具信息!R642="","",[2]道具信息!R642)</f>
        <v/>
      </c>
      <c r="S642" s="59" t="str">
        <f>IF([2]道具信息!S642="","",[2]道具信息!S642)</f>
        <v/>
      </c>
      <c r="T642" s="59" t="str">
        <f>IF([2]道具信息!T642="","",[2]道具信息!T642)</f>
        <v/>
      </c>
      <c r="U642" s="59" t="str">
        <f>IF([2]道具信息!U642="","",[2]道具信息!U642)</f>
        <v/>
      </c>
      <c r="V642" s="59" t="str">
        <f>IF([2]道具信息!V642="","",[2]道具信息!V642)</f>
        <v/>
      </c>
      <c r="W642" s="59" t="str">
        <f>IF([2]道具信息!W642="","",[2]道具信息!W642)</f>
        <v/>
      </c>
      <c r="X642" s="59" t="str">
        <f>IF([2]道具信息!X642="","",[2]道具信息!X642)</f>
        <v/>
      </c>
      <c r="Y642" s="59" t="str">
        <f>IF([2]道具信息!Y642="","",[2]道具信息!Y642)</f>
        <v/>
      </c>
      <c r="Z642" s="59" t="str">
        <f>IF([2]道具信息!Z642="","",[2]道具信息!Z642)</f>
        <v/>
      </c>
    </row>
    <row r="643" spans="1:26" x14ac:dyDescent="0.15">
      <c r="A643" s="59" t="str">
        <f>IF([2]道具信息!A643="","",[2]道具信息!A643)</f>
        <v/>
      </c>
      <c r="B643" s="59" t="str">
        <f>IF([2]道具信息!B643="","",[2]道具信息!B643)</f>
        <v/>
      </c>
      <c r="C643" s="59" t="str">
        <f>IF([2]道具信息!C643="","",[2]道具信息!C643)</f>
        <v/>
      </c>
      <c r="D643" s="59" t="str">
        <f>IF([2]道具信息!D643="","",[2]道具信息!D643)</f>
        <v/>
      </c>
      <c r="E643" s="59" t="str">
        <f>IF([2]道具信息!E643="","",[2]道具信息!E643)</f>
        <v/>
      </c>
      <c r="F643" s="59" t="str">
        <f>IF([2]道具信息!F643="","",[2]道具信息!F643)</f>
        <v/>
      </c>
      <c r="G643" s="59" t="str">
        <f>IF([2]道具信息!G643="","",[2]道具信息!G643)</f>
        <v/>
      </c>
      <c r="H643" s="59" t="str">
        <f>IF([2]道具信息!H643="","",[2]道具信息!H643)</f>
        <v/>
      </c>
      <c r="I643" s="59" t="str">
        <f>IF([2]道具信息!I643="","",[2]道具信息!I643)</f>
        <v/>
      </c>
      <c r="J643" s="59" t="str">
        <f>IF([2]道具信息!J643="","",[2]道具信息!J643)</f>
        <v/>
      </c>
      <c r="K643" s="59" t="str">
        <f>IF([2]道具信息!K643="","",[2]道具信息!K643)</f>
        <v/>
      </c>
      <c r="L643" s="59" t="str">
        <f>IF([2]道具信息!L643="","",[2]道具信息!L643)</f>
        <v/>
      </c>
      <c r="M643" s="59" t="str">
        <f>IF([2]道具信息!M643="","",[2]道具信息!M643)</f>
        <v/>
      </c>
      <c r="N643" s="59" t="str">
        <f>IF([2]道具信息!N643="","",[2]道具信息!N643)</f>
        <v/>
      </c>
      <c r="O643" s="59" t="str">
        <f>IF([2]道具信息!O643="","",[2]道具信息!O643)</f>
        <v/>
      </c>
      <c r="P643" s="59" t="str">
        <f>IF([2]道具信息!P643="","",[2]道具信息!P643)</f>
        <v/>
      </c>
      <c r="Q643" s="59" t="str">
        <f>IF([2]道具信息!Q643="","",[2]道具信息!Q643)</f>
        <v/>
      </c>
      <c r="R643" s="59" t="str">
        <f>IF([2]道具信息!R643="","",[2]道具信息!R643)</f>
        <v/>
      </c>
      <c r="S643" s="59" t="str">
        <f>IF([2]道具信息!S643="","",[2]道具信息!S643)</f>
        <v/>
      </c>
      <c r="T643" s="59" t="str">
        <f>IF([2]道具信息!T643="","",[2]道具信息!T643)</f>
        <v/>
      </c>
      <c r="U643" s="59" t="str">
        <f>IF([2]道具信息!U643="","",[2]道具信息!U643)</f>
        <v/>
      </c>
      <c r="V643" s="59" t="str">
        <f>IF([2]道具信息!V643="","",[2]道具信息!V643)</f>
        <v/>
      </c>
      <c r="W643" s="59" t="str">
        <f>IF([2]道具信息!W643="","",[2]道具信息!W643)</f>
        <v/>
      </c>
      <c r="X643" s="59" t="str">
        <f>IF([2]道具信息!X643="","",[2]道具信息!X643)</f>
        <v/>
      </c>
      <c r="Y643" s="59" t="str">
        <f>IF([2]道具信息!Y643="","",[2]道具信息!Y643)</f>
        <v/>
      </c>
      <c r="Z643" s="59" t="str">
        <f>IF([2]道具信息!Z643="","",[2]道具信息!Z643)</f>
        <v/>
      </c>
    </row>
    <row r="644" spans="1:26" x14ac:dyDescent="0.15">
      <c r="A644" s="59" t="str">
        <f>IF([2]道具信息!A644="","",[2]道具信息!A644)</f>
        <v/>
      </c>
      <c r="B644" s="59" t="str">
        <f>IF([2]道具信息!B644="","",[2]道具信息!B644)</f>
        <v/>
      </c>
      <c r="C644" s="59" t="str">
        <f>IF([2]道具信息!C644="","",[2]道具信息!C644)</f>
        <v/>
      </c>
      <c r="D644" s="59" t="str">
        <f>IF([2]道具信息!D644="","",[2]道具信息!D644)</f>
        <v/>
      </c>
      <c r="E644" s="59" t="str">
        <f>IF([2]道具信息!E644="","",[2]道具信息!E644)</f>
        <v/>
      </c>
      <c r="F644" s="59" t="str">
        <f>IF([2]道具信息!F644="","",[2]道具信息!F644)</f>
        <v/>
      </c>
      <c r="G644" s="59" t="str">
        <f>IF([2]道具信息!G644="","",[2]道具信息!G644)</f>
        <v/>
      </c>
      <c r="H644" s="59" t="str">
        <f>IF([2]道具信息!H644="","",[2]道具信息!H644)</f>
        <v/>
      </c>
      <c r="I644" s="59" t="str">
        <f>IF([2]道具信息!I644="","",[2]道具信息!I644)</f>
        <v/>
      </c>
      <c r="J644" s="59" t="str">
        <f>IF([2]道具信息!J644="","",[2]道具信息!J644)</f>
        <v/>
      </c>
      <c r="K644" s="59" t="str">
        <f>IF([2]道具信息!K644="","",[2]道具信息!K644)</f>
        <v/>
      </c>
      <c r="L644" s="59" t="str">
        <f>IF([2]道具信息!L644="","",[2]道具信息!L644)</f>
        <v/>
      </c>
      <c r="M644" s="59" t="str">
        <f>IF([2]道具信息!M644="","",[2]道具信息!M644)</f>
        <v/>
      </c>
      <c r="N644" s="59" t="str">
        <f>IF([2]道具信息!N644="","",[2]道具信息!N644)</f>
        <v/>
      </c>
      <c r="O644" s="59" t="str">
        <f>IF([2]道具信息!O644="","",[2]道具信息!O644)</f>
        <v/>
      </c>
      <c r="P644" s="59" t="str">
        <f>IF([2]道具信息!P644="","",[2]道具信息!P644)</f>
        <v/>
      </c>
      <c r="Q644" s="59" t="str">
        <f>IF([2]道具信息!Q644="","",[2]道具信息!Q644)</f>
        <v/>
      </c>
      <c r="R644" s="59" t="str">
        <f>IF([2]道具信息!R644="","",[2]道具信息!R644)</f>
        <v/>
      </c>
      <c r="S644" s="59" t="str">
        <f>IF([2]道具信息!S644="","",[2]道具信息!S644)</f>
        <v/>
      </c>
      <c r="T644" s="59" t="str">
        <f>IF([2]道具信息!T644="","",[2]道具信息!T644)</f>
        <v/>
      </c>
      <c r="U644" s="59" t="str">
        <f>IF([2]道具信息!U644="","",[2]道具信息!U644)</f>
        <v/>
      </c>
      <c r="V644" s="59" t="str">
        <f>IF([2]道具信息!V644="","",[2]道具信息!V644)</f>
        <v/>
      </c>
      <c r="W644" s="59" t="str">
        <f>IF([2]道具信息!W644="","",[2]道具信息!W644)</f>
        <v/>
      </c>
      <c r="X644" s="59" t="str">
        <f>IF([2]道具信息!X644="","",[2]道具信息!X644)</f>
        <v/>
      </c>
      <c r="Y644" s="59" t="str">
        <f>IF([2]道具信息!Y644="","",[2]道具信息!Y644)</f>
        <v/>
      </c>
      <c r="Z644" s="59" t="str">
        <f>IF([2]道具信息!Z644="","",[2]道具信息!Z644)</f>
        <v/>
      </c>
    </row>
    <row r="645" spans="1:26" x14ac:dyDescent="0.15">
      <c r="A645" s="59" t="str">
        <f>IF([2]道具信息!A645="","",[2]道具信息!A645)</f>
        <v/>
      </c>
      <c r="B645" s="59" t="str">
        <f>IF([2]道具信息!B645="","",[2]道具信息!B645)</f>
        <v/>
      </c>
      <c r="C645" s="59" t="str">
        <f>IF([2]道具信息!C645="","",[2]道具信息!C645)</f>
        <v/>
      </c>
      <c r="D645" s="59" t="str">
        <f>IF([2]道具信息!D645="","",[2]道具信息!D645)</f>
        <v/>
      </c>
      <c r="E645" s="59" t="str">
        <f>IF([2]道具信息!E645="","",[2]道具信息!E645)</f>
        <v/>
      </c>
      <c r="F645" s="59" t="str">
        <f>IF([2]道具信息!F645="","",[2]道具信息!F645)</f>
        <v/>
      </c>
      <c r="G645" s="59" t="str">
        <f>IF([2]道具信息!G645="","",[2]道具信息!G645)</f>
        <v/>
      </c>
      <c r="H645" s="59" t="str">
        <f>IF([2]道具信息!H645="","",[2]道具信息!H645)</f>
        <v/>
      </c>
      <c r="I645" s="59" t="str">
        <f>IF([2]道具信息!I645="","",[2]道具信息!I645)</f>
        <v/>
      </c>
      <c r="J645" s="59" t="str">
        <f>IF([2]道具信息!J645="","",[2]道具信息!J645)</f>
        <v/>
      </c>
      <c r="K645" s="59" t="str">
        <f>IF([2]道具信息!K645="","",[2]道具信息!K645)</f>
        <v/>
      </c>
      <c r="L645" s="59" t="str">
        <f>IF([2]道具信息!L645="","",[2]道具信息!L645)</f>
        <v/>
      </c>
      <c r="M645" s="59" t="str">
        <f>IF([2]道具信息!M645="","",[2]道具信息!M645)</f>
        <v/>
      </c>
      <c r="N645" s="59" t="str">
        <f>IF([2]道具信息!N645="","",[2]道具信息!N645)</f>
        <v/>
      </c>
      <c r="O645" s="59" t="str">
        <f>IF([2]道具信息!O645="","",[2]道具信息!O645)</f>
        <v/>
      </c>
      <c r="P645" s="59" t="str">
        <f>IF([2]道具信息!P645="","",[2]道具信息!P645)</f>
        <v/>
      </c>
      <c r="Q645" s="59" t="str">
        <f>IF([2]道具信息!Q645="","",[2]道具信息!Q645)</f>
        <v/>
      </c>
      <c r="R645" s="59" t="str">
        <f>IF([2]道具信息!R645="","",[2]道具信息!R645)</f>
        <v/>
      </c>
      <c r="S645" s="59" t="str">
        <f>IF([2]道具信息!S645="","",[2]道具信息!S645)</f>
        <v/>
      </c>
      <c r="T645" s="59" t="str">
        <f>IF([2]道具信息!T645="","",[2]道具信息!T645)</f>
        <v/>
      </c>
      <c r="U645" s="59" t="str">
        <f>IF([2]道具信息!U645="","",[2]道具信息!U645)</f>
        <v/>
      </c>
      <c r="V645" s="59" t="str">
        <f>IF([2]道具信息!V645="","",[2]道具信息!V645)</f>
        <v/>
      </c>
      <c r="W645" s="59" t="str">
        <f>IF([2]道具信息!W645="","",[2]道具信息!W645)</f>
        <v/>
      </c>
      <c r="X645" s="59" t="str">
        <f>IF([2]道具信息!X645="","",[2]道具信息!X645)</f>
        <v/>
      </c>
      <c r="Y645" s="59" t="str">
        <f>IF([2]道具信息!Y645="","",[2]道具信息!Y645)</f>
        <v/>
      </c>
      <c r="Z645" s="59" t="str">
        <f>IF([2]道具信息!Z645="","",[2]道具信息!Z645)</f>
        <v/>
      </c>
    </row>
    <row r="646" spans="1:26" x14ac:dyDescent="0.15">
      <c r="A646" s="59" t="str">
        <f>IF([2]道具信息!A646="","",[2]道具信息!A646)</f>
        <v/>
      </c>
      <c r="B646" s="59" t="str">
        <f>IF([2]道具信息!B646="","",[2]道具信息!B646)</f>
        <v/>
      </c>
      <c r="C646" s="59" t="str">
        <f>IF([2]道具信息!C646="","",[2]道具信息!C646)</f>
        <v/>
      </c>
      <c r="D646" s="59" t="str">
        <f>IF([2]道具信息!D646="","",[2]道具信息!D646)</f>
        <v/>
      </c>
      <c r="E646" s="59" t="str">
        <f>IF([2]道具信息!E646="","",[2]道具信息!E646)</f>
        <v/>
      </c>
      <c r="F646" s="59" t="str">
        <f>IF([2]道具信息!F646="","",[2]道具信息!F646)</f>
        <v/>
      </c>
      <c r="G646" s="59" t="str">
        <f>IF([2]道具信息!G646="","",[2]道具信息!G646)</f>
        <v/>
      </c>
      <c r="H646" s="59" t="str">
        <f>IF([2]道具信息!H646="","",[2]道具信息!H646)</f>
        <v/>
      </c>
      <c r="I646" s="59" t="str">
        <f>IF([2]道具信息!I646="","",[2]道具信息!I646)</f>
        <v/>
      </c>
      <c r="J646" s="59" t="str">
        <f>IF([2]道具信息!J646="","",[2]道具信息!J646)</f>
        <v/>
      </c>
      <c r="K646" s="59" t="str">
        <f>IF([2]道具信息!K646="","",[2]道具信息!K646)</f>
        <v/>
      </c>
      <c r="L646" s="59" t="str">
        <f>IF([2]道具信息!L646="","",[2]道具信息!L646)</f>
        <v/>
      </c>
      <c r="M646" s="59" t="str">
        <f>IF([2]道具信息!M646="","",[2]道具信息!M646)</f>
        <v/>
      </c>
      <c r="N646" s="59" t="str">
        <f>IF([2]道具信息!N646="","",[2]道具信息!N646)</f>
        <v/>
      </c>
      <c r="O646" s="59" t="str">
        <f>IF([2]道具信息!O646="","",[2]道具信息!O646)</f>
        <v/>
      </c>
      <c r="P646" s="59" t="str">
        <f>IF([2]道具信息!P646="","",[2]道具信息!P646)</f>
        <v/>
      </c>
      <c r="Q646" s="59" t="str">
        <f>IF([2]道具信息!Q646="","",[2]道具信息!Q646)</f>
        <v/>
      </c>
      <c r="R646" s="59" t="str">
        <f>IF([2]道具信息!R646="","",[2]道具信息!R646)</f>
        <v/>
      </c>
      <c r="S646" s="59" t="str">
        <f>IF([2]道具信息!S646="","",[2]道具信息!S646)</f>
        <v/>
      </c>
      <c r="T646" s="59" t="str">
        <f>IF([2]道具信息!T646="","",[2]道具信息!T646)</f>
        <v/>
      </c>
      <c r="U646" s="59" t="str">
        <f>IF([2]道具信息!U646="","",[2]道具信息!U646)</f>
        <v/>
      </c>
      <c r="V646" s="59" t="str">
        <f>IF([2]道具信息!V646="","",[2]道具信息!V646)</f>
        <v/>
      </c>
      <c r="W646" s="59" t="str">
        <f>IF([2]道具信息!W646="","",[2]道具信息!W646)</f>
        <v/>
      </c>
      <c r="X646" s="59" t="str">
        <f>IF([2]道具信息!X646="","",[2]道具信息!X646)</f>
        <v/>
      </c>
      <c r="Y646" s="59" t="str">
        <f>IF([2]道具信息!Y646="","",[2]道具信息!Y646)</f>
        <v/>
      </c>
      <c r="Z646" s="59" t="str">
        <f>IF([2]道具信息!Z646="","",[2]道具信息!Z646)</f>
        <v/>
      </c>
    </row>
    <row r="647" spans="1:26" x14ac:dyDescent="0.15">
      <c r="A647" s="59" t="str">
        <f>IF([2]道具信息!A647="","",[2]道具信息!A647)</f>
        <v/>
      </c>
      <c r="B647" s="59" t="str">
        <f>IF([2]道具信息!B647="","",[2]道具信息!B647)</f>
        <v/>
      </c>
      <c r="C647" s="59" t="str">
        <f>IF([2]道具信息!C647="","",[2]道具信息!C647)</f>
        <v/>
      </c>
      <c r="D647" s="59" t="str">
        <f>IF([2]道具信息!D647="","",[2]道具信息!D647)</f>
        <v/>
      </c>
      <c r="E647" s="59" t="str">
        <f>IF([2]道具信息!E647="","",[2]道具信息!E647)</f>
        <v/>
      </c>
      <c r="F647" s="59" t="str">
        <f>IF([2]道具信息!F647="","",[2]道具信息!F647)</f>
        <v/>
      </c>
      <c r="G647" s="59" t="str">
        <f>IF([2]道具信息!G647="","",[2]道具信息!G647)</f>
        <v/>
      </c>
      <c r="H647" s="59" t="str">
        <f>IF([2]道具信息!H647="","",[2]道具信息!H647)</f>
        <v/>
      </c>
      <c r="I647" s="59" t="str">
        <f>IF([2]道具信息!I647="","",[2]道具信息!I647)</f>
        <v/>
      </c>
      <c r="J647" s="59" t="str">
        <f>IF([2]道具信息!J647="","",[2]道具信息!J647)</f>
        <v/>
      </c>
      <c r="K647" s="59" t="str">
        <f>IF([2]道具信息!K647="","",[2]道具信息!K647)</f>
        <v/>
      </c>
      <c r="L647" s="59" t="str">
        <f>IF([2]道具信息!L647="","",[2]道具信息!L647)</f>
        <v/>
      </c>
      <c r="M647" s="59" t="str">
        <f>IF([2]道具信息!M647="","",[2]道具信息!M647)</f>
        <v/>
      </c>
      <c r="N647" s="59" t="str">
        <f>IF([2]道具信息!N647="","",[2]道具信息!N647)</f>
        <v/>
      </c>
      <c r="O647" s="59" t="str">
        <f>IF([2]道具信息!O647="","",[2]道具信息!O647)</f>
        <v/>
      </c>
      <c r="P647" s="59" t="str">
        <f>IF([2]道具信息!P647="","",[2]道具信息!P647)</f>
        <v/>
      </c>
      <c r="Q647" s="59" t="str">
        <f>IF([2]道具信息!Q647="","",[2]道具信息!Q647)</f>
        <v/>
      </c>
      <c r="R647" s="59" t="str">
        <f>IF([2]道具信息!R647="","",[2]道具信息!R647)</f>
        <v/>
      </c>
      <c r="S647" s="59" t="str">
        <f>IF([2]道具信息!S647="","",[2]道具信息!S647)</f>
        <v/>
      </c>
      <c r="T647" s="59" t="str">
        <f>IF([2]道具信息!T647="","",[2]道具信息!T647)</f>
        <v/>
      </c>
      <c r="U647" s="59" t="str">
        <f>IF([2]道具信息!U647="","",[2]道具信息!U647)</f>
        <v/>
      </c>
      <c r="V647" s="59" t="str">
        <f>IF([2]道具信息!V647="","",[2]道具信息!V647)</f>
        <v/>
      </c>
      <c r="W647" s="59" t="str">
        <f>IF([2]道具信息!W647="","",[2]道具信息!W647)</f>
        <v/>
      </c>
      <c r="X647" s="59" t="str">
        <f>IF([2]道具信息!X647="","",[2]道具信息!X647)</f>
        <v/>
      </c>
      <c r="Y647" s="59" t="str">
        <f>IF([2]道具信息!Y647="","",[2]道具信息!Y647)</f>
        <v/>
      </c>
      <c r="Z647" s="59" t="str">
        <f>IF([2]道具信息!Z647="","",[2]道具信息!Z647)</f>
        <v/>
      </c>
    </row>
    <row r="648" spans="1:26" x14ac:dyDescent="0.15">
      <c r="A648" s="59" t="str">
        <f>IF([2]道具信息!A648="","",[2]道具信息!A648)</f>
        <v/>
      </c>
      <c r="B648" s="59" t="str">
        <f>IF([2]道具信息!B648="","",[2]道具信息!B648)</f>
        <v/>
      </c>
      <c r="C648" s="59" t="str">
        <f>IF([2]道具信息!C648="","",[2]道具信息!C648)</f>
        <v/>
      </c>
      <c r="D648" s="59" t="str">
        <f>IF([2]道具信息!D648="","",[2]道具信息!D648)</f>
        <v/>
      </c>
      <c r="E648" s="59" t="str">
        <f>IF([2]道具信息!E648="","",[2]道具信息!E648)</f>
        <v/>
      </c>
      <c r="F648" s="59" t="str">
        <f>IF([2]道具信息!F648="","",[2]道具信息!F648)</f>
        <v/>
      </c>
      <c r="G648" s="59" t="str">
        <f>IF([2]道具信息!G648="","",[2]道具信息!G648)</f>
        <v/>
      </c>
      <c r="H648" s="59" t="str">
        <f>IF([2]道具信息!H648="","",[2]道具信息!H648)</f>
        <v/>
      </c>
      <c r="I648" s="59" t="str">
        <f>IF([2]道具信息!I648="","",[2]道具信息!I648)</f>
        <v/>
      </c>
      <c r="J648" s="59" t="str">
        <f>IF([2]道具信息!J648="","",[2]道具信息!J648)</f>
        <v/>
      </c>
      <c r="K648" s="59" t="str">
        <f>IF([2]道具信息!K648="","",[2]道具信息!K648)</f>
        <v/>
      </c>
      <c r="L648" s="59" t="str">
        <f>IF([2]道具信息!L648="","",[2]道具信息!L648)</f>
        <v/>
      </c>
      <c r="M648" s="59" t="str">
        <f>IF([2]道具信息!M648="","",[2]道具信息!M648)</f>
        <v/>
      </c>
      <c r="N648" s="59" t="str">
        <f>IF([2]道具信息!N648="","",[2]道具信息!N648)</f>
        <v/>
      </c>
      <c r="O648" s="59" t="str">
        <f>IF([2]道具信息!O648="","",[2]道具信息!O648)</f>
        <v/>
      </c>
      <c r="P648" s="59" t="str">
        <f>IF([2]道具信息!P648="","",[2]道具信息!P648)</f>
        <v/>
      </c>
      <c r="Q648" s="59" t="str">
        <f>IF([2]道具信息!Q648="","",[2]道具信息!Q648)</f>
        <v/>
      </c>
      <c r="R648" s="59" t="str">
        <f>IF([2]道具信息!R648="","",[2]道具信息!R648)</f>
        <v/>
      </c>
      <c r="S648" s="59" t="str">
        <f>IF([2]道具信息!S648="","",[2]道具信息!S648)</f>
        <v/>
      </c>
      <c r="T648" s="59" t="str">
        <f>IF([2]道具信息!T648="","",[2]道具信息!T648)</f>
        <v/>
      </c>
      <c r="U648" s="59" t="str">
        <f>IF([2]道具信息!U648="","",[2]道具信息!U648)</f>
        <v/>
      </c>
      <c r="V648" s="59" t="str">
        <f>IF([2]道具信息!V648="","",[2]道具信息!V648)</f>
        <v/>
      </c>
      <c r="W648" s="59" t="str">
        <f>IF([2]道具信息!W648="","",[2]道具信息!W648)</f>
        <v/>
      </c>
      <c r="X648" s="59" t="str">
        <f>IF([2]道具信息!X648="","",[2]道具信息!X648)</f>
        <v/>
      </c>
      <c r="Y648" s="59" t="str">
        <f>IF([2]道具信息!Y648="","",[2]道具信息!Y648)</f>
        <v/>
      </c>
      <c r="Z648" s="59" t="str">
        <f>IF([2]道具信息!Z648="","",[2]道具信息!Z648)</f>
        <v/>
      </c>
    </row>
    <row r="649" spans="1:26" x14ac:dyDescent="0.15">
      <c r="A649" s="59" t="str">
        <f>IF([2]道具信息!A649="","",[2]道具信息!A649)</f>
        <v/>
      </c>
      <c r="B649" s="59" t="str">
        <f>IF([2]道具信息!B649="","",[2]道具信息!B649)</f>
        <v/>
      </c>
      <c r="C649" s="59" t="str">
        <f>IF([2]道具信息!C649="","",[2]道具信息!C649)</f>
        <v/>
      </c>
      <c r="D649" s="59" t="str">
        <f>IF([2]道具信息!D649="","",[2]道具信息!D649)</f>
        <v/>
      </c>
      <c r="E649" s="59" t="str">
        <f>IF([2]道具信息!E649="","",[2]道具信息!E649)</f>
        <v/>
      </c>
      <c r="F649" s="59" t="str">
        <f>IF([2]道具信息!F649="","",[2]道具信息!F649)</f>
        <v/>
      </c>
      <c r="G649" s="59" t="str">
        <f>IF([2]道具信息!G649="","",[2]道具信息!G649)</f>
        <v/>
      </c>
      <c r="H649" s="59" t="str">
        <f>IF([2]道具信息!H649="","",[2]道具信息!H649)</f>
        <v/>
      </c>
      <c r="I649" s="59" t="str">
        <f>IF([2]道具信息!I649="","",[2]道具信息!I649)</f>
        <v/>
      </c>
      <c r="J649" s="59" t="str">
        <f>IF([2]道具信息!J649="","",[2]道具信息!J649)</f>
        <v/>
      </c>
      <c r="K649" s="59" t="str">
        <f>IF([2]道具信息!K649="","",[2]道具信息!K649)</f>
        <v/>
      </c>
      <c r="L649" s="59" t="str">
        <f>IF([2]道具信息!L649="","",[2]道具信息!L649)</f>
        <v/>
      </c>
      <c r="M649" s="59" t="str">
        <f>IF([2]道具信息!M649="","",[2]道具信息!M649)</f>
        <v/>
      </c>
      <c r="N649" s="59" t="str">
        <f>IF([2]道具信息!N649="","",[2]道具信息!N649)</f>
        <v/>
      </c>
      <c r="O649" s="59" t="str">
        <f>IF([2]道具信息!O649="","",[2]道具信息!O649)</f>
        <v/>
      </c>
      <c r="P649" s="59" t="str">
        <f>IF([2]道具信息!P649="","",[2]道具信息!P649)</f>
        <v/>
      </c>
      <c r="Q649" s="59" t="str">
        <f>IF([2]道具信息!Q649="","",[2]道具信息!Q649)</f>
        <v/>
      </c>
      <c r="R649" s="59" t="str">
        <f>IF([2]道具信息!R649="","",[2]道具信息!R649)</f>
        <v/>
      </c>
      <c r="S649" s="59" t="str">
        <f>IF([2]道具信息!S649="","",[2]道具信息!S649)</f>
        <v/>
      </c>
      <c r="T649" s="59" t="str">
        <f>IF([2]道具信息!T649="","",[2]道具信息!T649)</f>
        <v/>
      </c>
      <c r="U649" s="59" t="str">
        <f>IF([2]道具信息!U649="","",[2]道具信息!U649)</f>
        <v/>
      </c>
      <c r="V649" s="59" t="str">
        <f>IF([2]道具信息!V649="","",[2]道具信息!V649)</f>
        <v/>
      </c>
      <c r="W649" s="59" t="str">
        <f>IF([2]道具信息!W649="","",[2]道具信息!W649)</f>
        <v/>
      </c>
      <c r="X649" s="59" t="str">
        <f>IF([2]道具信息!X649="","",[2]道具信息!X649)</f>
        <v/>
      </c>
      <c r="Y649" s="59" t="str">
        <f>IF([2]道具信息!Y649="","",[2]道具信息!Y649)</f>
        <v/>
      </c>
      <c r="Z649" s="59" t="str">
        <f>IF([2]道具信息!Z649="","",[2]道具信息!Z649)</f>
        <v/>
      </c>
    </row>
    <row r="650" spans="1:26" x14ac:dyDescent="0.15">
      <c r="A650" s="59" t="str">
        <f>IF([2]道具信息!A650="","",[2]道具信息!A650)</f>
        <v/>
      </c>
      <c r="B650" s="59" t="str">
        <f>IF([2]道具信息!B650="","",[2]道具信息!B650)</f>
        <v/>
      </c>
      <c r="C650" s="59" t="str">
        <f>IF([2]道具信息!C650="","",[2]道具信息!C650)</f>
        <v/>
      </c>
      <c r="D650" s="59" t="str">
        <f>IF([2]道具信息!D650="","",[2]道具信息!D650)</f>
        <v/>
      </c>
      <c r="E650" s="59" t="str">
        <f>IF([2]道具信息!E650="","",[2]道具信息!E650)</f>
        <v/>
      </c>
      <c r="F650" s="59" t="str">
        <f>IF([2]道具信息!F650="","",[2]道具信息!F650)</f>
        <v/>
      </c>
      <c r="G650" s="59" t="str">
        <f>IF([2]道具信息!G650="","",[2]道具信息!G650)</f>
        <v/>
      </c>
      <c r="H650" s="59" t="str">
        <f>IF([2]道具信息!H650="","",[2]道具信息!H650)</f>
        <v/>
      </c>
      <c r="I650" s="59" t="str">
        <f>IF([2]道具信息!I650="","",[2]道具信息!I650)</f>
        <v/>
      </c>
      <c r="J650" s="59" t="str">
        <f>IF([2]道具信息!J650="","",[2]道具信息!J650)</f>
        <v/>
      </c>
      <c r="K650" s="59" t="str">
        <f>IF([2]道具信息!K650="","",[2]道具信息!K650)</f>
        <v/>
      </c>
      <c r="L650" s="59" t="str">
        <f>IF([2]道具信息!L650="","",[2]道具信息!L650)</f>
        <v/>
      </c>
      <c r="M650" s="59" t="str">
        <f>IF([2]道具信息!M650="","",[2]道具信息!M650)</f>
        <v/>
      </c>
      <c r="N650" s="59" t="str">
        <f>IF([2]道具信息!N650="","",[2]道具信息!N650)</f>
        <v/>
      </c>
      <c r="O650" s="59" t="str">
        <f>IF([2]道具信息!O650="","",[2]道具信息!O650)</f>
        <v/>
      </c>
      <c r="P650" s="59" t="str">
        <f>IF([2]道具信息!P650="","",[2]道具信息!P650)</f>
        <v/>
      </c>
      <c r="Q650" s="59" t="str">
        <f>IF([2]道具信息!Q650="","",[2]道具信息!Q650)</f>
        <v/>
      </c>
      <c r="R650" s="59" t="str">
        <f>IF([2]道具信息!R650="","",[2]道具信息!R650)</f>
        <v/>
      </c>
      <c r="S650" s="59" t="str">
        <f>IF([2]道具信息!S650="","",[2]道具信息!S650)</f>
        <v/>
      </c>
      <c r="T650" s="59" t="str">
        <f>IF([2]道具信息!T650="","",[2]道具信息!T650)</f>
        <v/>
      </c>
      <c r="U650" s="59" t="str">
        <f>IF([2]道具信息!U650="","",[2]道具信息!U650)</f>
        <v/>
      </c>
      <c r="V650" s="59" t="str">
        <f>IF([2]道具信息!V650="","",[2]道具信息!V650)</f>
        <v/>
      </c>
      <c r="W650" s="59" t="str">
        <f>IF([2]道具信息!W650="","",[2]道具信息!W650)</f>
        <v/>
      </c>
      <c r="X650" s="59" t="str">
        <f>IF([2]道具信息!X650="","",[2]道具信息!X650)</f>
        <v/>
      </c>
      <c r="Y650" s="59" t="str">
        <f>IF([2]道具信息!Y650="","",[2]道具信息!Y650)</f>
        <v/>
      </c>
      <c r="Z650" s="59" t="str">
        <f>IF([2]道具信息!Z650="","",[2]道具信息!Z650)</f>
        <v/>
      </c>
    </row>
    <row r="651" spans="1:26" x14ac:dyDescent="0.15">
      <c r="A651" s="59" t="str">
        <f>IF([2]道具信息!A651="","",[2]道具信息!A651)</f>
        <v/>
      </c>
      <c r="B651" s="59" t="str">
        <f>IF([2]道具信息!B651="","",[2]道具信息!B651)</f>
        <v/>
      </c>
      <c r="C651" s="59" t="str">
        <f>IF([2]道具信息!C651="","",[2]道具信息!C651)</f>
        <v/>
      </c>
      <c r="D651" s="59" t="str">
        <f>IF([2]道具信息!D651="","",[2]道具信息!D651)</f>
        <v/>
      </c>
      <c r="E651" s="59" t="str">
        <f>IF([2]道具信息!E651="","",[2]道具信息!E651)</f>
        <v/>
      </c>
      <c r="F651" s="59" t="str">
        <f>IF([2]道具信息!F651="","",[2]道具信息!F651)</f>
        <v/>
      </c>
      <c r="G651" s="59" t="str">
        <f>IF([2]道具信息!G651="","",[2]道具信息!G651)</f>
        <v/>
      </c>
      <c r="H651" s="59" t="str">
        <f>IF([2]道具信息!H651="","",[2]道具信息!H651)</f>
        <v/>
      </c>
      <c r="I651" s="59" t="str">
        <f>IF([2]道具信息!I651="","",[2]道具信息!I651)</f>
        <v/>
      </c>
      <c r="J651" s="59" t="str">
        <f>IF([2]道具信息!J651="","",[2]道具信息!J651)</f>
        <v/>
      </c>
      <c r="K651" s="59" t="str">
        <f>IF([2]道具信息!K651="","",[2]道具信息!K651)</f>
        <v/>
      </c>
      <c r="L651" s="59" t="str">
        <f>IF([2]道具信息!L651="","",[2]道具信息!L651)</f>
        <v/>
      </c>
      <c r="M651" s="59" t="str">
        <f>IF([2]道具信息!M651="","",[2]道具信息!M651)</f>
        <v/>
      </c>
      <c r="N651" s="59" t="str">
        <f>IF([2]道具信息!N651="","",[2]道具信息!N651)</f>
        <v/>
      </c>
      <c r="O651" s="59" t="str">
        <f>IF([2]道具信息!O651="","",[2]道具信息!O651)</f>
        <v/>
      </c>
      <c r="P651" s="59" t="str">
        <f>IF([2]道具信息!P651="","",[2]道具信息!P651)</f>
        <v/>
      </c>
      <c r="Q651" s="59" t="str">
        <f>IF([2]道具信息!Q651="","",[2]道具信息!Q651)</f>
        <v/>
      </c>
      <c r="R651" s="59" t="str">
        <f>IF([2]道具信息!R651="","",[2]道具信息!R651)</f>
        <v/>
      </c>
      <c r="S651" s="59" t="str">
        <f>IF([2]道具信息!S651="","",[2]道具信息!S651)</f>
        <v/>
      </c>
      <c r="T651" s="59" t="str">
        <f>IF([2]道具信息!T651="","",[2]道具信息!T651)</f>
        <v/>
      </c>
      <c r="U651" s="59" t="str">
        <f>IF([2]道具信息!U651="","",[2]道具信息!U651)</f>
        <v/>
      </c>
      <c r="V651" s="59" t="str">
        <f>IF([2]道具信息!V651="","",[2]道具信息!V651)</f>
        <v/>
      </c>
      <c r="W651" s="59" t="str">
        <f>IF([2]道具信息!W651="","",[2]道具信息!W651)</f>
        <v/>
      </c>
      <c r="X651" s="59" t="str">
        <f>IF([2]道具信息!X651="","",[2]道具信息!X651)</f>
        <v/>
      </c>
      <c r="Y651" s="59" t="str">
        <f>IF([2]道具信息!Y651="","",[2]道具信息!Y651)</f>
        <v/>
      </c>
      <c r="Z651" s="59" t="str">
        <f>IF([2]道具信息!Z651="","",[2]道具信息!Z651)</f>
        <v/>
      </c>
    </row>
    <row r="652" spans="1:26" x14ac:dyDescent="0.15">
      <c r="A652" s="59" t="str">
        <f>IF([2]道具信息!A652="","",[2]道具信息!A652)</f>
        <v/>
      </c>
      <c r="B652" s="59" t="str">
        <f>IF([2]道具信息!B652="","",[2]道具信息!B652)</f>
        <v/>
      </c>
      <c r="C652" s="59" t="str">
        <f>IF([2]道具信息!C652="","",[2]道具信息!C652)</f>
        <v/>
      </c>
      <c r="D652" s="59" t="str">
        <f>IF([2]道具信息!D652="","",[2]道具信息!D652)</f>
        <v/>
      </c>
      <c r="E652" s="59" t="str">
        <f>IF([2]道具信息!E652="","",[2]道具信息!E652)</f>
        <v/>
      </c>
      <c r="F652" s="59" t="str">
        <f>IF([2]道具信息!F652="","",[2]道具信息!F652)</f>
        <v/>
      </c>
      <c r="G652" s="59" t="str">
        <f>IF([2]道具信息!G652="","",[2]道具信息!G652)</f>
        <v/>
      </c>
      <c r="H652" s="59" t="str">
        <f>IF([2]道具信息!H652="","",[2]道具信息!H652)</f>
        <v/>
      </c>
      <c r="I652" s="59" t="str">
        <f>IF([2]道具信息!I652="","",[2]道具信息!I652)</f>
        <v/>
      </c>
      <c r="J652" s="59" t="str">
        <f>IF([2]道具信息!J652="","",[2]道具信息!J652)</f>
        <v/>
      </c>
      <c r="K652" s="59" t="str">
        <f>IF([2]道具信息!K652="","",[2]道具信息!K652)</f>
        <v/>
      </c>
      <c r="L652" s="59" t="str">
        <f>IF([2]道具信息!L652="","",[2]道具信息!L652)</f>
        <v/>
      </c>
      <c r="M652" s="59" t="str">
        <f>IF([2]道具信息!M652="","",[2]道具信息!M652)</f>
        <v/>
      </c>
      <c r="N652" s="59" t="str">
        <f>IF([2]道具信息!N652="","",[2]道具信息!N652)</f>
        <v/>
      </c>
      <c r="O652" s="59" t="str">
        <f>IF([2]道具信息!O652="","",[2]道具信息!O652)</f>
        <v/>
      </c>
      <c r="P652" s="59" t="str">
        <f>IF([2]道具信息!P652="","",[2]道具信息!P652)</f>
        <v/>
      </c>
      <c r="Q652" s="59" t="str">
        <f>IF([2]道具信息!Q652="","",[2]道具信息!Q652)</f>
        <v/>
      </c>
      <c r="R652" s="59" t="str">
        <f>IF([2]道具信息!R652="","",[2]道具信息!R652)</f>
        <v/>
      </c>
      <c r="S652" s="59" t="str">
        <f>IF([2]道具信息!S652="","",[2]道具信息!S652)</f>
        <v/>
      </c>
      <c r="T652" s="59" t="str">
        <f>IF([2]道具信息!T652="","",[2]道具信息!T652)</f>
        <v/>
      </c>
      <c r="U652" s="59" t="str">
        <f>IF([2]道具信息!U652="","",[2]道具信息!U652)</f>
        <v/>
      </c>
      <c r="V652" s="59" t="str">
        <f>IF([2]道具信息!V652="","",[2]道具信息!V652)</f>
        <v/>
      </c>
      <c r="W652" s="59" t="str">
        <f>IF([2]道具信息!W652="","",[2]道具信息!W652)</f>
        <v/>
      </c>
      <c r="X652" s="59" t="str">
        <f>IF([2]道具信息!X652="","",[2]道具信息!X652)</f>
        <v/>
      </c>
      <c r="Y652" s="59" t="str">
        <f>IF([2]道具信息!Y652="","",[2]道具信息!Y652)</f>
        <v/>
      </c>
      <c r="Z652" s="59" t="str">
        <f>IF([2]道具信息!Z652="","",[2]道具信息!Z652)</f>
        <v/>
      </c>
    </row>
    <row r="653" spans="1:26" x14ac:dyDescent="0.15">
      <c r="A653" s="59" t="str">
        <f>IF([2]道具信息!A653="","",[2]道具信息!A653)</f>
        <v/>
      </c>
      <c r="B653" s="59" t="str">
        <f>IF([2]道具信息!B653="","",[2]道具信息!B653)</f>
        <v/>
      </c>
      <c r="C653" s="59" t="str">
        <f>IF([2]道具信息!C653="","",[2]道具信息!C653)</f>
        <v/>
      </c>
      <c r="D653" s="59" t="str">
        <f>IF([2]道具信息!D653="","",[2]道具信息!D653)</f>
        <v/>
      </c>
      <c r="E653" s="59" t="str">
        <f>IF([2]道具信息!E653="","",[2]道具信息!E653)</f>
        <v/>
      </c>
      <c r="F653" s="59" t="str">
        <f>IF([2]道具信息!F653="","",[2]道具信息!F653)</f>
        <v/>
      </c>
      <c r="G653" s="59" t="str">
        <f>IF([2]道具信息!G653="","",[2]道具信息!G653)</f>
        <v/>
      </c>
      <c r="H653" s="59" t="str">
        <f>IF([2]道具信息!H653="","",[2]道具信息!H653)</f>
        <v/>
      </c>
      <c r="I653" s="59" t="str">
        <f>IF([2]道具信息!I653="","",[2]道具信息!I653)</f>
        <v/>
      </c>
      <c r="J653" s="59" t="str">
        <f>IF([2]道具信息!J653="","",[2]道具信息!J653)</f>
        <v/>
      </c>
      <c r="K653" s="59" t="str">
        <f>IF([2]道具信息!K653="","",[2]道具信息!K653)</f>
        <v/>
      </c>
      <c r="L653" s="59" t="str">
        <f>IF([2]道具信息!L653="","",[2]道具信息!L653)</f>
        <v/>
      </c>
      <c r="M653" s="59" t="str">
        <f>IF([2]道具信息!M653="","",[2]道具信息!M653)</f>
        <v/>
      </c>
      <c r="N653" s="59" t="str">
        <f>IF([2]道具信息!N653="","",[2]道具信息!N653)</f>
        <v/>
      </c>
      <c r="O653" s="59" t="str">
        <f>IF([2]道具信息!O653="","",[2]道具信息!O653)</f>
        <v/>
      </c>
      <c r="P653" s="59" t="str">
        <f>IF([2]道具信息!P653="","",[2]道具信息!P653)</f>
        <v/>
      </c>
      <c r="Q653" s="59" t="str">
        <f>IF([2]道具信息!Q653="","",[2]道具信息!Q653)</f>
        <v/>
      </c>
      <c r="R653" s="59" t="str">
        <f>IF([2]道具信息!R653="","",[2]道具信息!R653)</f>
        <v/>
      </c>
      <c r="S653" s="59" t="str">
        <f>IF([2]道具信息!S653="","",[2]道具信息!S653)</f>
        <v/>
      </c>
      <c r="T653" s="59" t="str">
        <f>IF([2]道具信息!T653="","",[2]道具信息!T653)</f>
        <v/>
      </c>
      <c r="U653" s="59" t="str">
        <f>IF([2]道具信息!U653="","",[2]道具信息!U653)</f>
        <v/>
      </c>
      <c r="V653" s="59" t="str">
        <f>IF([2]道具信息!V653="","",[2]道具信息!V653)</f>
        <v/>
      </c>
      <c r="W653" s="59" t="str">
        <f>IF([2]道具信息!W653="","",[2]道具信息!W653)</f>
        <v/>
      </c>
      <c r="X653" s="59" t="str">
        <f>IF([2]道具信息!X653="","",[2]道具信息!X653)</f>
        <v/>
      </c>
      <c r="Y653" s="59" t="str">
        <f>IF([2]道具信息!Y653="","",[2]道具信息!Y653)</f>
        <v/>
      </c>
      <c r="Z653" s="59" t="str">
        <f>IF([2]道具信息!Z653="","",[2]道具信息!Z653)</f>
        <v/>
      </c>
    </row>
    <row r="654" spans="1:26" x14ac:dyDescent="0.15">
      <c r="A654" s="59" t="str">
        <f>IF([2]道具信息!A654="","",[2]道具信息!A654)</f>
        <v/>
      </c>
      <c r="B654" s="59" t="str">
        <f>IF([2]道具信息!B654="","",[2]道具信息!B654)</f>
        <v/>
      </c>
      <c r="C654" s="59" t="str">
        <f>IF([2]道具信息!C654="","",[2]道具信息!C654)</f>
        <v/>
      </c>
      <c r="D654" s="59" t="str">
        <f>IF([2]道具信息!D654="","",[2]道具信息!D654)</f>
        <v/>
      </c>
      <c r="E654" s="59" t="str">
        <f>IF([2]道具信息!E654="","",[2]道具信息!E654)</f>
        <v/>
      </c>
      <c r="F654" s="59" t="str">
        <f>IF([2]道具信息!F654="","",[2]道具信息!F654)</f>
        <v/>
      </c>
      <c r="G654" s="59" t="str">
        <f>IF([2]道具信息!G654="","",[2]道具信息!G654)</f>
        <v/>
      </c>
      <c r="H654" s="59" t="str">
        <f>IF([2]道具信息!H654="","",[2]道具信息!H654)</f>
        <v/>
      </c>
      <c r="I654" s="59" t="str">
        <f>IF([2]道具信息!I654="","",[2]道具信息!I654)</f>
        <v/>
      </c>
      <c r="J654" s="59" t="str">
        <f>IF([2]道具信息!J654="","",[2]道具信息!J654)</f>
        <v/>
      </c>
      <c r="K654" s="59" t="str">
        <f>IF([2]道具信息!K654="","",[2]道具信息!K654)</f>
        <v/>
      </c>
      <c r="L654" s="59" t="str">
        <f>IF([2]道具信息!L654="","",[2]道具信息!L654)</f>
        <v/>
      </c>
      <c r="M654" s="59" t="str">
        <f>IF([2]道具信息!M654="","",[2]道具信息!M654)</f>
        <v/>
      </c>
      <c r="N654" s="59" t="str">
        <f>IF([2]道具信息!N654="","",[2]道具信息!N654)</f>
        <v/>
      </c>
      <c r="O654" s="59" t="str">
        <f>IF([2]道具信息!O654="","",[2]道具信息!O654)</f>
        <v/>
      </c>
      <c r="P654" s="59" t="str">
        <f>IF([2]道具信息!P654="","",[2]道具信息!P654)</f>
        <v/>
      </c>
      <c r="Q654" s="59" t="str">
        <f>IF([2]道具信息!Q654="","",[2]道具信息!Q654)</f>
        <v/>
      </c>
      <c r="R654" s="59" t="str">
        <f>IF([2]道具信息!R654="","",[2]道具信息!R654)</f>
        <v/>
      </c>
      <c r="S654" s="59" t="str">
        <f>IF([2]道具信息!S654="","",[2]道具信息!S654)</f>
        <v/>
      </c>
      <c r="T654" s="59" t="str">
        <f>IF([2]道具信息!T654="","",[2]道具信息!T654)</f>
        <v/>
      </c>
      <c r="U654" s="59" t="str">
        <f>IF([2]道具信息!U654="","",[2]道具信息!U654)</f>
        <v/>
      </c>
      <c r="V654" s="59" t="str">
        <f>IF([2]道具信息!V654="","",[2]道具信息!V654)</f>
        <v/>
      </c>
      <c r="W654" s="59" t="str">
        <f>IF([2]道具信息!W654="","",[2]道具信息!W654)</f>
        <v/>
      </c>
      <c r="X654" s="59" t="str">
        <f>IF([2]道具信息!X654="","",[2]道具信息!X654)</f>
        <v/>
      </c>
      <c r="Y654" s="59" t="str">
        <f>IF([2]道具信息!Y654="","",[2]道具信息!Y654)</f>
        <v/>
      </c>
      <c r="Z654" s="59" t="str">
        <f>IF([2]道具信息!Z654="","",[2]道具信息!Z654)</f>
        <v/>
      </c>
    </row>
    <row r="655" spans="1:26" x14ac:dyDescent="0.15">
      <c r="A655" s="59" t="str">
        <f>IF([2]道具信息!A655="","",[2]道具信息!A655)</f>
        <v/>
      </c>
      <c r="B655" s="59" t="str">
        <f>IF([2]道具信息!B655="","",[2]道具信息!B655)</f>
        <v/>
      </c>
      <c r="C655" s="59" t="str">
        <f>IF([2]道具信息!C655="","",[2]道具信息!C655)</f>
        <v/>
      </c>
      <c r="D655" s="59" t="str">
        <f>IF([2]道具信息!D655="","",[2]道具信息!D655)</f>
        <v/>
      </c>
      <c r="E655" s="59" t="str">
        <f>IF([2]道具信息!E655="","",[2]道具信息!E655)</f>
        <v/>
      </c>
      <c r="F655" s="59" t="str">
        <f>IF([2]道具信息!F655="","",[2]道具信息!F655)</f>
        <v/>
      </c>
      <c r="G655" s="59" t="str">
        <f>IF([2]道具信息!G655="","",[2]道具信息!G655)</f>
        <v/>
      </c>
      <c r="H655" s="59" t="str">
        <f>IF([2]道具信息!H655="","",[2]道具信息!H655)</f>
        <v/>
      </c>
      <c r="I655" s="59" t="str">
        <f>IF([2]道具信息!I655="","",[2]道具信息!I655)</f>
        <v/>
      </c>
      <c r="J655" s="59" t="str">
        <f>IF([2]道具信息!J655="","",[2]道具信息!J655)</f>
        <v/>
      </c>
      <c r="K655" s="59" t="str">
        <f>IF([2]道具信息!K655="","",[2]道具信息!K655)</f>
        <v/>
      </c>
      <c r="L655" s="59" t="str">
        <f>IF([2]道具信息!L655="","",[2]道具信息!L655)</f>
        <v/>
      </c>
      <c r="M655" s="59" t="str">
        <f>IF([2]道具信息!M655="","",[2]道具信息!M655)</f>
        <v/>
      </c>
      <c r="N655" s="59" t="str">
        <f>IF([2]道具信息!N655="","",[2]道具信息!N655)</f>
        <v/>
      </c>
      <c r="O655" s="59" t="str">
        <f>IF([2]道具信息!O655="","",[2]道具信息!O655)</f>
        <v/>
      </c>
      <c r="P655" s="59" t="str">
        <f>IF([2]道具信息!P655="","",[2]道具信息!P655)</f>
        <v/>
      </c>
      <c r="Q655" s="59" t="str">
        <f>IF([2]道具信息!Q655="","",[2]道具信息!Q655)</f>
        <v/>
      </c>
      <c r="R655" s="59" t="str">
        <f>IF([2]道具信息!R655="","",[2]道具信息!R655)</f>
        <v/>
      </c>
      <c r="S655" s="59" t="str">
        <f>IF([2]道具信息!S655="","",[2]道具信息!S655)</f>
        <v/>
      </c>
      <c r="T655" s="59" t="str">
        <f>IF([2]道具信息!T655="","",[2]道具信息!T655)</f>
        <v/>
      </c>
      <c r="U655" s="59" t="str">
        <f>IF([2]道具信息!U655="","",[2]道具信息!U655)</f>
        <v/>
      </c>
      <c r="V655" s="59" t="str">
        <f>IF([2]道具信息!V655="","",[2]道具信息!V655)</f>
        <v/>
      </c>
      <c r="W655" s="59" t="str">
        <f>IF([2]道具信息!W655="","",[2]道具信息!W655)</f>
        <v/>
      </c>
      <c r="X655" s="59" t="str">
        <f>IF([2]道具信息!X655="","",[2]道具信息!X655)</f>
        <v/>
      </c>
      <c r="Y655" s="59" t="str">
        <f>IF([2]道具信息!Y655="","",[2]道具信息!Y655)</f>
        <v/>
      </c>
      <c r="Z655" s="59" t="str">
        <f>IF([2]道具信息!Z655="","",[2]道具信息!Z655)</f>
        <v/>
      </c>
    </row>
    <row r="656" spans="1:26" x14ac:dyDescent="0.15">
      <c r="A656" s="59" t="str">
        <f>IF([2]道具信息!A656="","",[2]道具信息!A656)</f>
        <v/>
      </c>
      <c r="B656" s="59" t="str">
        <f>IF([2]道具信息!B656="","",[2]道具信息!B656)</f>
        <v/>
      </c>
      <c r="C656" s="59" t="str">
        <f>IF([2]道具信息!C656="","",[2]道具信息!C656)</f>
        <v/>
      </c>
      <c r="D656" s="59" t="str">
        <f>IF([2]道具信息!D656="","",[2]道具信息!D656)</f>
        <v/>
      </c>
      <c r="E656" s="59" t="str">
        <f>IF([2]道具信息!E656="","",[2]道具信息!E656)</f>
        <v/>
      </c>
      <c r="F656" s="59" t="str">
        <f>IF([2]道具信息!F656="","",[2]道具信息!F656)</f>
        <v/>
      </c>
      <c r="G656" s="59" t="str">
        <f>IF([2]道具信息!G656="","",[2]道具信息!G656)</f>
        <v/>
      </c>
      <c r="H656" s="59" t="str">
        <f>IF([2]道具信息!H656="","",[2]道具信息!H656)</f>
        <v/>
      </c>
      <c r="I656" s="59" t="str">
        <f>IF([2]道具信息!I656="","",[2]道具信息!I656)</f>
        <v/>
      </c>
      <c r="J656" s="59" t="str">
        <f>IF([2]道具信息!J656="","",[2]道具信息!J656)</f>
        <v/>
      </c>
      <c r="K656" s="59" t="str">
        <f>IF([2]道具信息!K656="","",[2]道具信息!K656)</f>
        <v/>
      </c>
      <c r="L656" s="59" t="str">
        <f>IF([2]道具信息!L656="","",[2]道具信息!L656)</f>
        <v/>
      </c>
      <c r="M656" s="59" t="str">
        <f>IF([2]道具信息!M656="","",[2]道具信息!M656)</f>
        <v/>
      </c>
      <c r="N656" s="59" t="str">
        <f>IF([2]道具信息!N656="","",[2]道具信息!N656)</f>
        <v/>
      </c>
      <c r="O656" s="59" t="str">
        <f>IF([2]道具信息!O656="","",[2]道具信息!O656)</f>
        <v/>
      </c>
      <c r="P656" s="59" t="str">
        <f>IF([2]道具信息!P656="","",[2]道具信息!P656)</f>
        <v/>
      </c>
      <c r="Q656" s="59" t="str">
        <f>IF([2]道具信息!Q656="","",[2]道具信息!Q656)</f>
        <v/>
      </c>
      <c r="R656" s="59" t="str">
        <f>IF([2]道具信息!R656="","",[2]道具信息!R656)</f>
        <v/>
      </c>
      <c r="S656" s="59" t="str">
        <f>IF([2]道具信息!S656="","",[2]道具信息!S656)</f>
        <v/>
      </c>
      <c r="T656" s="59" t="str">
        <f>IF([2]道具信息!T656="","",[2]道具信息!T656)</f>
        <v/>
      </c>
      <c r="U656" s="59" t="str">
        <f>IF([2]道具信息!U656="","",[2]道具信息!U656)</f>
        <v/>
      </c>
      <c r="V656" s="59" t="str">
        <f>IF([2]道具信息!V656="","",[2]道具信息!V656)</f>
        <v/>
      </c>
      <c r="W656" s="59" t="str">
        <f>IF([2]道具信息!W656="","",[2]道具信息!W656)</f>
        <v/>
      </c>
      <c r="X656" s="59" t="str">
        <f>IF([2]道具信息!X656="","",[2]道具信息!X656)</f>
        <v/>
      </c>
      <c r="Y656" s="59" t="str">
        <f>IF([2]道具信息!Y656="","",[2]道具信息!Y656)</f>
        <v/>
      </c>
      <c r="Z656" s="59" t="str">
        <f>IF([2]道具信息!Z656="","",[2]道具信息!Z656)</f>
        <v/>
      </c>
    </row>
    <row r="657" spans="1:26" x14ac:dyDescent="0.15">
      <c r="A657" s="59" t="str">
        <f>IF([2]道具信息!A657="","",[2]道具信息!A657)</f>
        <v/>
      </c>
      <c r="B657" s="59" t="str">
        <f>IF([2]道具信息!B657="","",[2]道具信息!B657)</f>
        <v/>
      </c>
      <c r="C657" s="59" t="str">
        <f>IF([2]道具信息!C657="","",[2]道具信息!C657)</f>
        <v/>
      </c>
      <c r="D657" s="59" t="str">
        <f>IF([2]道具信息!D657="","",[2]道具信息!D657)</f>
        <v/>
      </c>
      <c r="E657" s="59" t="str">
        <f>IF([2]道具信息!E657="","",[2]道具信息!E657)</f>
        <v/>
      </c>
      <c r="F657" s="59" t="str">
        <f>IF([2]道具信息!F657="","",[2]道具信息!F657)</f>
        <v/>
      </c>
      <c r="G657" s="59" t="str">
        <f>IF([2]道具信息!G657="","",[2]道具信息!G657)</f>
        <v/>
      </c>
      <c r="H657" s="59" t="str">
        <f>IF([2]道具信息!H657="","",[2]道具信息!H657)</f>
        <v/>
      </c>
      <c r="I657" s="59" t="str">
        <f>IF([2]道具信息!I657="","",[2]道具信息!I657)</f>
        <v/>
      </c>
      <c r="J657" s="59" t="str">
        <f>IF([2]道具信息!J657="","",[2]道具信息!J657)</f>
        <v/>
      </c>
      <c r="K657" s="59" t="str">
        <f>IF([2]道具信息!K657="","",[2]道具信息!K657)</f>
        <v/>
      </c>
      <c r="L657" s="59" t="str">
        <f>IF([2]道具信息!L657="","",[2]道具信息!L657)</f>
        <v/>
      </c>
      <c r="M657" s="59" t="str">
        <f>IF([2]道具信息!M657="","",[2]道具信息!M657)</f>
        <v/>
      </c>
      <c r="N657" s="59" t="str">
        <f>IF([2]道具信息!N657="","",[2]道具信息!N657)</f>
        <v/>
      </c>
      <c r="O657" s="59" t="str">
        <f>IF([2]道具信息!O657="","",[2]道具信息!O657)</f>
        <v/>
      </c>
      <c r="P657" s="59" t="str">
        <f>IF([2]道具信息!P657="","",[2]道具信息!P657)</f>
        <v/>
      </c>
      <c r="Q657" s="59" t="str">
        <f>IF([2]道具信息!Q657="","",[2]道具信息!Q657)</f>
        <v/>
      </c>
      <c r="R657" s="59" t="str">
        <f>IF([2]道具信息!R657="","",[2]道具信息!R657)</f>
        <v/>
      </c>
      <c r="S657" s="59" t="str">
        <f>IF([2]道具信息!S657="","",[2]道具信息!S657)</f>
        <v/>
      </c>
      <c r="T657" s="59" t="str">
        <f>IF([2]道具信息!T657="","",[2]道具信息!T657)</f>
        <v/>
      </c>
      <c r="U657" s="59" t="str">
        <f>IF([2]道具信息!U657="","",[2]道具信息!U657)</f>
        <v/>
      </c>
      <c r="V657" s="59" t="str">
        <f>IF([2]道具信息!V657="","",[2]道具信息!V657)</f>
        <v/>
      </c>
      <c r="W657" s="59" t="str">
        <f>IF([2]道具信息!W657="","",[2]道具信息!W657)</f>
        <v/>
      </c>
      <c r="X657" s="59" t="str">
        <f>IF([2]道具信息!X657="","",[2]道具信息!X657)</f>
        <v/>
      </c>
      <c r="Y657" s="59" t="str">
        <f>IF([2]道具信息!Y657="","",[2]道具信息!Y657)</f>
        <v/>
      </c>
      <c r="Z657" s="59" t="str">
        <f>IF([2]道具信息!Z657="","",[2]道具信息!Z657)</f>
        <v/>
      </c>
    </row>
    <row r="658" spans="1:26" x14ac:dyDescent="0.15">
      <c r="A658" s="59" t="str">
        <f>IF([2]道具信息!A658="","",[2]道具信息!A658)</f>
        <v/>
      </c>
      <c r="B658" s="59" t="str">
        <f>IF([2]道具信息!B658="","",[2]道具信息!B658)</f>
        <v/>
      </c>
      <c r="C658" s="59" t="str">
        <f>IF([2]道具信息!C658="","",[2]道具信息!C658)</f>
        <v/>
      </c>
      <c r="D658" s="59" t="str">
        <f>IF([2]道具信息!D658="","",[2]道具信息!D658)</f>
        <v/>
      </c>
      <c r="E658" s="59" t="str">
        <f>IF([2]道具信息!E658="","",[2]道具信息!E658)</f>
        <v/>
      </c>
      <c r="F658" s="59" t="str">
        <f>IF([2]道具信息!F658="","",[2]道具信息!F658)</f>
        <v/>
      </c>
      <c r="G658" s="59" t="str">
        <f>IF([2]道具信息!G658="","",[2]道具信息!G658)</f>
        <v/>
      </c>
      <c r="H658" s="59" t="str">
        <f>IF([2]道具信息!H658="","",[2]道具信息!H658)</f>
        <v/>
      </c>
      <c r="I658" s="59" t="str">
        <f>IF([2]道具信息!I658="","",[2]道具信息!I658)</f>
        <v/>
      </c>
      <c r="J658" s="59" t="str">
        <f>IF([2]道具信息!J658="","",[2]道具信息!J658)</f>
        <v/>
      </c>
      <c r="K658" s="59" t="str">
        <f>IF([2]道具信息!K658="","",[2]道具信息!K658)</f>
        <v/>
      </c>
      <c r="L658" s="59" t="str">
        <f>IF([2]道具信息!L658="","",[2]道具信息!L658)</f>
        <v/>
      </c>
      <c r="M658" s="59" t="str">
        <f>IF([2]道具信息!M658="","",[2]道具信息!M658)</f>
        <v/>
      </c>
      <c r="N658" s="59" t="str">
        <f>IF([2]道具信息!N658="","",[2]道具信息!N658)</f>
        <v/>
      </c>
      <c r="O658" s="59" t="str">
        <f>IF([2]道具信息!O658="","",[2]道具信息!O658)</f>
        <v/>
      </c>
      <c r="P658" s="59" t="str">
        <f>IF([2]道具信息!P658="","",[2]道具信息!P658)</f>
        <v/>
      </c>
      <c r="Q658" s="59" t="str">
        <f>IF([2]道具信息!Q658="","",[2]道具信息!Q658)</f>
        <v/>
      </c>
      <c r="R658" s="59" t="str">
        <f>IF([2]道具信息!R658="","",[2]道具信息!R658)</f>
        <v/>
      </c>
      <c r="S658" s="59" t="str">
        <f>IF([2]道具信息!S658="","",[2]道具信息!S658)</f>
        <v/>
      </c>
      <c r="T658" s="59" t="str">
        <f>IF([2]道具信息!T658="","",[2]道具信息!T658)</f>
        <v/>
      </c>
      <c r="U658" s="59" t="str">
        <f>IF([2]道具信息!U658="","",[2]道具信息!U658)</f>
        <v/>
      </c>
      <c r="V658" s="59" t="str">
        <f>IF([2]道具信息!V658="","",[2]道具信息!V658)</f>
        <v/>
      </c>
      <c r="W658" s="59" t="str">
        <f>IF([2]道具信息!W658="","",[2]道具信息!W658)</f>
        <v/>
      </c>
      <c r="X658" s="59" t="str">
        <f>IF([2]道具信息!X658="","",[2]道具信息!X658)</f>
        <v/>
      </c>
      <c r="Y658" s="59" t="str">
        <f>IF([2]道具信息!Y658="","",[2]道具信息!Y658)</f>
        <v/>
      </c>
      <c r="Z658" s="59" t="str">
        <f>IF([2]道具信息!Z658="","",[2]道具信息!Z658)</f>
        <v/>
      </c>
    </row>
    <row r="659" spans="1:26" x14ac:dyDescent="0.15">
      <c r="A659" s="59" t="str">
        <f>IF([2]道具信息!A659="","",[2]道具信息!A659)</f>
        <v/>
      </c>
      <c r="B659" s="59" t="str">
        <f>IF([2]道具信息!B659="","",[2]道具信息!B659)</f>
        <v/>
      </c>
      <c r="C659" s="59" t="str">
        <f>IF([2]道具信息!C659="","",[2]道具信息!C659)</f>
        <v/>
      </c>
      <c r="D659" s="59" t="str">
        <f>IF([2]道具信息!D659="","",[2]道具信息!D659)</f>
        <v/>
      </c>
      <c r="E659" s="59" t="str">
        <f>IF([2]道具信息!E659="","",[2]道具信息!E659)</f>
        <v/>
      </c>
      <c r="F659" s="59" t="str">
        <f>IF([2]道具信息!F659="","",[2]道具信息!F659)</f>
        <v/>
      </c>
      <c r="G659" s="59" t="str">
        <f>IF([2]道具信息!G659="","",[2]道具信息!G659)</f>
        <v/>
      </c>
      <c r="H659" s="59" t="str">
        <f>IF([2]道具信息!H659="","",[2]道具信息!H659)</f>
        <v/>
      </c>
      <c r="I659" s="59" t="str">
        <f>IF([2]道具信息!I659="","",[2]道具信息!I659)</f>
        <v/>
      </c>
      <c r="J659" s="59" t="str">
        <f>IF([2]道具信息!J659="","",[2]道具信息!J659)</f>
        <v/>
      </c>
      <c r="K659" s="59" t="str">
        <f>IF([2]道具信息!K659="","",[2]道具信息!K659)</f>
        <v/>
      </c>
      <c r="L659" s="59" t="str">
        <f>IF([2]道具信息!L659="","",[2]道具信息!L659)</f>
        <v/>
      </c>
      <c r="M659" s="59" t="str">
        <f>IF([2]道具信息!M659="","",[2]道具信息!M659)</f>
        <v/>
      </c>
      <c r="N659" s="59" t="str">
        <f>IF([2]道具信息!N659="","",[2]道具信息!N659)</f>
        <v/>
      </c>
      <c r="O659" s="59" t="str">
        <f>IF([2]道具信息!O659="","",[2]道具信息!O659)</f>
        <v/>
      </c>
      <c r="P659" s="59" t="str">
        <f>IF([2]道具信息!P659="","",[2]道具信息!P659)</f>
        <v/>
      </c>
      <c r="Q659" s="59" t="str">
        <f>IF([2]道具信息!Q659="","",[2]道具信息!Q659)</f>
        <v/>
      </c>
      <c r="R659" s="59" t="str">
        <f>IF([2]道具信息!R659="","",[2]道具信息!R659)</f>
        <v/>
      </c>
      <c r="S659" s="59" t="str">
        <f>IF([2]道具信息!S659="","",[2]道具信息!S659)</f>
        <v/>
      </c>
      <c r="T659" s="59" t="str">
        <f>IF([2]道具信息!T659="","",[2]道具信息!T659)</f>
        <v/>
      </c>
      <c r="U659" s="59" t="str">
        <f>IF([2]道具信息!U659="","",[2]道具信息!U659)</f>
        <v/>
      </c>
      <c r="V659" s="59" t="str">
        <f>IF([2]道具信息!V659="","",[2]道具信息!V659)</f>
        <v/>
      </c>
      <c r="W659" s="59" t="str">
        <f>IF([2]道具信息!W659="","",[2]道具信息!W659)</f>
        <v/>
      </c>
      <c r="X659" s="59" t="str">
        <f>IF([2]道具信息!X659="","",[2]道具信息!X659)</f>
        <v/>
      </c>
      <c r="Y659" s="59" t="str">
        <f>IF([2]道具信息!Y659="","",[2]道具信息!Y659)</f>
        <v/>
      </c>
      <c r="Z659" s="59" t="str">
        <f>IF([2]道具信息!Z659="","",[2]道具信息!Z659)</f>
        <v/>
      </c>
    </row>
    <row r="660" spans="1:26" x14ac:dyDescent="0.15">
      <c r="A660" s="59" t="str">
        <f>IF([2]道具信息!A660="","",[2]道具信息!A660)</f>
        <v/>
      </c>
      <c r="B660" s="59" t="str">
        <f>IF([2]道具信息!B660="","",[2]道具信息!B660)</f>
        <v/>
      </c>
      <c r="C660" s="59" t="str">
        <f>IF([2]道具信息!C660="","",[2]道具信息!C660)</f>
        <v/>
      </c>
      <c r="D660" s="59" t="str">
        <f>IF([2]道具信息!D660="","",[2]道具信息!D660)</f>
        <v/>
      </c>
      <c r="E660" s="59" t="str">
        <f>IF([2]道具信息!E660="","",[2]道具信息!E660)</f>
        <v/>
      </c>
      <c r="F660" s="59" t="str">
        <f>IF([2]道具信息!F660="","",[2]道具信息!F660)</f>
        <v/>
      </c>
      <c r="G660" s="59" t="str">
        <f>IF([2]道具信息!G660="","",[2]道具信息!G660)</f>
        <v/>
      </c>
      <c r="H660" s="59" t="str">
        <f>IF([2]道具信息!H660="","",[2]道具信息!H660)</f>
        <v/>
      </c>
      <c r="I660" s="59" t="str">
        <f>IF([2]道具信息!I660="","",[2]道具信息!I660)</f>
        <v/>
      </c>
      <c r="J660" s="59" t="str">
        <f>IF([2]道具信息!J660="","",[2]道具信息!J660)</f>
        <v/>
      </c>
      <c r="K660" s="59" t="str">
        <f>IF([2]道具信息!K660="","",[2]道具信息!K660)</f>
        <v/>
      </c>
      <c r="L660" s="59" t="str">
        <f>IF([2]道具信息!L660="","",[2]道具信息!L660)</f>
        <v/>
      </c>
      <c r="M660" s="59" t="str">
        <f>IF([2]道具信息!M660="","",[2]道具信息!M660)</f>
        <v/>
      </c>
      <c r="N660" s="59" t="str">
        <f>IF([2]道具信息!N660="","",[2]道具信息!N660)</f>
        <v/>
      </c>
      <c r="O660" s="59" t="str">
        <f>IF([2]道具信息!O660="","",[2]道具信息!O660)</f>
        <v/>
      </c>
      <c r="P660" s="59" t="str">
        <f>IF([2]道具信息!P660="","",[2]道具信息!P660)</f>
        <v/>
      </c>
      <c r="Q660" s="59" t="str">
        <f>IF([2]道具信息!Q660="","",[2]道具信息!Q660)</f>
        <v/>
      </c>
      <c r="R660" s="59" t="str">
        <f>IF([2]道具信息!R660="","",[2]道具信息!R660)</f>
        <v/>
      </c>
      <c r="S660" s="59" t="str">
        <f>IF([2]道具信息!S660="","",[2]道具信息!S660)</f>
        <v/>
      </c>
      <c r="T660" s="59" t="str">
        <f>IF([2]道具信息!T660="","",[2]道具信息!T660)</f>
        <v/>
      </c>
      <c r="U660" s="59" t="str">
        <f>IF([2]道具信息!U660="","",[2]道具信息!U660)</f>
        <v/>
      </c>
      <c r="V660" s="59" t="str">
        <f>IF([2]道具信息!V660="","",[2]道具信息!V660)</f>
        <v/>
      </c>
      <c r="W660" s="59" t="str">
        <f>IF([2]道具信息!W660="","",[2]道具信息!W660)</f>
        <v/>
      </c>
      <c r="X660" s="59" t="str">
        <f>IF([2]道具信息!X660="","",[2]道具信息!X660)</f>
        <v/>
      </c>
      <c r="Y660" s="59" t="str">
        <f>IF([2]道具信息!Y660="","",[2]道具信息!Y660)</f>
        <v/>
      </c>
      <c r="Z660" s="59" t="str">
        <f>IF([2]道具信息!Z660="","",[2]道具信息!Z660)</f>
        <v/>
      </c>
    </row>
    <row r="661" spans="1:26" x14ac:dyDescent="0.15">
      <c r="A661" s="59" t="str">
        <f>IF([2]道具信息!A661="","",[2]道具信息!A661)</f>
        <v/>
      </c>
      <c r="B661" s="59" t="str">
        <f>IF([2]道具信息!B661="","",[2]道具信息!B661)</f>
        <v/>
      </c>
      <c r="C661" s="59" t="str">
        <f>IF([2]道具信息!C661="","",[2]道具信息!C661)</f>
        <v/>
      </c>
      <c r="D661" s="59" t="str">
        <f>IF([2]道具信息!D661="","",[2]道具信息!D661)</f>
        <v/>
      </c>
      <c r="E661" s="59" t="str">
        <f>IF([2]道具信息!E661="","",[2]道具信息!E661)</f>
        <v/>
      </c>
      <c r="F661" s="59" t="str">
        <f>IF([2]道具信息!F661="","",[2]道具信息!F661)</f>
        <v/>
      </c>
      <c r="G661" s="59" t="str">
        <f>IF([2]道具信息!G661="","",[2]道具信息!G661)</f>
        <v/>
      </c>
      <c r="H661" s="59" t="str">
        <f>IF([2]道具信息!H661="","",[2]道具信息!H661)</f>
        <v/>
      </c>
      <c r="I661" s="59" t="str">
        <f>IF([2]道具信息!I661="","",[2]道具信息!I661)</f>
        <v/>
      </c>
      <c r="J661" s="59" t="str">
        <f>IF([2]道具信息!J661="","",[2]道具信息!J661)</f>
        <v/>
      </c>
      <c r="K661" s="59" t="str">
        <f>IF([2]道具信息!K661="","",[2]道具信息!K661)</f>
        <v/>
      </c>
      <c r="L661" s="59" t="str">
        <f>IF([2]道具信息!L661="","",[2]道具信息!L661)</f>
        <v/>
      </c>
      <c r="M661" s="59" t="str">
        <f>IF([2]道具信息!M661="","",[2]道具信息!M661)</f>
        <v/>
      </c>
      <c r="N661" s="59" t="str">
        <f>IF([2]道具信息!N661="","",[2]道具信息!N661)</f>
        <v/>
      </c>
      <c r="O661" s="59" t="str">
        <f>IF([2]道具信息!O661="","",[2]道具信息!O661)</f>
        <v/>
      </c>
      <c r="P661" s="59" t="str">
        <f>IF([2]道具信息!P661="","",[2]道具信息!P661)</f>
        <v/>
      </c>
      <c r="Q661" s="59" t="str">
        <f>IF([2]道具信息!Q661="","",[2]道具信息!Q661)</f>
        <v/>
      </c>
      <c r="R661" s="59" t="str">
        <f>IF([2]道具信息!R661="","",[2]道具信息!R661)</f>
        <v/>
      </c>
      <c r="S661" s="59" t="str">
        <f>IF([2]道具信息!S661="","",[2]道具信息!S661)</f>
        <v/>
      </c>
      <c r="T661" s="59" t="str">
        <f>IF([2]道具信息!T661="","",[2]道具信息!T661)</f>
        <v/>
      </c>
      <c r="U661" s="59" t="str">
        <f>IF([2]道具信息!U661="","",[2]道具信息!U661)</f>
        <v/>
      </c>
      <c r="V661" s="59" t="str">
        <f>IF([2]道具信息!V661="","",[2]道具信息!V661)</f>
        <v/>
      </c>
      <c r="W661" s="59" t="str">
        <f>IF([2]道具信息!W661="","",[2]道具信息!W661)</f>
        <v/>
      </c>
      <c r="X661" s="59" t="str">
        <f>IF([2]道具信息!X661="","",[2]道具信息!X661)</f>
        <v/>
      </c>
      <c r="Y661" s="59" t="str">
        <f>IF([2]道具信息!Y661="","",[2]道具信息!Y661)</f>
        <v/>
      </c>
      <c r="Z661" s="59" t="str">
        <f>IF([2]道具信息!Z661="","",[2]道具信息!Z661)</f>
        <v/>
      </c>
    </row>
    <row r="662" spans="1:26" x14ac:dyDescent="0.15">
      <c r="A662" s="59" t="str">
        <f>IF([2]道具信息!A662="","",[2]道具信息!A662)</f>
        <v/>
      </c>
      <c r="B662" s="59" t="str">
        <f>IF([2]道具信息!B662="","",[2]道具信息!B662)</f>
        <v/>
      </c>
      <c r="C662" s="59" t="str">
        <f>IF([2]道具信息!C662="","",[2]道具信息!C662)</f>
        <v/>
      </c>
      <c r="D662" s="59" t="str">
        <f>IF([2]道具信息!D662="","",[2]道具信息!D662)</f>
        <v/>
      </c>
      <c r="E662" s="59" t="str">
        <f>IF([2]道具信息!E662="","",[2]道具信息!E662)</f>
        <v/>
      </c>
      <c r="F662" s="59" t="str">
        <f>IF([2]道具信息!F662="","",[2]道具信息!F662)</f>
        <v/>
      </c>
      <c r="G662" s="59" t="str">
        <f>IF([2]道具信息!G662="","",[2]道具信息!G662)</f>
        <v/>
      </c>
      <c r="H662" s="59" t="str">
        <f>IF([2]道具信息!H662="","",[2]道具信息!H662)</f>
        <v/>
      </c>
      <c r="I662" s="59" t="str">
        <f>IF([2]道具信息!I662="","",[2]道具信息!I662)</f>
        <v/>
      </c>
      <c r="J662" s="59" t="str">
        <f>IF([2]道具信息!J662="","",[2]道具信息!J662)</f>
        <v/>
      </c>
      <c r="K662" s="59" t="str">
        <f>IF([2]道具信息!K662="","",[2]道具信息!K662)</f>
        <v/>
      </c>
      <c r="L662" s="59" t="str">
        <f>IF([2]道具信息!L662="","",[2]道具信息!L662)</f>
        <v/>
      </c>
      <c r="M662" s="59" t="str">
        <f>IF([2]道具信息!M662="","",[2]道具信息!M662)</f>
        <v/>
      </c>
      <c r="N662" s="59" t="str">
        <f>IF([2]道具信息!N662="","",[2]道具信息!N662)</f>
        <v/>
      </c>
      <c r="O662" s="59" t="str">
        <f>IF([2]道具信息!O662="","",[2]道具信息!O662)</f>
        <v/>
      </c>
      <c r="P662" s="59" t="str">
        <f>IF([2]道具信息!P662="","",[2]道具信息!P662)</f>
        <v/>
      </c>
      <c r="Q662" s="59" t="str">
        <f>IF([2]道具信息!Q662="","",[2]道具信息!Q662)</f>
        <v/>
      </c>
      <c r="R662" s="59" t="str">
        <f>IF([2]道具信息!R662="","",[2]道具信息!R662)</f>
        <v/>
      </c>
      <c r="S662" s="59" t="str">
        <f>IF([2]道具信息!S662="","",[2]道具信息!S662)</f>
        <v/>
      </c>
      <c r="T662" s="59" t="str">
        <f>IF([2]道具信息!T662="","",[2]道具信息!T662)</f>
        <v/>
      </c>
      <c r="U662" s="59" t="str">
        <f>IF([2]道具信息!U662="","",[2]道具信息!U662)</f>
        <v/>
      </c>
      <c r="V662" s="59" t="str">
        <f>IF([2]道具信息!V662="","",[2]道具信息!V662)</f>
        <v/>
      </c>
      <c r="W662" s="59" t="str">
        <f>IF([2]道具信息!W662="","",[2]道具信息!W662)</f>
        <v/>
      </c>
      <c r="X662" s="59" t="str">
        <f>IF([2]道具信息!X662="","",[2]道具信息!X662)</f>
        <v/>
      </c>
      <c r="Y662" s="59" t="str">
        <f>IF([2]道具信息!Y662="","",[2]道具信息!Y662)</f>
        <v/>
      </c>
      <c r="Z662" s="59" t="str">
        <f>IF([2]道具信息!Z662="","",[2]道具信息!Z662)</f>
        <v/>
      </c>
    </row>
    <row r="663" spans="1:26" x14ac:dyDescent="0.15">
      <c r="A663" s="59" t="str">
        <f>IF([2]道具信息!A663="","",[2]道具信息!A663)</f>
        <v/>
      </c>
      <c r="B663" s="59" t="str">
        <f>IF([2]道具信息!B663="","",[2]道具信息!B663)</f>
        <v/>
      </c>
      <c r="C663" s="59" t="str">
        <f>IF([2]道具信息!C663="","",[2]道具信息!C663)</f>
        <v/>
      </c>
      <c r="D663" s="59" t="str">
        <f>IF([2]道具信息!D663="","",[2]道具信息!D663)</f>
        <v/>
      </c>
      <c r="E663" s="59" t="str">
        <f>IF([2]道具信息!E663="","",[2]道具信息!E663)</f>
        <v/>
      </c>
      <c r="F663" s="59" t="str">
        <f>IF([2]道具信息!F663="","",[2]道具信息!F663)</f>
        <v/>
      </c>
      <c r="G663" s="59" t="str">
        <f>IF([2]道具信息!G663="","",[2]道具信息!G663)</f>
        <v/>
      </c>
      <c r="H663" s="59" t="str">
        <f>IF([2]道具信息!H663="","",[2]道具信息!H663)</f>
        <v/>
      </c>
      <c r="I663" s="59" t="str">
        <f>IF([2]道具信息!I663="","",[2]道具信息!I663)</f>
        <v/>
      </c>
      <c r="J663" s="59" t="str">
        <f>IF([2]道具信息!J663="","",[2]道具信息!J663)</f>
        <v/>
      </c>
      <c r="K663" s="59" t="str">
        <f>IF([2]道具信息!K663="","",[2]道具信息!K663)</f>
        <v/>
      </c>
      <c r="L663" s="59" t="str">
        <f>IF([2]道具信息!L663="","",[2]道具信息!L663)</f>
        <v/>
      </c>
      <c r="M663" s="59" t="str">
        <f>IF([2]道具信息!M663="","",[2]道具信息!M663)</f>
        <v/>
      </c>
      <c r="N663" s="59" t="str">
        <f>IF([2]道具信息!N663="","",[2]道具信息!N663)</f>
        <v/>
      </c>
      <c r="O663" s="59" t="str">
        <f>IF([2]道具信息!O663="","",[2]道具信息!O663)</f>
        <v/>
      </c>
      <c r="P663" s="59" t="str">
        <f>IF([2]道具信息!P663="","",[2]道具信息!P663)</f>
        <v/>
      </c>
      <c r="Q663" s="59" t="str">
        <f>IF([2]道具信息!Q663="","",[2]道具信息!Q663)</f>
        <v/>
      </c>
      <c r="R663" s="59" t="str">
        <f>IF([2]道具信息!R663="","",[2]道具信息!R663)</f>
        <v/>
      </c>
      <c r="S663" s="59" t="str">
        <f>IF([2]道具信息!S663="","",[2]道具信息!S663)</f>
        <v/>
      </c>
      <c r="T663" s="59" t="str">
        <f>IF([2]道具信息!T663="","",[2]道具信息!T663)</f>
        <v/>
      </c>
      <c r="U663" s="59" t="str">
        <f>IF([2]道具信息!U663="","",[2]道具信息!U663)</f>
        <v/>
      </c>
      <c r="V663" s="59" t="str">
        <f>IF([2]道具信息!V663="","",[2]道具信息!V663)</f>
        <v/>
      </c>
      <c r="W663" s="59" t="str">
        <f>IF([2]道具信息!W663="","",[2]道具信息!W663)</f>
        <v/>
      </c>
      <c r="X663" s="59" t="str">
        <f>IF([2]道具信息!X663="","",[2]道具信息!X663)</f>
        <v/>
      </c>
      <c r="Y663" s="59" t="str">
        <f>IF([2]道具信息!Y663="","",[2]道具信息!Y663)</f>
        <v/>
      </c>
      <c r="Z663" s="59" t="str">
        <f>IF([2]道具信息!Z663="","",[2]道具信息!Z663)</f>
        <v/>
      </c>
    </row>
    <row r="664" spans="1:26" x14ac:dyDescent="0.15">
      <c r="A664" s="59" t="str">
        <f>IF([2]道具信息!A664="","",[2]道具信息!A664)</f>
        <v/>
      </c>
      <c r="B664" s="59" t="str">
        <f>IF([2]道具信息!B664="","",[2]道具信息!B664)</f>
        <v/>
      </c>
      <c r="C664" s="59" t="str">
        <f>IF([2]道具信息!C664="","",[2]道具信息!C664)</f>
        <v/>
      </c>
      <c r="D664" s="59" t="str">
        <f>IF([2]道具信息!D664="","",[2]道具信息!D664)</f>
        <v/>
      </c>
      <c r="E664" s="59" t="str">
        <f>IF([2]道具信息!E664="","",[2]道具信息!E664)</f>
        <v/>
      </c>
      <c r="F664" s="59" t="str">
        <f>IF([2]道具信息!F664="","",[2]道具信息!F664)</f>
        <v/>
      </c>
      <c r="G664" s="59" t="str">
        <f>IF([2]道具信息!G664="","",[2]道具信息!G664)</f>
        <v/>
      </c>
      <c r="H664" s="59" t="str">
        <f>IF([2]道具信息!H664="","",[2]道具信息!H664)</f>
        <v/>
      </c>
      <c r="I664" s="59" t="str">
        <f>IF([2]道具信息!I664="","",[2]道具信息!I664)</f>
        <v/>
      </c>
      <c r="J664" s="59" t="str">
        <f>IF([2]道具信息!J664="","",[2]道具信息!J664)</f>
        <v/>
      </c>
      <c r="K664" s="59" t="str">
        <f>IF([2]道具信息!K664="","",[2]道具信息!K664)</f>
        <v/>
      </c>
      <c r="L664" s="59" t="str">
        <f>IF([2]道具信息!L664="","",[2]道具信息!L664)</f>
        <v/>
      </c>
      <c r="M664" s="59" t="str">
        <f>IF([2]道具信息!M664="","",[2]道具信息!M664)</f>
        <v/>
      </c>
      <c r="N664" s="59" t="str">
        <f>IF([2]道具信息!N664="","",[2]道具信息!N664)</f>
        <v/>
      </c>
      <c r="O664" s="59" t="str">
        <f>IF([2]道具信息!O664="","",[2]道具信息!O664)</f>
        <v/>
      </c>
      <c r="P664" s="59" t="str">
        <f>IF([2]道具信息!P664="","",[2]道具信息!P664)</f>
        <v/>
      </c>
      <c r="Q664" s="59" t="str">
        <f>IF([2]道具信息!Q664="","",[2]道具信息!Q664)</f>
        <v/>
      </c>
      <c r="R664" s="59" t="str">
        <f>IF([2]道具信息!R664="","",[2]道具信息!R664)</f>
        <v/>
      </c>
      <c r="S664" s="59" t="str">
        <f>IF([2]道具信息!S664="","",[2]道具信息!S664)</f>
        <v/>
      </c>
      <c r="T664" s="59" t="str">
        <f>IF([2]道具信息!T664="","",[2]道具信息!T664)</f>
        <v/>
      </c>
      <c r="U664" s="59" t="str">
        <f>IF([2]道具信息!U664="","",[2]道具信息!U664)</f>
        <v/>
      </c>
      <c r="V664" s="59" t="str">
        <f>IF([2]道具信息!V664="","",[2]道具信息!V664)</f>
        <v/>
      </c>
      <c r="W664" s="59" t="str">
        <f>IF([2]道具信息!W664="","",[2]道具信息!W664)</f>
        <v/>
      </c>
      <c r="X664" s="59" t="str">
        <f>IF([2]道具信息!X664="","",[2]道具信息!X664)</f>
        <v/>
      </c>
      <c r="Y664" s="59" t="str">
        <f>IF([2]道具信息!Y664="","",[2]道具信息!Y664)</f>
        <v/>
      </c>
      <c r="Z664" s="59" t="str">
        <f>IF([2]道具信息!Z664="","",[2]道具信息!Z664)</f>
        <v/>
      </c>
    </row>
    <row r="665" spans="1:26" x14ac:dyDescent="0.15">
      <c r="A665" s="59" t="str">
        <f>IF([2]道具信息!A665="","",[2]道具信息!A665)</f>
        <v/>
      </c>
      <c r="B665" s="59" t="str">
        <f>IF([2]道具信息!B665="","",[2]道具信息!B665)</f>
        <v/>
      </c>
      <c r="C665" s="59" t="str">
        <f>IF([2]道具信息!C665="","",[2]道具信息!C665)</f>
        <v/>
      </c>
      <c r="D665" s="59" t="str">
        <f>IF([2]道具信息!D665="","",[2]道具信息!D665)</f>
        <v/>
      </c>
      <c r="E665" s="59" t="str">
        <f>IF([2]道具信息!E665="","",[2]道具信息!E665)</f>
        <v/>
      </c>
      <c r="F665" s="59" t="str">
        <f>IF([2]道具信息!F665="","",[2]道具信息!F665)</f>
        <v/>
      </c>
      <c r="G665" s="59" t="str">
        <f>IF([2]道具信息!G665="","",[2]道具信息!G665)</f>
        <v/>
      </c>
      <c r="H665" s="59" t="str">
        <f>IF([2]道具信息!H665="","",[2]道具信息!H665)</f>
        <v/>
      </c>
      <c r="I665" s="59" t="str">
        <f>IF([2]道具信息!I665="","",[2]道具信息!I665)</f>
        <v/>
      </c>
      <c r="J665" s="59" t="str">
        <f>IF([2]道具信息!J665="","",[2]道具信息!J665)</f>
        <v/>
      </c>
      <c r="K665" s="59" t="str">
        <f>IF([2]道具信息!K665="","",[2]道具信息!K665)</f>
        <v/>
      </c>
      <c r="L665" s="59" t="str">
        <f>IF([2]道具信息!L665="","",[2]道具信息!L665)</f>
        <v/>
      </c>
      <c r="M665" s="59" t="str">
        <f>IF([2]道具信息!M665="","",[2]道具信息!M665)</f>
        <v/>
      </c>
      <c r="N665" s="59" t="str">
        <f>IF([2]道具信息!N665="","",[2]道具信息!N665)</f>
        <v/>
      </c>
      <c r="O665" s="59" t="str">
        <f>IF([2]道具信息!O665="","",[2]道具信息!O665)</f>
        <v/>
      </c>
      <c r="P665" s="59" t="str">
        <f>IF([2]道具信息!P665="","",[2]道具信息!P665)</f>
        <v/>
      </c>
      <c r="Q665" s="59" t="str">
        <f>IF([2]道具信息!Q665="","",[2]道具信息!Q665)</f>
        <v/>
      </c>
      <c r="R665" s="59" t="str">
        <f>IF([2]道具信息!R665="","",[2]道具信息!R665)</f>
        <v/>
      </c>
      <c r="S665" s="59" t="str">
        <f>IF([2]道具信息!S665="","",[2]道具信息!S665)</f>
        <v/>
      </c>
      <c r="T665" s="59" t="str">
        <f>IF([2]道具信息!T665="","",[2]道具信息!T665)</f>
        <v/>
      </c>
      <c r="U665" s="59" t="str">
        <f>IF([2]道具信息!U665="","",[2]道具信息!U665)</f>
        <v/>
      </c>
      <c r="V665" s="59" t="str">
        <f>IF([2]道具信息!V665="","",[2]道具信息!V665)</f>
        <v/>
      </c>
      <c r="W665" s="59" t="str">
        <f>IF([2]道具信息!W665="","",[2]道具信息!W665)</f>
        <v/>
      </c>
      <c r="X665" s="59" t="str">
        <f>IF([2]道具信息!X665="","",[2]道具信息!X665)</f>
        <v/>
      </c>
      <c r="Y665" s="59" t="str">
        <f>IF([2]道具信息!Y665="","",[2]道具信息!Y665)</f>
        <v/>
      </c>
      <c r="Z665" s="59" t="str">
        <f>IF([2]道具信息!Z665="","",[2]道具信息!Z665)</f>
        <v/>
      </c>
    </row>
    <row r="666" spans="1:26" x14ac:dyDescent="0.15">
      <c r="A666" s="59" t="str">
        <f>IF([2]道具信息!A666="","",[2]道具信息!A666)</f>
        <v/>
      </c>
      <c r="B666" s="59" t="str">
        <f>IF([2]道具信息!B666="","",[2]道具信息!B666)</f>
        <v/>
      </c>
      <c r="C666" s="59" t="str">
        <f>IF([2]道具信息!C666="","",[2]道具信息!C666)</f>
        <v/>
      </c>
      <c r="D666" s="59" t="str">
        <f>IF([2]道具信息!D666="","",[2]道具信息!D666)</f>
        <v/>
      </c>
      <c r="E666" s="59" t="str">
        <f>IF([2]道具信息!E666="","",[2]道具信息!E666)</f>
        <v/>
      </c>
      <c r="F666" s="59" t="str">
        <f>IF([2]道具信息!F666="","",[2]道具信息!F666)</f>
        <v/>
      </c>
      <c r="G666" s="59" t="str">
        <f>IF([2]道具信息!G666="","",[2]道具信息!G666)</f>
        <v/>
      </c>
      <c r="H666" s="59" t="str">
        <f>IF([2]道具信息!H666="","",[2]道具信息!H666)</f>
        <v/>
      </c>
      <c r="I666" s="59" t="str">
        <f>IF([2]道具信息!I666="","",[2]道具信息!I666)</f>
        <v/>
      </c>
      <c r="J666" s="59" t="str">
        <f>IF([2]道具信息!J666="","",[2]道具信息!J666)</f>
        <v/>
      </c>
      <c r="K666" s="59" t="str">
        <f>IF([2]道具信息!K666="","",[2]道具信息!K666)</f>
        <v/>
      </c>
      <c r="L666" s="59" t="str">
        <f>IF([2]道具信息!L666="","",[2]道具信息!L666)</f>
        <v/>
      </c>
      <c r="M666" s="59" t="str">
        <f>IF([2]道具信息!M666="","",[2]道具信息!M666)</f>
        <v/>
      </c>
      <c r="N666" s="59" t="str">
        <f>IF([2]道具信息!N666="","",[2]道具信息!N666)</f>
        <v/>
      </c>
      <c r="O666" s="59" t="str">
        <f>IF([2]道具信息!O666="","",[2]道具信息!O666)</f>
        <v/>
      </c>
      <c r="P666" s="59" t="str">
        <f>IF([2]道具信息!P666="","",[2]道具信息!P666)</f>
        <v/>
      </c>
      <c r="Q666" s="59" t="str">
        <f>IF([2]道具信息!Q666="","",[2]道具信息!Q666)</f>
        <v/>
      </c>
      <c r="R666" s="59" t="str">
        <f>IF([2]道具信息!R666="","",[2]道具信息!R666)</f>
        <v/>
      </c>
      <c r="S666" s="59" t="str">
        <f>IF([2]道具信息!S666="","",[2]道具信息!S666)</f>
        <v/>
      </c>
      <c r="T666" s="59" t="str">
        <f>IF([2]道具信息!T666="","",[2]道具信息!T666)</f>
        <v/>
      </c>
      <c r="U666" s="59" t="str">
        <f>IF([2]道具信息!U666="","",[2]道具信息!U666)</f>
        <v/>
      </c>
      <c r="V666" s="59" t="str">
        <f>IF([2]道具信息!V666="","",[2]道具信息!V666)</f>
        <v/>
      </c>
      <c r="W666" s="59" t="str">
        <f>IF([2]道具信息!W666="","",[2]道具信息!W666)</f>
        <v/>
      </c>
      <c r="X666" s="59" t="str">
        <f>IF([2]道具信息!X666="","",[2]道具信息!X666)</f>
        <v/>
      </c>
      <c r="Y666" s="59" t="str">
        <f>IF([2]道具信息!Y666="","",[2]道具信息!Y666)</f>
        <v/>
      </c>
      <c r="Z666" s="59" t="str">
        <f>IF([2]道具信息!Z666="","",[2]道具信息!Z666)</f>
        <v/>
      </c>
    </row>
    <row r="667" spans="1:26" x14ac:dyDescent="0.15">
      <c r="A667" s="59" t="str">
        <f>IF([2]道具信息!A667="","",[2]道具信息!A667)</f>
        <v/>
      </c>
      <c r="B667" s="59" t="str">
        <f>IF([2]道具信息!B667="","",[2]道具信息!B667)</f>
        <v/>
      </c>
      <c r="C667" s="59" t="str">
        <f>IF([2]道具信息!C667="","",[2]道具信息!C667)</f>
        <v/>
      </c>
      <c r="D667" s="59" t="str">
        <f>IF([2]道具信息!D667="","",[2]道具信息!D667)</f>
        <v/>
      </c>
      <c r="E667" s="59" t="str">
        <f>IF([2]道具信息!E667="","",[2]道具信息!E667)</f>
        <v/>
      </c>
      <c r="F667" s="59" t="str">
        <f>IF([2]道具信息!F667="","",[2]道具信息!F667)</f>
        <v/>
      </c>
      <c r="G667" s="59" t="str">
        <f>IF([2]道具信息!G667="","",[2]道具信息!G667)</f>
        <v/>
      </c>
      <c r="H667" s="59" t="str">
        <f>IF([2]道具信息!H667="","",[2]道具信息!H667)</f>
        <v/>
      </c>
      <c r="I667" s="59" t="str">
        <f>IF([2]道具信息!I667="","",[2]道具信息!I667)</f>
        <v/>
      </c>
      <c r="J667" s="59" t="str">
        <f>IF([2]道具信息!J667="","",[2]道具信息!J667)</f>
        <v/>
      </c>
      <c r="K667" s="59" t="str">
        <f>IF([2]道具信息!K667="","",[2]道具信息!K667)</f>
        <v/>
      </c>
      <c r="L667" s="59" t="str">
        <f>IF([2]道具信息!L667="","",[2]道具信息!L667)</f>
        <v/>
      </c>
      <c r="M667" s="59" t="str">
        <f>IF([2]道具信息!M667="","",[2]道具信息!M667)</f>
        <v/>
      </c>
      <c r="N667" s="59" t="str">
        <f>IF([2]道具信息!N667="","",[2]道具信息!N667)</f>
        <v/>
      </c>
      <c r="O667" s="59" t="str">
        <f>IF([2]道具信息!O667="","",[2]道具信息!O667)</f>
        <v/>
      </c>
      <c r="P667" s="59" t="str">
        <f>IF([2]道具信息!P667="","",[2]道具信息!P667)</f>
        <v/>
      </c>
      <c r="Q667" s="59" t="str">
        <f>IF([2]道具信息!Q667="","",[2]道具信息!Q667)</f>
        <v/>
      </c>
      <c r="R667" s="59" t="str">
        <f>IF([2]道具信息!R667="","",[2]道具信息!R667)</f>
        <v/>
      </c>
      <c r="S667" s="59" t="str">
        <f>IF([2]道具信息!S667="","",[2]道具信息!S667)</f>
        <v/>
      </c>
      <c r="T667" s="59" t="str">
        <f>IF([2]道具信息!T667="","",[2]道具信息!T667)</f>
        <v/>
      </c>
      <c r="U667" s="59" t="str">
        <f>IF([2]道具信息!U667="","",[2]道具信息!U667)</f>
        <v/>
      </c>
      <c r="V667" s="59" t="str">
        <f>IF([2]道具信息!V667="","",[2]道具信息!V667)</f>
        <v/>
      </c>
      <c r="W667" s="59" t="str">
        <f>IF([2]道具信息!W667="","",[2]道具信息!W667)</f>
        <v/>
      </c>
      <c r="X667" s="59" t="str">
        <f>IF([2]道具信息!X667="","",[2]道具信息!X667)</f>
        <v/>
      </c>
      <c r="Y667" s="59" t="str">
        <f>IF([2]道具信息!Y667="","",[2]道具信息!Y667)</f>
        <v/>
      </c>
      <c r="Z667" s="59" t="str">
        <f>IF([2]道具信息!Z667="","",[2]道具信息!Z667)</f>
        <v/>
      </c>
    </row>
    <row r="668" spans="1:26" x14ac:dyDescent="0.15">
      <c r="A668" s="59" t="str">
        <f>IF([2]道具信息!A668="","",[2]道具信息!A668)</f>
        <v/>
      </c>
      <c r="B668" s="59" t="str">
        <f>IF([2]道具信息!B668="","",[2]道具信息!B668)</f>
        <v/>
      </c>
      <c r="C668" s="59" t="str">
        <f>IF([2]道具信息!C668="","",[2]道具信息!C668)</f>
        <v/>
      </c>
      <c r="D668" s="59" t="str">
        <f>IF([2]道具信息!D668="","",[2]道具信息!D668)</f>
        <v/>
      </c>
      <c r="E668" s="59" t="str">
        <f>IF([2]道具信息!E668="","",[2]道具信息!E668)</f>
        <v/>
      </c>
      <c r="F668" s="59" t="str">
        <f>IF([2]道具信息!F668="","",[2]道具信息!F668)</f>
        <v/>
      </c>
      <c r="G668" s="59" t="str">
        <f>IF([2]道具信息!G668="","",[2]道具信息!G668)</f>
        <v/>
      </c>
      <c r="H668" s="59" t="str">
        <f>IF([2]道具信息!H668="","",[2]道具信息!H668)</f>
        <v/>
      </c>
      <c r="I668" s="59" t="str">
        <f>IF([2]道具信息!I668="","",[2]道具信息!I668)</f>
        <v/>
      </c>
      <c r="J668" s="59" t="str">
        <f>IF([2]道具信息!J668="","",[2]道具信息!J668)</f>
        <v/>
      </c>
      <c r="K668" s="59" t="str">
        <f>IF([2]道具信息!K668="","",[2]道具信息!K668)</f>
        <v/>
      </c>
      <c r="L668" s="59" t="str">
        <f>IF([2]道具信息!L668="","",[2]道具信息!L668)</f>
        <v/>
      </c>
      <c r="M668" s="59" t="str">
        <f>IF([2]道具信息!M668="","",[2]道具信息!M668)</f>
        <v/>
      </c>
      <c r="N668" s="59" t="str">
        <f>IF([2]道具信息!N668="","",[2]道具信息!N668)</f>
        <v/>
      </c>
      <c r="O668" s="59" t="str">
        <f>IF([2]道具信息!O668="","",[2]道具信息!O668)</f>
        <v/>
      </c>
      <c r="P668" s="59" t="str">
        <f>IF([2]道具信息!P668="","",[2]道具信息!P668)</f>
        <v/>
      </c>
      <c r="Q668" s="59" t="str">
        <f>IF([2]道具信息!Q668="","",[2]道具信息!Q668)</f>
        <v/>
      </c>
      <c r="R668" s="59" t="str">
        <f>IF([2]道具信息!R668="","",[2]道具信息!R668)</f>
        <v/>
      </c>
      <c r="S668" s="59" t="str">
        <f>IF([2]道具信息!S668="","",[2]道具信息!S668)</f>
        <v/>
      </c>
      <c r="T668" s="59" t="str">
        <f>IF([2]道具信息!T668="","",[2]道具信息!T668)</f>
        <v/>
      </c>
      <c r="U668" s="59" t="str">
        <f>IF([2]道具信息!U668="","",[2]道具信息!U668)</f>
        <v/>
      </c>
      <c r="V668" s="59" t="str">
        <f>IF([2]道具信息!V668="","",[2]道具信息!V668)</f>
        <v/>
      </c>
      <c r="W668" s="59" t="str">
        <f>IF([2]道具信息!W668="","",[2]道具信息!W668)</f>
        <v/>
      </c>
      <c r="X668" s="59" t="str">
        <f>IF([2]道具信息!X668="","",[2]道具信息!X668)</f>
        <v/>
      </c>
      <c r="Y668" s="59" t="str">
        <f>IF([2]道具信息!Y668="","",[2]道具信息!Y668)</f>
        <v/>
      </c>
      <c r="Z668" s="59" t="str">
        <f>IF([2]道具信息!Z668="","",[2]道具信息!Z668)</f>
        <v/>
      </c>
    </row>
    <row r="669" spans="1:26" x14ac:dyDescent="0.15">
      <c r="A669" s="59" t="str">
        <f>IF([2]道具信息!A669="","",[2]道具信息!A669)</f>
        <v/>
      </c>
      <c r="B669" s="59" t="str">
        <f>IF([2]道具信息!B669="","",[2]道具信息!B669)</f>
        <v/>
      </c>
      <c r="C669" s="59" t="str">
        <f>IF([2]道具信息!C669="","",[2]道具信息!C669)</f>
        <v/>
      </c>
      <c r="D669" s="59" t="str">
        <f>IF([2]道具信息!D669="","",[2]道具信息!D669)</f>
        <v/>
      </c>
      <c r="E669" s="59" t="str">
        <f>IF([2]道具信息!E669="","",[2]道具信息!E669)</f>
        <v/>
      </c>
      <c r="F669" s="59" t="str">
        <f>IF([2]道具信息!F669="","",[2]道具信息!F669)</f>
        <v/>
      </c>
      <c r="G669" s="59" t="str">
        <f>IF([2]道具信息!G669="","",[2]道具信息!G669)</f>
        <v/>
      </c>
      <c r="H669" s="59" t="str">
        <f>IF([2]道具信息!H669="","",[2]道具信息!H669)</f>
        <v/>
      </c>
      <c r="I669" s="59" t="str">
        <f>IF([2]道具信息!I669="","",[2]道具信息!I669)</f>
        <v/>
      </c>
      <c r="J669" s="59" t="str">
        <f>IF([2]道具信息!J669="","",[2]道具信息!J669)</f>
        <v/>
      </c>
      <c r="K669" s="59" t="str">
        <f>IF([2]道具信息!K669="","",[2]道具信息!K669)</f>
        <v/>
      </c>
      <c r="L669" s="59" t="str">
        <f>IF([2]道具信息!L669="","",[2]道具信息!L669)</f>
        <v/>
      </c>
      <c r="M669" s="59" t="str">
        <f>IF([2]道具信息!M669="","",[2]道具信息!M669)</f>
        <v/>
      </c>
      <c r="N669" s="59" t="str">
        <f>IF([2]道具信息!N669="","",[2]道具信息!N669)</f>
        <v/>
      </c>
      <c r="O669" s="59" t="str">
        <f>IF([2]道具信息!O669="","",[2]道具信息!O669)</f>
        <v/>
      </c>
      <c r="P669" s="59" t="str">
        <f>IF([2]道具信息!P669="","",[2]道具信息!P669)</f>
        <v/>
      </c>
      <c r="Q669" s="59" t="str">
        <f>IF([2]道具信息!Q669="","",[2]道具信息!Q669)</f>
        <v/>
      </c>
      <c r="R669" s="59" t="str">
        <f>IF([2]道具信息!R669="","",[2]道具信息!R669)</f>
        <v/>
      </c>
      <c r="S669" s="59" t="str">
        <f>IF([2]道具信息!S669="","",[2]道具信息!S669)</f>
        <v/>
      </c>
      <c r="T669" s="59" t="str">
        <f>IF([2]道具信息!T669="","",[2]道具信息!T669)</f>
        <v/>
      </c>
      <c r="U669" s="59" t="str">
        <f>IF([2]道具信息!U669="","",[2]道具信息!U669)</f>
        <v/>
      </c>
      <c r="V669" s="59" t="str">
        <f>IF([2]道具信息!V669="","",[2]道具信息!V669)</f>
        <v/>
      </c>
      <c r="W669" s="59" t="str">
        <f>IF([2]道具信息!W669="","",[2]道具信息!W669)</f>
        <v/>
      </c>
      <c r="X669" s="59" t="str">
        <f>IF([2]道具信息!X669="","",[2]道具信息!X669)</f>
        <v/>
      </c>
      <c r="Y669" s="59" t="str">
        <f>IF([2]道具信息!Y669="","",[2]道具信息!Y669)</f>
        <v/>
      </c>
      <c r="Z669" s="59" t="str">
        <f>IF([2]道具信息!Z669="","",[2]道具信息!Z669)</f>
        <v/>
      </c>
    </row>
    <row r="670" spans="1:26" x14ac:dyDescent="0.15">
      <c r="A670" s="59" t="str">
        <f>IF([2]道具信息!A670="","",[2]道具信息!A670)</f>
        <v/>
      </c>
      <c r="B670" s="59" t="str">
        <f>IF([2]道具信息!B670="","",[2]道具信息!B670)</f>
        <v/>
      </c>
      <c r="C670" s="59" t="str">
        <f>IF([2]道具信息!C670="","",[2]道具信息!C670)</f>
        <v/>
      </c>
      <c r="D670" s="59" t="str">
        <f>IF([2]道具信息!D670="","",[2]道具信息!D670)</f>
        <v/>
      </c>
      <c r="E670" s="59" t="str">
        <f>IF([2]道具信息!E670="","",[2]道具信息!E670)</f>
        <v/>
      </c>
      <c r="F670" s="59" t="str">
        <f>IF([2]道具信息!F670="","",[2]道具信息!F670)</f>
        <v/>
      </c>
      <c r="G670" s="59" t="str">
        <f>IF([2]道具信息!G670="","",[2]道具信息!G670)</f>
        <v/>
      </c>
      <c r="H670" s="59" t="str">
        <f>IF([2]道具信息!H670="","",[2]道具信息!H670)</f>
        <v/>
      </c>
      <c r="I670" s="59" t="str">
        <f>IF([2]道具信息!I670="","",[2]道具信息!I670)</f>
        <v/>
      </c>
      <c r="J670" s="59" t="str">
        <f>IF([2]道具信息!J670="","",[2]道具信息!J670)</f>
        <v/>
      </c>
      <c r="K670" s="59" t="str">
        <f>IF([2]道具信息!K670="","",[2]道具信息!K670)</f>
        <v/>
      </c>
      <c r="L670" s="59" t="str">
        <f>IF([2]道具信息!L670="","",[2]道具信息!L670)</f>
        <v/>
      </c>
      <c r="M670" s="59" t="str">
        <f>IF([2]道具信息!M670="","",[2]道具信息!M670)</f>
        <v/>
      </c>
      <c r="N670" s="59" t="str">
        <f>IF([2]道具信息!N670="","",[2]道具信息!N670)</f>
        <v/>
      </c>
      <c r="O670" s="59" t="str">
        <f>IF([2]道具信息!O670="","",[2]道具信息!O670)</f>
        <v/>
      </c>
      <c r="P670" s="59" t="str">
        <f>IF([2]道具信息!P670="","",[2]道具信息!P670)</f>
        <v/>
      </c>
      <c r="Q670" s="59" t="str">
        <f>IF([2]道具信息!Q670="","",[2]道具信息!Q670)</f>
        <v/>
      </c>
      <c r="R670" s="59" t="str">
        <f>IF([2]道具信息!R670="","",[2]道具信息!R670)</f>
        <v/>
      </c>
      <c r="S670" s="59" t="str">
        <f>IF([2]道具信息!S670="","",[2]道具信息!S670)</f>
        <v/>
      </c>
      <c r="T670" s="59" t="str">
        <f>IF([2]道具信息!T670="","",[2]道具信息!T670)</f>
        <v/>
      </c>
      <c r="U670" s="59" t="str">
        <f>IF([2]道具信息!U670="","",[2]道具信息!U670)</f>
        <v/>
      </c>
      <c r="V670" s="59" t="str">
        <f>IF([2]道具信息!V670="","",[2]道具信息!V670)</f>
        <v/>
      </c>
      <c r="W670" s="59" t="str">
        <f>IF([2]道具信息!W670="","",[2]道具信息!W670)</f>
        <v/>
      </c>
      <c r="X670" s="59" t="str">
        <f>IF([2]道具信息!X670="","",[2]道具信息!X670)</f>
        <v/>
      </c>
      <c r="Y670" s="59" t="str">
        <f>IF([2]道具信息!Y670="","",[2]道具信息!Y670)</f>
        <v/>
      </c>
      <c r="Z670" s="59" t="str">
        <f>IF([2]道具信息!Z670="","",[2]道具信息!Z670)</f>
        <v/>
      </c>
    </row>
    <row r="671" spans="1:26" x14ac:dyDescent="0.15">
      <c r="A671" s="59" t="str">
        <f>IF([2]道具信息!A671="","",[2]道具信息!A671)</f>
        <v/>
      </c>
      <c r="B671" s="59" t="str">
        <f>IF([2]道具信息!B671="","",[2]道具信息!B671)</f>
        <v/>
      </c>
      <c r="C671" s="59" t="str">
        <f>IF([2]道具信息!C671="","",[2]道具信息!C671)</f>
        <v/>
      </c>
      <c r="D671" s="59" t="str">
        <f>IF([2]道具信息!D671="","",[2]道具信息!D671)</f>
        <v/>
      </c>
      <c r="E671" s="59" t="str">
        <f>IF([2]道具信息!E671="","",[2]道具信息!E671)</f>
        <v/>
      </c>
      <c r="F671" s="59" t="str">
        <f>IF([2]道具信息!F671="","",[2]道具信息!F671)</f>
        <v/>
      </c>
      <c r="G671" s="59" t="str">
        <f>IF([2]道具信息!G671="","",[2]道具信息!G671)</f>
        <v/>
      </c>
      <c r="H671" s="59" t="str">
        <f>IF([2]道具信息!H671="","",[2]道具信息!H671)</f>
        <v/>
      </c>
      <c r="I671" s="59" t="str">
        <f>IF([2]道具信息!I671="","",[2]道具信息!I671)</f>
        <v/>
      </c>
      <c r="J671" s="59" t="str">
        <f>IF([2]道具信息!J671="","",[2]道具信息!J671)</f>
        <v/>
      </c>
      <c r="K671" s="59" t="str">
        <f>IF([2]道具信息!K671="","",[2]道具信息!K671)</f>
        <v/>
      </c>
      <c r="L671" s="59" t="str">
        <f>IF([2]道具信息!L671="","",[2]道具信息!L671)</f>
        <v/>
      </c>
      <c r="M671" s="59" t="str">
        <f>IF([2]道具信息!M671="","",[2]道具信息!M671)</f>
        <v/>
      </c>
      <c r="N671" s="59" t="str">
        <f>IF([2]道具信息!N671="","",[2]道具信息!N671)</f>
        <v/>
      </c>
      <c r="O671" s="59" t="str">
        <f>IF([2]道具信息!O671="","",[2]道具信息!O671)</f>
        <v/>
      </c>
      <c r="P671" s="59" t="str">
        <f>IF([2]道具信息!P671="","",[2]道具信息!P671)</f>
        <v/>
      </c>
      <c r="Q671" s="59" t="str">
        <f>IF([2]道具信息!Q671="","",[2]道具信息!Q671)</f>
        <v/>
      </c>
      <c r="R671" s="59" t="str">
        <f>IF([2]道具信息!R671="","",[2]道具信息!R671)</f>
        <v/>
      </c>
      <c r="S671" s="59" t="str">
        <f>IF([2]道具信息!S671="","",[2]道具信息!S671)</f>
        <v/>
      </c>
      <c r="T671" s="59" t="str">
        <f>IF([2]道具信息!T671="","",[2]道具信息!T671)</f>
        <v/>
      </c>
      <c r="U671" s="59" t="str">
        <f>IF([2]道具信息!U671="","",[2]道具信息!U671)</f>
        <v/>
      </c>
      <c r="V671" s="59" t="str">
        <f>IF([2]道具信息!V671="","",[2]道具信息!V671)</f>
        <v/>
      </c>
      <c r="W671" s="59" t="str">
        <f>IF([2]道具信息!W671="","",[2]道具信息!W671)</f>
        <v/>
      </c>
      <c r="X671" s="59" t="str">
        <f>IF([2]道具信息!X671="","",[2]道具信息!X671)</f>
        <v/>
      </c>
      <c r="Y671" s="59" t="str">
        <f>IF([2]道具信息!Y671="","",[2]道具信息!Y671)</f>
        <v/>
      </c>
      <c r="Z671" s="59" t="str">
        <f>IF([2]道具信息!Z671="","",[2]道具信息!Z671)</f>
        <v/>
      </c>
    </row>
    <row r="672" spans="1:26" x14ac:dyDescent="0.15">
      <c r="A672" s="59" t="str">
        <f>IF([2]道具信息!A672="","",[2]道具信息!A672)</f>
        <v/>
      </c>
      <c r="B672" s="59" t="str">
        <f>IF([2]道具信息!B672="","",[2]道具信息!B672)</f>
        <v/>
      </c>
      <c r="C672" s="59" t="str">
        <f>IF([2]道具信息!C672="","",[2]道具信息!C672)</f>
        <v/>
      </c>
      <c r="D672" s="59" t="str">
        <f>IF([2]道具信息!D672="","",[2]道具信息!D672)</f>
        <v/>
      </c>
      <c r="E672" s="59" t="str">
        <f>IF([2]道具信息!E672="","",[2]道具信息!E672)</f>
        <v/>
      </c>
      <c r="F672" s="59" t="str">
        <f>IF([2]道具信息!F672="","",[2]道具信息!F672)</f>
        <v/>
      </c>
      <c r="G672" s="59" t="str">
        <f>IF([2]道具信息!G672="","",[2]道具信息!G672)</f>
        <v/>
      </c>
      <c r="H672" s="59" t="str">
        <f>IF([2]道具信息!H672="","",[2]道具信息!H672)</f>
        <v/>
      </c>
      <c r="I672" s="59" t="str">
        <f>IF([2]道具信息!I672="","",[2]道具信息!I672)</f>
        <v/>
      </c>
      <c r="J672" s="59" t="str">
        <f>IF([2]道具信息!J672="","",[2]道具信息!J672)</f>
        <v/>
      </c>
      <c r="K672" s="59" t="str">
        <f>IF([2]道具信息!K672="","",[2]道具信息!K672)</f>
        <v/>
      </c>
      <c r="L672" s="59" t="str">
        <f>IF([2]道具信息!L672="","",[2]道具信息!L672)</f>
        <v/>
      </c>
      <c r="M672" s="59" t="str">
        <f>IF([2]道具信息!M672="","",[2]道具信息!M672)</f>
        <v/>
      </c>
      <c r="N672" s="59" t="str">
        <f>IF([2]道具信息!N672="","",[2]道具信息!N672)</f>
        <v/>
      </c>
      <c r="O672" s="59" t="str">
        <f>IF([2]道具信息!O672="","",[2]道具信息!O672)</f>
        <v/>
      </c>
      <c r="P672" s="59" t="str">
        <f>IF([2]道具信息!P672="","",[2]道具信息!P672)</f>
        <v/>
      </c>
      <c r="Q672" s="59" t="str">
        <f>IF([2]道具信息!Q672="","",[2]道具信息!Q672)</f>
        <v/>
      </c>
      <c r="R672" s="59" t="str">
        <f>IF([2]道具信息!R672="","",[2]道具信息!R672)</f>
        <v/>
      </c>
      <c r="S672" s="59" t="str">
        <f>IF([2]道具信息!S672="","",[2]道具信息!S672)</f>
        <v/>
      </c>
      <c r="T672" s="59" t="str">
        <f>IF([2]道具信息!T672="","",[2]道具信息!T672)</f>
        <v/>
      </c>
      <c r="U672" s="59" t="str">
        <f>IF([2]道具信息!U672="","",[2]道具信息!U672)</f>
        <v/>
      </c>
      <c r="V672" s="59" t="str">
        <f>IF([2]道具信息!V672="","",[2]道具信息!V672)</f>
        <v/>
      </c>
      <c r="W672" s="59" t="str">
        <f>IF([2]道具信息!W672="","",[2]道具信息!W672)</f>
        <v/>
      </c>
      <c r="X672" s="59" t="str">
        <f>IF([2]道具信息!X672="","",[2]道具信息!X672)</f>
        <v/>
      </c>
      <c r="Y672" s="59" t="str">
        <f>IF([2]道具信息!Y672="","",[2]道具信息!Y672)</f>
        <v/>
      </c>
      <c r="Z672" s="59" t="str">
        <f>IF([2]道具信息!Z672="","",[2]道具信息!Z672)</f>
        <v/>
      </c>
    </row>
    <row r="673" spans="1:26" x14ac:dyDescent="0.15">
      <c r="A673" s="59" t="str">
        <f>IF([2]道具信息!A673="","",[2]道具信息!A673)</f>
        <v/>
      </c>
      <c r="B673" s="59" t="str">
        <f>IF([2]道具信息!B673="","",[2]道具信息!B673)</f>
        <v/>
      </c>
      <c r="C673" s="59" t="str">
        <f>IF([2]道具信息!C673="","",[2]道具信息!C673)</f>
        <v/>
      </c>
      <c r="D673" s="59" t="str">
        <f>IF([2]道具信息!D673="","",[2]道具信息!D673)</f>
        <v/>
      </c>
      <c r="E673" s="59" t="str">
        <f>IF([2]道具信息!E673="","",[2]道具信息!E673)</f>
        <v/>
      </c>
      <c r="F673" s="59" t="str">
        <f>IF([2]道具信息!F673="","",[2]道具信息!F673)</f>
        <v/>
      </c>
      <c r="G673" s="59" t="str">
        <f>IF([2]道具信息!G673="","",[2]道具信息!G673)</f>
        <v/>
      </c>
      <c r="H673" s="59" t="str">
        <f>IF([2]道具信息!H673="","",[2]道具信息!H673)</f>
        <v/>
      </c>
      <c r="I673" s="59" t="str">
        <f>IF([2]道具信息!I673="","",[2]道具信息!I673)</f>
        <v/>
      </c>
      <c r="J673" s="59" t="str">
        <f>IF([2]道具信息!J673="","",[2]道具信息!J673)</f>
        <v/>
      </c>
      <c r="K673" s="59" t="str">
        <f>IF([2]道具信息!K673="","",[2]道具信息!K673)</f>
        <v/>
      </c>
      <c r="L673" s="59" t="str">
        <f>IF([2]道具信息!L673="","",[2]道具信息!L673)</f>
        <v/>
      </c>
      <c r="M673" s="59" t="str">
        <f>IF([2]道具信息!M673="","",[2]道具信息!M673)</f>
        <v/>
      </c>
      <c r="N673" s="59" t="str">
        <f>IF([2]道具信息!N673="","",[2]道具信息!N673)</f>
        <v/>
      </c>
      <c r="O673" s="59" t="str">
        <f>IF([2]道具信息!O673="","",[2]道具信息!O673)</f>
        <v/>
      </c>
      <c r="P673" s="59" t="str">
        <f>IF([2]道具信息!P673="","",[2]道具信息!P673)</f>
        <v/>
      </c>
      <c r="Q673" s="59" t="str">
        <f>IF([2]道具信息!Q673="","",[2]道具信息!Q673)</f>
        <v/>
      </c>
      <c r="R673" s="59" t="str">
        <f>IF([2]道具信息!R673="","",[2]道具信息!R673)</f>
        <v/>
      </c>
      <c r="S673" s="59" t="str">
        <f>IF([2]道具信息!S673="","",[2]道具信息!S673)</f>
        <v/>
      </c>
      <c r="T673" s="59" t="str">
        <f>IF([2]道具信息!T673="","",[2]道具信息!T673)</f>
        <v/>
      </c>
      <c r="U673" s="59" t="str">
        <f>IF([2]道具信息!U673="","",[2]道具信息!U673)</f>
        <v/>
      </c>
      <c r="V673" s="59" t="str">
        <f>IF([2]道具信息!V673="","",[2]道具信息!V673)</f>
        <v/>
      </c>
      <c r="W673" s="59" t="str">
        <f>IF([2]道具信息!W673="","",[2]道具信息!W673)</f>
        <v/>
      </c>
      <c r="X673" s="59" t="str">
        <f>IF([2]道具信息!X673="","",[2]道具信息!X673)</f>
        <v/>
      </c>
      <c r="Y673" s="59" t="str">
        <f>IF([2]道具信息!Y673="","",[2]道具信息!Y673)</f>
        <v/>
      </c>
      <c r="Z673" s="59" t="str">
        <f>IF([2]道具信息!Z673="","",[2]道具信息!Z673)</f>
        <v/>
      </c>
    </row>
    <row r="674" spans="1:26" x14ac:dyDescent="0.15">
      <c r="A674" s="59" t="str">
        <f>IF([2]道具信息!A674="","",[2]道具信息!A674)</f>
        <v/>
      </c>
      <c r="B674" s="59" t="str">
        <f>IF([2]道具信息!B674="","",[2]道具信息!B674)</f>
        <v/>
      </c>
      <c r="C674" s="59" t="str">
        <f>IF([2]道具信息!C674="","",[2]道具信息!C674)</f>
        <v/>
      </c>
      <c r="D674" s="59" t="str">
        <f>IF([2]道具信息!D674="","",[2]道具信息!D674)</f>
        <v/>
      </c>
      <c r="E674" s="59" t="str">
        <f>IF([2]道具信息!E674="","",[2]道具信息!E674)</f>
        <v/>
      </c>
      <c r="F674" s="59" t="str">
        <f>IF([2]道具信息!F674="","",[2]道具信息!F674)</f>
        <v/>
      </c>
      <c r="G674" s="59" t="str">
        <f>IF([2]道具信息!G674="","",[2]道具信息!G674)</f>
        <v/>
      </c>
      <c r="H674" s="59" t="str">
        <f>IF([2]道具信息!H674="","",[2]道具信息!H674)</f>
        <v/>
      </c>
      <c r="I674" s="59" t="str">
        <f>IF([2]道具信息!I674="","",[2]道具信息!I674)</f>
        <v/>
      </c>
      <c r="J674" s="59" t="str">
        <f>IF([2]道具信息!J674="","",[2]道具信息!J674)</f>
        <v/>
      </c>
      <c r="K674" s="59" t="str">
        <f>IF([2]道具信息!K674="","",[2]道具信息!K674)</f>
        <v/>
      </c>
      <c r="L674" s="59" t="str">
        <f>IF([2]道具信息!L674="","",[2]道具信息!L674)</f>
        <v/>
      </c>
      <c r="M674" s="59" t="str">
        <f>IF([2]道具信息!M674="","",[2]道具信息!M674)</f>
        <v/>
      </c>
      <c r="N674" s="59" t="str">
        <f>IF([2]道具信息!N674="","",[2]道具信息!N674)</f>
        <v/>
      </c>
      <c r="O674" s="59" t="str">
        <f>IF([2]道具信息!O674="","",[2]道具信息!O674)</f>
        <v/>
      </c>
      <c r="P674" s="59" t="str">
        <f>IF([2]道具信息!P674="","",[2]道具信息!P674)</f>
        <v/>
      </c>
      <c r="Q674" s="59" t="str">
        <f>IF([2]道具信息!Q674="","",[2]道具信息!Q674)</f>
        <v/>
      </c>
      <c r="R674" s="59" t="str">
        <f>IF([2]道具信息!R674="","",[2]道具信息!R674)</f>
        <v/>
      </c>
      <c r="S674" s="59" t="str">
        <f>IF([2]道具信息!S674="","",[2]道具信息!S674)</f>
        <v/>
      </c>
      <c r="T674" s="59" t="str">
        <f>IF([2]道具信息!T674="","",[2]道具信息!T674)</f>
        <v/>
      </c>
      <c r="U674" s="59" t="str">
        <f>IF([2]道具信息!U674="","",[2]道具信息!U674)</f>
        <v/>
      </c>
      <c r="V674" s="59" t="str">
        <f>IF([2]道具信息!V674="","",[2]道具信息!V674)</f>
        <v/>
      </c>
      <c r="W674" s="59" t="str">
        <f>IF([2]道具信息!W674="","",[2]道具信息!W674)</f>
        <v/>
      </c>
      <c r="X674" s="59" t="str">
        <f>IF([2]道具信息!X674="","",[2]道具信息!X674)</f>
        <v/>
      </c>
      <c r="Y674" s="59" t="str">
        <f>IF([2]道具信息!Y674="","",[2]道具信息!Y674)</f>
        <v/>
      </c>
      <c r="Z674" s="59" t="str">
        <f>IF([2]道具信息!Z674="","",[2]道具信息!Z674)</f>
        <v/>
      </c>
    </row>
    <row r="675" spans="1:26" x14ac:dyDescent="0.15">
      <c r="A675" s="59" t="str">
        <f>IF([2]道具信息!A675="","",[2]道具信息!A675)</f>
        <v/>
      </c>
      <c r="B675" s="59" t="str">
        <f>IF([2]道具信息!B675="","",[2]道具信息!B675)</f>
        <v/>
      </c>
      <c r="C675" s="59" t="str">
        <f>IF([2]道具信息!C675="","",[2]道具信息!C675)</f>
        <v/>
      </c>
      <c r="D675" s="59" t="str">
        <f>IF([2]道具信息!D675="","",[2]道具信息!D675)</f>
        <v/>
      </c>
      <c r="E675" s="59" t="str">
        <f>IF([2]道具信息!E675="","",[2]道具信息!E675)</f>
        <v/>
      </c>
      <c r="F675" s="59" t="str">
        <f>IF([2]道具信息!F675="","",[2]道具信息!F675)</f>
        <v/>
      </c>
      <c r="G675" s="59" t="str">
        <f>IF([2]道具信息!G675="","",[2]道具信息!G675)</f>
        <v/>
      </c>
      <c r="H675" s="59" t="str">
        <f>IF([2]道具信息!H675="","",[2]道具信息!H675)</f>
        <v/>
      </c>
      <c r="I675" s="59" t="str">
        <f>IF([2]道具信息!I675="","",[2]道具信息!I675)</f>
        <v/>
      </c>
      <c r="J675" s="59" t="str">
        <f>IF([2]道具信息!J675="","",[2]道具信息!J675)</f>
        <v/>
      </c>
      <c r="K675" s="59" t="str">
        <f>IF([2]道具信息!K675="","",[2]道具信息!K675)</f>
        <v/>
      </c>
      <c r="L675" s="59" t="str">
        <f>IF([2]道具信息!L675="","",[2]道具信息!L675)</f>
        <v/>
      </c>
      <c r="M675" s="59" t="str">
        <f>IF([2]道具信息!M675="","",[2]道具信息!M675)</f>
        <v/>
      </c>
      <c r="N675" s="59" t="str">
        <f>IF([2]道具信息!N675="","",[2]道具信息!N675)</f>
        <v/>
      </c>
      <c r="O675" s="59" t="str">
        <f>IF([2]道具信息!O675="","",[2]道具信息!O675)</f>
        <v/>
      </c>
      <c r="P675" s="59" t="str">
        <f>IF([2]道具信息!P675="","",[2]道具信息!P675)</f>
        <v/>
      </c>
      <c r="Q675" s="59" t="str">
        <f>IF([2]道具信息!Q675="","",[2]道具信息!Q675)</f>
        <v/>
      </c>
      <c r="R675" s="59" t="str">
        <f>IF([2]道具信息!R675="","",[2]道具信息!R675)</f>
        <v/>
      </c>
      <c r="S675" s="59" t="str">
        <f>IF([2]道具信息!S675="","",[2]道具信息!S675)</f>
        <v/>
      </c>
      <c r="T675" s="59" t="str">
        <f>IF([2]道具信息!T675="","",[2]道具信息!T675)</f>
        <v/>
      </c>
      <c r="U675" s="59" t="str">
        <f>IF([2]道具信息!U675="","",[2]道具信息!U675)</f>
        <v/>
      </c>
      <c r="V675" s="59" t="str">
        <f>IF([2]道具信息!V675="","",[2]道具信息!V675)</f>
        <v/>
      </c>
      <c r="W675" s="59" t="str">
        <f>IF([2]道具信息!W675="","",[2]道具信息!W675)</f>
        <v/>
      </c>
      <c r="X675" s="59" t="str">
        <f>IF([2]道具信息!X675="","",[2]道具信息!X675)</f>
        <v/>
      </c>
      <c r="Y675" s="59" t="str">
        <f>IF([2]道具信息!Y675="","",[2]道具信息!Y675)</f>
        <v/>
      </c>
      <c r="Z675" s="59" t="str">
        <f>IF([2]道具信息!Z675="","",[2]道具信息!Z675)</f>
        <v/>
      </c>
    </row>
    <row r="676" spans="1:26" x14ac:dyDescent="0.15">
      <c r="A676" s="59" t="str">
        <f>IF([2]道具信息!A676="","",[2]道具信息!A676)</f>
        <v/>
      </c>
      <c r="B676" s="59" t="str">
        <f>IF([2]道具信息!B676="","",[2]道具信息!B676)</f>
        <v/>
      </c>
      <c r="C676" s="59" t="str">
        <f>IF([2]道具信息!C676="","",[2]道具信息!C676)</f>
        <v/>
      </c>
      <c r="D676" s="59" t="str">
        <f>IF([2]道具信息!D676="","",[2]道具信息!D676)</f>
        <v/>
      </c>
      <c r="E676" s="59" t="str">
        <f>IF([2]道具信息!E676="","",[2]道具信息!E676)</f>
        <v/>
      </c>
      <c r="F676" s="59" t="str">
        <f>IF([2]道具信息!F676="","",[2]道具信息!F676)</f>
        <v/>
      </c>
      <c r="G676" s="59" t="str">
        <f>IF([2]道具信息!G676="","",[2]道具信息!G676)</f>
        <v/>
      </c>
      <c r="H676" s="59" t="str">
        <f>IF([2]道具信息!H676="","",[2]道具信息!H676)</f>
        <v/>
      </c>
      <c r="I676" s="59" t="str">
        <f>IF([2]道具信息!I676="","",[2]道具信息!I676)</f>
        <v/>
      </c>
      <c r="J676" s="59" t="str">
        <f>IF([2]道具信息!J676="","",[2]道具信息!J676)</f>
        <v/>
      </c>
      <c r="K676" s="59" t="str">
        <f>IF([2]道具信息!K676="","",[2]道具信息!K676)</f>
        <v/>
      </c>
      <c r="L676" s="59" t="str">
        <f>IF([2]道具信息!L676="","",[2]道具信息!L676)</f>
        <v/>
      </c>
      <c r="M676" s="59" t="str">
        <f>IF([2]道具信息!M676="","",[2]道具信息!M676)</f>
        <v/>
      </c>
      <c r="N676" s="59" t="str">
        <f>IF([2]道具信息!N676="","",[2]道具信息!N676)</f>
        <v/>
      </c>
      <c r="O676" s="59" t="str">
        <f>IF([2]道具信息!O676="","",[2]道具信息!O676)</f>
        <v/>
      </c>
      <c r="P676" s="59" t="str">
        <f>IF([2]道具信息!P676="","",[2]道具信息!P676)</f>
        <v/>
      </c>
      <c r="Q676" s="59" t="str">
        <f>IF([2]道具信息!Q676="","",[2]道具信息!Q676)</f>
        <v/>
      </c>
      <c r="R676" s="59" t="str">
        <f>IF([2]道具信息!R676="","",[2]道具信息!R676)</f>
        <v/>
      </c>
      <c r="S676" s="59" t="str">
        <f>IF([2]道具信息!S676="","",[2]道具信息!S676)</f>
        <v/>
      </c>
      <c r="T676" s="59" t="str">
        <f>IF([2]道具信息!T676="","",[2]道具信息!T676)</f>
        <v/>
      </c>
      <c r="U676" s="59" t="str">
        <f>IF([2]道具信息!U676="","",[2]道具信息!U676)</f>
        <v/>
      </c>
      <c r="V676" s="59" t="str">
        <f>IF([2]道具信息!V676="","",[2]道具信息!V676)</f>
        <v/>
      </c>
      <c r="W676" s="59" t="str">
        <f>IF([2]道具信息!W676="","",[2]道具信息!W676)</f>
        <v/>
      </c>
      <c r="X676" s="59" t="str">
        <f>IF([2]道具信息!X676="","",[2]道具信息!X676)</f>
        <v/>
      </c>
      <c r="Y676" s="59" t="str">
        <f>IF([2]道具信息!Y676="","",[2]道具信息!Y676)</f>
        <v/>
      </c>
      <c r="Z676" s="59" t="str">
        <f>IF([2]道具信息!Z676="","",[2]道具信息!Z676)</f>
        <v/>
      </c>
    </row>
    <row r="677" spans="1:26" x14ac:dyDescent="0.15">
      <c r="A677" s="59" t="str">
        <f>IF([2]道具信息!A677="","",[2]道具信息!A677)</f>
        <v/>
      </c>
      <c r="B677" s="59" t="str">
        <f>IF([2]道具信息!B677="","",[2]道具信息!B677)</f>
        <v/>
      </c>
      <c r="C677" s="59" t="str">
        <f>IF([2]道具信息!C677="","",[2]道具信息!C677)</f>
        <v/>
      </c>
      <c r="D677" s="59" t="str">
        <f>IF([2]道具信息!D677="","",[2]道具信息!D677)</f>
        <v/>
      </c>
      <c r="E677" s="59" t="str">
        <f>IF([2]道具信息!E677="","",[2]道具信息!E677)</f>
        <v/>
      </c>
      <c r="F677" s="59" t="str">
        <f>IF([2]道具信息!F677="","",[2]道具信息!F677)</f>
        <v/>
      </c>
      <c r="G677" s="59" t="str">
        <f>IF([2]道具信息!G677="","",[2]道具信息!G677)</f>
        <v/>
      </c>
      <c r="H677" s="59" t="str">
        <f>IF([2]道具信息!H677="","",[2]道具信息!H677)</f>
        <v/>
      </c>
      <c r="I677" s="59" t="str">
        <f>IF([2]道具信息!I677="","",[2]道具信息!I677)</f>
        <v/>
      </c>
      <c r="J677" s="59" t="str">
        <f>IF([2]道具信息!J677="","",[2]道具信息!J677)</f>
        <v/>
      </c>
      <c r="K677" s="59" t="str">
        <f>IF([2]道具信息!K677="","",[2]道具信息!K677)</f>
        <v/>
      </c>
      <c r="L677" s="59" t="str">
        <f>IF([2]道具信息!L677="","",[2]道具信息!L677)</f>
        <v/>
      </c>
      <c r="M677" s="59" t="str">
        <f>IF([2]道具信息!M677="","",[2]道具信息!M677)</f>
        <v/>
      </c>
      <c r="N677" s="59" t="str">
        <f>IF([2]道具信息!N677="","",[2]道具信息!N677)</f>
        <v/>
      </c>
      <c r="O677" s="59" t="str">
        <f>IF([2]道具信息!O677="","",[2]道具信息!O677)</f>
        <v/>
      </c>
      <c r="P677" s="59" t="str">
        <f>IF([2]道具信息!P677="","",[2]道具信息!P677)</f>
        <v/>
      </c>
      <c r="Q677" s="59" t="str">
        <f>IF([2]道具信息!Q677="","",[2]道具信息!Q677)</f>
        <v/>
      </c>
      <c r="R677" s="59" t="str">
        <f>IF([2]道具信息!R677="","",[2]道具信息!R677)</f>
        <v/>
      </c>
      <c r="S677" s="59" t="str">
        <f>IF([2]道具信息!S677="","",[2]道具信息!S677)</f>
        <v/>
      </c>
      <c r="T677" s="59" t="str">
        <f>IF([2]道具信息!T677="","",[2]道具信息!T677)</f>
        <v/>
      </c>
      <c r="U677" s="59" t="str">
        <f>IF([2]道具信息!U677="","",[2]道具信息!U677)</f>
        <v/>
      </c>
      <c r="V677" s="59" t="str">
        <f>IF([2]道具信息!V677="","",[2]道具信息!V677)</f>
        <v/>
      </c>
      <c r="W677" s="59" t="str">
        <f>IF([2]道具信息!W677="","",[2]道具信息!W677)</f>
        <v/>
      </c>
      <c r="X677" s="59" t="str">
        <f>IF([2]道具信息!X677="","",[2]道具信息!X677)</f>
        <v/>
      </c>
      <c r="Y677" s="59" t="str">
        <f>IF([2]道具信息!Y677="","",[2]道具信息!Y677)</f>
        <v/>
      </c>
      <c r="Z677" s="59" t="str">
        <f>IF([2]道具信息!Z677="","",[2]道具信息!Z677)</f>
        <v/>
      </c>
    </row>
    <row r="678" spans="1:26" x14ac:dyDescent="0.15">
      <c r="A678" s="59" t="str">
        <f>IF([2]道具信息!A678="","",[2]道具信息!A678)</f>
        <v/>
      </c>
      <c r="B678" s="59" t="str">
        <f>IF([2]道具信息!B678="","",[2]道具信息!B678)</f>
        <v/>
      </c>
      <c r="C678" s="59" t="str">
        <f>IF([2]道具信息!C678="","",[2]道具信息!C678)</f>
        <v/>
      </c>
      <c r="D678" s="59" t="str">
        <f>IF([2]道具信息!D678="","",[2]道具信息!D678)</f>
        <v/>
      </c>
      <c r="E678" s="59" t="str">
        <f>IF([2]道具信息!E678="","",[2]道具信息!E678)</f>
        <v/>
      </c>
      <c r="F678" s="59" t="str">
        <f>IF([2]道具信息!F678="","",[2]道具信息!F678)</f>
        <v/>
      </c>
      <c r="G678" s="59" t="str">
        <f>IF([2]道具信息!G678="","",[2]道具信息!G678)</f>
        <v/>
      </c>
      <c r="H678" s="59" t="str">
        <f>IF([2]道具信息!H678="","",[2]道具信息!H678)</f>
        <v/>
      </c>
      <c r="I678" s="59" t="str">
        <f>IF([2]道具信息!I678="","",[2]道具信息!I678)</f>
        <v/>
      </c>
      <c r="J678" s="59" t="str">
        <f>IF([2]道具信息!J678="","",[2]道具信息!J678)</f>
        <v/>
      </c>
      <c r="K678" s="59" t="str">
        <f>IF([2]道具信息!K678="","",[2]道具信息!K678)</f>
        <v/>
      </c>
      <c r="L678" s="59" t="str">
        <f>IF([2]道具信息!L678="","",[2]道具信息!L678)</f>
        <v/>
      </c>
      <c r="M678" s="59" t="str">
        <f>IF([2]道具信息!M678="","",[2]道具信息!M678)</f>
        <v/>
      </c>
      <c r="N678" s="59" t="str">
        <f>IF([2]道具信息!N678="","",[2]道具信息!N678)</f>
        <v/>
      </c>
      <c r="O678" s="59" t="str">
        <f>IF([2]道具信息!O678="","",[2]道具信息!O678)</f>
        <v/>
      </c>
      <c r="P678" s="59" t="str">
        <f>IF([2]道具信息!P678="","",[2]道具信息!P678)</f>
        <v/>
      </c>
      <c r="Q678" s="59" t="str">
        <f>IF([2]道具信息!Q678="","",[2]道具信息!Q678)</f>
        <v/>
      </c>
      <c r="R678" s="59" t="str">
        <f>IF([2]道具信息!R678="","",[2]道具信息!R678)</f>
        <v/>
      </c>
      <c r="S678" s="59" t="str">
        <f>IF([2]道具信息!S678="","",[2]道具信息!S678)</f>
        <v/>
      </c>
      <c r="T678" s="59" t="str">
        <f>IF([2]道具信息!T678="","",[2]道具信息!T678)</f>
        <v/>
      </c>
      <c r="U678" s="59" t="str">
        <f>IF([2]道具信息!U678="","",[2]道具信息!U678)</f>
        <v/>
      </c>
      <c r="V678" s="59" t="str">
        <f>IF([2]道具信息!V678="","",[2]道具信息!V678)</f>
        <v/>
      </c>
      <c r="W678" s="59" t="str">
        <f>IF([2]道具信息!W678="","",[2]道具信息!W678)</f>
        <v/>
      </c>
      <c r="X678" s="59" t="str">
        <f>IF([2]道具信息!X678="","",[2]道具信息!X678)</f>
        <v/>
      </c>
      <c r="Y678" s="59" t="str">
        <f>IF([2]道具信息!Y678="","",[2]道具信息!Y678)</f>
        <v/>
      </c>
      <c r="Z678" s="59" t="str">
        <f>IF([2]道具信息!Z678="","",[2]道具信息!Z678)</f>
        <v/>
      </c>
    </row>
    <row r="679" spans="1:26" x14ac:dyDescent="0.15">
      <c r="A679" s="59" t="str">
        <f>IF([2]道具信息!A679="","",[2]道具信息!A679)</f>
        <v/>
      </c>
      <c r="B679" s="59" t="str">
        <f>IF([2]道具信息!B679="","",[2]道具信息!B679)</f>
        <v/>
      </c>
      <c r="C679" s="59" t="str">
        <f>IF([2]道具信息!C679="","",[2]道具信息!C679)</f>
        <v/>
      </c>
      <c r="D679" s="59" t="str">
        <f>IF([2]道具信息!D679="","",[2]道具信息!D679)</f>
        <v/>
      </c>
      <c r="E679" s="59" t="str">
        <f>IF([2]道具信息!E679="","",[2]道具信息!E679)</f>
        <v/>
      </c>
      <c r="F679" s="59" t="str">
        <f>IF([2]道具信息!F679="","",[2]道具信息!F679)</f>
        <v/>
      </c>
      <c r="G679" s="59" t="str">
        <f>IF([2]道具信息!G679="","",[2]道具信息!G679)</f>
        <v/>
      </c>
      <c r="H679" s="59" t="str">
        <f>IF([2]道具信息!H679="","",[2]道具信息!H679)</f>
        <v/>
      </c>
      <c r="I679" s="59" t="str">
        <f>IF([2]道具信息!I679="","",[2]道具信息!I679)</f>
        <v/>
      </c>
      <c r="J679" s="59" t="str">
        <f>IF([2]道具信息!J679="","",[2]道具信息!J679)</f>
        <v/>
      </c>
      <c r="K679" s="59" t="str">
        <f>IF([2]道具信息!K679="","",[2]道具信息!K679)</f>
        <v/>
      </c>
      <c r="L679" s="59" t="str">
        <f>IF([2]道具信息!L679="","",[2]道具信息!L679)</f>
        <v/>
      </c>
      <c r="M679" s="59" t="str">
        <f>IF([2]道具信息!M679="","",[2]道具信息!M679)</f>
        <v/>
      </c>
      <c r="N679" s="59" t="str">
        <f>IF([2]道具信息!N679="","",[2]道具信息!N679)</f>
        <v/>
      </c>
      <c r="O679" s="59" t="str">
        <f>IF([2]道具信息!O679="","",[2]道具信息!O679)</f>
        <v/>
      </c>
      <c r="P679" s="59" t="str">
        <f>IF([2]道具信息!P679="","",[2]道具信息!P679)</f>
        <v/>
      </c>
      <c r="Q679" s="59" t="str">
        <f>IF([2]道具信息!Q679="","",[2]道具信息!Q679)</f>
        <v/>
      </c>
      <c r="R679" s="59" t="str">
        <f>IF([2]道具信息!R679="","",[2]道具信息!R679)</f>
        <v/>
      </c>
      <c r="S679" s="59" t="str">
        <f>IF([2]道具信息!S679="","",[2]道具信息!S679)</f>
        <v/>
      </c>
      <c r="T679" s="59" t="str">
        <f>IF([2]道具信息!T679="","",[2]道具信息!T679)</f>
        <v/>
      </c>
      <c r="U679" s="59" t="str">
        <f>IF([2]道具信息!U679="","",[2]道具信息!U679)</f>
        <v/>
      </c>
      <c r="V679" s="59" t="str">
        <f>IF([2]道具信息!V679="","",[2]道具信息!V679)</f>
        <v/>
      </c>
      <c r="W679" s="59" t="str">
        <f>IF([2]道具信息!W679="","",[2]道具信息!W679)</f>
        <v/>
      </c>
      <c r="X679" s="59" t="str">
        <f>IF([2]道具信息!X679="","",[2]道具信息!X679)</f>
        <v/>
      </c>
      <c r="Y679" s="59" t="str">
        <f>IF([2]道具信息!Y679="","",[2]道具信息!Y679)</f>
        <v/>
      </c>
      <c r="Z679" s="59" t="str">
        <f>IF([2]道具信息!Z679="","",[2]道具信息!Z679)</f>
        <v/>
      </c>
    </row>
    <row r="680" spans="1:26" x14ac:dyDescent="0.15">
      <c r="A680" s="59" t="str">
        <f>IF([2]道具信息!A680="","",[2]道具信息!A680)</f>
        <v/>
      </c>
      <c r="B680" s="59" t="str">
        <f>IF([2]道具信息!B680="","",[2]道具信息!B680)</f>
        <v/>
      </c>
      <c r="C680" s="59" t="str">
        <f>IF([2]道具信息!C680="","",[2]道具信息!C680)</f>
        <v/>
      </c>
      <c r="D680" s="59" t="str">
        <f>IF([2]道具信息!D680="","",[2]道具信息!D680)</f>
        <v/>
      </c>
      <c r="E680" s="59" t="str">
        <f>IF([2]道具信息!E680="","",[2]道具信息!E680)</f>
        <v/>
      </c>
      <c r="F680" s="59" t="str">
        <f>IF([2]道具信息!F680="","",[2]道具信息!F680)</f>
        <v/>
      </c>
      <c r="G680" s="59" t="str">
        <f>IF([2]道具信息!G680="","",[2]道具信息!G680)</f>
        <v/>
      </c>
      <c r="H680" s="59" t="str">
        <f>IF([2]道具信息!H680="","",[2]道具信息!H680)</f>
        <v/>
      </c>
      <c r="I680" s="59" t="str">
        <f>IF([2]道具信息!I680="","",[2]道具信息!I680)</f>
        <v/>
      </c>
      <c r="J680" s="59" t="str">
        <f>IF([2]道具信息!J680="","",[2]道具信息!J680)</f>
        <v/>
      </c>
      <c r="K680" s="59" t="str">
        <f>IF([2]道具信息!K680="","",[2]道具信息!K680)</f>
        <v/>
      </c>
      <c r="L680" s="59" t="str">
        <f>IF([2]道具信息!L680="","",[2]道具信息!L680)</f>
        <v/>
      </c>
      <c r="M680" s="59" t="str">
        <f>IF([2]道具信息!M680="","",[2]道具信息!M680)</f>
        <v/>
      </c>
      <c r="N680" s="59" t="str">
        <f>IF([2]道具信息!N680="","",[2]道具信息!N680)</f>
        <v/>
      </c>
      <c r="O680" s="59" t="str">
        <f>IF([2]道具信息!O680="","",[2]道具信息!O680)</f>
        <v/>
      </c>
      <c r="P680" s="59" t="str">
        <f>IF([2]道具信息!P680="","",[2]道具信息!P680)</f>
        <v/>
      </c>
      <c r="Q680" s="59" t="str">
        <f>IF([2]道具信息!Q680="","",[2]道具信息!Q680)</f>
        <v/>
      </c>
      <c r="R680" s="59" t="str">
        <f>IF([2]道具信息!R680="","",[2]道具信息!R680)</f>
        <v/>
      </c>
      <c r="S680" s="59" t="str">
        <f>IF([2]道具信息!S680="","",[2]道具信息!S680)</f>
        <v/>
      </c>
      <c r="T680" s="59" t="str">
        <f>IF([2]道具信息!T680="","",[2]道具信息!T680)</f>
        <v/>
      </c>
      <c r="U680" s="59" t="str">
        <f>IF([2]道具信息!U680="","",[2]道具信息!U680)</f>
        <v/>
      </c>
      <c r="V680" s="59" t="str">
        <f>IF([2]道具信息!V680="","",[2]道具信息!V680)</f>
        <v/>
      </c>
      <c r="W680" s="59" t="str">
        <f>IF([2]道具信息!W680="","",[2]道具信息!W680)</f>
        <v/>
      </c>
      <c r="X680" s="59" t="str">
        <f>IF([2]道具信息!X680="","",[2]道具信息!X680)</f>
        <v/>
      </c>
      <c r="Y680" s="59" t="str">
        <f>IF([2]道具信息!Y680="","",[2]道具信息!Y680)</f>
        <v/>
      </c>
      <c r="Z680" s="59" t="str">
        <f>IF([2]道具信息!Z680="","",[2]道具信息!Z680)</f>
        <v/>
      </c>
    </row>
    <row r="681" spans="1:26" x14ac:dyDescent="0.15">
      <c r="A681" s="59" t="str">
        <f>IF([2]道具信息!A681="","",[2]道具信息!A681)</f>
        <v/>
      </c>
      <c r="B681" s="59" t="str">
        <f>IF([2]道具信息!B681="","",[2]道具信息!B681)</f>
        <v/>
      </c>
      <c r="C681" s="59" t="str">
        <f>IF([2]道具信息!C681="","",[2]道具信息!C681)</f>
        <v/>
      </c>
      <c r="D681" s="59" t="str">
        <f>IF([2]道具信息!D681="","",[2]道具信息!D681)</f>
        <v/>
      </c>
      <c r="E681" s="59" t="str">
        <f>IF([2]道具信息!E681="","",[2]道具信息!E681)</f>
        <v/>
      </c>
      <c r="F681" s="59" t="str">
        <f>IF([2]道具信息!F681="","",[2]道具信息!F681)</f>
        <v/>
      </c>
      <c r="G681" s="59" t="str">
        <f>IF([2]道具信息!G681="","",[2]道具信息!G681)</f>
        <v/>
      </c>
      <c r="H681" s="59" t="str">
        <f>IF([2]道具信息!H681="","",[2]道具信息!H681)</f>
        <v/>
      </c>
      <c r="I681" s="59" t="str">
        <f>IF([2]道具信息!I681="","",[2]道具信息!I681)</f>
        <v/>
      </c>
      <c r="J681" s="59" t="str">
        <f>IF([2]道具信息!J681="","",[2]道具信息!J681)</f>
        <v/>
      </c>
      <c r="K681" s="59" t="str">
        <f>IF([2]道具信息!K681="","",[2]道具信息!K681)</f>
        <v/>
      </c>
      <c r="L681" s="59" t="str">
        <f>IF([2]道具信息!L681="","",[2]道具信息!L681)</f>
        <v/>
      </c>
      <c r="M681" s="59" t="str">
        <f>IF([2]道具信息!M681="","",[2]道具信息!M681)</f>
        <v/>
      </c>
      <c r="N681" s="59" t="str">
        <f>IF([2]道具信息!N681="","",[2]道具信息!N681)</f>
        <v/>
      </c>
      <c r="O681" s="59" t="str">
        <f>IF([2]道具信息!O681="","",[2]道具信息!O681)</f>
        <v/>
      </c>
      <c r="P681" s="59" t="str">
        <f>IF([2]道具信息!P681="","",[2]道具信息!P681)</f>
        <v/>
      </c>
      <c r="Q681" s="59" t="str">
        <f>IF([2]道具信息!Q681="","",[2]道具信息!Q681)</f>
        <v/>
      </c>
      <c r="R681" s="59" t="str">
        <f>IF([2]道具信息!R681="","",[2]道具信息!R681)</f>
        <v/>
      </c>
      <c r="S681" s="59" t="str">
        <f>IF([2]道具信息!S681="","",[2]道具信息!S681)</f>
        <v/>
      </c>
      <c r="T681" s="59" t="str">
        <f>IF([2]道具信息!T681="","",[2]道具信息!T681)</f>
        <v/>
      </c>
      <c r="U681" s="59" t="str">
        <f>IF([2]道具信息!U681="","",[2]道具信息!U681)</f>
        <v/>
      </c>
      <c r="V681" s="59" t="str">
        <f>IF([2]道具信息!V681="","",[2]道具信息!V681)</f>
        <v/>
      </c>
      <c r="W681" s="59" t="str">
        <f>IF([2]道具信息!W681="","",[2]道具信息!W681)</f>
        <v/>
      </c>
      <c r="X681" s="59" t="str">
        <f>IF([2]道具信息!X681="","",[2]道具信息!X681)</f>
        <v/>
      </c>
      <c r="Y681" s="59" t="str">
        <f>IF([2]道具信息!Y681="","",[2]道具信息!Y681)</f>
        <v/>
      </c>
      <c r="Z681" s="59" t="str">
        <f>IF([2]道具信息!Z681="","",[2]道具信息!Z681)</f>
        <v/>
      </c>
    </row>
    <row r="682" spans="1:26" x14ac:dyDescent="0.15">
      <c r="A682" s="59" t="str">
        <f>IF([2]道具信息!A682="","",[2]道具信息!A682)</f>
        <v/>
      </c>
      <c r="B682" s="59" t="str">
        <f>IF([2]道具信息!B682="","",[2]道具信息!B682)</f>
        <v/>
      </c>
      <c r="C682" s="59" t="str">
        <f>IF([2]道具信息!C682="","",[2]道具信息!C682)</f>
        <v/>
      </c>
      <c r="D682" s="59" t="str">
        <f>IF([2]道具信息!D682="","",[2]道具信息!D682)</f>
        <v/>
      </c>
      <c r="E682" s="59" t="str">
        <f>IF([2]道具信息!E682="","",[2]道具信息!E682)</f>
        <v/>
      </c>
      <c r="F682" s="59" t="str">
        <f>IF([2]道具信息!F682="","",[2]道具信息!F682)</f>
        <v/>
      </c>
      <c r="G682" s="59" t="str">
        <f>IF([2]道具信息!G682="","",[2]道具信息!G682)</f>
        <v/>
      </c>
      <c r="H682" s="59" t="str">
        <f>IF([2]道具信息!H682="","",[2]道具信息!H682)</f>
        <v/>
      </c>
      <c r="I682" s="59" t="str">
        <f>IF([2]道具信息!I682="","",[2]道具信息!I682)</f>
        <v/>
      </c>
      <c r="J682" s="59" t="str">
        <f>IF([2]道具信息!J682="","",[2]道具信息!J682)</f>
        <v/>
      </c>
      <c r="K682" s="59" t="str">
        <f>IF([2]道具信息!K682="","",[2]道具信息!K682)</f>
        <v/>
      </c>
      <c r="L682" s="59" t="str">
        <f>IF([2]道具信息!L682="","",[2]道具信息!L682)</f>
        <v/>
      </c>
      <c r="M682" s="59" t="str">
        <f>IF([2]道具信息!M682="","",[2]道具信息!M682)</f>
        <v/>
      </c>
      <c r="N682" s="59" t="str">
        <f>IF([2]道具信息!N682="","",[2]道具信息!N682)</f>
        <v/>
      </c>
      <c r="O682" s="59" t="str">
        <f>IF([2]道具信息!O682="","",[2]道具信息!O682)</f>
        <v/>
      </c>
      <c r="P682" s="59" t="str">
        <f>IF([2]道具信息!P682="","",[2]道具信息!P682)</f>
        <v/>
      </c>
      <c r="Q682" s="59" t="str">
        <f>IF([2]道具信息!Q682="","",[2]道具信息!Q682)</f>
        <v/>
      </c>
      <c r="R682" s="59" t="str">
        <f>IF([2]道具信息!R682="","",[2]道具信息!R682)</f>
        <v/>
      </c>
      <c r="S682" s="59" t="str">
        <f>IF([2]道具信息!S682="","",[2]道具信息!S682)</f>
        <v/>
      </c>
      <c r="T682" s="59" t="str">
        <f>IF([2]道具信息!T682="","",[2]道具信息!T682)</f>
        <v/>
      </c>
      <c r="U682" s="59" t="str">
        <f>IF([2]道具信息!U682="","",[2]道具信息!U682)</f>
        <v/>
      </c>
      <c r="V682" s="59" t="str">
        <f>IF([2]道具信息!V682="","",[2]道具信息!V682)</f>
        <v/>
      </c>
      <c r="W682" s="59" t="str">
        <f>IF([2]道具信息!W682="","",[2]道具信息!W682)</f>
        <v/>
      </c>
      <c r="X682" s="59" t="str">
        <f>IF([2]道具信息!X682="","",[2]道具信息!X682)</f>
        <v/>
      </c>
      <c r="Y682" s="59" t="str">
        <f>IF([2]道具信息!Y682="","",[2]道具信息!Y682)</f>
        <v/>
      </c>
      <c r="Z682" s="59" t="str">
        <f>IF([2]道具信息!Z682="","",[2]道具信息!Z682)</f>
        <v/>
      </c>
    </row>
    <row r="683" spans="1:26" x14ac:dyDescent="0.15">
      <c r="A683" s="59" t="str">
        <f>IF([2]道具信息!A683="","",[2]道具信息!A683)</f>
        <v/>
      </c>
      <c r="B683" s="59" t="str">
        <f>IF([2]道具信息!B683="","",[2]道具信息!B683)</f>
        <v/>
      </c>
      <c r="C683" s="59" t="str">
        <f>IF([2]道具信息!C683="","",[2]道具信息!C683)</f>
        <v/>
      </c>
      <c r="D683" s="59" t="str">
        <f>IF([2]道具信息!D683="","",[2]道具信息!D683)</f>
        <v/>
      </c>
      <c r="E683" s="59" t="str">
        <f>IF([2]道具信息!E683="","",[2]道具信息!E683)</f>
        <v/>
      </c>
      <c r="F683" s="59" t="str">
        <f>IF([2]道具信息!F683="","",[2]道具信息!F683)</f>
        <v/>
      </c>
      <c r="G683" s="59" t="str">
        <f>IF([2]道具信息!G683="","",[2]道具信息!G683)</f>
        <v/>
      </c>
      <c r="H683" s="59" t="str">
        <f>IF([2]道具信息!H683="","",[2]道具信息!H683)</f>
        <v/>
      </c>
      <c r="I683" s="59" t="str">
        <f>IF([2]道具信息!I683="","",[2]道具信息!I683)</f>
        <v/>
      </c>
      <c r="J683" s="59" t="str">
        <f>IF([2]道具信息!J683="","",[2]道具信息!J683)</f>
        <v/>
      </c>
      <c r="K683" s="59" t="str">
        <f>IF([2]道具信息!K683="","",[2]道具信息!K683)</f>
        <v/>
      </c>
      <c r="L683" s="59" t="str">
        <f>IF([2]道具信息!L683="","",[2]道具信息!L683)</f>
        <v/>
      </c>
      <c r="M683" s="59" t="str">
        <f>IF([2]道具信息!M683="","",[2]道具信息!M683)</f>
        <v/>
      </c>
      <c r="N683" s="59" t="str">
        <f>IF([2]道具信息!N683="","",[2]道具信息!N683)</f>
        <v/>
      </c>
      <c r="O683" s="59" t="str">
        <f>IF([2]道具信息!O683="","",[2]道具信息!O683)</f>
        <v/>
      </c>
      <c r="P683" s="59" t="str">
        <f>IF([2]道具信息!P683="","",[2]道具信息!P683)</f>
        <v/>
      </c>
      <c r="Q683" s="59" t="str">
        <f>IF([2]道具信息!Q683="","",[2]道具信息!Q683)</f>
        <v/>
      </c>
      <c r="R683" s="59" t="str">
        <f>IF([2]道具信息!R683="","",[2]道具信息!R683)</f>
        <v/>
      </c>
      <c r="S683" s="59" t="str">
        <f>IF([2]道具信息!S683="","",[2]道具信息!S683)</f>
        <v/>
      </c>
      <c r="T683" s="59" t="str">
        <f>IF([2]道具信息!T683="","",[2]道具信息!T683)</f>
        <v/>
      </c>
      <c r="U683" s="59" t="str">
        <f>IF([2]道具信息!U683="","",[2]道具信息!U683)</f>
        <v/>
      </c>
      <c r="V683" s="59" t="str">
        <f>IF([2]道具信息!V683="","",[2]道具信息!V683)</f>
        <v/>
      </c>
      <c r="W683" s="59" t="str">
        <f>IF([2]道具信息!W683="","",[2]道具信息!W683)</f>
        <v/>
      </c>
      <c r="X683" s="59" t="str">
        <f>IF([2]道具信息!X683="","",[2]道具信息!X683)</f>
        <v/>
      </c>
      <c r="Y683" s="59" t="str">
        <f>IF([2]道具信息!Y683="","",[2]道具信息!Y683)</f>
        <v/>
      </c>
      <c r="Z683" s="59" t="str">
        <f>IF([2]道具信息!Z683="","",[2]道具信息!Z683)</f>
        <v/>
      </c>
    </row>
    <row r="684" spans="1:26" x14ac:dyDescent="0.15">
      <c r="A684" s="59" t="str">
        <f>IF([2]道具信息!A684="","",[2]道具信息!A684)</f>
        <v/>
      </c>
      <c r="B684" s="59" t="str">
        <f>IF([2]道具信息!B684="","",[2]道具信息!B684)</f>
        <v/>
      </c>
      <c r="C684" s="59" t="str">
        <f>IF([2]道具信息!C684="","",[2]道具信息!C684)</f>
        <v/>
      </c>
      <c r="D684" s="59" t="str">
        <f>IF([2]道具信息!D684="","",[2]道具信息!D684)</f>
        <v/>
      </c>
      <c r="E684" s="59" t="str">
        <f>IF([2]道具信息!E684="","",[2]道具信息!E684)</f>
        <v/>
      </c>
      <c r="F684" s="59" t="str">
        <f>IF([2]道具信息!F684="","",[2]道具信息!F684)</f>
        <v/>
      </c>
      <c r="G684" s="59" t="str">
        <f>IF([2]道具信息!G684="","",[2]道具信息!G684)</f>
        <v/>
      </c>
      <c r="H684" s="59" t="str">
        <f>IF([2]道具信息!H684="","",[2]道具信息!H684)</f>
        <v/>
      </c>
      <c r="I684" s="59" t="str">
        <f>IF([2]道具信息!I684="","",[2]道具信息!I684)</f>
        <v/>
      </c>
      <c r="J684" s="59" t="str">
        <f>IF([2]道具信息!J684="","",[2]道具信息!J684)</f>
        <v/>
      </c>
      <c r="K684" s="59" t="str">
        <f>IF([2]道具信息!K684="","",[2]道具信息!K684)</f>
        <v/>
      </c>
      <c r="L684" s="59" t="str">
        <f>IF([2]道具信息!L684="","",[2]道具信息!L684)</f>
        <v/>
      </c>
      <c r="M684" s="59" t="str">
        <f>IF([2]道具信息!M684="","",[2]道具信息!M684)</f>
        <v/>
      </c>
      <c r="N684" s="59" t="str">
        <f>IF([2]道具信息!N684="","",[2]道具信息!N684)</f>
        <v/>
      </c>
      <c r="O684" s="59" t="str">
        <f>IF([2]道具信息!O684="","",[2]道具信息!O684)</f>
        <v/>
      </c>
      <c r="P684" s="59" t="str">
        <f>IF([2]道具信息!P684="","",[2]道具信息!P684)</f>
        <v/>
      </c>
      <c r="Q684" s="59" t="str">
        <f>IF([2]道具信息!Q684="","",[2]道具信息!Q684)</f>
        <v/>
      </c>
      <c r="R684" s="59" t="str">
        <f>IF([2]道具信息!R684="","",[2]道具信息!R684)</f>
        <v/>
      </c>
      <c r="S684" s="59" t="str">
        <f>IF([2]道具信息!S684="","",[2]道具信息!S684)</f>
        <v/>
      </c>
      <c r="T684" s="59" t="str">
        <f>IF([2]道具信息!T684="","",[2]道具信息!T684)</f>
        <v/>
      </c>
      <c r="U684" s="59" t="str">
        <f>IF([2]道具信息!U684="","",[2]道具信息!U684)</f>
        <v/>
      </c>
      <c r="V684" s="59" t="str">
        <f>IF([2]道具信息!V684="","",[2]道具信息!V684)</f>
        <v/>
      </c>
      <c r="W684" s="59" t="str">
        <f>IF([2]道具信息!W684="","",[2]道具信息!W684)</f>
        <v/>
      </c>
      <c r="X684" s="59" t="str">
        <f>IF([2]道具信息!X684="","",[2]道具信息!X684)</f>
        <v/>
      </c>
      <c r="Y684" s="59" t="str">
        <f>IF([2]道具信息!Y684="","",[2]道具信息!Y684)</f>
        <v/>
      </c>
      <c r="Z684" s="59" t="str">
        <f>IF([2]道具信息!Z684="","",[2]道具信息!Z684)</f>
        <v/>
      </c>
    </row>
    <row r="685" spans="1:26" x14ac:dyDescent="0.15">
      <c r="A685" s="59" t="str">
        <f>IF([2]道具信息!A685="","",[2]道具信息!A685)</f>
        <v/>
      </c>
      <c r="B685" s="59" t="str">
        <f>IF([2]道具信息!B685="","",[2]道具信息!B685)</f>
        <v/>
      </c>
      <c r="C685" s="59" t="str">
        <f>IF([2]道具信息!C685="","",[2]道具信息!C685)</f>
        <v/>
      </c>
      <c r="D685" s="59" t="str">
        <f>IF([2]道具信息!D685="","",[2]道具信息!D685)</f>
        <v/>
      </c>
      <c r="E685" s="59" t="str">
        <f>IF([2]道具信息!E685="","",[2]道具信息!E685)</f>
        <v/>
      </c>
      <c r="F685" s="59" t="str">
        <f>IF([2]道具信息!F685="","",[2]道具信息!F685)</f>
        <v/>
      </c>
      <c r="G685" s="59" t="str">
        <f>IF([2]道具信息!G685="","",[2]道具信息!G685)</f>
        <v/>
      </c>
      <c r="H685" s="59" t="str">
        <f>IF([2]道具信息!H685="","",[2]道具信息!H685)</f>
        <v/>
      </c>
      <c r="I685" s="59" t="str">
        <f>IF([2]道具信息!I685="","",[2]道具信息!I685)</f>
        <v/>
      </c>
      <c r="J685" s="59" t="str">
        <f>IF([2]道具信息!J685="","",[2]道具信息!J685)</f>
        <v/>
      </c>
      <c r="K685" s="59" t="str">
        <f>IF([2]道具信息!K685="","",[2]道具信息!K685)</f>
        <v/>
      </c>
      <c r="L685" s="59" t="str">
        <f>IF([2]道具信息!L685="","",[2]道具信息!L685)</f>
        <v/>
      </c>
      <c r="M685" s="59" t="str">
        <f>IF([2]道具信息!M685="","",[2]道具信息!M685)</f>
        <v/>
      </c>
      <c r="N685" s="59" t="str">
        <f>IF([2]道具信息!N685="","",[2]道具信息!N685)</f>
        <v/>
      </c>
      <c r="O685" s="59" t="str">
        <f>IF([2]道具信息!O685="","",[2]道具信息!O685)</f>
        <v/>
      </c>
      <c r="P685" s="59" t="str">
        <f>IF([2]道具信息!P685="","",[2]道具信息!P685)</f>
        <v/>
      </c>
      <c r="Q685" s="59" t="str">
        <f>IF([2]道具信息!Q685="","",[2]道具信息!Q685)</f>
        <v/>
      </c>
      <c r="R685" s="59" t="str">
        <f>IF([2]道具信息!R685="","",[2]道具信息!R685)</f>
        <v/>
      </c>
      <c r="S685" s="59" t="str">
        <f>IF([2]道具信息!S685="","",[2]道具信息!S685)</f>
        <v/>
      </c>
      <c r="T685" s="59" t="str">
        <f>IF([2]道具信息!T685="","",[2]道具信息!T685)</f>
        <v/>
      </c>
      <c r="U685" s="59" t="str">
        <f>IF([2]道具信息!U685="","",[2]道具信息!U685)</f>
        <v/>
      </c>
      <c r="V685" s="59" t="str">
        <f>IF([2]道具信息!V685="","",[2]道具信息!V685)</f>
        <v/>
      </c>
      <c r="W685" s="59" t="str">
        <f>IF([2]道具信息!W685="","",[2]道具信息!W685)</f>
        <v/>
      </c>
      <c r="X685" s="59" t="str">
        <f>IF([2]道具信息!X685="","",[2]道具信息!X685)</f>
        <v/>
      </c>
      <c r="Y685" s="59" t="str">
        <f>IF([2]道具信息!Y685="","",[2]道具信息!Y685)</f>
        <v/>
      </c>
      <c r="Z685" s="59" t="str">
        <f>IF([2]道具信息!Z685="","",[2]道具信息!Z685)</f>
        <v/>
      </c>
    </row>
    <row r="686" spans="1:26" x14ac:dyDescent="0.15">
      <c r="A686" s="59" t="str">
        <f>IF([2]道具信息!A686="","",[2]道具信息!A686)</f>
        <v/>
      </c>
      <c r="B686" s="59" t="str">
        <f>IF([2]道具信息!B686="","",[2]道具信息!B686)</f>
        <v/>
      </c>
      <c r="C686" s="59" t="str">
        <f>IF([2]道具信息!C686="","",[2]道具信息!C686)</f>
        <v/>
      </c>
      <c r="D686" s="59" t="str">
        <f>IF([2]道具信息!D686="","",[2]道具信息!D686)</f>
        <v/>
      </c>
      <c r="E686" s="59" t="str">
        <f>IF([2]道具信息!E686="","",[2]道具信息!E686)</f>
        <v/>
      </c>
      <c r="F686" s="59" t="str">
        <f>IF([2]道具信息!F686="","",[2]道具信息!F686)</f>
        <v/>
      </c>
      <c r="G686" s="59" t="str">
        <f>IF([2]道具信息!G686="","",[2]道具信息!G686)</f>
        <v/>
      </c>
      <c r="H686" s="59" t="str">
        <f>IF([2]道具信息!H686="","",[2]道具信息!H686)</f>
        <v/>
      </c>
      <c r="I686" s="59" t="str">
        <f>IF([2]道具信息!I686="","",[2]道具信息!I686)</f>
        <v/>
      </c>
      <c r="J686" s="59" t="str">
        <f>IF([2]道具信息!J686="","",[2]道具信息!J686)</f>
        <v/>
      </c>
      <c r="K686" s="59" t="str">
        <f>IF([2]道具信息!K686="","",[2]道具信息!K686)</f>
        <v/>
      </c>
      <c r="L686" s="59" t="str">
        <f>IF([2]道具信息!L686="","",[2]道具信息!L686)</f>
        <v/>
      </c>
      <c r="M686" s="59" t="str">
        <f>IF([2]道具信息!M686="","",[2]道具信息!M686)</f>
        <v/>
      </c>
      <c r="N686" s="59" t="str">
        <f>IF([2]道具信息!N686="","",[2]道具信息!N686)</f>
        <v/>
      </c>
      <c r="O686" s="59" t="str">
        <f>IF([2]道具信息!O686="","",[2]道具信息!O686)</f>
        <v/>
      </c>
      <c r="P686" s="59" t="str">
        <f>IF([2]道具信息!P686="","",[2]道具信息!P686)</f>
        <v/>
      </c>
      <c r="Q686" s="59" t="str">
        <f>IF([2]道具信息!Q686="","",[2]道具信息!Q686)</f>
        <v/>
      </c>
      <c r="R686" s="59" t="str">
        <f>IF([2]道具信息!R686="","",[2]道具信息!R686)</f>
        <v/>
      </c>
      <c r="S686" s="59" t="str">
        <f>IF([2]道具信息!S686="","",[2]道具信息!S686)</f>
        <v/>
      </c>
      <c r="T686" s="59" t="str">
        <f>IF([2]道具信息!T686="","",[2]道具信息!T686)</f>
        <v/>
      </c>
      <c r="U686" s="59" t="str">
        <f>IF([2]道具信息!U686="","",[2]道具信息!U686)</f>
        <v/>
      </c>
      <c r="V686" s="59" t="str">
        <f>IF([2]道具信息!V686="","",[2]道具信息!V686)</f>
        <v/>
      </c>
      <c r="W686" s="59" t="str">
        <f>IF([2]道具信息!W686="","",[2]道具信息!W686)</f>
        <v/>
      </c>
      <c r="X686" s="59" t="str">
        <f>IF([2]道具信息!X686="","",[2]道具信息!X686)</f>
        <v/>
      </c>
      <c r="Y686" s="59" t="str">
        <f>IF([2]道具信息!Y686="","",[2]道具信息!Y686)</f>
        <v/>
      </c>
      <c r="Z686" s="59" t="str">
        <f>IF([2]道具信息!Z686="","",[2]道具信息!Z686)</f>
        <v/>
      </c>
    </row>
    <row r="687" spans="1:26" x14ac:dyDescent="0.15">
      <c r="A687" s="59" t="str">
        <f>IF([2]道具信息!A687="","",[2]道具信息!A687)</f>
        <v/>
      </c>
      <c r="B687" s="59" t="str">
        <f>IF([2]道具信息!B687="","",[2]道具信息!B687)</f>
        <v/>
      </c>
      <c r="C687" s="59" t="str">
        <f>IF([2]道具信息!C687="","",[2]道具信息!C687)</f>
        <v/>
      </c>
      <c r="D687" s="59" t="str">
        <f>IF([2]道具信息!D687="","",[2]道具信息!D687)</f>
        <v/>
      </c>
      <c r="E687" s="59" t="str">
        <f>IF([2]道具信息!E687="","",[2]道具信息!E687)</f>
        <v/>
      </c>
      <c r="F687" s="59" t="str">
        <f>IF([2]道具信息!F687="","",[2]道具信息!F687)</f>
        <v/>
      </c>
      <c r="G687" s="59" t="str">
        <f>IF([2]道具信息!G687="","",[2]道具信息!G687)</f>
        <v/>
      </c>
      <c r="H687" s="59" t="str">
        <f>IF([2]道具信息!H687="","",[2]道具信息!H687)</f>
        <v/>
      </c>
      <c r="I687" s="59" t="str">
        <f>IF([2]道具信息!I687="","",[2]道具信息!I687)</f>
        <v/>
      </c>
      <c r="J687" s="59" t="str">
        <f>IF([2]道具信息!J687="","",[2]道具信息!J687)</f>
        <v/>
      </c>
      <c r="K687" s="59" t="str">
        <f>IF([2]道具信息!K687="","",[2]道具信息!K687)</f>
        <v/>
      </c>
      <c r="L687" s="59" t="str">
        <f>IF([2]道具信息!L687="","",[2]道具信息!L687)</f>
        <v/>
      </c>
      <c r="M687" s="59" t="str">
        <f>IF([2]道具信息!M687="","",[2]道具信息!M687)</f>
        <v/>
      </c>
      <c r="N687" s="59" t="str">
        <f>IF([2]道具信息!N687="","",[2]道具信息!N687)</f>
        <v/>
      </c>
      <c r="O687" s="59" t="str">
        <f>IF([2]道具信息!O687="","",[2]道具信息!O687)</f>
        <v/>
      </c>
      <c r="P687" s="59" t="str">
        <f>IF([2]道具信息!P687="","",[2]道具信息!P687)</f>
        <v/>
      </c>
      <c r="Q687" s="59" t="str">
        <f>IF([2]道具信息!Q687="","",[2]道具信息!Q687)</f>
        <v/>
      </c>
      <c r="R687" s="59" t="str">
        <f>IF([2]道具信息!R687="","",[2]道具信息!R687)</f>
        <v/>
      </c>
      <c r="S687" s="59" t="str">
        <f>IF([2]道具信息!S687="","",[2]道具信息!S687)</f>
        <v/>
      </c>
      <c r="T687" s="59" t="str">
        <f>IF([2]道具信息!T687="","",[2]道具信息!T687)</f>
        <v/>
      </c>
      <c r="U687" s="59" t="str">
        <f>IF([2]道具信息!U687="","",[2]道具信息!U687)</f>
        <v/>
      </c>
      <c r="V687" s="59" t="str">
        <f>IF([2]道具信息!V687="","",[2]道具信息!V687)</f>
        <v/>
      </c>
      <c r="W687" s="59" t="str">
        <f>IF([2]道具信息!W687="","",[2]道具信息!W687)</f>
        <v/>
      </c>
      <c r="X687" s="59" t="str">
        <f>IF([2]道具信息!X687="","",[2]道具信息!X687)</f>
        <v/>
      </c>
      <c r="Y687" s="59" t="str">
        <f>IF([2]道具信息!Y687="","",[2]道具信息!Y687)</f>
        <v/>
      </c>
      <c r="Z687" s="59" t="str">
        <f>IF([2]道具信息!Z687="","",[2]道具信息!Z687)</f>
        <v/>
      </c>
    </row>
    <row r="688" spans="1:26" x14ac:dyDescent="0.15">
      <c r="A688" s="59" t="str">
        <f>IF([2]道具信息!A688="","",[2]道具信息!A688)</f>
        <v/>
      </c>
      <c r="B688" s="59" t="str">
        <f>IF([2]道具信息!B688="","",[2]道具信息!B688)</f>
        <v/>
      </c>
      <c r="C688" s="59" t="str">
        <f>IF([2]道具信息!C688="","",[2]道具信息!C688)</f>
        <v/>
      </c>
      <c r="D688" s="59" t="str">
        <f>IF([2]道具信息!D688="","",[2]道具信息!D688)</f>
        <v/>
      </c>
      <c r="E688" s="59" t="str">
        <f>IF([2]道具信息!E688="","",[2]道具信息!E688)</f>
        <v/>
      </c>
      <c r="F688" s="59" t="str">
        <f>IF([2]道具信息!F688="","",[2]道具信息!F688)</f>
        <v/>
      </c>
      <c r="G688" s="59" t="str">
        <f>IF([2]道具信息!G688="","",[2]道具信息!G688)</f>
        <v/>
      </c>
      <c r="H688" s="59" t="str">
        <f>IF([2]道具信息!H688="","",[2]道具信息!H688)</f>
        <v/>
      </c>
      <c r="I688" s="59" t="str">
        <f>IF([2]道具信息!I688="","",[2]道具信息!I688)</f>
        <v/>
      </c>
      <c r="J688" s="59" t="str">
        <f>IF([2]道具信息!J688="","",[2]道具信息!J688)</f>
        <v/>
      </c>
      <c r="K688" s="59" t="str">
        <f>IF([2]道具信息!K688="","",[2]道具信息!K688)</f>
        <v/>
      </c>
      <c r="L688" s="59" t="str">
        <f>IF([2]道具信息!L688="","",[2]道具信息!L688)</f>
        <v/>
      </c>
      <c r="M688" s="59" t="str">
        <f>IF([2]道具信息!M688="","",[2]道具信息!M688)</f>
        <v/>
      </c>
      <c r="N688" s="59" t="str">
        <f>IF([2]道具信息!N688="","",[2]道具信息!N688)</f>
        <v/>
      </c>
      <c r="O688" s="59" t="str">
        <f>IF([2]道具信息!O688="","",[2]道具信息!O688)</f>
        <v/>
      </c>
      <c r="P688" s="59" t="str">
        <f>IF([2]道具信息!P688="","",[2]道具信息!P688)</f>
        <v/>
      </c>
      <c r="Q688" s="59" t="str">
        <f>IF([2]道具信息!Q688="","",[2]道具信息!Q688)</f>
        <v/>
      </c>
      <c r="R688" s="59" t="str">
        <f>IF([2]道具信息!R688="","",[2]道具信息!R688)</f>
        <v/>
      </c>
      <c r="S688" s="59" t="str">
        <f>IF([2]道具信息!S688="","",[2]道具信息!S688)</f>
        <v/>
      </c>
      <c r="T688" s="59" t="str">
        <f>IF([2]道具信息!T688="","",[2]道具信息!T688)</f>
        <v/>
      </c>
      <c r="U688" s="59" t="str">
        <f>IF([2]道具信息!U688="","",[2]道具信息!U688)</f>
        <v/>
      </c>
      <c r="V688" s="59" t="str">
        <f>IF([2]道具信息!V688="","",[2]道具信息!V688)</f>
        <v/>
      </c>
      <c r="W688" s="59" t="str">
        <f>IF([2]道具信息!W688="","",[2]道具信息!W688)</f>
        <v/>
      </c>
      <c r="X688" s="59" t="str">
        <f>IF([2]道具信息!X688="","",[2]道具信息!X688)</f>
        <v/>
      </c>
      <c r="Y688" s="59" t="str">
        <f>IF([2]道具信息!Y688="","",[2]道具信息!Y688)</f>
        <v/>
      </c>
      <c r="Z688" s="59" t="str">
        <f>IF([2]道具信息!Z688="","",[2]道具信息!Z688)</f>
        <v/>
      </c>
    </row>
    <row r="689" spans="1:26" x14ac:dyDescent="0.15">
      <c r="A689" s="59" t="str">
        <f>IF([2]道具信息!A689="","",[2]道具信息!A689)</f>
        <v/>
      </c>
      <c r="B689" s="59" t="str">
        <f>IF([2]道具信息!B689="","",[2]道具信息!B689)</f>
        <v/>
      </c>
      <c r="C689" s="59" t="str">
        <f>IF([2]道具信息!C689="","",[2]道具信息!C689)</f>
        <v/>
      </c>
      <c r="D689" s="59" t="str">
        <f>IF([2]道具信息!D689="","",[2]道具信息!D689)</f>
        <v/>
      </c>
      <c r="E689" s="59" t="str">
        <f>IF([2]道具信息!E689="","",[2]道具信息!E689)</f>
        <v/>
      </c>
      <c r="F689" s="59" t="str">
        <f>IF([2]道具信息!F689="","",[2]道具信息!F689)</f>
        <v/>
      </c>
      <c r="G689" s="59" t="str">
        <f>IF([2]道具信息!G689="","",[2]道具信息!G689)</f>
        <v/>
      </c>
      <c r="H689" s="59" t="str">
        <f>IF([2]道具信息!H689="","",[2]道具信息!H689)</f>
        <v/>
      </c>
      <c r="I689" s="59" t="str">
        <f>IF([2]道具信息!I689="","",[2]道具信息!I689)</f>
        <v/>
      </c>
      <c r="J689" s="59" t="str">
        <f>IF([2]道具信息!J689="","",[2]道具信息!J689)</f>
        <v/>
      </c>
      <c r="K689" s="59" t="str">
        <f>IF([2]道具信息!K689="","",[2]道具信息!K689)</f>
        <v/>
      </c>
      <c r="L689" s="59" t="str">
        <f>IF([2]道具信息!L689="","",[2]道具信息!L689)</f>
        <v/>
      </c>
      <c r="M689" s="59" t="str">
        <f>IF([2]道具信息!M689="","",[2]道具信息!M689)</f>
        <v/>
      </c>
      <c r="N689" s="59" t="str">
        <f>IF([2]道具信息!N689="","",[2]道具信息!N689)</f>
        <v/>
      </c>
      <c r="O689" s="59" t="str">
        <f>IF([2]道具信息!O689="","",[2]道具信息!O689)</f>
        <v/>
      </c>
      <c r="P689" s="59" t="str">
        <f>IF([2]道具信息!P689="","",[2]道具信息!P689)</f>
        <v/>
      </c>
      <c r="Q689" s="59" t="str">
        <f>IF([2]道具信息!Q689="","",[2]道具信息!Q689)</f>
        <v/>
      </c>
      <c r="R689" s="59" t="str">
        <f>IF([2]道具信息!R689="","",[2]道具信息!R689)</f>
        <v/>
      </c>
      <c r="S689" s="59" t="str">
        <f>IF([2]道具信息!S689="","",[2]道具信息!S689)</f>
        <v/>
      </c>
      <c r="T689" s="59" t="str">
        <f>IF([2]道具信息!T689="","",[2]道具信息!T689)</f>
        <v/>
      </c>
      <c r="U689" s="59" t="str">
        <f>IF([2]道具信息!U689="","",[2]道具信息!U689)</f>
        <v/>
      </c>
      <c r="V689" s="59" t="str">
        <f>IF([2]道具信息!V689="","",[2]道具信息!V689)</f>
        <v/>
      </c>
      <c r="W689" s="59" t="str">
        <f>IF([2]道具信息!W689="","",[2]道具信息!W689)</f>
        <v/>
      </c>
      <c r="X689" s="59" t="str">
        <f>IF([2]道具信息!X689="","",[2]道具信息!X689)</f>
        <v/>
      </c>
      <c r="Y689" s="59" t="str">
        <f>IF([2]道具信息!Y689="","",[2]道具信息!Y689)</f>
        <v/>
      </c>
      <c r="Z689" s="59" t="str">
        <f>IF([2]道具信息!Z689="","",[2]道具信息!Z689)</f>
        <v/>
      </c>
    </row>
    <row r="690" spans="1:26" x14ac:dyDescent="0.15">
      <c r="A690" s="59" t="str">
        <f>IF([2]道具信息!A690="","",[2]道具信息!A690)</f>
        <v/>
      </c>
      <c r="B690" s="59" t="str">
        <f>IF([2]道具信息!B690="","",[2]道具信息!B690)</f>
        <v/>
      </c>
      <c r="C690" s="59" t="str">
        <f>IF([2]道具信息!C690="","",[2]道具信息!C690)</f>
        <v/>
      </c>
      <c r="D690" s="59" t="str">
        <f>IF([2]道具信息!D690="","",[2]道具信息!D690)</f>
        <v/>
      </c>
      <c r="E690" s="59" t="str">
        <f>IF([2]道具信息!E690="","",[2]道具信息!E690)</f>
        <v/>
      </c>
      <c r="F690" s="59" t="str">
        <f>IF([2]道具信息!F690="","",[2]道具信息!F690)</f>
        <v/>
      </c>
      <c r="G690" s="59" t="str">
        <f>IF([2]道具信息!G690="","",[2]道具信息!G690)</f>
        <v/>
      </c>
      <c r="H690" s="59" t="str">
        <f>IF([2]道具信息!H690="","",[2]道具信息!H690)</f>
        <v/>
      </c>
      <c r="I690" s="59" t="str">
        <f>IF([2]道具信息!I690="","",[2]道具信息!I690)</f>
        <v/>
      </c>
      <c r="J690" s="59" t="str">
        <f>IF([2]道具信息!J690="","",[2]道具信息!J690)</f>
        <v/>
      </c>
      <c r="K690" s="59" t="str">
        <f>IF([2]道具信息!K690="","",[2]道具信息!K690)</f>
        <v/>
      </c>
      <c r="L690" s="59" t="str">
        <f>IF([2]道具信息!L690="","",[2]道具信息!L690)</f>
        <v/>
      </c>
      <c r="M690" s="59" t="str">
        <f>IF([2]道具信息!M690="","",[2]道具信息!M690)</f>
        <v/>
      </c>
      <c r="N690" s="59" t="str">
        <f>IF([2]道具信息!N690="","",[2]道具信息!N690)</f>
        <v/>
      </c>
      <c r="O690" s="59" t="str">
        <f>IF([2]道具信息!O690="","",[2]道具信息!O690)</f>
        <v/>
      </c>
      <c r="P690" s="59" t="str">
        <f>IF([2]道具信息!P690="","",[2]道具信息!P690)</f>
        <v/>
      </c>
      <c r="Q690" s="59" t="str">
        <f>IF([2]道具信息!Q690="","",[2]道具信息!Q690)</f>
        <v/>
      </c>
      <c r="R690" s="59" t="str">
        <f>IF([2]道具信息!R690="","",[2]道具信息!R690)</f>
        <v/>
      </c>
      <c r="S690" s="59" t="str">
        <f>IF([2]道具信息!S690="","",[2]道具信息!S690)</f>
        <v/>
      </c>
      <c r="T690" s="59" t="str">
        <f>IF([2]道具信息!T690="","",[2]道具信息!T690)</f>
        <v/>
      </c>
      <c r="U690" s="59" t="str">
        <f>IF([2]道具信息!U690="","",[2]道具信息!U690)</f>
        <v/>
      </c>
      <c r="V690" s="59" t="str">
        <f>IF([2]道具信息!V690="","",[2]道具信息!V690)</f>
        <v/>
      </c>
      <c r="W690" s="59" t="str">
        <f>IF([2]道具信息!W690="","",[2]道具信息!W690)</f>
        <v/>
      </c>
      <c r="X690" s="59" t="str">
        <f>IF([2]道具信息!X690="","",[2]道具信息!X690)</f>
        <v/>
      </c>
      <c r="Y690" s="59" t="str">
        <f>IF([2]道具信息!Y690="","",[2]道具信息!Y690)</f>
        <v/>
      </c>
      <c r="Z690" s="59" t="str">
        <f>IF([2]道具信息!Z690="","",[2]道具信息!Z690)</f>
        <v/>
      </c>
    </row>
    <row r="691" spans="1:26" x14ac:dyDescent="0.15">
      <c r="A691" s="59" t="str">
        <f>IF([2]道具信息!A691="","",[2]道具信息!A691)</f>
        <v/>
      </c>
      <c r="B691" s="59" t="str">
        <f>IF([2]道具信息!B691="","",[2]道具信息!B691)</f>
        <v/>
      </c>
      <c r="C691" s="59" t="str">
        <f>IF([2]道具信息!C691="","",[2]道具信息!C691)</f>
        <v/>
      </c>
      <c r="D691" s="59" t="str">
        <f>IF([2]道具信息!D691="","",[2]道具信息!D691)</f>
        <v/>
      </c>
      <c r="E691" s="59" t="str">
        <f>IF([2]道具信息!E691="","",[2]道具信息!E691)</f>
        <v/>
      </c>
      <c r="F691" s="59" t="str">
        <f>IF([2]道具信息!F691="","",[2]道具信息!F691)</f>
        <v/>
      </c>
      <c r="G691" s="59" t="str">
        <f>IF([2]道具信息!G691="","",[2]道具信息!G691)</f>
        <v/>
      </c>
      <c r="H691" s="59" t="str">
        <f>IF([2]道具信息!H691="","",[2]道具信息!H691)</f>
        <v/>
      </c>
      <c r="I691" s="59" t="str">
        <f>IF([2]道具信息!I691="","",[2]道具信息!I691)</f>
        <v/>
      </c>
      <c r="J691" s="59" t="str">
        <f>IF([2]道具信息!J691="","",[2]道具信息!J691)</f>
        <v/>
      </c>
      <c r="K691" s="59" t="str">
        <f>IF([2]道具信息!K691="","",[2]道具信息!K691)</f>
        <v/>
      </c>
      <c r="L691" s="59" t="str">
        <f>IF([2]道具信息!L691="","",[2]道具信息!L691)</f>
        <v/>
      </c>
      <c r="M691" s="59" t="str">
        <f>IF([2]道具信息!M691="","",[2]道具信息!M691)</f>
        <v/>
      </c>
      <c r="N691" s="59" t="str">
        <f>IF([2]道具信息!N691="","",[2]道具信息!N691)</f>
        <v/>
      </c>
      <c r="O691" s="59" t="str">
        <f>IF([2]道具信息!O691="","",[2]道具信息!O691)</f>
        <v/>
      </c>
      <c r="P691" s="59" t="str">
        <f>IF([2]道具信息!P691="","",[2]道具信息!P691)</f>
        <v/>
      </c>
      <c r="Q691" s="59" t="str">
        <f>IF([2]道具信息!Q691="","",[2]道具信息!Q691)</f>
        <v/>
      </c>
      <c r="R691" s="59" t="str">
        <f>IF([2]道具信息!R691="","",[2]道具信息!R691)</f>
        <v/>
      </c>
      <c r="S691" s="59" t="str">
        <f>IF([2]道具信息!S691="","",[2]道具信息!S691)</f>
        <v/>
      </c>
      <c r="T691" s="59" t="str">
        <f>IF([2]道具信息!T691="","",[2]道具信息!T691)</f>
        <v/>
      </c>
      <c r="U691" s="59" t="str">
        <f>IF([2]道具信息!U691="","",[2]道具信息!U691)</f>
        <v/>
      </c>
      <c r="V691" s="59" t="str">
        <f>IF([2]道具信息!V691="","",[2]道具信息!V691)</f>
        <v/>
      </c>
      <c r="W691" s="59" t="str">
        <f>IF([2]道具信息!W691="","",[2]道具信息!W691)</f>
        <v/>
      </c>
      <c r="X691" s="59" t="str">
        <f>IF([2]道具信息!X691="","",[2]道具信息!X691)</f>
        <v/>
      </c>
      <c r="Y691" s="59" t="str">
        <f>IF([2]道具信息!Y691="","",[2]道具信息!Y691)</f>
        <v/>
      </c>
      <c r="Z691" s="59" t="str">
        <f>IF([2]道具信息!Z691="","",[2]道具信息!Z691)</f>
        <v/>
      </c>
    </row>
    <row r="692" spans="1:26" x14ac:dyDescent="0.15">
      <c r="A692" s="59" t="str">
        <f>IF([2]道具信息!A692="","",[2]道具信息!A692)</f>
        <v/>
      </c>
      <c r="B692" s="59" t="str">
        <f>IF([2]道具信息!B692="","",[2]道具信息!B692)</f>
        <v/>
      </c>
      <c r="C692" s="59" t="str">
        <f>IF([2]道具信息!C692="","",[2]道具信息!C692)</f>
        <v/>
      </c>
      <c r="D692" s="59" t="str">
        <f>IF([2]道具信息!D692="","",[2]道具信息!D692)</f>
        <v/>
      </c>
      <c r="E692" s="59" t="str">
        <f>IF([2]道具信息!E692="","",[2]道具信息!E692)</f>
        <v/>
      </c>
      <c r="F692" s="59" t="str">
        <f>IF([2]道具信息!F692="","",[2]道具信息!F692)</f>
        <v/>
      </c>
      <c r="G692" s="59" t="str">
        <f>IF([2]道具信息!G692="","",[2]道具信息!G692)</f>
        <v/>
      </c>
      <c r="H692" s="59" t="str">
        <f>IF([2]道具信息!H692="","",[2]道具信息!H692)</f>
        <v/>
      </c>
      <c r="I692" s="59" t="str">
        <f>IF([2]道具信息!I692="","",[2]道具信息!I692)</f>
        <v/>
      </c>
      <c r="J692" s="59" t="str">
        <f>IF([2]道具信息!J692="","",[2]道具信息!J692)</f>
        <v/>
      </c>
      <c r="K692" s="59" t="str">
        <f>IF([2]道具信息!K692="","",[2]道具信息!K692)</f>
        <v/>
      </c>
      <c r="L692" s="59" t="str">
        <f>IF([2]道具信息!L692="","",[2]道具信息!L692)</f>
        <v/>
      </c>
      <c r="M692" s="59" t="str">
        <f>IF([2]道具信息!M692="","",[2]道具信息!M692)</f>
        <v/>
      </c>
      <c r="N692" s="59" t="str">
        <f>IF([2]道具信息!N692="","",[2]道具信息!N692)</f>
        <v/>
      </c>
      <c r="O692" s="59" t="str">
        <f>IF([2]道具信息!O692="","",[2]道具信息!O692)</f>
        <v/>
      </c>
      <c r="P692" s="59" t="str">
        <f>IF([2]道具信息!P692="","",[2]道具信息!P692)</f>
        <v/>
      </c>
      <c r="Q692" s="59" t="str">
        <f>IF([2]道具信息!Q692="","",[2]道具信息!Q692)</f>
        <v/>
      </c>
      <c r="R692" s="59" t="str">
        <f>IF([2]道具信息!R692="","",[2]道具信息!R692)</f>
        <v/>
      </c>
      <c r="S692" s="59" t="str">
        <f>IF([2]道具信息!S692="","",[2]道具信息!S692)</f>
        <v/>
      </c>
      <c r="T692" s="59" t="str">
        <f>IF([2]道具信息!T692="","",[2]道具信息!T692)</f>
        <v/>
      </c>
      <c r="U692" s="59" t="str">
        <f>IF([2]道具信息!U692="","",[2]道具信息!U692)</f>
        <v/>
      </c>
      <c r="V692" s="59" t="str">
        <f>IF([2]道具信息!V692="","",[2]道具信息!V692)</f>
        <v/>
      </c>
      <c r="W692" s="59" t="str">
        <f>IF([2]道具信息!W692="","",[2]道具信息!W692)</f>
        <v/>
      </c>
      <c r="X692" s="59" t="str">
        <f>IF([2]道具信息!X692="","",[2]道具信息!X692)</f>
        <v/>
      </c>
      <c r="Y692" s="59" t="str">
        <f>IF([2]道具信息!Y692="","",[2]道具信息!Y692)</f>
        <v/>
      </c>
      <c r="Z692" s="59" t="str">
        <f>IF([2]道具信息!Z692="","",[2]道具信息!Z692)</f>
        <v/>
      </c>
    </row>
    <row r="693" spans="1:26" x14ac:dyDescent="0.15">
      <c r="A693" s="59" t="str">
        <f>IF([2]道具信息!A693="","",[2]道具信息!A693)</f>
        <v/>
      </c>
      <c r="B693" s="59" t="str">
        <f>IF([2]道具信息!B693="","",[2]道具信息!B693)</f>
        <v/>
      </c>
      <c r="C693" s="59" t="str">
        <f>IF([2]道具信息!C693="","",[2]道具信息!C693)</f>
        <v/>
      </c>
      <c r="D693" s="59" t="str">
        <f>IF([2]道具信息!D693="","",[2]道具信息!D693)</f>
        <v/>
      </c>
      <c r="E693" s="59" t="str">
        <f>IF([2]道具信息!E693="","",[2]道具信息!E693)</f>
        <v/>
      </c>
      <c r="F693" s="59" t="str">
        <f>IF([2]道具信息!F693="","",[2]道具信息!F693)</f>
        <v/>
      </c>
      <c r="G693" s="59" t="str">
        <f>IF([2]道具信息!G693="","",[2]道具信息!G693)</f>
        <v/>
      </c>
      <c r="H693" s="59" t="str">
        <f>IF([2]道具信息!H693="","",[2]道具信息!H693)</f>
        <v/>
      </c>
      <c r="I693" s="59" t="str">
        <f>IF([2]道具信息!I693="","",[2]道具信息!I693)</f>
        <v/>
      </c>
      <c r="J693" s="59" t="str">
        <f>IF([2]道具信息!J693="","",[2]道具信息!J693)</f>
        <v/>
      </c>
      <c r="K693" s="59" t="str">
        <f>IF([2]道具信息!K693="","",[2]道具信息!K693)</f>
        <v/>
      </c>
      <c r="L693" s="59" t="str">
        <f>IF([2]道具信息!L693="","",[2]道具信息!L693)</f>
        <v/>
      </c>
      <c r="M693" s="59" t="str">
        <f>IF([2]道具信息!M693="","",[2]道具信息!M693)</f>
        <v/>
      </c>
      <c r="N693" s="59" t="str">
        <f>IF([2]道具信息!N693="","",[2]道具信息!N693)</f>
        <v/>
      </c>
      <c r="O693" s="59" t="str">
        <f>IF([2]道具信息!O693="","",[2]道具信息!O693)</f>
        <v/>
      </c>
      <c r="P693" s="59" t="str">
        <f>IF([2]道具信息!P693="","",[2]道具信息!P693)</f>
        <v/>
      </c>
      <c r="Q693" s="59" t="str">
        <f>IF([2]道具信息!Q693="","",[2]道具信息!Q693)</f>
        <v/>
      </c>
      <c r="R693" s="59" t="str">
        <f>IF([2]道具信息!R693="","",[2]道具信息!R693)</f>
        <v/>
      </c>
      <c r="S693" s="59" t="str">
        <f>IF([2]道具信息!S693="","",[2]道具信息!S693)</f>
        <v/>
      </c>
      <c r="T693" s="59" t="str">
        <f>IF([2]道具信息!T693="","",[2]道具信息!T693)</f>
        <v/>
      </c>
      <c r="U693" s="59" t="str">
        <f>IF([2]道具信息!U693="","",[2]道具信息!U693)</f>
        <v/>
      </c>
      <c r="V693" s="59" t="str">
        <f>IF([2]道具信息!V693="","",[2]道具信息!V693)</f>
        <v/>
      </c>
      <c r="W693" s="59" t="str">
        <f>IF([2]道具信息!W693="","",[2]道具信息!W693)</f>
        <v/>
      </c>
      <c r="X693" s="59" t="str">
        <f>IF([2]道具信息!X693="","",[2]道具信息!X693)</f>
        <v/>
      </c>
      <c r="Y693" s="59" t="str">
        <f>IF([2]道具信息!Y693="","",[2]道具信息!Y693)</f>
        <v/>
      </c>
      <c r="Z693" s="59" t="str">
        <f>IF([2]道具信息!Z693="","",[2]道具信息!Z693)</f>
        <v/>
      </c>
    </row>
    <row r="694" spans="1:26" x14ac:dyDescent="0.15">
      <c r="A694" s="59" t="str">
        <f>IF([2]道具信息!A694="","",[2]道具信息!A694)</f>
        <v/>
      </c>
      <c r="B694" s="59" t="str">
        <f>IF([2]道具信息!B694="","",[2]道具信息!B694)</f>
        <v/>
      </c>
      <c r="C694" s="59" t="str">
        <f>IF([2]道具信息!C694="","",[2]道具信息!C694)</f>
        <v/>
      </c>
      <c r="D694" s="59" t="str">
        <f>IF([2]道具信息!D694="","",[2]道具信息!D694)</f>
        <v/>
      </c>
      <c r="E694" s="59" t="str">
        <f>IF([2]道具信息!E694="","",[2]道具信息!E694)</f>
        <v/>
      </c>
      <c r="F694" s="59" t="str">
        <f>IF([2]道具信息!F694="","",[2]道具信息!F694)</f>
        <v/>
      </c>
      <c r="G694" s="59" t="str">
        <f>IF([2]道具信息!G694="","",[2]道具信息!G694)</f>
        <v/>
      </c>
      <c r="H694" s="59" t="str">
        <f>IF([2]道具信息!H694="","",[2]道具信息!H694)</f>
        <v/>
      </c>
      <c r="I694" s="59" t="str">
        <f>IF([2]道具信息!I694="","",[2]道具信息!I694)</f>
        <v/>
      </c>
      <c r="J694" s="59" t="str">
        <f>IF([2]道具信息!J694="","",[2]道具信息!J694)</f>
        <v/>
      </c>
      <c r="K694" s="59" t="str">
        <f>IF([2]道具信息!K694="","",[2]道具信息!K694)</f>
        <v/>
      </c>
      <c r="L694" s="59" t="str">
        <f>IF([2]道具信息!L694="","",[2]道具信息!L694)</f>
        <v/>
      </c>
      <c r="M694" s="59" t="str">
        <f>IF([2]道具信息!M694="","",[2]道具信息!M694)</f>
        <v/>
      </c>
      <c r="N694" s="59" t="str">
        <f>IF([2]道具信息!N694="","",[2]道具信息!N694)</f>
        <v/>
      </c>
      <c r="O694" s="59" t="str">
        <f>IF([2]道具信息!O694="","",[2]道具信息!O694)</f>
        <v/>
      </c>
      <c r="P694" s="59" t="str">
        <f>IF([2]道具信息!P694="","",[2]道具信息!P694)</f>
        <v/>
      </c>
      <c r="Q694" s="59" t="str">
        <f>IF([2]道具信息!Q694="","",[2]道具信息!Q694)</f>
        <v/>
      </c>
      <c r="R694" s="59" t="str">
        <f>IF([2]道具信息!R694="","",[2]道具信息!R694)</f>
        <v/>
      </c>
      <c r="S694" s="59" t="str">
        <f>IF([2]道具信息!S694="","",[2]道具信息!S694)</f>
        <v/>
      </c>
      <c r="T694" s="59" t="str">
        <f>IF([2]道具信息!T694="","",[2]道具信息!T694)</f>
        <v/>
      </c>
      <c r="U694" s="59" t="str">
        <f>IF([2]道具信息!U694="","",[2]道具信息!U694)</f>
        <v/>
      </c>
      <c r="V694" s="59" t="str">
        <f>IF([2]道具信息!V694="","",[2]道具信息!V694)</f>
        <v/>
      </c>
      <c r="W694" s="59" t="str">
        <f>IF([2]道具信息!W694="","",[2]道具信息!W694)</f>
        <v/>
      </c>
      <c r="X694" s="59" t="str">
        <f>IF([2]道具信息!X694="","",[2]道具信息!X694)</f>
        <v/>
      </c>
      <c r="Y694" s="59" t="str">
        <f>IF([2]道具信息!Y694="","",[2]道具信息!Y694)</f>
        <v/>
      </c>
      <c r="Z694" s="59" t="str">
        <f>IF([2]道具信息!Z694="","",[2]道具信息!Z694)</f>
        <v/>
      </c>
    </row>
    <row r="695" spans="1:26" x14ac:dyDescent="0.15">
      <c r="A695" s="59" t="str">
        <f>IF([2]道具信息!A695="","",[2]道具信息!A695)</f>
        <v/>
      </c>
      <c r="B695" s="59" t="str">
        <f>IF([2]道具信息!B695="","",[2]道具信息!B695)</f>
        <v/>
      </c>
      <c r="C695" s="59" t="str">
        <f>IF([2]道具信息!C695="","",[2]道具信息!C695)</f>
        <v/>
      </c>
      <c r="D695" s="59" t="str">
        <f>IF([2]道具信息!D695="","",[2]道具信息!D695)</f>
        <v/>
      </c>
      <c r="E695" s="59" t="str">
        <f>IF([2]道具信息!E695="","",[2]道具信息!E695)</f>
        <v/>
      </c>
      <c r="F695" s="59" t="str">
        <f>IF([2]道具信息!F695="","",[2]道具信息!F695)</f>
        <v/>
      </c>
      <c r="G695" s="59" t="str">
        <f>IF([2]道具信息!G695="","",[2]道具信息!G695)</f>
        <v/>
      </c>
      <c r="H695" s="59" t="str">
        <f>IF([2]道具信息!H695="","",[2]道具信息!H695)</f>
        <v/>
      </c>
      <c r="I695" s="59" t="str">
        <f>IF([2]道具信息!I695="","",[2]道具信息!I695)</f>
        <v/>
      </c>
      <c r="J695" s="59" t="str">
        <f>IF([2]道具信息!J695="","",[2]道具信息!J695)</f>
        <v/>
      </c>
      <c r="K695" s="59" t="str">
        <f>IF([2]道具信息!K695="","",[2]道具信息!K695)</f>
        <v/>
      </c>
      <c r="L695" s="59" t="str">
        <f>IF([2]道具信息!L695="","",[2]道具信息!L695)</f>
        <v/>
      </c>
      <c r="M695" s="59" t="str">
        <f>IF([2]道具信息!M695="","",[2]道具信息!M695)</f>
        <v/>
      </c>
      <c r="N695" s="59" t="str">
        <f>IF([2]道具信息!N695="","",[2]道具信息!N695)</f>
        <v/>
      </c>
      <c r="O695" s="59" t="str">
        <f>IF([2]道具信息!O695="","",[2]道具信息!O695)</f>
        <v/>
      </c>
      <c r="P695" s="59" t="str">
        <f>IF([2]道具信息!P695="","",[2]道具信息!P695)</f>
        <v/>
      </c>
      <c r="Q695" s="59" t="str">
        <f>IF([2]道具信息!Q695="","",[2]道具信息!Q695)</f>
        <v/>
      </c>
      <c r="R695" s="59" t="str">
        <f>IF([2]道具信息!R695="","",[2]道具信息!R695)</f>
        <v/>
      </c>
      <c r="S695" s="59" t="str">
        <f>IF([2]道具信息!S695="","",[2]道具信息!S695)</f>
        <v/>
      </c>
      <c r="T695" s="59" t="str">
        <f>IF([2]道具信息!T695="","",[2]道具信息!T695)</f>
        <v/>
      </c>
      <c r="U695" s="59" t="str">
        <f>IF([2]道具信息!U695="","",[2]道具信息!U695)</f>
        <v/>
      </c>
      <c r="V695" s="59" t="str">
        <f>IF([2]道具信息!V695="","",[2]道具信息!V695)</f>
        <v/>
      </c>
      <c r="W695" s="59" t="str">
        <f>IF([2]道具信息!W695="","",[2]道具信息!W695)</f>
        <v/>
      </c>
      <c r="X695" s="59" t="str">
        <f>IF([2]道具信息!X695="","",[2]道具信息!X695)</f>
        <v/>
      </c>
      <c r="Y695" s="59" t="str">
        <f>IF([2]道具信息!Y695="","",[2]道具信息!Y695)</f>
        <v/>
      </c>
      <c r="Z695" s="59" t="str">
        <f>IF([2]道具信息!Z695="","",[2]道具信息!Z695)</f>
        <v/>
      </c>
    </row>
    <row r="696" spans="1:26" x14ac:dyDescent="0.15">
      <c r="A696" s="59" t="str">
        <f>IF([2]道具信息!A696="","",[2]道具信息!A696)</f>
        <v/>
      </c>
      <c r="B696" s="59" t="str">
        <f>IF([2]道具信息!B696="","",[2]道具信息!B696)</f>
        <v/>
      </c>
      <c r="C696" s="59" t="str">
        <f>IF([2]道具信息!C696="","",[2]道具信息!C696)</f>
        <v/>
      </c>
      <c r="D696" s="59" t="str">
        <f>IF([2]道具信息!D696="","",[2]道具信息!D696)</f>
        <v/>
      </c>
      <c r="E696" s="59" t="str">
        <f>IF([2]道具信息!E696="","",[2]道具信息!E696)</f>
        <v/>
      </c>
      <c r="F696" s="59" t="str">
        <f>IF([2]道具信息!F696="","",[2]道具信息!F696)</f>
        <v/>
      </c>
      <c r="G696" s="59" t="str">
        <f>IF([2]道具信息!G696="","",[2]道具信息!G696)</f>
        <v/>
      </c>
      <c r="H696" s="59" t="str">
        <f>IF([2]道具信息!H696="","",[2]道具信息!H696)</f>
        <v/>
      </c>
      <c r="I696" s="59" t="str">
        <f>IF([2]道具信息!I696="","",[2]道具信息!I696)</f>
        <v/>
      </c>
      <c r="J696" s="59" t="str">
        <f>IF([2]道具信息!J696="","",[2]道具信息!J696)</f>
        <v/>
      </c>
      <c r="K696" s="59" t="str">
        <f>IF([2]道具信息!K696="","",[2]道具信息!K696)</f>
        <v/>
      </c>
      <c r="L696" s="59" t="str">
        <f>IF([2]道具信息!L696="","",[2]道具信息!L696)</f>
        <v/>
      </c>
      <c r="M696" s="59" t="str">
        <f>IF([2]道具信息!M696="","",[2]道具信息!M696)</f>
        <v/>
      </c>
      <c r="N696" s="59" t="str">
        <f>IF([2]道具信息!N696="","",[2]道具信息!N696)</f>
        <v/>
      </c>
      <c r="O696" s="59" t="str">
        <f>IF([2]道具信息!O696="","",[2]道具信息!O696)</f>
        <v/>
      </c>
      <c r="P696" s="59" t="str">
        <f>IF([2]道具信息!P696="","",[2]道具信息!P696)</f>
        <v/>
      </c>
      <c r="Q696" s="59" t="str">
        <f>IF([2]道具信息!Q696="","",[2]道具信息!Q696)</f>
        <v/>
      </c>
      <c r="R696" s="59" t="str">
        <f>IF([2]道具信息!R696="","",[2]道具信息!R696)</f>
        <v/>
      </c>
      <c r="S696" s="59" t="str">
        <f>IF([2]道具信息!S696="","",[2]道具信息!S696)</f>
        <v/>
      </c>
      <c r="T696" s="59" t="str">
        <f>IF([2]道具信息!T696="","",[2]道具信息!T696)</f>
        <v/>
      </c>
      <c r="U696" s="59" t="str">
        <f>IF([2]道具信息!U696="","",[2]道具信息!U696)</f>
        <v/>
      </c>
      <c r="V696" s="59" t="str">
        <f>IF([2]道具信息!V696="","",[2]道具信息!V696)</f>
        <v/>
      </c>
      <c r="W696" s="59" t="str">
        <f>IF([2]道具信息!W696="","",[2]道具信息!W696)</f>
        <v/>
      </c>
      <c r="X696" s="59" t="str">
        <f>IF([2]道具信息!X696="","",[2]道具信息!X696)</f>
        <v/>
      </c>
      <c r="Y696" s="59" t="str">
        <f>IF([2]道具信息!Y696="","",[2]道具信息!Y696)</f>
        <v/>
      </c>
      <c r="Z696" s="59" t="str">
        <f>IF([2]道具信息!Z696="","",[2]道具信息!Z696)</f>
        <v/>
      </c>
    </row>
    <row r="697" spans="1:26" x14ac:dyDescent="0.15">
      <c r="A697" s="59" t="str">
        <f>IF([2]道具信息!A697="","",[2]道具信息!A697)</f>
        <v/>
      </c>
      <c r="B697" s="59" t="str">
        <f>IF([2]道具信息!B697="","",[2]道具信息!B697)</f>
        <v/>
      </c>
      <c r="C697" s="59" t="str">
        <f>IF([2]道具信息!C697="","",[2]道具信息!C697)</f>
        <v/>
      </c>
      <c r="D697" s="59" t="str">
        <f>IF([2]道具信息!D697="","",[2]道具信息!D697)</f>
        <v/>
      </c>
      <c r="E697" s="59" t="str">
        <f>IF([2]道具信息!E697="","",[2]道具信息!E697)</f>
        <v/>
      </c>
      <c r="F697" s="59" t="str">
        <f>IF([2]道具信息!F697="","",[2]道具信息!F697)</f>
        <v/>
      </c>
      <c r="G697" s="59" t="str">
        <f>IF([2]道具信息!G697="","",[2]道具信息!G697)</f>
        <v/>
      </c>
      <c r="H697" s="59" t="str">
        <f>IF([2]道具信息!H697="","",[2]道具信息!H697)</f>
        <v/>
      </c>
      <c r="I697" s="59" t="str">
        <f>IF([2]道具信息!I697="","",[2]道具信息!I697)</f>
        <v/>
      </c>
      <c r="J697" s="59" t="str">
        <f>IF([2]道具信息!J697="","",[2]道具信息!J697)</f>
        <v/>
      </c>
      <c r="K697" s="59" t="str">
        <f>IF([2]道具信息!K697="","",[2]道具信息!K697)</f>
        <v/>
      </c>
      <c r="L697" s="59" t="str">
        <f>IF([2]道具信息!L697="","",[2]道具信息!L697)</f>
        <v/>
      </c>
      <c r="M697" s="59" t="str">
        <f>IF([2]道具信息!M697="","",[2]道具信息!M697)</f>
        <v/>
      </c>
      <c r="N697" s="59" t="str">
        <f>IF([2]道具信息!N697="","",[2]道具信息!N697)</f>
        <v/>
      </c>
      <c r="O697" s="59" t="str">
        <f>IF([2]道具信息!O697="","",[2]道具信息!O697)</f>
        <v/>
      </c>
      <c r="P697" s="59" t="str">
        <f>IF([2]道具信息!P697="","",[2]道具信息!P697)</f>
        <v/>
      </c>
      <c r="Q697" s="59" t="str">
        <f>IF([2]道具信息!Q697="","",[2]道具信息!Q697)</f>
        <v/>
      </c>
      <c r="R697" s="59" t="str">
        <f>IF([2]道具信息!R697="","",[2]道具信息!R697)</f>
        <v/>
      </c>
      <c r="S697" s="59" t="str">
        <f>IF([2]道具信息!S697="","",[2]道具信息!S697)</f>
        <v/>
      </c>
      <c r="T697" s="59" t="str">
        <f>IF([2]道具信息!T697="","",[2]道具信息!T697)</f>
        <v/>
      </c>
      <c r="U697" s="59" t="str">
        <f>IF([2]道具信息!U697="","",[2]道具信息!U697)</f>
        <v/>
      </c>
      <c r="V697" s="59" t="str">
        <f>IF([2]道具信息!V697="","",[2]道具信息!V697)</f>
        <v/>
      </c>
      <c r="W697" s="59" t="str">
        <f>IF([2]道具信息!W697="","",[2]道具信息!W697)</f>
        <v/>
      </c>
      <c r="X697" s="59" t="str">
        <f>IF([2]道具信息!X697="","",[2]道具信息!X697)</f>
        <v/>
      </c>
      <c r="Y697" s="59" t="str">
        <f>IF([2]道具信息!Y697="","",[2]道具信息!Y697)</f>
        <v/>
      </c>
      <c r="Z697" s="59" t="str">
        <f>IF([2]道具信息!Z697="","",[2]道具信息!Z697)</f>
        <v/>
      </c>
    </row>
    <row r="698" spans="1:26" x14ac:dyDescent="0.15">
      <c r="A698" s="59" t="str">
        <f>IF([2]道具信息!A698="","",[2]道具信息!A698)</f>
        <v/>
      </c>
      <c r="B698" s="59" t="str">
        <f>IF([2]道具信息!B698="","",[2]道具信息!B698)</f>
        <v/>
      </c>
      <c r="C698" s="59" t="str">
        <f>IF([2]道具信息!C698="","",[2]道具信息!C698)</f>
        <v/>
      </c>
      <c r="D698" s="59" t="str">
        <f>IF([2]道具信息!D698="","",[2]道具信息!D698)</f>
        <v/>
      </c>
      <c r="E698" s="59" t="str">
        <f>IF([2]道具信息!E698="","",[2]道具信息!E698)</f>
        <v/>
      </c>
      <c r="F698" s="59" t="str">
        <f>IF([2]道具信息!F698="","",[2]道具信息!F698)</f>
        <v/>
      </c>
      <c r="G698" s="59" t="str">
        <f>IF([2]道具信息!G698="","",[2]道具信息!G698)</f>
        <v/>
      </c>
      <c r="H698" s="59" t="str">
        <f>IF([2]道具信息!H698="","",[2]道具信息!H698)</f>
        <v/>
      </c>
      <c r="I698" s="59" t="str">
        <f>IF([2]道具信息!I698="","",[2]道具信息!I698)</f>
        <v/>
      </c>
      <c r="J698" s="59" t="str">
        <f>IF([2]道具信息!J698="","",[2]道具信息!J698)</f>
        <v/>
      </c>
      <c r="K698" s="59" t="str">
        <f>IF([2]道具信息!K698="","",[2]道具信息!K698)</f>
        <v/>
      </c>
      <c r="L698" s="59" t="str">
        <f>IF([2]道具信息!L698="","",[2]道具信息!L698)</f>
        <v/>
      </c>
      <c r="M698" s="59" t="str">
        <f>IF([2]道具信息!M698="","",[2]道具信息!M698)</f>
        <v/>
      </c>
      <c r="N698" s="59" t="str">
        <f>IF([2]道具信息!N698="","",[2]道具信息!N698)</f>
        <v/>
      </c>
      <c r="O698" s="59" t="str">
        <f>IF([2]道具信息!O698="","",[2]道具信息!O698)</f>
        <v/>
      </c>
      <c r="P698" s="59" t="str">
        <f>IF([2]道具信息!P698="","",[2]道具信息!P698)</f>
        <v/>
      </c>
      <c r="Q698" s="59" t="str">
        <f>IF([2]道具信息!Q698="","",[2]道具信息!Q698)</f>
        <v/>
      </c>
      <c r="R698" s="59" t="str">
        <f>IF([2]道具信息!R698="","",[2]道具信息!R698)</f>
        <v/>
      </c>
      <c r="S698" s="59" t="str">
        <f>IF([2]道具信息!S698="","",[2]道具信息!S698)</f>
        <v/>
      </c>
      <c r="T698" s="59" t="str">
        <f>IF([2]道具信息!T698="","",[2]道具信息!T698)</f>
        <v/>
      </c>
      <c r="U698" s="59" t="str">
        <f>IF([2]道具信息!U698="","",[2]道具信息!U698)</f>
        <v/>
      </c>
      <c r="V698" s="59" t="str">
        <f>IF([2]道具信息!V698="","",[2]道具信息!V698)</f>
        <v/>
      </c>
      <c r="W698" s="59" t="str">
        <f>IF([2]道具信息!W698="","",[2]道具信息!W698)</f>
        <v/>
      </c>
      <c r="X698" s="59" t="str">
        <f>IF([2]道具信息!X698="","",[2]道具信息!X698)</f>
        <v/>
      </c>
      <c r="Y698" s="59" t="str">
        <f>IF([2]道具信息!Y698="","",[2]道具信息!Y698)</f>
        <v/>
      </c>
      <c r="Z698" s="59" t="str">
        <f>IF([2]道具信息!Z698="","",[2]道具信息!Z698)</f>
        <v/>
      </c>
    </row>
    <row r="699" spans="1:26" x14ac:dyDescent="0.15">
      <c r="A699" s="59" t="str">
        <f>IF([2]道具信息!A699="","",[2]道具信息!A699)</f>
        <v/>
      </c>
      <c r="B699" s="59" t="str">
        <f>IF([2]道具信息!B699="","",[2]道具信息!B699)</f>
        <v/>
      </c>
      <c r="C699" s="59" t="str">
        <f>IF([2]道具信息!C699="","",[2]道具信息!C699)</f>
        <v/>
      </c>
      <c r="D699" s="59" t="str">
        <f>IF([2]道具信息!D699="","",[2]道具信息!D699)</f>
        <v/>
      </c>
      <c r="E699" s="59" t="str">
        <f>IF([2]道具信息!E699="","",[2]道具信息!E699)</f>
        <v/>
      </c>
      <c r="F699" s="59" t="str">
        <f>IF([2]道具信息!F699="","",[2]道具信息!F699)</f>
        <v/>
      </c>
      <c r="G699" s="59" t="str">
        <f>IF([2]道具信息!G699="","",[2]道具信息!G699)</f>
        <v/>
      </c>
      <c r="H699" s="59" t="str">
        <f>IF([2]道具信息!H699="","",[2]道具信息!H699)</f>
        <v/>
      </c>
      <c r="I699" s="59" t="str">
        <f>IF([2]道具信息!I699="","",[2]道具信息!I699)</f>
        <v/>
      </c>
      <c r="J699" s="59" t="str">
        <f>IF([2]道具信息!J699="","",[2]道具信息!J699)</f>
        <v/>
      </c>
      <c r="K699" s="59" t="str">
        <f>IF([2]道具信息!K699="","",[2]道具信息!K699)</f>
        <v/>
      </c>
      <c r="L699" s="59" t="str">
        <f>IF([2]道具信息!L699="","",[2]道具信息!L699)</f>
        <v/>
      </c>
      <c r="M699" s="59" t="str">
        <f>IF([2]道具信息!M699="","",[2]道具信息!M699)</f>
        <v/>
      </c>
      <c r="N699" s="59" t="str">
        <f>IF([2]道具信息!N699="","",[2]道具信息!N699)</f>
        <v/>
      </c>
      <c r="O699" s="59" t="str">
        <f>IF([2]道具信息!O699="","",[2]道具信息!O699)</f>
        <v/>
      </c>
      <c r="P699" s="59" t="str">
        <f>IF([2]道具信息!P699="","",[2]道具信息!P699)</f>
        <v/>
      </c>
      <c r="Q699" s="59" t="str">
        <f>IF([2]道具信息!Q699="","",[2]道具信息!Q699)</f>
        <v/>
      </c>
      <c r="R699" s="59" t="str">
        <f>IF([2]道具信息!R699="","",[2]道具信息!R699)</f>
        <v/>
      </c>
      <c r="S699" s="59" t="str">
        <f>IF([2]道具信息!S699="","",[2]道具信息!S699)</f>
        <v/>
      </c>
      <c r="T699" s="59" t="str">
        <f>IF([2]道具信息!T699="","",[2]道具信息!T699)</f>
        <v/>
      </c>
      <c r="U699" s="59" t="str">
        <f>IF([2]道具信息!U699="","",[2]道具信息!U699)</f>
        <v/>
      </c>
      <c r="V699" s="59" t="str">
        <f>IF([2]道具信息!V699="","",[2]道具信息!V699)</f>
        <v/>
      </c>
      <c r="W699" s="59" t="str">
        <f>IF([2]道具信息!W699="","",[2]道具信息!W699)</f>
        <v/>
      </c>
      <c r="X699" s="59" t="str">
        <f>IF([2]道具信息!X699="","",[2]道具信息!X699)</f>
        <v/>
      </c>
      <c r="Y699" s="59" t="str">
        <f>IF([2]道具信息!Y699="","",[2]道具信息!Y699)</f>
        <v/>
      </c>
      <c r="Z699" s="59" t="str">
        <f>IF([2]道具信息!Z699="","",[2]道具信息!Z699)</f>
        <v/>
      </c>
    </row>
    <row r="700" spans="1:26" x14ac:dyDescent="0.15">
      <c r="A700" s="59" t="str">
        <f>IF([2]道具信息!A700="","",[2]道具信息!A700)</f>
        <v/>
      </c>
      <c r="B700" s="59" t="str">
        <f>IF([2]道具信息!B700="","",[2]道具信息!B700)</f>
        <v/>
      </c>
      <c r="C700" s="59" t="str">
        <f>IF([2]道具信息!C700="","",[2]道具信息!C700)</f>
        <v/>
      </c>
      <c r="D700" s="59" t="str">
        <f>IF([2]道具信息!D700="","",[2]道具信息!D700)</f>
        <v/>
      </c>
      <c r="E700" s="59" t="str">
        <f>IF([2]道具信息!E700="","",[2]道具信息!E700)</f>
        <v/>
      </c>
      <c r="F700" s="59" t="str">
        <f>IF([2]道具信息!F700="","",[2]道具信息!F700)</f>
        <v/>
      </c>
      <c r="G700" s="59" t="str">
        <f>IF([2]道具信息!G700="","",[2]道具信息!G700)</f>
        <v/>
      </c>
      <c r="H700" s="59" t="str">
        <f>IF([2]道具信息!H700="","",[2]道具信息!H700)</f>
        <v/>
      </c>
      <c r="I700" s="59" t="str">
        <f>IF([2]道具信息!I700="","",[2]道具信息!I700)</f>
        <v/>
      </c>
      <c r="J700" s="59" t="str">
        <f>IF([2]道具信息!J700="","",[2]道具信息!J700)</f>
        <v/>
      </c>
      <c r="K700" s="59" t="str">
        <f>IF([2]道具信息!K700="","",[2]道具信息!K700)</f>
        <v/>
      </c>
      <c r="L700" s="59" t="str">
        <f>IF([2]道具信息!L700="","",[2]道具信息!L700)</f>
        <v/>
      </c>
      <c r="M700" s="59" t="str">
        <f>IF([2]道具信息!M700="","",[2]道具信息!M700)</f>
        <v/>
      </c>
      <c r="N700" s="59" t="str">
        <f>IF([2]道具信息!N700="","",[2]道具信息!N700)</f>
        <v/>
      </c>
      <c r="O700" s="59" t="str">
        <f>IF([2]道具信息!O700="","",[2]道具信息!O700)</f>
        <v/>
      </c>
      <c r="P700" s="59" t="str">
        <f>IF([2]道具信息!P700="","",[2]道具信息!P700)</f>
        <v/>
      </c>
      <c r="Q700" s="59" t="str">
        <f>IF([2]道具信息!Q700="","",[2]道具信息!Q700)</f>
        <v/>
      </c>
      <c r="R700" s="59" t="str">
        <f>IF([2]道具信息!R700="","",[2]道具信息!R700)</f>
        <v/>
      </c>
      <c r="S700" s="59" t="str">
        <f>IF([2]道具信息!S700="","",[2]道具信息!S700)</f>
        <v/>
      </c>
      <c r="T700" s="59" t="str">
        <f>IF([2]道具信息!T700="","",[2]道具信息!T700)</f>
        <v/>
      </c>
      <c r="U700" s="59" t="str">
        <f>IF([2]道具信息!U700="","",[2]道具信息!U700)</f>
        <v/>
      </c>
      <c r="V700" s="59" t="str">
        <f>IF([2]道具信息!V700="","",[2]道具信息!V700)</f>
        <v/>
      </c>
      <c r="W700" s="59" t="str">
        <f>IF([2]道具信息!W700="","",[2]道具信息!W700)</f>
        <v/>
      </c>
      <c r="X700" s="59" t="str">
        <f>IF([2]道具信息!X700="","",[2]道具信息!X700)</f>
        <v/>
      </c>
      <c r="Y700" s="59" t="str">
        <f>IF([2]道具信息!Y700="","",[2]道具信息!Y700)</f>
        <v/>
      </c>
      <c r="Z700" s="59" t="str">
        <f>IF([2]道具信息!Z700="","",[2]道具信息!Z700)</f>
        <v/>
      </c>
    </row>
    <row r="701" spans="1:26" x14ac:dyDescent="0.15">
      <c r="A701" s="59" t="str">
        <f>IF([2]道具信息!A701="","",[2]道具信息!A701)</f>
        <v/>
      </c>
      <c r="B701" s="59" t="str">
        <f>IF([2]道具信息!B701="","",[2]道具信息!B701)</f>
        <v/>
      </c>
      <c r="C701" s="59" t="str">
        <f>IF([2]道具信息!C701="","",[2]道具信息!C701)</f>
        <v/>
      </c>
      <c r="D701" s="59" t="str">
        <f>IF([2]道具信息!D701="","",[2]道具信息!D701)</f>
        <v/>
      </c>
      <c r="E701" s="59" t="str">
        <f>IF([2]道具信息!E701="","",[2]道具信息!E701)</f>
        <v/>
      </c>
      <c r="F701" s="59" t="str">
        <f>IF([2]道具信息!F701="","",[2]道具信息!F701)</f>
        <v/>
      </c>
      <c r="G701" s="59" t="str">
        <f>IF([2]道具信息!G701="","",[2]道具信息!G701)</f>
        <v/>
      </c>
      <c r="H701" s="59" t="str">
        <f>IF([2]道具信息!H701="","",[2]道具信息!H701)</f>
        <v/>
      </c>
      <c r="I701" s="59" t="str">
        <f>IF([2]道具信息!I701="","",[2]道具信息!I701)</f>
        <v/>
      </c>
      <c r="J701" s="59" t="str">
        <f>IF([2]道具信息!J701="","",[2]道具信息!J701)</f>
        <v/>
      </c>
      <c r="K701" s="59" t="str">
        <f>IF([2]道具信息!K701="","",[2]道具信息!K701)</f>
        <v/>
      </c>
      <c r="L701" s="59" t="str">
        <f>IF([2]道具信息!L701="","",[2]道具信息!L701)</f>
        <v/>
      </c>
      <c r="M701" s="59" t="str">
        <f>IF([2]道具信息!M701="","",[2]道具信息!M701)</f>
        <v/>
      </c>
      <c r="N701" s="59" t="str">
        <f>IF([2]道具信息!N701="","",[2]道具信息!N701)</f>
        <v/>
      </c>
      <c r="O701" s="59" t="str">
        <f>IF([2]道具信息!O701="","",[2]道具信息!O701)</f>
        <v/>
      </c>
      <c r="P701" s="59" t="str">
        <f>IF([2]道具信息!P701="","",[2]道具信息!P701)</f>
        <v/>
      </c>
      <c r="Q701" s="59" t="str">
        <f>IF([2]道具信息!Q701="","",[2]道具信息!Q701)</f>
        <v/>
      </c>
      <c r="R701" s="59" t="str">
        <f>IF([2]道具信息!R701="","",[2]道具信息!R701)</f>
        <v/>
      </c>
      <c r="S701" s="59" t="str">
        <f>IF([2]道具信息!S701="","",[2]道具信息!S701)</f>
        <v/>
      </c>
      <c r="T701" s="59" t="str">
        <f>IF([2]道具信息!T701="","",[2]道具信息!T701)</f>
        <v/>
      </c>
      <c r="U701" s="59" t="str">
        <f>IF([2]道具信息!U701="","",[2]道具信息!U701)</f>
        <v/>
      </c>
      <c r="V701" s="59" t="str">
        <f>IF([2]道具信息!V701="","",[2]道具信息!V701)</f>
        <v/>
      </c>
      <c r="W701" s="59" t="str">
        <f>IF([2]道具信息!W701="","",[2]道具信息!W701)</f>
        <v/>
      </c>
      <c r="X701" s="59" t="str">
        <f>IF([2]道具信息!X701="","",[2]道具信息!X701)</f>
        <v/>
      </c>
      <c r="Y701" s="59" t="str">
        <f>IF([2]道具信息!Y701="","",[2]道具信息!Y701)</f>
        <v/>
      </c>
      <c r="Z701" s="59" t="str">
        <f>IF([2]道具信息!Z701="","",[2]道具信息!Z701)</f>
        <v/>
      </c>
    </row>
    <row r="702" spans="1:26" x14ac:dyDescent="0.15">
      <c r="A702" s="59" t="str">
        <f>IF([2]道具信息!A702="","",[2]道具信息!A702)</f>
        <v/>
      </c>
      <c r="B702" s="59" t="str">
        <f>IF([2]道具信息!B702="","",[2]道具信息!B702)</f>
        <v/>
      </c>
      <c r="C702" s="59" t="str">
        <f>IF([2]道具信息!C702="","",[2]道具信息!C702)</f>
        <v/>
      </c>
      <c r="D702" s="59" t="str">
        <f>IF([2]道具信息!D702="","",[2]道具信息!D702)</f>
        <v/>
      </c>
      <c r="E702" s="59" t="str">
        <f>IF([2]道具信息!E702="","",[2]道具信息!E702)</f>
        <v/>
      </c>
      <c r="F702" s="59" t="str">
        <f>IF([2]道具信息!F702="","",[2]道具信息!F702)</f>
        <v/>
      </c>
      <c r="G702" s="59" t="str">
        <f>IF([2]道具信息!G702="","",[2]道具信息!G702)</f>
        <v/>
      </c>
      <c r="H702" s="59" t="str">
        <f>IF([2]道具信息!H702="","",[2]道具信息!H702)</f>
        <v/>
      </c>
      <c r="I702" s="59" t="str">
        <f>IF([2]道具信息!I702="","",[2]道具信息!I702)</f>
        <v/>
      </c>
      <c r="J702" s="59" t="str">
        <f>IF([2]道具信息!J702="","",[2]道具信息!J702)</f>
        <v/>
      </c>
      <c r="K702" s="59" t="str">
        <f>IF([2]道具信息!K702="","",[2]道具信息!K702)</f>
        <v/>
      </c>
      <c r="L702" s="59" t="str">
        <f>IF([2]道具信息!L702="","",[2]道具信息!L702)</f>
        <v/>
      </c>
      <c r="M702" s="59" t="str">
        <f>IF([2]道具信息!M702="","",[2]道具信息!M702)</f>
        <v/>
      </c>
      <c r="N702" s="59" t="str">
        <f>IF([2]道具信息!N702="","",[2]道具信息!N702)</f>
        <v/>
      </c>
      <c r="O702" s="59" t="str">
        <f>IF([2]道具信息!O702="","",[2]道具信息!O702)</f>
        <v/>
      </c>
      <c r="P702" s="59" t="str">
        <f>IF([2]道具信息!P702="","",[2]道具信息!P702)</f>
        <v/>
      </c>
      <c r="Q702" s="59" t="str">
        <f>IF([2]道具信息!Q702="","",[2]道具信息!Q702)</f>
        <v/>
      </c>
      <c r="R702" s="59" t="str">
        <f>IF([2]道具信息!R702="","",[2]道具信息!R702)</f>
        <v/>
      </c>
      <c r="S702" s="59" t="str">
        <f>IF([2]道具信息!S702="","",[2]道具信息!S702)</f>
        <v/>
      </c>
      <c r="T702" s="59" t="str">
        <f>IF([2]道具信息!T702="","",[2]道具信息!T702)</f>
        <v/>
      </c>
      <c r="U702" s="59" t="str">
        <f>IF([2]道具信息!U702="","",[2]道具信息!U702)</f>
        <v/>
      </c>
      <c r="V702" s="59" t="str">
        <f>IF([2]道具信息!V702="","",[2]道具信息!V702)</f>
        <v/>
      </c>
      <c r="W702" s="59" t="str">
        <f>IF([2]道具信息!W702="","",[2]道具信息!W702)</f>
        <v/>
      </c>
      <c r="X702" s="59" t="str">
        <f>IF([2]道具信息!X702="","",[2]道具信息!X702)</f>
        <v/>
      </c>
      <c r="Y702" s="59" t="str">
        <f>IF([2]道具信息!Y702="","",[2]道具信息!Y702)</f>
        <v/>
      </c>
      <c r="Z702" s="59" t="str">
        <f>IF([2]道具信息!Z702="","",[2]道具信息!Z702)</f>
        <v/>
      </c>
    </row>
    <row r="703" spans="1:26" x14ac:dyDescent="0.15">
      <c r="A703" s="59" t="str">
        <f>IF([2]道具信息!A703="","",[2]道具信息!A703)</f>
        <v/>
      </c>
      <c r="B703" s="59" t="str">
        <f>IF([2]道具信息!B703="","",[2]道具信息!B703)</f>
        <v/>
      </c>
      <c r="C703" s="59" t="str">
        <f>IF([2]道具信息!C703="","",[2]道具信息!C703)</f>
        <v/>
      </c>
      <c r="D703" s="59" t="str">
        <f>IF([2]道具信息!D703="","",[2]道具信息!D703)</f>
        <v/>
      </c>
      <c r="E703" s="59" t="str">
        <f>IF([2]道具信息!E703="","",[2]道具信息!E703)</f>
        <v/>
      </c>
      <c r="F703" s="59" t="str">
        <f>IF([2]道具信息!F703="","",[2]道具信息!F703)</f>
        <v/>
      </c>
      <c r="G703" s="59" t="str">
        <f>IF([2]道具信息!G703="","",[2]道具信息!G703)</f>
        <v/>
      </c>
      <c r="H703" s="59" t="str">
        <f>IF([2]道具信息!H703="","",[2]道具信息!H703)</f>
        <v/>
      </c>
      <c r="I703" s="59" t="str">
        <f>IF([2]道具信息!I703="","",[2]道具信息!I703)</f>
        <v/>
      </c>
      <c r="J703" s="59" t="str">
        <f>IF([2]道具信息!J703="","",[2]道具信息!J703)</f>
        <v/>
      </c>
      <c r="K703" s="59" t="str">
        <f>IF([2]道具信息!K703="","",[2]道具信息!K703)</f>
        <v/>
      </c>
      <c r="L703" s="59" t="str">
        <f>IF([2]道具信息!L703="","",[2]道具信息!L703)</f>
        <v/>
      </c>
      <c r="M703" s="59" t="str">
        <f>IF([2]道具信息!M703="","",[2]道具信息!M703)</f>
        <v/>
      </c>
      <c r="N703" s="59" t="str">
        <f>IF([2]道具信息!N703="","",[2]道具信息!N703)</f>
        <v/>
      </c>
      <c r="O703" s="59" t="str">
        <f>IF([2]道具信息!O703="","",[2]道具信息!O703)</f>
        <v/>
      </c>
      <c r="P703" s="59" t="str">
        <f>IF([2]道具信息!P703="","",[2]道具信息!P703)</f>
        <v/>
      </c>
      <c r="Q703" s="59" t="str">
        <f>IF([2]道具信息!Q703="","",[2]道具信息!Q703)</f>
        <v/>
      </c>
      <c r="R703" s="59" t="str">
        <f>IF([2]道具信息!R703="","",[2]道具信息!R703)</f>
        <v/>
      </c>
      <c r="S703" s="59" t="str">
        <f>IF([2]道具信息!S703="","",[2]道具信息!S703)</f>
        <v/>
      </c>
      <c r="T703" s="59" t="str">
        <f>IF([2]道具信息!T703="","",[2]道具信息!T703)</f>
        <v/>
      </c>
      <c r="U703" s="59" t="str">
        <f>IF([2]道具信息!U703="","",[2]道具信息!U703)</f>
        <v/>
      </c>
      <c r="V703" s="59" t="str">
        <f>IF([2]道具信息!V703="","",[2]道具信息!V703)</f>
        <v/>
      </c>
      <c r="W703" s="59" t="str">
        <f>IF([2]道具信息!W703="","",[2]道具信息!W703)</f>
        <v/>
      </c>
      <c r="X703" s="59" t="str">
        <f>IF([2]道具信息!X703="","",[2]道具信息!X703)</f>
        <v/>
      </c>
      <c r="Y703" s="59" t="str">
        <f>IF([2]道具信息!Y703="","",[2]道具信息!Y703)</f>
        <v/>
      </c>
      <c r="Z703" s="59" t="str">
        <f>IF([2]道具信息!Z703="","",[2]道具信息!Z703)</f>
        <v/>
      </c>
    </row>
    <row r="704" spans="1:26" x14ac:dyDescent="0.15">
      <c r="A704" s="59" t="str">
        <f>IF([2]道具信息!A704="","",[2]道具信息!A704)</f>
        <v/>
      </c>
      <c r="B704" s="59" t="str">
        <f>IF([2]道具信息!B704="","",[2]道具信息!B704)</f>
        <v/>
      </c>
      <c r="C704" s="59" t="str">
        <f>IF([2]道具信息!C704="","",[2]道具信息!C704)</f>
        <v/>
      </c>
      <c r="D704" s="59" t="str">
        <f>IF([2]道具信息!D704="","",[2]道具信息!D704)</f>
        <v/>
      </c>
      <c r="E704" s="59" t="str">
        <f>IF([2]道具信息!E704="","",[2]道具信息!E704)</f>
        <v/>
      </c>
      <c r="F704" s="59" t="str">
        <f>IF([2]道具信息!F704="","",[2]道具信息!F704)</f>
        <v/>
      </c>
      <c r="G704" s="59" t="str">
        <f>IF([2]道具信息!G704="","",[2]道具信息!G704)</f>
        <v/>
      </c>
      <c r="H704" s="59" t="str">
        <f>IF([2]道具信息!H704="","",[2]道具信息!H704)</f>
        <v/>
      </c>
      <c r="I704" s="59" t="str">
        <f>IF([2]道具信息!I704="","",[2]道具信息!I704)</f>
        <v/>
      </c>
      <c r="J704" s="59" t="str">
        <f>IF([2]道具信息!J704="","",[2]道具信息!J704)</f>
        <v/>
      </c>
      <c r="K704" s="59" t="str">
        <f>IF([2]道具信息!K704="","",[2]道具信息!K704)</f>
        <v/>
      </c>
      <c r="L704" s="59" t="str">
        <f>IF([2]道具信息!L704="","",[2]道具信息!L704)</f>
        <v/>
      </c>
      <c r="M704" s="59" t="str">
        <f>IF([2]道具信息!M704="","",[2]道具信息!M704)</f>
        <v/>
      </c>
      <c r="N704" s="59" t="str">
        <f>IF([2]道具信息!N704="","",[2]道具信息!N704)</f>
        <v/>
      </c>
      <c r="O704" s="59" t="str">
        <f>IF([2]道具信息!O704="","",[2]道具信息!O704)</f>
        <v/>
      </c>
      <c r="P704" s="59" t="str">
        <f>IF([2]道具信息!P704="","",[2]道具信息!P704)</f>
        <v/>
      </c>
      <c r="Q704" s="59" t="str">
        <f>IF([2]道具信息!Q704="","",[2]道具信息!Q704)</f>
        <v/>
      </c>
      <c r="R704" s="59" t="str">
        <f>IF([2]道具信息!R704="","",[2]道具信息!R704)</f>
        <v/>
      </c>
      <c r="S704" s="59" t="str">
        <f>IF([2]道具信息!S704="","",[2]道具信息!S704)</f>
        <v/>
      </c>
      <c r="T704" s="59" t="str">
        <f>IF([2]道具信息!T704="","",[2]道具信息!T704)</f>
        <v/>
      </c>
      <c r="U704" s="59" t="str">
        <f>IF([2]道具信息!U704="","",[2]道具信息!U704)</f>
        <v/>
      </c>
      <c r="V704" s="59" t="str">
        <f>IF([2]道具信息!V704="","",[2]道具信息!V704)</f>
        <v/>
      </c>
      <c r="W704" s="59" t="str">
        <f>IF([2]道具信息!W704="","",[2]道具信息!W704)</f>
        <v/>
      </c>
      <c r="X704" s="59" t="str">
        <f>IF([2]道具信息!X704="","",[2]道具信息!X704)</f>
        <v/>
      </c>
      <c r="Y704" s="59" t="str">
        <f>IF([2]道具信息!Y704="","",[2]道具信息!Y704)</f>
        <v/>
      </c>
      <c r="Z704" s="59" t="str">
        <f>IF([2]道具信息!Z704="","",[2]道具信息!Z704)</f>
        <v/>
      </c>
    </row>
    <row r="705" spans="1:26" x14ac:dyDescent="0.15">
      <c r="A705" s="59" t="str">
        <f>IF([2]道具信息!A705="","",[2]道具信息!A705)</f>
        <v/>
      </c>
      <c r="B705" s="59" t="str">
        <f>IF([2]道具信息!B705="","",[2]道具信息!B705)</f>
        <v/>
      </c>
      <c r="C705" s="59" t="str">
        <f>IF([2]道具信息!C705="","",[2]道具信息!C705)</f>
        <v/>
      </c>
      <c r="D705" s="59" t="str">
        <f>IF([2]道具信息!D705="","",[2]道具信息!D705)</f>
        <v/>
      </c>
      <c r="E705" s="59" t="str">
        <f>IF([2]道具信息!E705="","",[2]道具信息!E705)</f>
        <v/>
      </c>
      <c r="F705" s="59" t="str">
        <f>IF([2]道具信息!F705="","",[2]道具信息!F705)</f>
        <v/>
      </c>
      <c r="G705" s="59" t="str">
        <f>IF([2]道具信息!G705="","",[2]道具信息!G705)</f>
        <v/>
      </c>
      <c r="H705" s="59" t="str">
        <f>IF([2]道具信息!H705="","",[2]道具信息!H705)</f>
        <v/>
      </c>
      <c r="I705" s="59" t="str">
        <f>IF([2]道具信息!I705="","",[2]道具信息!I705)</f>
        <v/>
      </c>
      <c r="J705" s="59" t="str">
        <f>IF([2]道具信息!J705="","",[2]道具信息!J705)</f>
        <v/>
      </c>
      <c r="K705" s="59" t="str">
        <f>IF([2]道具信息!K705="","",[2]道具信息!K705)</f>
        <v/>
      </c>
      <c r="L705" s="59" t="str">
        <f>IF([2]道具信息!L705="","",[2]道具信息!L705)</f>
        <v/>
      </c>
      <c r="M705" s="59" t="str">
        <f>IF([2]道具信息!M705="","",[2]道具信息!M705)</f>
        <v/>
      </c>
      <c r="N705" s="59" t="str">
        <f>IF([2]道具信息!N705="","",[2]道具信息!N705)</f>
        <v/>
      </c>
      <c r="O705" s="59" t="str">
        <f>IF([2]道具信息!O705="","",[2]道具信息!O705)</f>
        <v/>
      </c>
      <c r="P705" s="59" t="str">
        <f>IF([2]道具信息!P705="","",[2]道具信息!P705)</f>
        <v/>
      </c>
      <c r="Q705" s="59" t="str">
        <f>IF([2]道具信息!Q705="","",[2]道具信息!Q705)</f>
        <v/>
      </c>
      <c r="R705" s="59" t="str">
        <f>IF([2]道具信息!R705="","",[2]道具信息!R705)</f>
        <v/>
      </c>
      <c r="S705" s="59" t="str">
        <f>IF([2]道具信息!S705="","",[2]道具信息!S705)</f>
        <v/>
      </c>
      <c r="T705" s="59" t="str">
        <f>IF([2]道具信息!T705="","",[2]道具信息!T705)</f>
        <v/>
      </c>
      <c r="U705" s="59" t="str">
        <f>IF([2]道具信息!U705="","",[2]道具信息!U705)</f>
        <v/>
      </c>
      <c r="V705" s="59" t="str">
        <f>IF([2]道具信息!V705="","",[2]道具信息!V705)</f>
        <v/>
      </c>
      <c r="W705" s="59" t="str">
        <f>IF([2]道具信息!W705="","",[2]道具信息!W705)</f>
        <v/>
      </c>
      <c r="X705" s="59" t="str">
        <f>IF([2]道具信息!X705="","",[2]道具信息!X705)</f>
        <v/>
      </c>
      <c r="Y705" s="59" t="str">
        <f>IF([2]道具信息!Y705="","",[2]道具信息!Y705)</f>
        <v/>
      </c>
      <c r="Z705" s="59" t="str">
        <f>IF([2]道具信息!Z705="","",[2]道具信息!Z705)</f>
        <v/>
      </c>
    </row>
    <row r="706" spans="1:26" x14ac:dyDescent="0.15">
      <c r="A706" s="59" t="str">
        <f>IF([2]道具信息!A706="","",[2]道具信息!A706)</f>
        <v/>
      </c>
      <c r="B706" s="59" t="str">
        <f>IF([2]道具信息!B706="","",[2]道具信息!B706)</f>
        <v/>
      </c>
      <c r="C706" s="59" t="str">
        <f>IF([2]道具信息!C706="","",[2]道具信息!C706)</f>
        <v/>
      </c>
      <c r="D706" s="59" t="str">
        <f>IF([2]道具信息!D706="","",[2]道具信息!D706)</f>
        <v/>
      </c>
      <c r="E706" s="59" t="str">
        <f>IF([2]道具信息!E706="","",[2]道具信息!E706)</f>
        <v/>
      </c>
      <c r="F706" s="59" t="str">
        <f>IF([2]道具信息!F706="","",[2]道具信息!F706)</f>
        <v/>
      </c>
      <c r="G706" s="59" t="str">
        <f>IF([2]道具信息!G706="","",[2]道具信息!G706)</f>
        <v/>
      </c>
      <c r="H706" s="59" t="str">
        <f>IF([2]道具信息!H706="","",[2]道具信息!H706)</f>
        <v/>
      </c>
      <c r="I706" s="59" t="str">
        <f>IF([2]道具信息!I706="","",[2]道具信息!I706)</f>
        <v/>
      </c>
      <c r="J706" s="59" t="str">
        <f>IF([2]道具信息!J706="","",[2]道具信息!J706)</f>
        <v/>
      </c>
      <c r="K706" s="59" t="str">
        <f>IF([2]道具信息!K706="","",[2]道具信息!K706)</f>
        <v/>
      </c>
      <c r="L706" s="59" t="str">
        <f>IF([2]道具信息!L706="","",[2]道具信息!L706)</f>
        <v/>
      </c>
      <c r="M706" s="59" t="str">
        <f>IF([2]道具信息!M706="","",[2]道具信息!M706)</f>
        <v/>
      </c>
      <c r="N706" s="59" t="str">
        <f>IF([2]道具信息!N706="","",[2]道具信息!N706)</f>
        <v/>
      </c>
      <c r="O706" s="59" t="str">
        <f>IF([2]道具信息!O706="","",[2]道具信息!O706)</f>
        <v/>
      </c>
      <c r="P706" s="59" t="str">
        <f>IF([2]道具信息!P706="","",[2]道具信息!P706)</f>
        <v/>
      </c>
      <c r="Q706" s="59" t="str">
        <f>IF([2]道具信息!Q706="","",[2]道具信息!Q706)</f>
        <v/>
      </c>
      <c r="R706" s="59" t="str">
        <f>IF([2]道具信息!R706="","",[2]道具信息!R706)</f>
        <v/>
      </c>
      <c r="S706" s="59" t="str">
        <f>IF([2]道具信息!S706="","",[2]道具信息!S706)</f>
        <v/>
      </c>
      <c r="T706" s="59" t="str">
        <f>IF([2]道具信息!T706="","",[2]道具信息!T706)</f>
        <v/>
      </c>
      <c r="U706" s="59" t="str">
        <f>IF([2]道具信息!U706="","",[2]道具信息!U706)</f>
        <v/>
      </c>
      <c r="V706" s="59" t="str">
        <f>IF([2]道具信息!V706="","",[2]道具信息!V706)</f>
        <v/>
      </c>
      <c r="W706" s="59" t="str">
        <f>IF([2]道具信息!W706="","",[2]道具信息!W706)</f>
        <v/>
      </c>
      <c r="X706" s="59" t="str">
        <f>IF([2]道具信息!X706="","",[2]道具信息!X706)</f>
        <v/>
      </c>
      <c r="Y706" s="59" t="str">
        <f>IF([2]道具信息!Y706="","",[2]道具信息!Y706)</f>
        <v/>
      </c>
      <c r="Z706" s="59" t="str">
        <f>IF([2]道具信息!Z706="","",[2]道具信息!Z706)</f>
        <v/>
      </c>
    </row>
    <row r="707" spans="1:26" x14ac:dyDescent="0.15">
      <c r="A707" s="59" t="str">
        <f>IF([2]道具信息!A707="","",[2]道具信息!A707)</f>
        <v/>
      </c>
      <c r="B707" s="59" t="str">
        <f>IF([2]道具信息!B707="","",[2]道具信息!B707)</f>
        <v/>
      </c>
      <c r="C707" s="59" t="str">
        <f>IF([2]道具信息!C707="","",[2]道具信息!C707)</f>
        <v/>
      </c>
      <c r="D707" s="59" t="str">
        <f>IF([2]道具信息!D707="","",[2]道具信息!D707)</f>
        <v/>
      </c>
      <c r="E707" s="59" t="str">
        <f>IF([2]道具信息!E707="","",[2]道具信息!E707)</f>
        <v/>
      </c>
      <c r="F707" s="59" t="str">
        <f>IF([2]道具信息!F707="","",[2]道具信息!F707)</f>
        <v/>
      </c>
      <c r="G707" s="59" t="str">
        <f>IF([2]道具信息!G707="","",[2]道具信息!G707)</f>
        <v/>
      </c>
      <c r="H707" s="59" t="str">
        <f>IF([2]道具信息!H707="","",[2]道具信息!H707)</f>
        <v/>
      </c>
      <c r="I707" s="59" t="str">
        <f>IF([2]道具信息!I707="","",[2]道具信息!I707)</f>
        <v/>
      </c>
      <c r="J707" s="59" t="str">
        <f>IF([2]道具信息!J707="","",[2]道具信息!J707)</f>
        <v/>
      </c>
      <c r="K707" s="59" t="str">
        <f>IF([2]道具信息!K707="","",[2]道具信息!K707)</f>
        <v/>
      </c>
      <c r="L707" s="59" t="str">
        <f>IF([2]道具信息!L707="","",[2]道具信息!L707)</f>
        <v/>
      </c>
      <c r="M707" s="59" t="str">
        <f>IF([2]道具信息!M707="","",[2]道具信息!M707)</f>
        <v/>
      </c>
      <c r="N707" s="59" t="str">
        <f>IF([2]道具信息!N707="","",[2]道具信息!N707)</f>
        <v/>
      </c>
      <c r="O707" s="59" t="str">
        <f>IF([2]道具信息!O707="","",[2]道具信息!O707)</f>
        <v/>
      </c>
      <c r="P707" s="59" t="str">
        <f>IF([2]道具信息!P707="","",[2]道具信息!P707)</f>
        <v/>
      </c>
      <c r="Q707" s="59" t="str">
        <f>IF([2]道具信息!Q707="","",[2]道具信息!Q707)</f>
        <v/>
      </c>
      <c r="R707" s="59" t="str">
        <f>IF([2]道具信息!R707="","",[2]道具信息!R707)</f>
        <v/>
      </c>
      <c r="S707" s="59" t="str">
        <f>IF([2]道具信息!S707="","",[2]道具信息!S707)</f>
        <v/>
      </c>
      <c r="T707" s="59" t="str">
        <f>IF([2]道具信息!T707="","",[2]道具信息!T707)</f>
        <v/>
      </c>
      <c r="U707" s="59" t="str">
        <f>IF([2]道具信息!U707="","",[2]道具信息!U707)</f>
        <v/>
      </c>
      <c r="V707" s="59" t="str">
        <f>IF([2]道具信息!V707="","",[2]道具信息!V707)</f>
        <v/>
      </c>
      <c r="W707" s="59" t="str">
        <f>IF([2]道具信息!W707="","",[2]道具信息!W707)</f>
        <v/>
      </c>
      <c r="X707" s="59" t="str">
        <f>IF([2]道具信息!X707="","",[2]道具信息!X707)</f>
        <v/>
      </c>
      <c r="Y707" s="59" t="str">
        <f>IF([2]道具信息!Y707="","",[2]道具信息!Y707)</f>
        <v/>
      </c>
      <c r="Z707" s="59" t="str">
        <f>IF([2]道具信息!Z707="","",[2]道具信息!Z707)</f>
        <v/>
      </c>
    </row>
    <row r="708" spans="1:26" x14ac:dyDescent="0.15">
      <c r="A708" s="59" t="str">
        <f>IF([2]道具信息!A708="","",[2]道具信息!A708)</f>
        <v/>
      </c>
      <c r="B708" s="59" t="str">
        <f>IF([2]道具信息!B708="","",[2]道具信息!B708)</f>
        <v/>
      </c>
      <c r="C708" s="59" t="str">
        <f>IF([2]道具信息!C708="","",[2]道具信息!C708)</f>
        <v/>
      </c>
      <c r="D708" s="59" t="str">
        <f>IF([2]道具信息!D708="","",[2]道具信息!D708)</f>
        <v/>
      </c>
      <c r="E708" s="59" t="str">
        <f>IF([2]道具信息!E708="","",[2]道具信息!E708)</f>
        <v/>
      </c>
      <c r="F708" s="59" t="str">
        <f>IF([2]道具信息!F708="","",[2]道具信息!F708)</f>
        <v/>
      </c>
      <c r="G708" s="59" t="str">
        <f>IF([2]道具信息!G708="","",[2]道具信息!G708)</f>
        <v/>
      </c>
      <c r="H708" s="59" t="str">
        <f>IF([2]道具信息!H708="","",[2]道具信息!H708)</f>
        <v/>
      </c>
      <c r="I708" s="59" t="str">
        <f>IF([2]道具信息!I708="","",[2]道具信息!I708)</f>
        <v/>
      </c>
      <c r="J708" s="59" t="str">
        <f>IF([2]道具信息!J708="","",[2]道具信息!J708)</f>
        <v/>
      </c>
      <c r="K708" s="59" t="str">
        <f>IF([2]道具信息!K708="","",[2]道具信息!K708)</f>
        <v/>
      </c>
      <c r="L708" s="59" t="str">
        <f>IF([2]道具信息!L708="","",[2]道具信息!L708)</f>
        <v/>
      </c>
      <c r="M708" s="59" t="str">
        <f>IF([2]道具信息!M708="","",[2]道具信息!M708)</f>
        <v/>
      </c>
      <c r="N708" s="59" t="str">
        <f>IF([2]道具信息!N708="","",[2]道具信息!N708)</f>
        <v/>
      </c>
      <c r="O708" s="59" t="str">
        <f>IF([2]道具信息!O708="","",[2]道具信息!O708)</f>
        <v/>
      </c>
      <c r="P708" s="59" t="str">
        <f>IF([2]道具信息!P708="","",[2]道具信息!P708)</f>
        <v/>
      </c>
      <c r="Q708" s="59" t="str">
        <f>IF([2]道具信息!Q708="","",[2]道具信息!Q708)</f>
        <v/>
      </c>
      <c r="R708" s="59" t="str">
        <f>IF([2]道具信息!R708="","",[2]道具信息!R708)</f>
        <v/>
      </c>
      <c r="S708" s="59" t="str">
        <f>IF([2]道具信息!S708="","",[2]道具信息!S708)</f>
        <v/>
      </c>
      <c r="T708" s="59" t="str">
        <f>IF([2]道具信息!T708="","",[2]道具信息!T708)</f>
        <v/>
      </c>
      <c r="U708" s="59" t="str">
        <f>IF([2]道具信息!U708="","",[2]道具信息!U708)</f>
        <v/>
      </c>
      <c r="V708" s="59" t="str">
        <f>IF([2]道具信息!V708="","",[2]道具信息!V708)</f>
        <v/>
      </c>
      <c r="W708" s="59" t="str">
        <f>IF([2]道具信息!W708="","",[2]道具信息!W708)</f>
        <v/>
      </c>
      <c r="X708" s="59" t="str">
        <f>IF([2]道具信息!X708="","",[2]道具信息!X708)</f>
        <v/>
      </c>
      <c r="Y708" s="59" t="str">
        <f>IF([2]道具信息!Y708="","",[2]道具信息!Y708)</f>
        <v/>
      </c>
      <c r="Z708" s="59" t="str">
        <f>IF([2]道具信息!Z708="","",[2]道具信息!Z708)</f>
        <v/>
      </c>
    </row>
    <row r="709" spans="1:26" x14ac:dyDescent="0.15">
      <c r="A709" s="59" t="str">
        <f>IF([2]道具信息!A709="","",[2]道具信息!A709)</f>
        <v/>
      </c>
      <c r="B709" s="59" t="str">
        <f>IF([2]道具信息!B709="","",[2]道具信息!B709)</f>
        <v/>
      </c>
      <c r="C709" s="59" t="str">
        <f>IF([2]道具信息!C709="","",[2]道具信息!C709)</f>
        <v/>
      </c>
      <c r="D709" s="59" t="str">
        <f>IF([2]道具信息!D709="","",[2]道具信息!D709)</f>
        <v/>
      </c>
      <c r="E709" s="59" t="str">
        <f>IF([2]道具信息!E709="","",[2]道具信息!E709)</f>
        <v/>
      </c>
      <c r="F709" s="59" t="str">
        <f>IF([2]道具信息!F709="","",[2]道具信息!F709)</f>
        <v/>
      </c>
      <c r="G709" s="59" t="str">
        <f>IF([2]道具信息!G709="","",[2]道具信息!G709)</f>
        <v/>
      </c>
      <c r="H709" s="59" t="str">
        <f>IF([2]道具信息!H709="","",[2]道具信息!H709)</f>
        <v/>
      </c>
      <c r="I709" s="59" t="str">
        <f>IF([2]道具信息!I709="","",[2]道具信息!I709)</f>
        <v/>
      </c>
      <c r="J709" s="59" t="str">
        <f>IF([2]道具信息!J709="","",[2]道具信息!J709)</f>
        <v/>
      </c>
      <c r="K709" s="59" t="str">
        <f>IF([2]道具信息!K709="","",[2]道具信息!K709)</f>
        <v/>
      </c>
      <c r="L709" s="59" t="str">
        <f>IF([2]道具信息!L709="","",[2]道具信息!L709)</f>
        <v/>
      </c>
      <c r="M709" s="59" t="str">
        <f>IF([2]道具信息!M709="","",[2]道具信息!M709)</f>
        <v/>
      </c>
      <c r="N709" s="59" t="str">
        <f>IF([2]道具信息!N709="","",[2]道具信息!N709)</f>
        <v/>
      </c>
      <c r="O709" s="59" t="str">
        <f>IF([2]道具信息!O709="","",[2]道具信息!O709)</f>
        <v/>
      </c>
      <c r="P709" s="59" t="str">
        <f>IF([2]道具信息!P709="","",[2]道具信息!P709)</f>
        <v/>
      </c>
      <c r="Q709" s="59" t="str">
        <f>IF([2]道具信息!Q709="","",[2]道具信息!Q709)</f>
        <v/>
      </c>
      <c r="R709" s="59" t="str">
        <f>IF([2]道具信息!R709="","",[2]道具信息!R709)</f>
        <v/>
      </c>
      <c r="S709" s="59" t="str">
        <f>IF([2]道具信息!S709="","",[2]道具信息!S709)</f>
        <v/>
      </c>
      <c r="T709" s="59" t="str">
        <f>IF([2]道具信息!T709="","",[2]道具信息!T709)</f>
        <v/>
      </c>
      <c r="U709" s="59" t="str">
        <f>IF([2]道具信息!U709="","",[2]道具信息!U709)</f>
        <v/>
      </c>
      <c r="V709" s="59" t="str">
        <f>IF([2]道具信息!V709="","",[2]道具信息!V709)</f>
        <v/>
      </c>
      <c r="W709" s="59" t="str">
        <f>IF([2]道具信息!W709="","",[2]道具信息!W709)</f>
        <v/>
      </c>
      <c r="X709" s="59" t="str">
        <f>IF([2]道具信息!X709="","",[2]道具信息!X709)</f>
        <v/>
      </c>
      <c r="Y709" s="59" t="str">
        <f>IF([2]道具信息!Y709="","",[2]道具信息!Y709)</f>
        <v/>
      </c>
      <c r="Z709" s="59" t="str">
        <f>IF([2]道具信息!Z709="","",[2]道具信息!Z709)</f>
        <v/>
      </c>
    </row>
    <row r="710" spans="1:26" x14ac:dyDescent="0.15">
      <c r="A710" s="59" t="str">
        <f>IF([2]道具信息!A710="","",[2]道具信息!A710)</f>
        <v/>
      </c>
      <c r="B710" s="59" t="str">
        <f>IF([2]道具信息!B710="","",[2]道具信息!B710)</f>
        <v/>
      </c>
      <c r="C710" s="59" t="str">
        <f>IF([2]道具信息!C710="","",[2]道具信息!C710)</f>
        <v/>
      </c>
      <c r="D710" s="59" t="str">
        <f>IF([2]道具信息!D710="","",[2]道具信息!D710)</f>
        <v/>
      </c>
      <c r="E710" s="59" t="str">
        <f>IF([2]道具信息!E710="","",[2]道具信息!E710)</f>
        <v/>
      </c>
      <c r="F710" s="59" t="str">
        <f>IF([2]道具信息!F710="","",[2]道具信息!F710)</f>
        <v/>
      </c>
      <c r="G710" s="59" t="str">
        <f>IF([2]道具信息!G710="","",[2]道具信息!G710)</f>
        <v/>
      </c>
      <c r="H710" s="59" t="str">
        <f>IF([2]道具信息!H710="","",[2]道具信息!H710)</f>
        <v/>
      </c>
      <c r="I710" s="59" t="str">
        <f>IF([2]道具信息!I710="","",[2]道具信息!I710)</f>
        <v/>
      </c>
      <c r="J710" s="59" t="str">
        <f>IF([2]道具信息!J710="","",[2]道具信息!J710)</f>
        <v/>
      </c>
      <c r="K710" s="59" t="str">
        <f>IF([2]道具信息!K710="","",[2]道具信息!K710)</f>
        <v/>
      </c>
      <c r="L710" s="59" t="str">
        <f>IF([2]道具信息!L710="","",[2]道具信息!L710)</f>
        <v/>
      </c>
      <c r="M710" s="59" t="str">
        <f>IF([2]道具信息!M710="","",[2]道具信息!M710)</f>
        <v/>
      </c>
      <c r="N710" s="59" t="str">
        <f>IF([2]道具信息!N710="","",[2]道具信息!N710)</f>
        <v/>
      </c>
      <c r="O710" s="59" t="str">
        <f>IF([2]道具信息!O710="","",[2]道具信息!O710)</f>
        <v/>
      </c>
      <c r="P710" s="59" t="str">
        <f>IF([2]道具信息!P710="","",[2]道具信息!P710)</f>
        <v/>
      </c>
      <c r="Q710" s="59" t="str">
        <f>IF([2]道具信息!Q710="","",[2]道具信息!Q710)</f>
        <v/>
      </c>
      <c r="R710" s="59" t="str">
        <f>IF([2]道具信息!R710="","",[2]道具信息!R710)</f>
        <v/>
      </c>
      <c r="S710" s="59" t="str">
        <f>IF([2]道具信息!S710="","",[2]道具信息!S710)</f>
        <v/>
      </c>
      <c r="T710" s="59" t="str">
        <f>IF([2]道具信息!T710="","",[2]道具信息!T710)</f>
        <v/>
      </c>
      <c r="U710" s="59" t="str">
        <f>IF([2]道具信息!U710="","",[2]道具信息!U710)</f>
        <v/>
      </c>
      <c r="V710" s="59" t="str">
        <f>IF([2]道具信息!V710="","",[2]道具信息!V710)</f>
        <v/>
      </c>
      <c r="W710" s="59" t="str">
        <f>IF([2]道具信息!W710="","",[2]道具信息!W710)</f>
        <v/>
      </c>
      <c r="X710" s="59" t="str">
        <f>IF([2]道具信息!X710="","",[2]道具信息!X710)</f>
        <v/>
      </c>
      <c r="Y710" s="59" t="str">
        <f>IF([2]道具信息!Y710="","",[2]道具信息!Y710)</f>
        <v/>
      </c>
      <c r="Z710" s="59" t="str">
        <f>IF([2]道具信息!Z710="","",[2]道具信息!Z710)</f>
        <v/>
      </c>
    </row>
    <row r="711" spans="1:26" x14ac:dyDescent="0.15">
      <c r="A711" s="59" t="str">
        <f>IF([2]道具信息!A711="","",[2]道具信息!A711)</f>
        <v/>
      </c>
      <c r="B711" s="59" t="str">
        <f>IF([2]道具信息!B711="","",[2]道具信息!B711)</f>
        <v/>
      </c>
      <c r="C711" s="59" t="str">
        <f>IF([2]道具信息!C711="","",[2]道具信息!C711)</f>
        <v/>
      </c>
      <c r="D711" s="59" t="str">
        <f>IF([2]道具信息!D711="","",[2]道具信息!D711)</f>
        <v/>
      </c>
      <c r="E711" s="59" t="str">
        <f>IF([2]道具信息!E711="","",[2]道具信息!E711)</f>
        <v/>
      </c>
      <c r="F711" s="59" t="str">
        <f>IF([2]道具信息!F711="","",[2]道具信息!F711)</f>
        <v/>
      </c>
      <c r="G711" s="59" t="str">
        <f>IF([2]道具信息!G711="","",[2]道具信息!G711)</f>
        <v/>
      </c>
      <c r="H711" s="59" t="str">
        <f>IF([2]道具信息!H711="","",[2]道具信息!H711)</f>
        <v/>
      </c>
      <c r="I711" s="59" t="str">
        <f>IF([2]道具信息!I711="","",[2]道具信息!I711)</f>
        <v/>
      </c>
      <c r="J711" s="59" t="str">
        <f>IF([2]道具信息!J711="","",[2]道具信息!J711)</f>
        <v/>
      </c>
      <c r="K711" s="59" t="str">
        <f>IF([2]道具信息!K711="","",[2]道具信息!K711)</f>
        <v/>
      </c>
      <c r="L711" s="59" t="str">
        <f>IF([2]道具信息!L711="","",[2]道具信息!L711)</f>
        <v/>
      </c>
      <c r="M711" s="59" t="str">
        <f>IF([2]道具信息!M711="","",[2]道具信息!M711)</f>
        <v/>
      </c>
      <c r="N711" s="59" t="str">
        <f>IF([2]道具信息!N711="","",[2]道具信息!N711)</f>
        <v/>
      </c>
      <c r="O711" s="59" t="str">
        <f>IF([2]道具信息!O711="","",[2]道具信息!O711)</f>
        <v/>
      </c>
      <c r="P711" s="59" t="str">
        <f>IF([2]道具信息!P711="","",[2]道具信息!P711)</f>
        <v/>
      </c>
      <c r="Q711" s="59" t="str">
        <f>IF([2]道具信息!Q711="","",[2]道具信息!Q711)</f>
        <v/>
      </c>
      <c r="R711" s="59" t="str">
        <f>IF([2]道具信息!R711="","",[2]道具信息!R711)</f>
        <v/>
      </c>
      <c r="S711" s="59" t="str">
        <f>IF([2]道具信息!S711="","",[2]道具信息!S711)</f>
        <v/>
      </c>
      <c r="T711" s="59" t="str">
        <f>IF([2]道具信息!T711="","",[2]道具信息!T711)</f>
        <v/>
      </c>
      <c r="U711" s="59" t="str">
        <f>IF([2]道具信息!U711="","",[2]道具信息!U711)</f>
        <v/>
      </c>
      <c r="V711" s="59" t="str">
        <f>IF([2]道具信息!V711="","",[2]道具信息!V711)</f>
        <v/>
      </c>
      <c r="W711" s="59" t="str">
        <f>IF([2]道具信息!W711="","",[2]道具信息!W711)</f>
        <v/>
      </c>
      <c r="X711" s="59" t="str">
        <f>IF([2]道具信息!X711="","",[2]道具信息!X711)</f>
        <v/>
      </c>
      <c r="Y711" s="59" t="str">
        <f>IF([2]道具信息!Y711="","",[2]道具信息!Y711)</f>
        <v/>
      </c>
      <c r="Z711" s="59" t="str">
        <f>IF([2]道具信息!Z711="","",[2]道具信息!Z711)</f>
        <v/>
      </c>
    </row>
    <row r="712" spans="1:26" x14ac:dyDescent="0.15">
      <c r="A712" s="59" t="str">
        <f>IF([2]道具信息!A712="","",[2]道具信息!A712)</f>
        <v/>
      </c>
      <c r="B712" s="59" t="str">
        <f>IF([2]道具信息!B712="","",[2]道具信息!B712)</f>
        <v/>
      </c>
      <c r="C712" s="59" t="str">
        <f>IF([2]道具信息!C712="","",[2]道具信息!C712)</f>
        <v/>
      </c>
      <c r="D712" s="59" t="str">
        <f>IF([2]道具信息!D712="","",[2]道具信息!D712)</f>
        <v/>
      </c>
      <c r="E712" s="59" t="str">
        <f>IF([2]道具信息!E712="","",[2]道具信息!E712)</f>
        <v/>
      </c>
      <c r="F712" s="59" t="str">
        <f>IF([2]道具信息!F712="","",[2]道具信息!F712)</f>
        <v/>
      </c>
      <c r="G712" s="59" t="str">
        <f>IF([2]道具信息!G712="","",[2]道具信息!G712)</f>
        <v/>
      </c>
      <c r="H712" s="59" t="str">
        <f>IF([2]道具信息!H712="","",[2]道具信息!H712)</f>
        <v/>
      </c>
      <c r="I712" s="59" t="str">
        <f>IF([2]道具信息!I712="","",[2]道具信息!I712)</f>
        <v/>
      </c>
      <c r="J712" s="59" t="str">
        <f>IF([2]道具信息!J712="","",[2]道具信息!J712)</f>
        <v/>
      </c>
      <c r="K712" s="59" t="str">
        <f>IF([2]道具信息!K712="","",[2]道具信息!K712)</f>
        <v/>
      </c>
      <c r="L712" s="59" t="str">
        <f>IF([2]道具信息!L712="","",[2]道具信息!L712)</f>
        <v/>
      </c>
      <c r="M712" s="59" t="str">
        <f>IF([2]道具信息!M712="","",[2]道具信息!M712)</f>
        <v/>
      </c>
      <c r="N712" s="59" t="str">
        <f>IF([2]道具信息!N712="","",[2]道具信息!N712)</f>
        <v/>
      </c>
      <c r="O712" s="59" t="str">
        <f>IF([2]道具信息!O712="","",[2]道具信息!O712)</f>
        <v/>
      </c>
      <c r="P712" s="59" t="str">
        <f>IF([2]道具信息!P712="","",[2]道具信息!P712)</f>
        <v/>
      </c>
      <c r="Q712" s="59" t="str">
        <f>IF([2]道具信息!Q712="","",[2]道具信息!Q712)</f>
        <v/>
      </c>
      <c r="R712" s="59" t="str">
        <f>IF([2]道具信息!R712="","",[2]道具信息!R712)</f>
        <v/>
      </c>
      <c r="S712" s="59" t="str">
        <f>IF([2]道具信息!S712="","",[2]道具信息!S712)</f>
        <v/>
      </c>
      <c r="T712" s="59" t="str">
        <f>IF([2]道具信息!T712="","",[2]道具信息!T712)</f>
        <v/>
      </c>
      <c r="U712" s="59" t="str">
        <f>IF([2]道具信息!U712="","",[2]道具信息!U712)</f>
        <v/>
      </c>
      <c r="V712" s="59" t="str">
        <f>IF([2]道具信息!V712="","",[2]道具信息!V712)</f>
        <v/>
      </c>
      <c r="W712" s="59" t="str">
        <f>IF([2]道具信息!W712="","",[2]道具信息!W712)</f>
        <v/>
      </c>
      <c r="X712" s="59" t="str">
        <f>IF([2]道具信息!X712="","",[2]道具信息!X712)</f>
        <v/>
      </c>
      <c r="Y712" s="59" t="str">
        <f>IF([2]道具信息!Y712="","",[2]道具信息!Y712)</f>
        <v/>
      </c>
      <c r="Z712" s="59" t="str">
        <f>IF([2]道具信息!Z712="","",[2]道具信息!Z712)</f>
        <v/>
      </c>
    </row>
    <row r="713" spans="1:26" x14ac:dyDescent="0.15">
      <c r="A713" s="59" t="str">
        <f>IF([2]道具信息!A713="","",[2]道具信息!A713)</f>
        <v/>
      </c>
      <c r="B713" s="59" t="str">
        <f>IF([2]道具信息!B713="","",[2]道具信息!B713)</f>
        <v/>
      </c>
      <c r="C713" s="59" t="str">
        <f>IF([2]道具信息!C713="","",[2]道具信息!C713)</f>
        <v/>
      </c>
      <c r="D713" s="59" t="str">
        <f>IF([2]道具信息!D713="","",[2]道具信息!D713)</f>
        <v/>
      </c>
      <c r="E713" s="59" t="str">
        <f>IF([2]道具信息!E713="","",[2]道具信息!E713)</f>
        <v/>
      </c>
      <c r="F713" s="59" t="str">
        <f>IF([2]道具信息!F713="","",[2]道具信息!F713)</f>
        <v/>
      </c>
      <c r="G713" s="59" t="str">
        <f>IF([2]道具信息!G713="","",[2]道具信息!G713)</f>
        <v/>
      </c>
      <c r="H713" s="59" t="str">
        <f>IF([2]道具信息!H713="","",[2]道具信息!H713)</f>
        <v/>
      </c>
      <c r="I713" s="59" t="str">
        <f>IF([2]道具信息!I713="","",[2]道具信息!I713)</f>
        <v/>
      </c>
      <c r="J713" s="59" t="str">
        <f>IF([2]道具信息!J713="","",[2]道具信息!J713)</f>
        <v/>
      </c>
      <c r="K713" s="59" t="str">
        <f>IF([2]道具信息!K713="","",[2]道具信息!K713)</f>
        <v/>
      </c>
      <c r="L713" s="59" t="str">
        <f>IF([2]道具信息!L713="","",[2]道具信息!L713)</f>
        <v/>
      </c>
      <c r="M713" s="59" t="str">
        <f>IF([2]道具信息!M713="","",[2]道具信息!M713)</f>
        <v/>
      </c>
      <c r="N713" s="59" t="str">
        <f>IF([2]道具信息!N713="","",[2]道具信息!N713)</f>
        <v/>
      </c>
      <c r="O713" s="59" t="str">
        <f>IF([2]道具信息!O713="","",[2]道具信息!O713)</f>
        <v/>
      </c>
      <c r="P713" s="59" t="str">
        <f>IF([2]道具信息!P713="","",[2]道具信息!P713)</f>
        <v/>
      </c>
      <c r="Q713" s="59" t="str">
        <f>IF([2]道具信息!Q713="","",[2]道具信息!Q713)</f>
        <v/>
      </c>
      <c r="R713" s="59" t="str">
        <f>IF([2]道具信息!R713="","",[2]道具信息!R713)</f>
        <v/>
      </c>
      <c r="S713" s="59" t="str">
        <f>IF([2]道具信息!S713="","",[2]道具信息!S713)</f>
        <v/>
      </c>
      <c r="T713" s="59" t="str">
        <f>IF([2]道具信息!T713="","",[2]道具信息!T713)</f>
        <v/>
      </c>
      <c r="U713" s="59" t="str">
        <f>IF([2]道具信息!U713="","",[2]道具信息!U713)</f>
        <v/>
      </c>
      <c r="V713" s="59" t="str">
        <f>IF([2]道具信息!V713="","",[2]道具信息!V713)</f>
        <v/>
      </c>
      <c r="W713" s="59" t="str">
        <f>IF([2]道具信息!W713="","",[2]道具信息!W713)</f>
        <v/>
      </c>
      <c r="X713" s="59" t="str">
        <f>IF([2]道具信息!X713="","",[2]道具信息!X713)</f>
        <v/>
      </c>
      <c r="Y713" s="59" t="str">
        <f>IF([2]道具信息!Y713="","",[2]道具信息!Y713)</f>
        <v/>
      </c>
      <c r="Z713" s="59" t="str">
        <f>IF([2]道具信息!Z713="","",[2]道具信息!Z713)</f>
        <v/>
      </c>
    </row>
    <row r="714" spans="1:26" x14ac:dyDescent="0.15">
      <c r="A714" s="59" t="str">
        <f>IF([2]道具信息!A714="","",[2]道具信息!A714)</f>
        <v/>
      </c>
      <c r="B714" s="59" t="str">
        <f>IF([2]道具信息!B714="","",[2]道具信息!B714)</f>
        <v/>
      </c>
      <c r="C714" s="59" t="str">
        <f>IF([2]道具信息!C714="","",[2]道具信息!C714)</f>
        <v/>
      </c>
      <c r="D714" s="59" t="str">
        <f>IF([2]道具信息!D714="","",[2]道具信息!D714)</f>
        <v/>
      </c>
      <c r="E714" s="59" t="str">
        <f>IF([2]道具信息!E714="","",[2]道具信息!E714)</f>
        <v/>
      </c>
      <c r="F714" s="59" t="str">
        <f>IF([2]道具信息!F714="","",[2]道具信息!F714)</f>
        <v/>
      </c>
      <c r="G714" s="59" t="str">
        <f>IF([2]道具信息!G714="","",[2]道具信息!G714)</f>
        <v/>
      </c>
      <c r="H714" s="59" t="str">
        <f>IF([2]道具信息!H714="","",[2]道具信息!H714)</f>
        <v/>
      </c>
      <c r="I714" s="59" t="str">
        <f>IF([2]道具信息!I714="","",[2]道具信息!I714)</f>
        <v/>
      </c>
      <c r="J714" s="59" t="str">
        <f>IF([2]道具信息!J714="","",[2]道具信息!J714)</f>
        <v/>
      </c>
      <c r="K714" s="59" t="str">
        <f>IF([2]道具信息!K714="","",[2]道具信息!K714)</f>
        <v/>
      </c>
      <c r="L714" s="59" t="str">
        <f>IF([2]道具信息!L714="","",[2]道具信息!L714)</f>
        <v/>
      </c>
      <c r="M714" s="59" t="str">
        <f>IF([2]道具信息!M714="","",[2]道具信息!M714)</f>
        <v/>
      </c>
      <c r="N714" s="59" t="str">
        <f>IF([2]道具信息!N714="","",[2]道具信息!N714)</f>
        <v/>
      </c>
      <c r="O714" s="59" t="str">
        <f>IF([2]道具信息!O714="","",[2]道具信息!O714)</f>
        <v/>
      </c>
      <c r="P714" s="59" t="str">
        <f>IF([2]道具信息!P714="","",[2]道具信息!P714)</f>
        <v/>
      </c>
      <c r="Q714" s="59" t="str">
        <f>IF([2]道具信息!Q714="","",[2]道具信息!Q714)</f>
        <v/>
      </c>
      <c r="R714" s="59" t="str">
        <f>IF([2]道具信息!R714="","",[2]道具信息!R714)</f>
        <v/>
      </c>
      <c r="S714" s="59" t="str">
        <f>IF([2]道具信息!S714="","",[2]道具信息!S714)</f>
        <v/>
      </c>
      <c r="T714" s="59" t="str">
        <f>IF([2]道具信息!T714="","",[2]道具信息!T714)</f>
        <v/>
      </c>
      <c r="U714" s="59" t="str">
        <f>IF([2]道具信息!U714="","",[2]道具信息!U714)</f>
        <v/>
      </c>
      <c r="V714" s="59" t="str">
        <f>IF([2]道具信息!V714="","",[2]道具信息!V714)</f>
        <v/>
      </c>
      <c r="W714" s="59" t="str">
        <f>IF([2]道具信息!W714="","",[2]道具信息!W714)</f>
        <v/>
      </c>
      <c r="X714" s="59" t="str">
        <f>IF([2]道具信息!X714="","",[2]道具信息!X714)</f>
        <v/>
      </c>
      <c r="Y714" s="59" t="str">
        <f>IF([2]道具信息!Y714="","",[2]道具信息!Y714)</f>
        <v/>
      </c>
      <c r="Z714" s="59" t="str">
        <f>IF([2]道具信息!Z714="","",[2]道具信息!Z714)</f>
        <v/>
      </c>
    </row>
    <row r="715" spans="1:26" x14ac:dyDescent="0.15">
      <c r="A715" s="59" t="str">
        <f>IF([2]道具信息!A715="","",[2]道具信息!A715)</f>
        <v/>
      </c>
      <c r="B715" s="59" t="str">
        <f>IF([2]道具信息!B715="","",[2]道具信息!B715)</f>
        <v/>
      </c>
      <c r="C715" s="59" t="str">
        <f>IF([2]道具信息!C715="","",[2]道具信息!C715)</f>
        <v/>
      </c>
      <c r="D715" s="59" t="str">
        <f>IF([2]道具信息!D715="","",[2]道具信息!D715)</f>
        <v/>
      </c>
      <c r="E715" s="59" t="str">
        <f>IF([2]道具信息!E715="","",[2]道具信息!E715)</f>
        <v/>
      </c>
      <c r="F715" s="59" t="str">
        <f>IF([2]道具信息!F715="","",[2]道具信息!F715)</f>
        <v/>
      </c>
      <c r="G715" s="59" t="str">
        <f>IF([2]道具信息!G715="","",[2]道具信息!G715)</f>
        <v/>
      </c>
      <c r="H715" s="59" t="str">
        <f>IF([2]道具信息!H715="","",[2]道具信息!H715)</f>
        <v/>
      </c>
      <c r="I715" s="59" t="str">
        <f>IF([2]道具信息!I715="","",[2]道具信息!I715)</f>
        <v/>
      </c>
      <c r="J715" s="59" t="str">
        <f>IF([2]道具信息!J715="","",[2]道具信息!J715)</f>
        <v/>
      </c>
      <c r="K715" s="59" t="str">
        <f>IF([2]道具信息!K715="","",[2]道具信息!K715)</f>
        <v/>
      </c>
      <c r="L715" s="59" t="str">
        <f>IF([2]道具信息!L715="","",[2]道具信息!L715)</f>
        <v/>
      </c>
      <c r="M715" s="59" t="str">
        <f>IF([2]道具信息!M715="","",[2]道具信息!M715)</f>
        <v/>
      </c>
      <c r="N715" s="59" t="str">
        <f>IF([2]道具信息!N715="","",[2]道具信息!N715)</f>
        <v/>
      </c>
      <c r="O715" s="59" t="str">
        <f>IF([2]道具信息!O715="","",[2]道具信息!O715)</f>
        <v/>
      </c>
      <c r="P715" s="59" t="str">
        <f>IF([2]道具信息!P715="","",[2]道具信息!P715)</f>
        <v/>
      </c>
      <c r="Q715" s="59" t="str">
        <f>IF([2]道具信息!Q715="","",[2]道具信息!Q715)</f>
        <v/>
      </c>
      <c r="R715" s="59" t="str">
        <f>IF([2]道具信息!R715="","",[2]道具信息!R715)</f>
        <v/>
      </c>
      <c r="S715" s="59" t="str">
        <f>IF([2]道具信息!S715="","",[2]道具信息!S715)</f>
        <v/>
      </c>
      <c r="T715" s="59" t="str">
        <f>IF([2]道具信息!T715="","",[2]道具信息!T715)</f>
        <v/>
      </c>
      <c r="U715" s="59" t="str">
        <f>IF([2]道具信息!U715="","",[2]道具信息!U715)</f>
        <v/>
      </c>
      <c r="V715" s="59" t="str">
        <f>IF([2]道具信息!V715="","",[2]道具信息!V715)</f>
        <v/>
      </c>
      <c r="W715" s="59" t="str">
        <f>IF([2]道具信息!W715="","",[2]道具信息!W715)</f>
        <v/>
      </c>
      <c r="X715" s="59" t="str">
        <f>IF([2]道具信息!X715="","",[2]道具信息!X715)</f>
        <v/>
      </c>
      <c r="Y715" s="59" t="str">
        <f>IF([2]道具信息!Y715="","",[2]道具信息!Y715)</f>
        <v/>
      </c>
      <c r="Z715" s="59" t="str">
        <f>IF([2]道具信息!Z715="","",[2]道具信息!Z715)</f>
        <v/>
      </c>
    </row>
    <row r="716" spans="1:26" x14ac:dyDescent="0.15">
      <c r="A716" s="59" t="str">
        <f>IF([2]道具信息!A716="","",[2]道具信息!A716)</f>
        <v/>
      </c>
      <c r="B716" s="59" t="str">
        <f>IF([2]道具信息!B716="","",[2]道具信息!B716)</f>
        <v/>
      </c>
      <c r="C716" s="59" t="str">
        <f>IF([2]道具信息!C716="","",[2]道具信息!C716)</f>
        <v/>
      </c>
      <c r="D716" s="59" t="str">
        <f>IF([2]道具信息!D716="","",[2]道具信息!D716)</f>
        <v/>
      </c>
      <c r="E716" s="59" t="str">
        <f>IF([2]道具信息!E716="","",[2]道具信息!E716)</f>
        <v/>
      </c>
      <c r="F716" s="59" t="str">
        <f>IF([2]道具信息!F716="","",[2]道具信息!F716)</f>
        <v/>
      </c>
      <c r="G716" s="59" t="str">
        <f>IF([2]道具信息!G716="","",[2]道具信息!G716)</f>
        <v/>
      </c>
      <c r="H716" s="59" t="str">
        <f>IF([2]道具信息!H716="","",[2]道具信息!H716)</f>
        <v/>
      </c>
      <c r="I716" s="59" t="str">
        <f>IF([2]道具信息!I716="","",[2]道具信息!I716)</f>
        <v/>
      </c>
      <c r="J716" s="59" t="str">
        <f>IF([2]道具信息!J716="","",[2]道具信息!J716)</f>
        <v/>
      </c>
      <c r="K716" s="59" t="str">
        <f>IF([2]道具信息!K716="","",[2]道具信息!K716)</f>
        <v/>
      </c>
      <c r="L716" s="59" t="str">
        <f>IF([2]道具信息!L716="","",[2]道具信息!L716)</f>
        <v/>
      </c>
      <c r="M716" s="59" t="str">
        <f>IF([2]道具信息!M716="","",[2]道具信息!M716)</f>
        <v/>
      </c>
      <c r="N716" s="59" t="str">
        <f>IF([2]道具信息!N716="","",[2]道具信息!N716)</f>
        <v/>
      </c>
      <c r="O716" s="59" t="str">
        <f>IF([2]道具信息!O716="","",[2]道具信息!O716)</f>
        <v/>
      </c>
      <c r="P716" s="59" t="str">
        <f>IF([2]道具信息!P716="","",[2]道具信息!P716)</f>
        <v/>
      </c>
      <c r="Q716" s="59" t="str">
        <f>IF([2]道具信息!Q716="","",[2]道具信息!Q716)</f>
        <v/>
      </c>
      <c r="R716" s="59" t="str">
        <f>IF([2]道具信息!R716="","",[2]道具信息!R716)</f>
        <v/>
      </c>
      <c r="S716" s="59" t="str">
        <f>IF([2]道具信息!S716="","",[2]道具信息!S716)</f>
        <v/>
      </c>
      <c r="T716" s="59" t="str">
        <f>IF([2]道具信息!T716="","",[2]道具信息!T716)</f>
        <v/>
      </c>
      <c r="U716" s="59" t="str">
        <f>IF([2]道具信息!U716="","",[2]道具信息!U716)</f>
        <v/>
      </c>
      <c r="V716" s="59" t="str">
        <f>IF([2]道具信息!V716="","",[2]道具信息!V716)</f>
        <v/>
      </c>
      <c r="W716" s="59" t="str">
        <f>IF([2]道具信息!W716="","",[2]道具信息!W716)</f>
        <v/>
      </c>
      <c r="X716" s="59" t="str">
        <f>IF([2]道具信息!X716="","",[2]道具信息!X716)</f>
        <v/>
      </c>
      <c r="Y716" s="59" t="str">
        <f>IF([2]道具信息!Y716="","",[2]道具信息!Y716)</f>
        <v/>
      </c>
      <c r="Z716" s="59" t="str">
        <f>IF([2]道具信息!Z716="","",[2]道具信息!Z716)</f>
        <v/>
      </c>
    </row>
    <row r="717" spans="1:26" x14ac:dyDescent="0.15">
      <c r="A717" s="59" t="str">
        <f>IF([2]道具信息!A717="","",[2]道具信息!A717)</f>
        <v/>
      </c>
      <c r="B717" s="59" t="str">
        <f>IF([2]道具信息!B717="","",[2]道具信息!B717)</f>
        <v/>
      </c>
      <c r="C717" s="59" t="str">
        <f>IF([2]道具信息!C717="","",[2]道具信息!C717)</f>
        <v/>
      </c>
      <c r="D717" s="59" t="str">
        <f>IF([2]道具信息!D717="","",[2]道具信息!D717)</f>
        <v/>
      </c>
      <c r="E717" s="59" t="str">
        <f>IF([2]道具信息!E717="","",[2]道具信息!E717)</f>
        <v/>
      </c>
      <c r="F717" s="59" t="str">
        <f>IF([2]道具信息!F717="","",[2]道具信息!F717)</f>
        <v/>
      </c>
      <c r="G717" s="59" t="str">
        <f>IF([2]道具信息!G717="","",[2]道具信息!G717)</f>
        <v/>
      </c>
      <c r="H717" s="59" t="str">
        <f>IF([2]道具信息!H717="","",[2]道具信息!H717)</f>
        <v/>
      </c>
      <c r="I717" s="59" t="str">
        <f>IF([2]道具信息!I717="","",[2]道具信息!I717)</f>
        <v/>
      </c>
      <c r="J717" s="59" t="str">
        <f>IF([2]道具信息!J717="","",[2]道具信息!J717)</f>
        <v/>
      </c>
      <c r="K717" s="59" t="str">
        <f>IF([2]道具信息!K717="","",[2]道具信息!K717)</f>
        <v/>
      </c>
      <c r="L717" s="59" t="str">
        <f>IF([2]道具信息!L717="","",[2]道具信息!L717)</f>
        <v/>
      </c>
      <c r="M717" s="59" t="str">
        <f>IF([2]道具信息!M717="","",[2]道具信息!M717)</f>
        <v/>
      </c>
      <c r="N717" s="59" t="str">
        <f>IF([2]道具信息!N717="","",[2]道具信息!N717)</f>
        <v/>
      </c>
      <c r="O717" s="59" t="str">
        <f>IF([2]道具信息!O717="","",[2]道具信息!O717)</f>
        <v/>
      </c>
      <c r="P717" s="59" t="str">
        <f>IF([2]道具信息!P717="","",[2]道具信息!P717)</f>
        <v/>
      </c>
      <c r="Q717" s="59" t="str">
        <f>IF([2]道具信息!Q717="","",[2]道具信息!Q717)</f>
        <v/>
      </c>
      <c r="R717" s="59" t="str">
        <f>IF([2]道具信息!R717="","",[2]道具信息!R717)</f>
        <v/>
      </c>
      <c r="S717" s="59" t="str">
        <f>IF([2]道具信息!S717="","",[2]道具信息!S717)</f>
        <v/>
      </c>
      <c r="T717" s="59" t="str">
        <f>IF([2]道具信息!T717="","",[2]道具信息!T717)</f>
        <v/>
      </c>
      <c r="U717" s="59" t="str">
        <f>IF([2]道具信息!U717="","",[2]道具信息!U717)</f>
        <v/>
      </c>
      <c r="V717" s="59" t="str">
        <f>IF([2]道具信息!V717="","",[2]道具信息!V717)</f>
        <v/>
      </c>
      <c r="W717" s="59" t="str">
        <f>IF([2]道具信息!W717="","",[2]道具信息!W717)</f>
        <v/>
      </c>
      <c r="X717" s="59" t="str">
        <f>IF([2]道具信息!X717="","",[2]道具信息!X717)</f>
        <v/>
      </c>
      <c r="Y717" s="59" t="str">
        <f>IF([2]道具信息!Y717="","",[2]道具信息!Y717)</f>
        <v/>
      </c>
      <c r="Z717" s="59" t="str">
        <f>IF([2]道具信息!Z717="","",[2]道具信息!Z717)</f>
        <v/>
      </c>
    </row>
    <row r="718" spans="1:26" x14ac:dyDescent="0.15">
      <c r="A718" s="59" t="str">
        <f>IF([2]道具信息!A718="","",[2]道具信息!A718)</f>
        <v/>
      </c>
      <c r="B718" s="59" t="str">
        <f>IF([2]道具信息!B718="","",[2]道具信息!B718)</f>
        <v/>
      </c>
      <c r="C718" s="59" t="str">
        <f>IF([2]道具信息!C718="","",[2]道具信息!C718)</f>
        <v/>
      </c>
      <c r="D718" s="59" t="str">
        <f>IF([2]道具信息!D718="","",[2]道具信息!D718)</f>
        <v/>
      </c>
      <c r="E718" s="59" t="str">
        <f>IF([2]道具信息!E718="","",[2]道具信息!E718)</f>
        <v/>
      </c>
      <c r="F718" s="59" t="str">
        <f>IF([2]道具信息!F718="","",[2]道具信息!F718)</f>
        <v/>
      </c>
      <c r="G718" s="59" t="str">
        <f>IF([2]道具信息!G718="","",[2]道具信息!G718)</f>
        <v/>
      </c>
      <c r="H718" s="59" t="str">
        <f>IF([2]道具信息!H718="","",[2]道具信息!H718)</f>
        <v/>
      </c>
      <c r="I718" s="59" t="str">
        <f>IF([2]道具信息!I718="","",[2]道具信息!I718)</f>
        <v/>
      </c>
      <c r="J718" s="59" t="str">
        <f>IF([2]道具信息!J718="","",[2]道具信息!J718)</f>
        <v/>
      </c>
      <c r="K718" s="59" t="str">
        <f>IF([2]道具信息!K718="","",[2]道具信息!K718)</f>
        <v/>
      </c>
      <c r="L718" s="59" t="str">
        <f>IF([2]道具信息!L718="","",[2]道具信息!L718)</f>
        <v/>
      </c>
      <c r="M718" s="59" t="str">
        <f>IF([2]道具信息!M718="","",[2]道具信息!M718)</f>
        <v/>
      </c>
      <c r="N718" s="59" t="str">
        <f>IF([2]道具信息!N718="","",[2]道具信息!N718)</f>
        <v/>
      </c>
      <c r="O718" s="59" t="str">
        <f>IF([2]道具信息!O718="","",[2]道具信息!O718)</f>
        <v/>
      </c>
      <c r="P718" s="59" t="str">
        <f>IF([2]道具信息!P718="","",[2]道具信息!P718)</f>
        <v/>
      </c>
      <c r="Q718" s="59" t="str">
        <f>IF([2]道具信息!Q718="","",[2]道具信息!Q718)</f>
        <v/>
      </c>
      <c r="R718" s="59" t="str">
        <f>IF([2]道具信息!R718="","",[2]道具信息!R718)</f>
        <v/>
      </c>
      <c r="S718" s="59" t="str">
        <f>IF([2]道具信息!S718="","",[2]道具信息!S718)</f>
        <v/>
      </c>
      <c r="T718" s="59" t="str">
        <f>IF([2]道具信息!T718="","",[2]道具信息!T718)</f>
        <v/>
      </c>
      <c r="U718" s="59" t="str">
        <f>IF([2]道具信息!U718="","",[2]道具信息!U718)</f>
        <v/>
      </c>
      <c r="V718" s="59" t="str">
        <f>IF([2]道具信息!V718="","",[2]道具信息!V718)</f>
        <v/>
      </c>
      <c r="W718" s="59" t="str">
        <f>IF([2]道具信息!W718="","",[2]道具信息!W718)</f>
        <v/>
      </c>
      <c r="X718" s="59" t="str">
        <f>IF([2]道具信息!X718="","",[2]道具信息!X718)</f>
        <v/>
      </c>
      <c r="Y718" s="59" t="str">
        <f>IF([2]道具信息!Y718="","",[2]道具信息!Y718)</f>
        <v/>
      </c>
      <c r="Z718" s="59" t="str">
        <f>IF([2]道具信息!Z718="","",[2]道具信息!Z718)</f>
        <v/>
      </c>
    </row>
    <row r="719" spans="1:26" x14ac:dyDescent="0.15">
      <c r="A719" s="59" t="str">
        <f>IF([2]道具信息!A719="","",[2]道具信息!A719)</f>
        <v/>
      </c>
      <c r="B719" s="59" t="str">
        <f>IF([2]道具信息!B719="","",[2]道具信息!B719)</f>
        <v/>
      </c>
      <c r="C719" s="59" t="str">
        <f>IF([2]道具信息!C719="","",[2]道具信息!C719)</f>
        <v/>
      </c>
      <c r="D719" s="59" t="str">
        <f>IF([2]道具信息!D719="","",[2]道具信息!D719)</f>
        <v/>
      </c>
      <c r="E719" s="59" t="str">
        <f>IF([2]道具信息!E719="","",[2]道具信息!E719)</f>
        <v/>
      </c>
      <c r="F719" s="59" t="str">
        <f>IF([2]道具信息!F719="","",[2]道具信息!F719)</f>
        <v/>
      </c>
      <c r="G719" s="59" t="str">
        <f>IF([2]道具信息!G719="","",[2]道具信息!G719)</f>
        <v/>
      </c>
      <c r="H719" s="59" t="str">
        <f>IF([2]道具信息!H719="","",[2]道具信息!H719)</f>
        <v/>
      </c>
      <c r="I719" s="59" t="str">
        <f>IF([2]道具信息!I719="","",[2]道具信息!I719)</f>
        <v/>
      </c>
      <c r="J719" s="59" t="str">
        <f>IF([2]道具信息!J719="","",[2]道具信息!J719)</f>
        <v/>
      </c>
      <c r="K719" s="59" t="str">
        <f>IF([2]道具信息!K719="","",[2]道具信息!K719)</f>
        <v/>
      </c>
      <c r="L719" s="59" t="str">
        <f>IF([2]道具信息!L719="","",[2]道具信息!L719)</f>
        <v/>
      </c>
      <c r="M719" s="59" t="str">
        <f>IF([2]道具信息!M719="","",[2]道具信息!M719)</f>
        <v/>
      </c>
      <c r="N719" s="59" t="str">
        <f>IF([2]道具信息!N719="","",[2]道具信息!N719)</f>
        <v/>
      </c>
      <c r="O719" s="59" t="str">
        <f>IF([2]道具信息!O719="","",[2]道具信息!O719)</f>
        <v/>
      </c>
      <c r="P719" s="59" t="str">
        <f>IF([2]道具信息!P719="","",[2]道具信息!P719)</f>
        <v/>
      </c>
      <c r="Q719" s="59" t="str">
        <f>IF([2]道具信息!Q719="","",[2]道具信息!Q719)</f>
        <v/>
      </c>
      <c r="R719" s="59" t="str">
        <f>IF([2]道具信息!R719="","",[2]道具信息!R719)</f>
        <v/>
      </c>
      <c r="S719" s="59" t="str">
        <f>IF([2]道具信息!S719="","",[2]道具信息!S719)</f>
        <v/>
      </c>
      <c r="T719" s="59" t="str">
        <f>IF([2]道具信息!T719="","",[2]道具信息!T719)</f>
        <v/>
      </c>
      <c r="U719" s="59" t="str">
        <f>IF([2]道具信息!U719="","",[2]道具信息!U719)</f>
        <v/>
      </c>
      <c r="V719" s="59" t="str">
        <f>IF([2]道具信息!V719="","",[2]道具信息!V719)</f>
        <v/>
      </c>
      <c r="W719" s="59" t="str">
        <f>IF([2]道具信息!W719="","",[2]道具信息!W719)</f>
        <v/>
      </c>
      <c r="X719" s="59" t="str">
        <f>IF([2]道具信息!X719="","",[2]道具信息!X719)</f>
        <v/>
      </c>
      <c r="Y719" s="59" t="str">
        <f>IF([2]道具信息!Y719="","",[2]道具信息!Y719)</f>
        <v/>
      </c>
      <c r="Z719" s="59" t="str">
        <f>IF([2]道具信息!Z719="","",[2]道具信息!Z719)</f>
        <v/>
      </c>
    </row>
    <row r="720" spans="1:26" x14ac:dyDescent="0.15">
      <c r="A720" s="59" t="str">
        <f>IF([2]道具信息!A720="","",[2]道具信息!A720)</f>
        <v/>
      </c>
      <c r="B720" s="59" t="str">
        <f>IF([2]道具信息!B720="","",[2]道具信息!B720)</f>
        <v/>
      </c>
      <c r="C720" s="59" t="str">
        <f>IF([2]道具信息!C720="","",[2]道具信息!C720)</f>
        <v/>
      </c>
      <c r="D720" s="59" t="str">
        <f>IF([2]道具信息!D720="","",[2]道具信息!D720)</f>
        <v/>
      </c>
      <c r="E720" s="59" t="str">
        <f>IF([2]道具信息!E720="","",[2]道具信息!E720)</f>
        <v/>
      </c>
      <c r="F720" s="59" t="str">
        <f>IF([2]道具信息!F720="","",[2]道具信息!F720)</f>
        <v/>
      </c>
      <c r="G720" s="59" t="str">
        <f>IF([2]道具信息!G720="","",[2]道具信息!G720)</f>
        <v/>
      </c>
      <c r="H720" s="59" t="str">
        <f>IF([2]道具信息!H720="","",[2]道具信息!H720)</f>
        <v/>
      </c>
      <c r="I720" s="59" t="str">
        <f>IF([2]道具信息!I720="","",[2]道具信息!I720)</f>
        <v/>
      </c>
      <c r="J720" s="59" t="str">
        <f>IF([2]道具信息!J720="","",[2]道具信息!J720)</f>
        <v/>
      </c>
      <c r="K720" s="59" t="str">
        <f>IF([2]道具信息!K720="","",[2]道具信息!K720)</f>
        <v/>
      </c>
      <c r="L720" s="59" t="str">
        <f>IF([2]道具信息!L720="","",[2]道具信息!L720)</f>
        <v/>
      </c>
      <c r="M720" s="59" t="str">
        <f>IF([2]道具信息!M720="","",[2]道具信息!M720)</f>
        <v/>
      </c>
      <c r="N720" s="59" t="str">
        <f>IF([2]道具信息!N720="","",[2]道具信息!N720)</f>
        <v/>
      </c>
      <c r="O720" s="59" t="str">
        <f>IF([2]道具信息!O720="","",[2]道具信息!O720)</f>
        <v/>
      </c>
      <c r="P720" s="59" t="str">
        <f>IF([2]道具信息!P720="","",[2]道具信息!P720)</f>
        <v/>
      </c>
      <c r="Q720" s="59" t="str">
        <f>IF([2]道具信息!Q720="","",[2]道具信息!Q720)</f>
        <v/>
      </c>
      <c r="R720" s="59" t="str">
        <f>IF([2]道具信息!R720="","",[2]道具信息!R720)</f>
        <v/>
      </c>
      <c r="S720" s="59" t="str">
        <f>IF([2]道具信息!S720="","",[2]道具信息!S720)</f>
        <v/>
      </c>
      <c r="T720" s="59" t="str">
        <f>IF([2]道具信息!T720="","",[2]道具信息!T720)</f>
        <v/>
      </c>
      <c r="U720" s="59" t="str">
        <f>IF([2]道具信息!U720="","",[2]道具信息!U720)</f>
        <v/>
      </c>
      <c r="V720" s="59" t="str">
        <f>IF([2]道具信息!V720="","",[2]道具信息!V720)</f>
        <v/>
      </c>
      <c r="W720" s="59" t="str">
        <f>IF([2]道具信息!W720="","",[2]道具信息!W720)</f>
        <v/>
      </c>
      <c r="X720" s="59" t="str">
        <f>IF([2]道具信息!X720="","",[2]道具信息!X720)</f>
        <v/>
      </c>
      <c r="Y720" s="59" t="str">
        <f>IF([2]道具信息!Y720="","",[2]道具信息!Y720)</f>
        <v/>
      </c>
      <c r="Z720" s="59" t="str">
        <f>IF([2]道具信息!Z720="","",[2]道具信息!Z720)</f>
        <v/>
      </c>
    </row>
    <row r="721" spans="1:26" x14ac:dyDescent="0.15">
      <c r="A721" s="59" t="str">
        <f>IF([2]道具信息!A721="","",[2]道具信息!A721)</f>
        <v/>
      </c>
      <c r="B721" s="59" t="str">
        <f>IF([2]道具信息!B721="","",[2]道具信息!B721)</f>
        <v/>
      </c>
      <c r="C721" s="59" t="str">
        <f>IF([2]道具信息!C721="","",[2]道具信息!C721)</f>
        <v/>
      </c>
      <c r="D721" s="59" t="str">
        <f>IF([2]道具信息!D721="","",[2]道具信息!D721)</f>
        <v/>
      </c>
      <c r="E721" s="59" t="str">
        <f>IF([2]道具信息!E721="","",[2]道具信息!E721)</f>
        <v/>
      </c>
      <c r="F721" s="59" t="str">
        <f>IF([2]道具信息!F721="","",[2]道具信息!F721)</f>
        <v/>
      </c>
      <c r="G721" s="59" t="str">
        <f>IF([2]道具信息!G721="","",[2]道具信息!G721)</f>
        <v/>
      </c>
      <c r="H721" s="59" t="str">
        <f>IF([2]道具信息!H721="","",[2]道具信息!H721)</f>
        <v/>
      </c>
      <c r="I721" s="59" t="str">
        <f>IF([2]道具信息!I721="","",[2]道具信息!I721)</f>
        <v/>
      </c>
      <c r="J721" s="59" t="str">
        <f>IF([2]道具信息!J721="","",[2]道具信息!J721)</f>
        <v/>
      </c>
      <c r="K721" s="59" t="str">
        <f>IF([2]道具信息!K721="","",[2]道具信息!K721)</f>
        <v/>
      </c>
      <c r="L721" s="59" t="str">
        <f>IF([2]道具信息!L721="","",[2]道具信息!L721)</f>
        <v/>
      </c>
      <c r="M721" s="59" t="str">
        <f>IF([2]道具信息!M721="","",[2]道具信息!M721)</f>
        <v/>
      </c>
      <c r="N721" s="59" t="str">
        <f>IF([2]道具信息!N721="","",[2]道具信息!N721)</f>
        <v/>
      </c>
      <c r="O721" s="59" t="str">
        <f>IF([2]道具信息!O721="","",[2]道具信息!O721)</f>
        <v/>
      </c>
      <c r="P721" s="59" t="str">
        <f>IF([2]道具信息!P721="","",[2]道具信息!P721)</f>
        <v/>
      </c>
      <c r="Q721" s="59" t="str">
        <f>IF([2]道具信息!Q721="","",[2]道具信息!Q721)</f>
        <v/>
      </c>
      <c r="R721" s="59" t="str">
        <f>IF([2]道具信息!R721="","",[2]道具信息!R721)</f>
        <v/>
      </c>
      <c r="S721" s="59" t="str">
        <f>IF([2]道具信息!S721="","",[2]道具信息!S721)</f>
        <v/>
      </c>
      <c r="T721" s="59" t="str">
        <f>IF([2]道具信息!T721="","",[2]道具信息!T721)</f>
        <v/>
      </c>
      <c r="U721" s="59" t="str">
        <f>IF([2]道具信息!U721="","",[2]道具信息!U721)</f>
        <v/>
      </c>
      <c r="V721" s="59" t="str">
        <f>IF([2]道具信息!V721="","",[2]道具信息!V721)</f>
        <v/>
      </c>
      <c r="W721" s="59" t="str">
        <f>IF([2]道具信息!W721="","",[2]道具信息!W721)</f>
        <v/>
      </c>
      <c r="X721" s="59" t="str">
        <f>IF([2]道具信息!X721="","",[2]道具信息!X721)</f>
        <v/>
      </c>
      <c r="Y721" s="59" t="str">
        <f>IF([2]道具信息!Y721="","",[2]道具信息!Y721)</f>
        <v/>
      </c>
      <c r="Z721" s="59" t="str">
        <f>IF([2]道具信息!Z721="","",[2]道具信息!Z721)</f>
        <v/>
      </c>
    </row>
    <row r="722" spans="1:26" x14ac:dyDescent="0.15">
      <c r="A722" s="59" t="str">
        <f>IF([2]道具信息!A722="","",[2]道具信息!A722)</f>
        <v/>
      </c>
      <c r="B722" s="59" t="str">
        <f>IF([2]道具信息!B722="","",[2]道具信息!B722)</f>
        <v/>
      </c>
      <c r="C722" s="59" t="str">
        <f>IF([2]道具信息!C722="","",[2]道具信息!C722)</f>
        <v/>
      </c>
      <c r="D722" s="59" t="str">
        <f>IF([2]道具信息!D722="","",[2]道具信息!D722)</f>
        <v/>
      </c>
      <c r="E722" s="59" t="str">
        <f>IF([2]道具信息!E722="","",[2]道具信息!E722)</f>
        <v/>
      </c>
      <c r="F722" s="59" t="str">
        <f>IF([2]道具信息!F722="","",[2]道具信息!F722)</f>
        <v/>
      </c>
      <c r="G722" s="59" t="str">
        <f>IF([2]道具信息!G722="","",[2]道具信息!G722)</f>
        <v/>
      </c>
      <c r="H722" s="59" t="str">
        <f>IF([2]道具信息!H722="","",[2]道具信息!H722)</f>
        <v/>
      </c>
      <c r="I722" s="59" t="str">
        <f>IF([2]道具信息!I722="","",[2]道具信息!I722)</f>
        <v/>
      </c>
      <c r="J722" s="59" t="str">
        <f>IF([2]道具信息!J722="","",[2]道具信息!J722)</f>
        <v/>
      </c>
      <c r="K722" s="59" t="str">
        <f>IF([2]道具信息!K722="","",[2]道具信息!K722)</f>
        <v/>
      </c>
      <c r="L722" s="59" t="str">
        <f>IF([2]道具信息!L722="","",[2]道具信息!L722)</f>
        <v/>
      </c>
      <c r="M722" s="59" t="str">
        <f>IF([2]道具信息!M722="","",[2]道具信息!M722)</f>
        <v/>
      </c>
      <c r="N722" s="59" t="str">
        <f>IF([2]道具信息!N722="","",[2]道具信息!N722)</f>
        <v/>
      </c>
      <c r="O722" s="59" t="str">
        <f>IF([2]道具信息!O722="","",[2]道具信息!O722)</f>
        <v/>
      </c>
      <c r="P722" s="59" t="str">
        <f>IF([2]道具信息!P722="","",[2]道具信息!P722)</f>
        <v/>
      </c>
      <c r="Q722" s="59" t="str">
        <f>IF([2]道具信息!Q722="","",[2]道具信息!Q722)</f>
        <v/>
      </c>
      <c r="R722" s="59" t="str">
        <f>IF([2]道具信息!R722="","",[2]道具信息!R722)</f>
        <v/>
      </c>
      <c r="S722" s="59" t="str">
        <f>IF([2]道具信息!S722="","",[2]道具信息!S722)</f>
        <v/>
      </c>
      <c r="T722" s="59" t="str">
        <f>IF([2]道具信息!T722="","",[2]道具信息!T722)</f>
        <v/>
      </c>
      <c r="U722" s="59" t="str">
        <f>IF([2]道具信息!U722="","",[2]道具信息!U722)</f>
        <v/>
      </c>
      <c r="V722" s="59" t="str">
        <f>IF([2]道具信息!V722="","",[2]道具信息!V722)</f>
        <v/>
      </c>
      <c r="W722" s="59" t="str">
        <f>IF([2]道具信息!W722="","",[2]道具信息!W722)</f>
        <v/>
      </c>
      <c r="X722" s="59" t="str">
        <f>IF([2]道具信息!X722="","",[2]道具信息!X722)</f>
        <v/>
      </c>
      <c r="Y722" s="59" t="str">
        <f>IF([2]道具信息!Y722="","",[2]道具信息!Y722)</f>
        <v/>
      </c>
      <c r="Z722" s="59" t="str">
        <f>IF([2]道具信息!Z722="","",[2]道具信息!Z722)</f>
        <v/>
      </c>
    </row>
    <row r="723" spans="1:26" x14ac:dyDescent="0.15">
      <c r="A723" s="59" t="str">
        <f>IF([2]道具信息!A723="","",[2]道具信息!A723)</f>
        <v/>
      </c>
      <c r="B723" s="59" t="str">
        <f>IF([2]道具信息!B723="","",[2]道具信息!B723)</f>
        <v/>
      </c>
      <c r="C723" s="59" t="str">
        <f>IF([2]道具信息!C723="","",[2]道具信息!C723)</f>
        <v/>
      </c>
      <c r="D723" s="59" t="str">
        <f>IF([2]道具信息!D723="","",[2]道具信息!D723)</f>
        <v/>
      </c>
      <c r="E723" s="59" t="str">
        <f>IF([2]道具信息!E723="","",[2]道具信息!E723)</f>
        <v/>
      </c>
      <c r="F723" s="59" t="str">
        <f>IF([2]道具信息!F723="","",[2]道具信息!F723)</f>
        <v/>
      </c>
      <c r="G723" s="59" t="str">
        <f>IF([2]道具信息!G723="","",[2]道具信息!G723)</f>
        <v/>
      </c>
      <c r="H723" s="59" t="str">
        <f>IF([2]道具信息!H723="","",[2]道具信息!H723)</f>
        <v/>
      </c>
      <c r="I723" s="59" t="str">
        <f>IF([2]道具信息!I723="","",[2]道具信息!I723)</f>
        <v/>
      </c>
      <c r="J723" s="59" t="str">
        <f>IF([2]道具信息!J723="","",[2]道具信息!J723)</f>
        <v/>
      </c>
      <c r="K723" s="59" t="str">
        <f>IF([2]道具信息!K723="","",[2]道具信息!K723)</f>
        <v/>
      </c>
      <c r="L723" s="59" t="str">
        <f>IF([2]道具信息!L723="","",[2]道具信息!L723)</f>
        <v/>
      </c>
      <c r="M723" s="59" t="str">
        <f>IF([2]道具信息!M723="","",[2]道具信息!M723)</f>
        <v/>
      </c>
      <c r="N723" s="59" t="str">
        <f>IF([2]道具信息!N723="","",[2]道具信息!N723)</f>
        <v/>
      </c>
      <c r="O723" s="59" t="str">
        <f>IF([2]道具信息!O723="","",[2]道具信息!O723)</f>
        <v/>
      </c>
      <c r="P723" s="59" t="str">
        <f>IF([2]道具信息!P723="","",[2]道具信息!P723)</f>
        <v/>
      </c>
      <c r="Q723" s="59" t="str">
        <f>IF([2]道具信息!Q723="","",[2]道具信息!Q723)</f>
        <v/>
      </c>
      <c r="R723" s="59" t="str">
        <f>IF([2]道具信息!R723="","",[2]道具信息!R723)</f>
        <v/>
      </c>
      <c r="S723" s="59" t="str">
        <f>IF([2]道具信息!S723="","",[2]道具信息!S723)</f>
        <v/>
      </c>
      <c r="T723" s="59" t="str">
        <f>IF([2]道具信息!T723="","",[2]道具信息!T723)</f>
        <v/>
      </c>
      <c r="U723" s="59" t="str">
        <f>IF([2]道具信息!U723="","",[2]道具信息!U723)</f>
        <v/>
      </c>
      <c r="V723" s="59" t="str">
        <f>IF([2]道具信息!V723="","",[2]道具信息!V723)</f>
        <v/>
      </c>
      <c r="W723" s="59" t="str">
        <f>IF([2]道具信息!W723="","",[2]道具信息!W723)</f>
        <v/>
      </c>
      <c r="X723" s="59" t="str">
        <f>IF([2]道具信息!X723="","",[2]道具信息!X723)</f>
        <v/>
      </c>
      <c r="Y723" s="59" t="str">
        <f>IF([2]道具信息!Y723="","",[2]道具信息!Y723)</f>
        <v/>
      </c>
      <c r="Z723" s="59" t="str">
        <f>IF([2]道具信息!Z723="","",[2]道具信息!Z723)</f>
        <v/>
      </c>
    </row>
    <row r="724" spans="1:26" x14ac:dyDescent="0.15">
      <c r="A724" s="59" t="str">
        <f>IF([2]道具信息!A724="","",[2]道具信息!A724)</f>
        <v/>
      </c>
      <c r="B724" s="59" t="str">
        <f>IF([2]道具信息!B724="","",[2]道具信息!B724)</f>
        <v/>
      </c>
      <c r="C724" s="59" t="str">
        <f>IF([2]道具信息!C724="","",[2]道具信息!C724)</f>
        <v/>
      </c>
      <c r="D724" s="59" t="str">
        <f>IF([2]道具信息!D724="","",[2]道具信息!D724)</f>
        <v/>
      </c>
      <c r="E724" s="59" t="str">
        <f>IF([2]道具信息!E724="","",[2]道具信息!E724)</f>
        <v/>
      </c>
      <c r="F724" s="59" t="str">
        <f>IF([2]道具信息!F724="","",[2]道具信息!F724)</f>
        <v/>
      </c>
      <c r="G724" s="59" t="str">
        <f>IF([2]道具信息!G724="","",[2]道具信息!G724)</f>
        <v/>
      </c>
      <c r="H724" s="59" t="str">
        <f>IF([2]道具信息!H724="","",[2]道具信息!H724)</f>
        <v/>
      </c>
      <c r="I724" s="59" t="str">
        <f>IF([2]道具信息!I724="","",[2]道具信息!I724)</f>
        <v/>
      </c>
      <c r="J724" s="59" t="str">
        <f>IF([2]道具信息!J724="","",[2]道具信息!J724)</f>
        <v/>
      </c>
      <c r="K724" s="59" t="str">
        <f>IF([2]道具信息!K724="","",[2]道具信息!K724)</f>
        <v/>
      </c>
      <c r="L724" s="59" t="str">
        <f>IF([2]道具信息!L724="","",[2]道具信息!L724)</f>
        <v/>
      </c>
      <c r="M724" s="59" t="str">
        <f>IF([2]道具信息!M724="","",[2]道具信息!M724)</f>
        <v/>
      </c>
      <c r="N724" s="59" t="str">
        <f>IF([2]道具信息!N724="","",[2]道具信息!N724)</f>
        <v/>
      </c>
      <c r="O724" s="59" t="str">
        <f>IF([2]道具信息!O724="","",[2]道具信息!O724)</f>
        <v/>
      </c>
      <c r="P724" s="59" t="str">
        <f>IF([2]道具信息!P724="","",[2]道具信息!P724)</f>
        <v/>
      </c>
      <c r="Q724" s="59" t="str">
        <f>IF([2]道具信息!Q724="","",[2]道具信息!Q724)</f>
        <v/>
      </c>
      <c r="R724" s="59" t="str">
        <f>IF([2]道具信息!R724="","",[2]道具信息!R724)</f>
        <v/>
      </c>
      <c r="S724" s="59" t="str">
        <f>IF([2]道具信息!S724="","",[2]道具信息!S724)</f>
        <v/>
      </c>
      <c r="T724" s="59" t="str">
        <f>IF([2]道具信息!T724="","",[2]道具信息!T724)</f>
        <v/>
      </c>
      <c r="U724" s="59" t="str">
        <f>IF([2]道具信息!U724="","",[2]道具信息!U724)</f>
        <v/>
      </c>
      <c r="V724" s="59" t="str">
        <f>IF([2]道具信息!V724="","",[2]道具信息!V724)</f>
        <v/>
      </c>
      <c r="W724" s="59" t="str">
        <f>IF([2]道具信息!W724="","",[2]道具信息!W724)</f>
        <v/>
      </c>
      <c r="X724" s="59" t="str">
        <f>IF([2]道具信息!X724="","",[2]道具信息!X724)</f>
        <v/>
      </c>
      <c r="Y724" s="59" t="str">
        <f>IF([2]道具信息!Y724="","",[2]道具信息!Y724)</f>
        <v/>
      </c>
      <c r="Z724" s="59" t="str">
        <f>IF([2]道具信息!Z724="","",[2]道具信息!Z724)</f>
        <v/>
      </c>
    </row>
    <row r="725" spans="1:26" x14ac:dyDescent="0.15">
      <c r="A725" s="59" t="str">
        <f>IF([2]道具信息!A725="","",[2]道具信息!A725)</f>
        <v/>
      </c>
      <c r="B725" s="59" t="str">
        <f>IF([2]道具信息!B725="","",[2]道具信息!B725)</f>
        <v/>
      </c>
      <c r="C725" s="59" t="str">
        <f>IF([2]道具信息!C725="","",[2]道具信息!C725)</f>
        <v/>
      </c>
      <c r="D725" s="59" t="str">
        <f>IF([2]道具信息!D725="","",[2]道具信息!D725)</f>
        <v/>
      </c>
      <c r="E725" s="59" t="str">
        <f>IF([2]道具信息!E725="","",[2]道具信息!E725)</f>
        <v/>
      </c>
      <c r="F725" s="59" t="str">
        <f>IF([2]道具信息!F725="","",[2]道具信息!F725)</f>
        <v/>
      </c>
      <c r="G725" s="59" t="str">
        <f>IF([2]道具信息!G725="","",[2]道具信息!G725)</f>
        <v/>
      </c>
      <c r="H725" s="59" t="str">
        <f>IF([2]道具信息!H725="","",[2]道具信息!H725)</f>
        <v/>
      </c>
      <c r="I725" s="59" t="str">
        <f>IF([2]道具信息!I725="","",[2]道具信息!I725)</f>
        <v/>
      </c>
      <c r="J725" s="59" t="str">
        <f>IF([2]道具信息!J725="","",[2]道具信息!J725)</f>
        <v/>
      </c>
      <c r="K725" s="59" t="str">
        <f>IF([2]道具信息!K725="","",[2]道具信息!K725)</f>
        <v/>
      </c>
      <c r="L725" s="59" t="str">
        <f>IF([2]道具信息!L725="","",[2]道具信息!L725)</f>
        <v/>
      </c>
      <c r="M725" s="59" t="str">
        <f>IF([2]道具信息!M725="","",[2]道具信息!M725)</f>
        <v/>
      </c>
      <c r="N725" s="59" t="str">
        <f>IF([2]道具信息!N725="","",[2]道具信息!N725)</f>
        <v/>
      </c>
      <c r="O725" s="59" t="str">
        <f>IF([2]道具信息!O725="","",[2]道具信息!O725)</f>
        <v/>
      </c>
      <c r="P725" s="59" t="str">
        <f>IF([2]道具信息!P725="","",[2]道具信息!P725)</f>
        <v/>
      </c>
      <c r="Q725" s="59" t="str">
        <f>IF([2]道具信息!Q725="","",[2]道具信息!Q725)</f>
        <v/>
      </c>
      <c r="R725" s="59" t="str">
        <f>IF([2]道具信息!R725="","",[2]道具信息!R725)</f>
        <v/>
      </c>
      <c r="S725" s="59" t="str">
        <f>IF([2]道具信息!S725="","",[2]道具信息!S725)</f>
        <v/>
      </c>
      <c r="T725" s="59" t="str">
        <f>IF([2]道具信息!T725="","",[2]道具信息!T725)</f>
        <v/>
      </c>
      <c r="U725" s="59" t="str">
        <f>IF([2]道具信息!U725="","",[2]道具信息!U725)</f>
        <v/>
      </c>
      <c r="V725" s="59" t="str">
        <f>IF([2]道具信息!V725="","",[2]道具信息!V725)</f>
        <v/>
      </c>
      <c r="W725" s="59" t="str">
        <f>IF([2]道具信息!W725="","",[2]道具信息!W725)</f>
        <v/>
      </c>
      <c r="X725" s="59" t="str">
        <f>IF([2]道具信息!X725="","",[2]道具信息!X725)</f>
        <v/>
      </c>
      <c r="Y725" s="59" t="str">
        <f>IF([2]道具信息!Y725="","",[2]道具信息!Y725)</f>
        <v/>
      </c>
      <c r="Z725" s="59" t="str">
        <f>IF([2]道具信息!Z725="","",[2]道具信息!Z725)</f>
        <v/>
      </c>
    </row>
    <row r="726" spans="1:26" x14ac:dyDescent="0.15">
      <c r="A726" s="59" t="str">
        <f>IF([2]道具信息!A726="","",[2]道具信息!A726)</f>
        <v/>
      </c>
      <c r="B726" s="59" t="str">
        <f>IF([2]道具信息!B726="","",[2]道具信息!B726)</f>
        <v/>
      </c>
      <c r="C726" s="59" t="str">
        <f>IF([2]道具信息!C726="","",[2]道具信息!C726)</f>
        <v/>
      </c>
      <c r="D726" s="59" t="str">
        <f>IF([2]道具信息!D726="","",[2]道具信息!D726)</f>
        <v/>
      </c>
      <c r="E726" s="59" t="str">
        <f>IF([2]道具信息!E726="","",[2]道具信息!E726)</f>
        <v/>
      </c>
      <c r="F726" s="59" t="str">
        <f>IF([2]道具信息!F726="","",[2]道具信息!F726)</f>
        <v/>
      </c>
      <c r="G726" s="59" t="str">
        <f>IF([2]道具信息!G726="","",[2]道具信息!G726)</f>
        <v/>
      </c>
      <c r="H726" s="59" t="str">
        <f>IF([2]道具信息!H726="","",[2]道具信息!H726)</f>
        <v/>
      </c>
      <c r="I726" s="59" t="str">
        <f>IF([2]道具信息!I726="","",[2]道具信息!I726)</f>
        <v/>
      </c>
      <c r="J726" s="59" t="str">
        <f>IF([2]道具信息!J726="","",[2]道具信息!J726)</f>
        <v/>
      </c>
      <c r="K726" s="59" t="str">
        <f>IF([2]道具信息!K726="","",[2]道具信息!K726)</f>
        <v/>
      </c>
      <c r="L726" s="59" t="str">
        <f>IF([2]道具信息!L726="","",[2]道具信息!L726)</f>
        <v/>
      </c>
      <c r="M726" s="59" t="str">
        <f>IF([2]道具信息!M726="","",[2]道具信息!M726)</f>
        <v/>
      </c>
      <c r="N726" s="59" t="str">
        <f>IF([2]道具信息!N726="","",[2]道具信息!N726)</f>
        <v/>
      </c>
      <c r="O726" s="59" t="str">
        <f>IF([2]道具信息!O726="","",[2]道具信息!O726)</f>
        <v/>
      </c>
      <c r="P726" s="59" t="str">
        <f>IF([2]道具信息!P726="","",[2]道具信息!P726)</f>
        <v/>
      </c>
      <c r="Q726" s="59" t="str">
        <f>IF([2]道具信息!Q726="","",[2]道具信息!Q726)</f>
        <v/>
      </c>
      <c r="R726" s="59" t="str">
        <f>IF([2]道具信息!R726="","",[2]道具信息!R726)</f>
        <v/>
      </c>
      <c r="S726" s="59" t="str">
        <f>IF([2]道具信息!S726="","",[2]道具信息!S726)</f>
        <v/>
      </c>
      <c r="T726" s="59" t="str">
        <f>IF([2]道具信息!T726="","",[2]道具信息!T726)</f>
        <v/>
      </c>
      <c r="U726" s="59" t="str">
        <f>IF([2]道具信息!U726="","",[2]道具信息!U726)</f>
        <v/>
      </c>
      <c r="V726" s="59" t="str">
        <f>IF([2]道具信息!V726="","",[2]道具信息!V726)</f>
        <v/>
      </c>
      <c r="W726" s="59" t="str">
        <f>IF([2]道具信息!W726="","",[2]道具信息!W726)</f>
        <v/>
      </c>
      <c r="X726" s="59" t="str">
        <f>IF([2]道具信息!X726="","",[2]道具信息!X726)</f>
        <v/>
      </c>
      <c r="Y726" s="59" t="str">
        <f>IF([2]道具信息!Y726="","",[2]道具信息!Y726)</f>
        <v/>
      </c>
      <c r="Z726" s="59" t="str">
        <f>IF([2]道具信息!Z726="","",[2]道具信息!Z726)</f>
        <v/>
      </c>
    </row>
    <row r="727" spans="1:26" x14ac:dyDescent="0.15">
      <c r="A727" s="59" t="str">
        <f>IF([2]道具信息!A727="","",[2]道具信息!A727)</f>
        <v/>
      </c>
      <c r="B727" s="59" t="str">
        <f>IF([2]道具信息!B727="","",[2]道具信息!B727)</f>
        <v/>
      </c>
      <c r="C727" s="59" t="str">
        <f>IF([2]道具信息!C727="","",[2]道具信息!C727)</f>
        <v/>
      </c>
      <c r="D727" s="59" t="str">
        <f>IF([2]道具信息!D727="","",[2]道具信息!D727)</f>
        <v/>
      </c>
      <c r="E727" s="59" t="str">
        <f>IF([2]道具信息!E727="","",[2]道具信息!E727)</f>
        <v/>
      </c>
      <c r="F727" s="59" t="str">
        <f>IF([2]道具信息!F727="","",[2]道具信息!F727)</f>
        <v/>
      </c>
      <c r="G727" s="59" t="str">
        <f>IF([2]道具信息!G727="","",[2]道具信息!G727)</f>
        <v/>
      </c>
      <c r="H727" s="59" t="str">
        <f>IF([2]道具信息!H727="","",[2]道具信息!H727)</f>
        <v/>
      </c>
      <c r="I727" s="59" t="str">
        <f>IF([2]道具信息!I727="","",[2]道具信息!I727)</f>
        <v/>
      </c>
      <c r="J727" s="59" t="str">
        <f>IF([2]道具信息!J727="","",[2]道具信息!J727)</f>
        <v/>
      </c>
      <c r="K727" s="59" t="str">
        <f>IF([2]道具信息!K727="","",[2]道具信息!K727)</f>
        <v/>
      </c>
      <c r="L727" s="59" t="str">
        <f>IF([2]道具信息!L727="","",[2]道具信息!L727)</f>
        <v/>
      </c>
      <c r="M727" s="59" t="str">
        <f>IF([2]道具信息!M727="","",[2]道具信息!M727)</f>
        <v/>
      </c>
      <c r="N727" s="59" t="str">
        <f>IF([2]道具信息!N727="","",[2]道具信息!N727)</f>
        <v/>
      </c>
      <c r="O727" s="59" t="str">
        <f>IF([2]道具信息!O727="","",[2]道具信息!O727)</f>
        <v/>
      </c>
      <c r="P727" s="59" t="str">
        <f>IF([2]道具信息!P727="","",[2]道具信息!P727)</f>
        <v/>
      </c>
      <c r="Q727" s="59" t="str">
        <f>IF([2]道具信息!Q727="","",[2]道具信息!Q727)</f>
        <v/>
      </c>
      <c r="R727" s="59" t="str">
        <f>IF([2]道具信息!R727="","",[2]道具信息!R727)</f>
        <v/>
      </c>
      <c r="S727" s="59" t="str">
        <f>IF([2]道具信息!S727="","",[2]道具信息!S727)</f>
        <v/>
      </c>
      <c r="T727" s="59" t="str">
        <f>IF([2]道具信息!T727="","",[2]道具信息!T727)</f>
        <v/>
      </c>
      <c r="U727" s="59" t="str">
        <f>IF([2]道具信息!U727="","",[2]道具信息!U727)</f>
        <v/>
      </c>
      <c r="V727" s="59" t="str">
        <f>IF([2]道具信息!V727="","",[2]道具信息!V727)</f>
        <v/>
      </c>
      <c r="W727" s="59" t="str">
        <f>IF([2]道具信息!W727="","",[2]道具信息!W727)</f>
        <v/>
      </c>
      <c r="X727" s="59" t="str">
        <f>IF([2]道具信息!X727="","",[2]道具信息!X727)</f>
        <v/>
      </c>
      <c r="Y727" s="59" t="str">
        <f>IF([2]道具信息!Y727="","",[2]道具信息!Y727)</f>
        <v/>
      </c>
      <c r="Z727" s="59" t="str">
        <f>IF([2]道具信息!Z727="","",[2]道具信息!Z727)</f>
        <v/>
      </c>
    </row>
    <row r="728" spans="1:26" x14ac:dyDescent="0.15">
      <c r="A728" s="59" t="str">
        <f>IF([2]道具信息!A728="","",[2]道具信息!A728)</f>
        <v/>
      </c>
      <c r="B728" s="59" t="str">
        <f>IF([2]道具信息!B728="","",[2]道具信息!B728)</f>
        <v/>
      </c>
      <c r="C728" s="59" t="str">
        <f>IF([2]道具信息!C728="","",[2]道具信息!C728)</f>
        <v/>
      </c>
      <c r="D728" s="59" t="str">
        <f>IF([2]道具信息!D728="","",[2]道具信息!D728)</f>
        <v/>
      </c>
      <c r="E728" s="59" t="str">
        <f>IF([2]道具信息!E728="","",[2]道具信息!E728)</f>
        <v/>
      </c>
      <c r="F728" s="59" t="str">
        <f>IF([2]道具信息!F728="","",[2]道具信息!F728)</f>
        <v/>
      </c>
      <c r="G728" s="59" t="str">
        <f>IF([2]道具信息!G728="","",[2]道具信息!G728)</f>
        <v/>
      </c>
      <c r="H728" s="59" t="str">
        <f>IF([2]道具信息!H728="","",[2]道具信息!H728)</f>
        <v/>
      </c>
      <c r="I728" s="59" t="str">
        <f>IF([2]道具信息!I728="","",[2]道具信息!I728)</f>
        <v/>
      </c>
      <c r="J728" s="59" t="str">
        <f>IF([2]道具信息!J728="","",[2]道具信息!J728)</f>
        <v/>
      </c>
      <c r="K728" s="59" t="str">
        <f>IF([2]道具信息!K728="","",[2]道具信息!K728)</f>
        <v/>
      </c>
      <c r="L728" s="59" t="str">
        <f>IF([2]道具信息!L728="","",[2]道具信息!L728)</f>
        <v/>
      </c>
      <c r="M728" s="59" t="str">
        <f>IF([2]道具信息!M728="","",[2]道具信息!M728)</f>
        <v/>
      </c>
      <c r="N728" s="59" t="str">
        <f>IF([2]道具信息!N728="","",[2]道具信息!N728)</f>
        <v/>
      </c>
      <c r="O728" s="59" t="str">
        <f>IF([2]道具信息!O728="","",[2]道具信息!O728)</f>
        <v/>
      </c>
      <c r="P728" s="59" t="str">
        <f>IF([2]道具信息!P728="","",[2]道具信息!P728)</f>
        <v/>
      </c>
      <c r="Q728" s="59" t="str">
        <f>IF([2]道具信息!Q728="","",[2]道具信息!Q728)</f>
        <v/>
      </c>
      <c r="R728" s="59" t="str">
        <f>IF([2]道具信息!R728="","",[2]道具信息!R728)</f>
        <v/>
      </c>
      <c r="S728" s="59" t="str">
        <f>IF([2]道具信息!S728="","",[2]道具信息!S728)</f>
        <v/>
      </c>
      <c r="T728" s="59" t="str">
        <f>IF([2]道具信息!T728="","",[2]道具信息!T728)</f>
        <v/>
      </c>
      <c r="U728" s="59" t="str">
        <f>IF([2]道具信息!U728="","",[2]道具信息!U728)</f>
        <v/>
      </c>
      <c r="V728" s="59" t="str">
        <f>IF([2]道具信息!V728="","",[2]道具信息!V728)</f>
        <v/>
      </c>
      <c r="W728" s="59" t="str">
        <f>IF([2]道具信息!W728="","",[2]道具信息!W728)</f>
        <v/>
      </c>
      <c r="X728" s="59" t="str">
        <f>IF([2]道具信息!X728="","",[2]道具信息!X728)</f>
        <v/>
      </c>
      <c r="Y728" s="59" t="str">
        <f>IF([2]道具信息!Y728="","",[2]道具信息!Y728)</f>
        <v/>
      </c>
      <c r="Z728" s="59" t="str">
        <f>IF([2]道具信息!Z728="","",[2]道具信息!Z728)</f>
        <v/>
      </c>
    </row>
    <row r="729" spans="1:26" x14ac:dyDescent="0.15">
      <c r="A729" s="59" t="str">
        <f>IF([2]道具信息!A729="","",[2]道具信息!A729)</f>
        <v/>
      </c>
      <c r="B729" s="59" t="str">
        <f>IF([2]道具信息!B729="","",[2]道具信息!B729)</f>
        <v/>
      </c>
      <c r="C729" s="59" t="str">
        <f>IF([2]道具信息!C729="","",[2]道具信息!C729)</f>
        <v/>
      </c>
      <c r="D729" s="59" t="str">
        <f>IF([2]道具信息!D729="","",[2]道具信息!D729)</f>
        <v/>
      </c>
      <c r="E729" s="59" t="str">
        <f>IF([2]道具信息!E729="","",[2]道具信息!E729)</f>
        <v/>
      </c>
      <c r="F729" s="59" t="str">
        <f>IF([2]道具信息!F729="","",[2]道具信息!F729)</f>
        <v/>
      </c>
      <c r="G729" s="59" t="str">
        <f>IF([2]道具信息!G729="","",[2]道具信息!G729)</f>
        <v/>
      </c>
      <c r="H729" s="59" t="str">
        <f>IF([2]道具信息!H729="","",[2]道具信息!H729)</f>
        <v/>
      </c>
      <c r="I729" s="59" t="str">
        <f>IF([2]道具信息!I729="","",[2]道具信息!I729)</f>
        <v/>
      </c>
      <c r="J729" s="59" t="str">
        <f>IF([2]道具信息!J729="","",[2]道具信息!J729)</f>
        <v/>
      </c>
      <c r="K729" s="59" t="str">
        <f>IF([2]道具信息!K729="","",[2]道具信息!K729)</f>
        <v/>
      </c>
      <c r="L729" s="59" t="str">
        <f>IF([2]道具信息!L729="","",[2]道具信息!L729)</f>
        <v/>
      </c>
      <c r="M729" s="59" t="str">
        <f>IF([2]道具信息!M729="","",[2]道具信息!M729)</f>
        <v/>
      </c>
      <c r="N729" s="59" t="str">
        <f>IF([2]道具信息!N729="","",[2]道具信息!N729)</f>
        <v/>
      </c>
      <c r="O729" s="59" t="str">
        <f>IF([2]道具信息!O729="","",[2]道具信息!O729)</f>
        <v/>
      </c>
      <c r="P729" s="59" t="str">
        <f>IF([2]道具信息!P729="","",[2]道具信息!P729)</f>
        <v/>
      </c>
      <c r="Q729" s="59" t="str">
        <f>IF([2]道具信息!Q729="","",[2]道具信息!Q729)</f>
        <v/>
      </c>
      <c r="R729" s="59" t="str">
        <f>IF([2]道具信息!R729="","",[2]道具信息!R729)</f>
        <v/>
      </c>
      <c r="S729" s="59" t="str">
        <f>IF([2]道具信息!S729="","",[2]道具信息!S729)</f>
        <v/>
      </c>
      <c r="T729" s="59" t="str">
        <f>IF([2]道具信息!T729="","",[2]道具信息!T729)</f>
        <v/>
      </c>
      <c r="U729" s="59" t="str">
        <f>IF([2]道具信息!U729="","",[2]道具信息!U729)</f>
        <v/>
      </c>
      <c r="V729" s="59" t="str">
        <f>IF([2]道具信息!V729="","",[2]道具信息!V729)</f>
        <v/>
      </c>
      <c r="W729" s="59" t="str">
        <f>IF([2]道具信息!W729="","",[2]道具信息!W729)</f>
        <v/>
      </c>
      <c r="X729" s="59" t="str">
        <f>IF([2]道具信息!X729="","",[2]道具信息!X729)</f>
        <v/>
      </c>
      <c r="Y729" s="59" t="str">
        <f>IF([2]道具信息!Y729="","",[2]道具信息!Y729)</f>
        <v/>
      </c>
      <c r="Z729" s="59" t="str">
        <f>IF([2]道具信息!Z729="","",[2]道具信息!Z729)</f>
        <v/>
      </c>
    </row>
    <row r="730" spans="1:26" x14ac:dyDescent="0.15">
      <c r="A730" s="59" t="str">
        <f>IF([2]道具信息!A730="","",[2]道具信息!A730)</f>
        <v/>
      </c>
      <c r="B730" s="59" t="str">
        <f>IF([2]道具信息!B730="","",[2]道具信息!B730)</f>
        <v/>
      </c>
      <c r="C730" s="59" t="str">
        <f>IF([2]道具信息!C730="","",[2]道具信息!C730)</f>
        <v/>
      </c>
      <c r="D730" s="59" t="str">
        <f>IF([2]道具信息!D730="","",[2]道具信息!D730)</f>
        <v/>
      </c>
      <c r="E730" s="59" t="str">
        <f>IF([2]道具信息!E730="","",[2]道具信息!E730)</f>
        <v/>
      </c>
      <c r="F730" s="59" t="str">
        <f>IF([2]道具信息!F730="","",[2]道具信息!F730)</f>
        <v/>
      </c>
      <c r="G730" s="59" t="str">
        <f>IF([2]道具信息!G730="","",[2]道具信息!G730)</f>
        <v/>
      </c>
      <c r="H730" s="59" t="str">
        <f>IF([2]道具信息!H730="","",[2]道具信息!H730)</f>
        <v/>
      </c>
      <c r="I730" s="59" t="str">
        <f>IF([2]道具信息!I730="","",[2]道具信息!I730)</f>
        <v/>
      </c>
      <c r="J730" s="59" t="str">
        <f>IF([2]道具信息!J730="","",[2]道具信息!J730)</f>
        <v/>
      </c>
      <c r="K730" s="59" t="str">
        <f>IF([2]道具信息!K730="","",[2]道具信息!K730)</f>
        <v/>
      </c>
      <c r="L730" s="59" t="str">
        <f>IF([2]道具信息!L730="","",[2]道具信息!L730)</f>
        <v/>
      </c>
      <c r="M730" s="59" t="str">
        <f>IF([2]道具信息!M730="","",[2]道具信息!M730)</f>
        <v/>
      </c>
      <c r="N730" s="59" t="str">
        <f>IF([2]道具信息!N730="","",[2]道具信息!N730)</f>
        <v/>
      </c>
      <c r="O730" s="59" t="str">
        <f>IF([2]道具信息!O730="","",[2]道具信息!O730)</f>
        <v/>
      </c>
      <c r="P730" s="59" t="str">
        <f>IF([2]道具信息!P730="","",[2]道具信息!P730)</f>
        <v/>
      </c>
      <c r="Q730" s="59" t="str">
        <f>IF([2]道具信息!Q730="","",[2]道具信息!Q730)</f>
        <v/>
      </c>
      <c r="R730" s="59" t="str">
        <f>IF([2]道具信息!R730="","",[2]道具信息!R730)</f>
        <v/>
      </c>
      <c r="S730" s="59" t="str">
        <f>IF([2]道具信息!S730="","",[2]道具信息!S730)</f>
        <v/>
      </c>
      <c r="T730" s="59" t="str">
        <f>IF([2]道具信息!T730="","",[2]道具信息!T730)</f>
        <v/>
      </c>
      <c r="U730" s="59" t="str">
        <f>IF([2]道具信息!U730="","",[2]道具信息!U730)</f>
        <v/>
      </c>
      <c r="V730" s="59" t="str">
        <f>IF([2]道具信息!V730="","",[2]道具信息!V730)</f>
        <v/>
      </c>
      <c r="W730" s="59" t="str">
        <f>IF([2]道具信息!W730="","",[2]道具信息!W730)</f>
        <v/>
      </c>
      <c r="X730" s="59" t="str">
        <f>IF([2]道具信息!X730="","",[2]道具信息!X730)</f>
        <v/>
      </c>
      <c r="Y730" s="59" t="str">
        <f>IF([2]道具信息!Y730="","",[2]道具信息!Y730)</f>
        <v/>
      </c>
      <c r="Z730" s="59" t="str">
        <f>IF([2]道具信息!Z730="","",[2]道具信息!Z730)</f>
        <v/>
      </c>
    </row>
    <row r="731" spans="1:26" x14ac:dyDescent="0.15">
      <c r="A731" s="59" t="str">
        <f>IF([2]道具信息!A731="","",[2]道具信息!A731)</f>
        <v/>
      </c>
      <c r="B731" s="59" t="str">
        <f>IF([2]道具信息!B731="","",[2]道具信息!B731)</f>
        <v/>
      </c>
      <c r="C731" s="59" t="str">
        <f>IF([2]道具信息!C731="","",[2]道具信息!C731)</f>
        <v/>
      </c>
      <c r="D731" s="59" t="str">
        <f>IF([2]道具信息!D731="","",[2]道具信息!D731)</f>
        <v/>
      </c>
      <c r="E731" s="59" t="str">
        <f>IF([2]道具信息!E731="","",[2]道具信息!E731)</f>
        <v/>
      </c>
      <c r="F731" s="59" t="str">
        <f>IF([2]道具信息!F731="","",[2]道具信息!F731)</f>
        <v/>
      </c>
      <c r="G731" s="59" t="str">
        <f>IF([2]道具信息!G731="","",[2]道具信息!G731)</f>
        <v/>
      </c>
      <c r="H731" s="59" t="str">
        <f>IF([2]道具信息!H731="","",[2]道具信息!H731)</f>
        <v/>
      </c>
      <c r="I731" s="59" t="str">
        <f>IF([2]道具信息!I731="","",[2]道具信息!I731)</f>
        <v/>
      </c>
      <c r="J731" s="59" t="str">
        <f>IF([2]道具信息!J731="","",[2]道具信息!J731)</f>
        <v/>
      </c>
      <c r="K731" s="59" t="str">
        <f>IF([2]道具信息!K731="","",[2]道具信息!K731)</f>
        <v/>
      </c>
      <c r="L731" s="59" t="str">
        <f>IF([2]道具信息!L731="","",[2]道具信息!L731)</f>
        <v/>
      </c>
      <c r="M731" s="59" t="str">
        <f>IF([2]道具信息!M731="","",[2]道具信息!M731)</f>
        <v/>
      </c>
      <c r="N731" s="59" t="str">
        <f>IF([2]道具信息!N731="","",[2]道具信息!N731)</f>
        <v/>
      </c>
      <c r="O731" s="59" t="str">
        <f>IF([2]道具信息!O731="","",[2]道具信息!O731)</f>
        <v/>
      </c>
      <c r="P731" s="59" t="str">
        <f>IF([2]道具信息!P731="","",[2]道具信息!P731)</f>
        <v/>
      </c>
      <c r="Q731" s="59" t="str">
        <f>IF([2]道具信息!Q731="","",[2]道具信息!Q731)</f>
        <v/>
      </c>
      <c r="R731" s="59" t="str">
        <f>IF([2]道具信息!R731="","",[2]道具信息!R731)</f>
        <v/>
      </c>
      <c r="S731" s="59" t="str">
        <f>IF([2]道具信息!S731="","",[2]道具信息!S731)</f>
        <v/>
      </c>
      <c r="T731" s="59" t="str">
        <f>IF([2]道具信息!T731="","",[2]道具信息!T731)</f>
        <v/>
      </c>
      <c r="U731" s="59" t="str">
        <f>IF([2]道具信息!U731="","",[2]道具信息!U731)</f>
        <v/>
      </c>
      <c r="V731" s="59" t="str">
        <f>IF([2]道具信息!V731="","",[2]道具信息!V731)</f>
        <v/>
      </c>
      <c r="W731" s="59" t="str">
        <f>IF([2]道具信息!W731="","",[2]道具信息!W731)</f>
        <v/>
      </c>
      <c r="X731" s="59" t="str">
        <f>IF([2]道具信息!X731="","",[2]道具信息!X731)</f>
        <v/>
      </c>
      <c r="Y731" s="59" t="str">
        <f>IF([2]道具信息!Y731="","",[2]道具信息!Y731)</f>
        <v/>
      </c>
      <c r="Z731" s="59" t="str">
        <f>IF([2]道具信息!Z731="","",[2]道具信息!Z731)</f>
        <v/>
      </c>
    </row>
    <row r="732" spans="1:26" x14ac:dyDescent="0.15">
      <c r="A732" s="59" t="str">
        <f>IF([2]道具信息!A732="","",[2]道具信息!A732)</f>
        <v/>
      </c>
      <c r="B732" s="59" t="str">
        <f>IF([2]道具信息!B732="","",[2]道具信息!B732)</f>
        <v/>
      </c>
      <c r="C732" s="59" t="str">
        <f>IF([2]道具信息!C732="","",[2]道具信息!C732)</f>
        <v/>
      </c>
      <c r="D732" s="59" t="str">
        <f>IF([2]道具信息!D732="","",[2]道具信息!D732)</f>
        <v/>
      </c>
      <c r="E732" s="59" t="str">
        <f>IF([2]道具信息!E732="","",[2]道具信息!E732)</f>
        <v/>
      </c>
      <c r="F732" s="59" t="str">
        <f>IF([2]道具信息!F732="","",[2]道具信息!F732)</f>
        <v/>
      </c>
      <c r="G732" s="59" t="str">
        <f>IF([2]道具信息!G732="","",[2]道具信息!G732)</f>
        <v/>
      </c>
      <c r="H732" s="59" t="str">
        <f>IF([2]道具信息!H732="","",[2]道具信息!H732)</f>
        <v/>
      </c>
      <c r="I732" s="59" t="str">
        <f>IF([2]道具信息!I732="","",[2]道具信息!I732)</f>
        <v/>
      </c>
      <c r="J732" s="59" t="str">
        <f>IF([2]道具信息!J732="","",[2]道具信息!J732)</f>
        <v/>
      </c>
      <c r="K732" s="59" t="str">
        <f>IF([2]道具信息!K732="","",[2]道具信息!K732)</f>
        <v/>
      </c>
      <c r="L732" s="59" t="str">
        <f>IF([2]道具信息!L732="","",[2]道具信息!L732)</f>
        <v/>
      </c>
      <c r="M732" s="59" t="str">
        <f>IF([2]道具信息!M732="","",[2]道具信息!M732)</f>
        <v/>
      </c>
      <c r="N732" s="59" t="str">
        <f>IF([2]道具信息!N732="","",[2]道具信息!N732)</f>
        <v/>
      </c>
      <c r="O732" s="59" t="str">
        <f>IF([2]道具信息!O732="","",[2]道具信息!O732)</f>
        <v/>
      </c>
      <c r="P732" s="59" t="str">
        <f>IF([2]道具信息!P732="","",[2]道具信息!P732)</f>
        <v/>
      </c>
      <c r="Q732" s="59" t="str">
        <f>IF([2]道具信息!Q732="","",[2]道具信息!Q732)</f>
        <v/>
      </c>
      <c r="R732" s="59" t="str">
        <f>IF([2]道具信息!R732="","",[2]道具信息!R732)</f>
        <v/>
      </c>
      <c r="S732" s="59" t="str">
        <f>IF([2]道具信息!S732="","",[2]道具信息!S732)</f>
        <v/>
      </c>
      <c r="T732" s="59" t="str">
        <f>IF([2]道具信息!T732="","",[2]道具信息!T732)</f>
        <v/>
      </c>
      <c r="U732" s="59" t="str">
        <f>IF([2]道具信息!U732="","",[2]道具信息!U732)</f>
        <v/>
      </c>
      <c r="V732" s="59" t="str">
        <f>IF([2]道具信息!V732="","",[2]道具信息!V732)</f>
        <v/>
      </c>
      <c r="W732" s="59" t="str">
        <f>IF([2]道具信息!W732="","",[2]道具信息!W732)</f>
        <v/>
      </c>
      <c r="X732" s="59" t="str">
        <f>IF([2]道具信息!X732="","",[2]道具信息!X732)</f>
        <v/>
      </c>
      <c r="Y732" s="59" t="str">
        <f>IF([2]道具信息!Y732="","",[2]道具信息!Y732)</f>
        <v/>
      </c>
      <c r="Z732" s="59" t="str">
        <f>IF([2]道具信息!Z732="","",[2]道具信息!Z732)</f>
        <v/>
      </c>
    </row>
    <row r="733" spans="1:26" x14ac:dyDescent="0.15">
      <c r="A733" s="59" t="str">
        <f>IF([2]道具信息!A733="","",[2]道具信息!A733)</f>
        <v/>
      </c>
      <c r="B733" s="59" t="str">
        <f>IF([2]道具信息!B733="","",[2]道具信息!B733)</f>
        <v/>
      </c>
      <c r="C733" s="59" t="str">
        <f>IF([2]道具信息!C733="","",[2]道具信息!C733)</f>
        <v/>
      </c>
      <c r="D733" s="59" t="str">
        <f>IF([2]道具信息!D733="","",[2]道具信息!D733)</f>
        <v/>
      </c>
      <c r="E733" s="59" t="str">
        <f>IF([2]道具信息!E733="","",[2]道具信息!E733)</f>
        <v/>
      </c>
      <c r="F733" s="59" t="str">
        <f>IF([2]道具信息!F733="","",[2]道具信息!F733)</f>
        <v/>
      </c>
      <c r="G733" s="59" t="str">
        <f>IF([2]道具信息!G733="","",[2]道具信息!G733)</f>
        <v/>
      </c>
      <c r="H733" s="59" t="str">
        <f>IF([2]道具信息!H733="","",[2]道具信息!H733)</f>
        <v/>
      </c>
      <c r="I733" s="59" t="str">
        <f>IF([2]道具信息!I733="","",[2]道具信息!I733)</f>
        <v/>
      </c>
      <c r="J733" s="59" t="str">
        <f>IF([2]道具信息!J733="","",[2]道具信息!J733)</f>
        <v/>
      </c>
      <c r="K733" s="59" t="str">
        <f>IF([2]道具信息!K733="","",[2]道具信息!K733)</f>
        <v/>
      </c>
      <c r="L733" s="59" t="str">
        <f>IF([2]道具信息!L733="","",[2]道具信息!L733)</f>
        <v/>
      </c>
      <c r="M733" s="59" t="str">
        <f>IF([2]道具信息!M733="","",[2]道具信息!M733)</f>
        <v/>
      </c>
      <c r="N733" s="59" t="str">
        <f>IF([2]道具信息!N733="","",[2]道具信息!N733)</f>
        <v/>
      </c>
      <c r="O733" s="59" t="str">
        <f>IF([2]道具信息!O733="","",[2]道具信息!O733)</f>
        <v/>
      </c>
      <c r="P733" s="59" t="str">
        <f>IF([2]道具信息!P733="","",[2]道具信息!P733)</f>
        <v/>
      </c>
      <c r="Q733" s="59" t="str">
        <f>IF([2]道具信息!Q733="","",[2]道具信息!Q733)</f>
        <v/>
      </c>
      <c r="R733" s="59" t="str">
        <f>IF([2]道具信息!R733="","",[2]道具信息!R733)</f>
        <v/>
      </c>
      <c r="S733" s="59" t="str">
        <f>IF([2]道具信息!S733="","",[2]道具信息!S733)</f>
        <v/>
      </c>
      <c r="T733" s="59" t="str">
        <f>IF([2]道具信息!T733="","",[2]道具信息!T733)</f>
        <v/>
      </c>
      <c r="U733" s="59" t="str">
        <f>IF([2]道具信息!U733="","",[2]道具信息!U733)</f>
        <v/>
      </c>
      <c r="V733" s="59" t="str">
        <f>IF([2]道具信息!V733="","",[2]道具信息!V733)</f>
        <v/>
      </c>
      <c r="W733" s="59" t="str">
        <f>IF([2]道具信息!W733="","",[2]道具信息!W733)</f>
        <v/>
      </c>
      <c r="X733" s="59" t="str">
        <f>IF([2]道具信息!X733="","",[2]道具信息!X733)</f>
        <v/>
      </c>
      <c r="Y733" s="59" t="str">
        <f>IF([2]道具信息!Y733="","",[2]道具信息!Y733)</f>
        <v/>
      </c>
      <c r="Z733" s="59" t="str">
        <f>IF([2]道具信息!Z733="","",[2]道具信息!Z733)</f>
        <v/>
      </c>
    </row>
    <row r="734" spans="1:26" x14ac:dyDescent="0.15">
      <c r="A734" s="59" t="str">
        <f>IF([2]道具信息!A734="","",[2]道具信息!A734)</f>
        <v/>
      </c>
      <c r="B734" s="59" t="str">
        <f>IF([2]道具信息!B734="","",[2]道具信息!B734)</f>
        <v/>
      </c>
      <c r="C734" s="59" t="str">
        <f>IF([2]道具信息!C734="","",[2]道具信息!C734)</f>
        <v/>
      </c>
      <c r="D734" s="59" t="str">
        <f>IF([2]道具信息!D734="","",[2]道具信息!D734)</f>
        <v/>
      </c>
      <c r="E734" s="59" t="str">
        <f>IF([2]道具信息!E734="","",[2]道具信息!E734)</f>
        <v/>
      </c>
      <c r="F734" s="59" t="str">
        <f>IF([2]道具信息!F734="","",[2]道具信息!F734)</f>
        <v/>
      </c>
      <c r="G734" s="59" t="str">
        <f>IF([2]道具信息!G734="","",[2]道具信息!G734)</f>
        <v/>
      </c>
      <c r="H734" s="59" t="str">
        <f>IF([2]道具信息!H734="","",[2]道具信息!H734)</f>
        <v/>
      </c>
      <c r="I734" s="59" t="str">
        <f>IF([2]道具信息!I734="","",[2]道具信息!I734)</f>
        <v/>
      </c>
      <c r="J734" s="59" t="str">
        <f>IF([2]道具信息!J734="","",[2]道具信息!J734)</f>
        <v/>
      </c>
      <c r="K734" s="59" t="str">
        <f>IF([2]道具信息!K734="","",[2]道具信息!K734)</f>
        <v/>
      </c>
      <c r="L734" s="59" t="str">
        <f>IF([2]道具信息!L734="","",[2]道具信息!L734)</f>
        <v/>
      </c>
      <c r="M734" s="59" t="str">
        <f>IF([2]道具信息!M734="","",[2]道具信息!M734)</f>
        <v/>
      </c>
      <c r="N734" s="59" t="str">
        <f>IF([2]道具信息!N734="","",[2]道具信息!N734)</f>
        <v/>
      </c>
      <c r="O734" s="59" t="str">
        <f>IF([2]道具信息!O734="","",[2]道具信息!O734)</f>
        <v/>
      </c>
      <c r="P734" s="59" t="str">
        <f>IF([2]道具信息!P734="","",[2]道具信息!P734)</f>
        <v/>
      </c>
      <c r="Q734" s="59" t="str">
        <f>IF([2]道具信息!Q734="","",[2]道具信息!Q734)</f>
        <v/>
      </c>
      <c r="R734" s="59" t="str">
        <f>IF([2]道具信息!R734="","",[2]道具信息!R734)</f>
        <v/>
      </c>
      <c r="S734" s="59" t="str">
        <f>IF([2]道具信息!S734="","",[2]道具信息!S734)</f>
        <v/>
      </c>
      <c r="T734" s="59" t="str">
        <f>IF([2]道具信息!T734="","",[2]道具信息!T734)</f>
        <v/>
      </c>
      <c r="U734" s="59" t="str">
        <f>IF([2]道具信息!U734="","",[2]道具信息!U734)</f>
        <v/>
      </c>
      <c r="V734" s="59" t="str">
        <f>IF([2]道具信息!V734="","",[2]道具信息!V734)</f>
        <v/>
      </c>
      <c r="W734" s="59" t="str">
        <f>IF([2]道具信息!W734="","",[2]道具信息!W734)</f>
        <v/>
      </c>
      <c r="X734" s="59" t="str">
        <f>IF([2]道具信息!X734="","",[2]道具信息!X734)</f>
        <v/>
      </c>
      <c r="Y734" s="59" t="str">
        <f>IF([2]道具信息!Y734="","",[2]道具信息!Y734)</f>
        <v/>
      </c>
      <c r="Z734" s="59" t="str">
        <f>IF([2]道具信息!Z734="","",[2]道具信息!Z734)</f>
        <v/>
      </c>
    </row>
    <row r="735" spans="1:26" x14ac:dyDescent="0.15">
      <c r="A735" s="59" t="str">
        <f>IF([2]道具信息!A735="","",[2]道具信息!A735)</f>
        <v/>
      </c>
      <c r="B735" s="59" t="str">
        <f>IF([2]道具信息!B735="","",[2]道具信息!B735)</f>
        <v/>
      </c>
      <c r="C735" s="59" t="str">
        <f>IF([2]道具信息!C735="","",[2]道具信息!C735)</f>
        <v/>
      </c>
      <c r="D735" s="59" t="str">
        <f>IF([2]道具信息!D735="","",[2]道具信息!D735)</f>
        <v/>
      </c>
      <c r="E735" s="59" t="str">
        <f>IF([2]道具信息!E735="","",[2]道具信息!E735)</f>
        <v/>
      </c>
      <c r="F735" s="59" t="str">
        <f>IF([2]道具信息!F735="","",[2]道具信息!F735)</f>
        <v/>
      </c>
      <c r="G735" s="59" t="str">
        <f>IF([2]道具信息!G735="","",[2]道具信息!G735)</f>
        <v/>
      </c>
      <c r="H735" s="59" t="str">
        <f>IF([2]道具信息!H735="","",[2]道具信息!H735)</f>
        <v/>
      </c>
      <c r="I735" s="59" t="str">
        <f>IF([2]道具信息!I735="","",[2]道具信息!I735)</f>
        <v/>
      </c>
      <c r="J735" s="59" t="str">
        <f>IF([2]道具信息!J735="","",[2]道具信息!J735)</f>
        <v/>
      </c>
      <c r="K735" s="59" t="str">
        <f>IF([2]道具信息!K735="","",[2]道具信息!K735)</f>
        <v/>
      </c>
      <c r="L735" s="59" t="str">
        <f>IF([2]道具信息!L735="","",[2]道具信息!L735)</f>
        <v/>
      </c>
      <c r="M735" s="59" t="str">
        <f>IF([2]道具信息!M735="","",[2]道具信息!M735)</f>
        <v/>
      </c>
      <c r="N735" s="59" t="str">
        <f>IF([2]道具信息!N735="","",[2]道具信息!N735)</f>
        <v/>
      </c>
      <c r="O735" s="59" t="str">
        <f>IF([2]道具信息!O735="","",[2]道具信息!O735)</f>
        <v/>
      </c>
      <c r="P735" s="59" t="str">
        <f>IF([2]道具信息!P735="","",[2]道具信息!P735)</f>
        <v/>
      </c>
      <c r="Q735" s="59" t="str">
        <f>IF([2]道具信息!Q735="","",[2]道具信息!Q735)</f>
        <v/>
      </c>
      <c r="R735" s="59" t="str">
        <f>IF([2]道具信息!R735="","",[2]道具信息!R735)</f>
        <v/>
      </c>
      <c r="S735" s="59" t="str">
        <f>IF([2]道具信息!S735="","",[2]道具信息!S735)</f>
        <v/>
      </c>
      <c r="T735" s="59" t="str">
        <f>IF([2]道具信息!T735="","",[2]道具信息!T735)</f>
        <v/>
      </c>
      <c r="U735" s="59" t="str">
        <f>IF([2]道具信息!U735="","",[2]道具信息!U735)</f>
        <v/>
      </c>
      <c r="V735" s="59" t="str">
        <f>IF([2]道具信息!V735="","",[2]道具信息!V735)</f>
        <v/>
      </c>
      <c r="W735" s="59" t="str">
        <f>IF([2]道具信息!W735="","",[2]道具信息!W735)</f>
        <v/>
      </c>
      <c r="X735" s="59" t="str">
        <f>IF([2]道具信息!X735="","",[2]道具信息!X735)</f>
        <v/>
      </c>
      <c r="Y735" s="59" t="str">
        <f>IF([2]道具信息!Y735="","",[2]道具信息!Y735)</f>
        <v/>
      </c>
      <c r="Z735" s="59" t="str">
        <f>IF([2]道具信息!Z735="","",[2]道具信息!Z735)</f>
        <v/>
      </c>
    </row>
    <row r="736" spans="1:26" x14ac:dyDescent="0.15">
      <c r="A736" s="59" t="str">
        <f>IF([2]道具信息!A736="","",[2]道具信息!A736)</f>
        <v/>
      </c>
      <c r="B736" s="59" t="str">
        <f>IF([2]道具信息!B736="","",[2]道具信息!B736)</f>
        <v/>
      </c>
      <c r="C736" s="59" t="str">
        <f>IF([2]道具信息!C736="","",[2]道具信息!C736)</f>
        <v/>
      </c>
      <c r="D736" s="59" t="str">
        <f>IF([2]道具信息!D736="","",[2]道具信息!D736)</f>
        <v/>
      </c>
      <c r="E736" s="59" t="str">
        <f>IF([2]道具信息!E736="","",[2]道具信息!E736)</f>
        <v/>
      </c>
      <c r="F736" s="59" t="str">
        <f>IF([2]道具信息!F736="","",[2]道具信息!F736)</f>
        <v/>
      </c>
      <c r="G736" s="59" t="str">
        <f>IF([2]道具信息!G736="","",[2]道具信息!G736)</f>
        <v/>
      </c>
      <c r="H736" s="59" t="str">
        <f>IF([2]道具信息!H736="","",[2]道具信息!H736)</f>
        <v/>
      </c>
      <c r="I736" s="59" t="str">
        <f>IF([2]道具信息!I736="","",[2]道具信息!I736)</f>
        <v/>
      </c>
      <c r="J736" s="59" t="str">
        <f>IF([2]道具信息!J736="","",[2]道具信息!J736)</f>
        <v/>
      </c>
      <c r="K736" s="59" t="str">
        <f>IF([2]道具信息!K736="","",[2]道具信息!K736)</f>
        <v/>
      </c>
      <c r="L736" s="59" t="str">
        <f>IF([2]道具信息!L736="","",[2]道具信息!L736)</f>
        <v/>
      </c>
      <c r="M736" s="59" t="str">
        <f>IF([2]道具信息!M736="","",[2]道具信息!M736)</f>
        <v/>
      </c>
      <c r="N736" s="59" t="str">
        <f>IF([2]道具信息!N736="","",[2]道具信息!N736)</f>
        <v/>
      </c>
      <c r="O736" s="59" t="str">
        <f>IF([2]道具信息!O736="","",[2]道具信息!O736)</f>
        <v/>
      </c>
      <c r="P736" s="59" t="str">
        <f>IF([2]道具信息!P736="","",[2]道具信息!P736)</f>
        <v/>
      </c>
      <c r="Q736" s="59" t="str">
        <f>IF([2]道具信息!Q736="","",[2]道具信息!Q736)</f>
        <v/>
      </c>
      <c r="R736" s="59" t="str">
        <f>IF([2]道具信息!R736="","",[2]道具信息!R736)</f>
        <v/>
      </c>
      <c r="S736" s="59" t="str">
        <f>IF([2]道具信息!S736="","",[2]道具信息!S736)</f>
        <v/>
      </c>
      <c r="T736" s="59" t="str">
        <f>IF([2]道具信息!T736="","",[2]道具信息!T736)</f>
        <v/>
      </c>
      <c r="U736" s="59" t="str">
        <f>IF([2]道具信息!U736="","",[2]道具信息!U736)</f>
        <v/>
      </c>
      <c r="V736" s="59" t="str">
        <f>IF([2]道具信息!V736="","",[2]道具信息!V736)</f>
        <v/>
      </c>
      <c r="W736" s="59" t="str">
        <f>IF([2]道具信息!W736="","",[2]道具信息!W736)</f>
        <v/>
      </c>
      <c r="X736" s="59" t="str">
        <f>IF([2]道具信息!X736="","",[2]道具信息!X736)</f>
        <v/>
      </c>
      <c r="Y736" s="59" t="str">
        <f>IF([2]道具信息!Y736="","",[2]道具信息!Y736)</f>
        <v/>
      </c>
      <c r="Z736" s="59" t="str">
        <f>IF([2]道具信息!Z736="","",[2]道具信息!Z736)</f>
        <v/>
      </c>
    </row>
    <row r="737" spans="1:26" x14ac:dyDescent="0.15">
      <c r="A737" s="59" t="str">
        <f>IF([2]道具信息!A737="","",[2]道具信息!A737)</f>
        <v/>
      </c>
      <c r="B737" s="59" t="str">
        <f>IF([2]道具信息!B737="","",[2]道具信息!B737)</f>
        <v/>
      </c>
      <c r="C737" s="59" t="str">
        <f>IF([2]道具信息!C737="","",[2]道具信息!C737)</f>
        <v/>
      </c>
      <c r="D737" s="59" t="str">
        <f>IF([2]道具信息!D737="","",[2]道具信息!D737)</f>
        <v/>
      </c>
      <c r="E737" s="59" t="str">
        <f>IF([2]道具信息!E737="","",[2]道具信息!E737)</f>
        <v/>
      </c>
      <c r="F737" s="59" t="str">
        <f>IF([2]道具信息!F737="","",[2]道具信息!F737)</f>
        <v/>
      </c>
      <c r="G737" s="59" t="str">
        <f>IF([2]道具信息!G737="","",[2]道具信息!G737)</f>
        <v/>
      </c>
      <c r="H737" s="59" t="str">
        <f>IF([2]道具信息!H737="","",[2]道具信息!H737)</f>
        <v/>
      </c>
      <c r="I737" s="59" t="str">
        <f>IF([2]道具信息!I737="","",[2]道具信息!I737)</f>
        <v/>
      </c>
      <c r="J737" s="59" t="str">
        <f>IF([2]道具信息!J737="","",[2]道具信息!J737)</f>
        <v/>
      </c>
      <c r="K737" s="59" t="str">
        <f>IF([2]道具信息!K737="","",[2]道具信息!K737)</f>
        <v/>
      </c>
      <c r="L737" s="59" t="str">
        <f>IF([2]道具信息!L737="","",[2]道具信息!L737)</f>
        <v/>
      </c>
      <c r="M737" s="59" t="str">
        <f>IF([2]道具信息!M737="","",[2]道具信息!M737)</f>
        <v/>
      </c>
      <c r="N737" s="59" t="str">
        <f>IF([2]道具信息!N737="","",[2]道具信息!N737)</f>
        <v/>
      </c>
      <c r="O737" s="59" t="str">
        <f>IF([2]道具信息!O737="","",[2]道具信息!O737)</f>
        <v/>
      </c>
      <c r="P737" s="59" t="str">
        <f>IF([2]道具信息!P737="","",[2]道具信息!P737)</f>
        <v/>
      </c>
      <c r="Q737" s="59" t="str">
        <f>IF([2]道具信息!Q737="","",[2]道具信息!Q737)</f>
        <v/>
      </c>
      <c r="R737" s="59" t="str">
        <f>IF([2]道具信息!R737="","",[2]道具信息!R737)</f>
        <v/>
      </c>
      <c r="S737" s="59" t="str">
        <f>IF([2]道具信息!S737="","",[2]道具信息!S737)</f>
        <v/>
      </c>
      <c r="T737" s="59" t="str">
        <f>IF([2]道具信息!T737="","",[2]道具信息!T737)</f>
        <v/>
      </c>
      <c r="U737" s="59" t="str">
        <f>IF([2]道具信息!U737="","",[2]道具信息!U737)</f>
        <v/>
      </c>
      <c r="V737" s="59" t="str">
        <f>IF([2]道具信息!V737="","",[2]道具信息!V737)</f>
        <v/>
      </c>
      <c r="W737" s="59" t="str">
        <f>IF([2]道具信息!W737="","",[2]道具信息!W737)</f>
        <v/>
      </c>
      <c r="X737" s="59" t="str">
        <f>IF([2]道具信息!X737="","",[2]道具信息!X737)</f>
        <v/>
      </c>
      <c r="Y737" s="59" t="str">
        <f>IF([2]道具信息!Y737="","",[2]道具信息!Y737)</f>
        <v/>
      </c>
      <c r="Z737" s="59" t="str">
        <f>IF([2]道具信息!Z737="","",[2]道具信息!Z737)</f>
        <v/>
      </c>
    </row>
    <row r="738" spans="1:26" x14ac:dyDescent="0.15">
      <c r="A738" s="59" t="str">
        <f>IF([2]道具信息!A738="","",[2]道具信息!A738)</f>
        <v/>
      </c>
      <c r="B738" s="59" t="str">
        <f>IF([2]道具信息!B738="","",[2]道具信息!B738)</f>
        <v/>
      </c>
      <c r="C738" s="59" t="str">
        <f>IF([2]道具信息!C738="","",[2]道具信息!C738)</f>
        <v/>
      </c>
      <c r="D738" s="59" t="str">
        <f>IF([2]道具信息!D738="","",[2]道具信息!D738)</f>
        <v/>
      </c>
      <c r="E738" s="59" t="str">
        <f>IF([2]道具信息!E738="","",[2]道具信息!E738)</f>
        <v/>
      </c>
      <c r="F738" s="59" t="str">
        <f>IF([2]道具信息!F738="","",[2]道具信息!F738)</f>
        <v/>
      </c>
      <c r="G738" s="59" t="str">
        <f>IF([2]道具信息!G738="","",[2]道具信息!G738)</f>
        <v/>
      </c>
      <c r="H738" s="59" t="str">
        <f>IF([2]道具信息!H738="","",[2]道具信息!H738)</f>
        <v/>
      </c>
      <c r="I738" s="59" t="str">
        <f>IF([2]道具信息!I738="","",[2]道具信息!I738)</f>
        <v/>
      </c>
      <c r="J738" s="59" t="str">
        <f>IF([2]道具信息!J738="","",[2]道具信息!J738)</f>
        <v/>
      </c>
      <c r="K738" s="59" t="str">
        <f>IF([2]道具信息!K738="","",[2]道具信息!K738)</f>
        <v/>
      </c>
      <c r="L738" s="59" t="str">
        <f>IF([2]道具信息!L738="","",[2]道具信息!L738)</f>
        <v/>
      </c>
      <c r="M738" s="59" t="str">
        <f>IF([2]道具信息!M738="","",[2]道具信息!M738)</f>
        <v/>
      </c>
      <c r="N738" s="59" t="str">
        <f>IF([2]道具信息!N738="","",[2]道具信息!N738)</f>
        <v/>
      </c>
      <c r="O738" s="59" t="str">
        <f>IF([2]道具信息!O738="","",[2]道具信息!O738)</f>
        <v/>
      </c>
      <c r="P738" s="59" t="str">
        <f>IF([2]道具信息!P738="","",[2]道具信息!P738)</f>
        <v/>
      </c>
      <c r="Q738" s="59" t="str">
        <f>IF([2]道具信息!Q738="","",[2]道具信息!Q738)</f>
        <v/>
      </c>
      <c r="R738" s="59" t="str">
        <f>IF([2]道具信息!R738="","",[2]道具信息!R738)</f>
        <v/>
      </c>
      <c r="S738" s="59" t="str">
        <f>IF([2]道具信息!S738="","",[2]道具信息!S738)</f>
        <v/>
      </c>
      <c r="T738" s="59" t="str">
        <f>IF([2]道具信息!T738="","",[2]道具信息!T738)</f>
        <v/>
      </c>
      <c r="U738" s="59" t="str">
        <f>IF([2]道具信息!U738="","",[2]道具信息!U738)</f>
        <v/>
      </c>
      <c r="V738" s="59" t="str">
        <f>IF([2]道具信息!V738="","",[2]道具信息!V738)</f>
        <v/>
      </c>
      <c r="W738" s="59" t="str">
        <f>IF([2]道具信息!W738="","",[2]道具信息!W738)</f>
        <v/>
      </c>
      <c r="X738" s="59" t="str">
        <f>IF([2]道具信息!X738="","",[2]道具信息!X738)</f>
        <v/>
      </c>
      <c r="Y738" s="59" t="str">
        <f>IF([2]道具信息!Y738="","",[2]道具信息!Y738)</f>
        <v/>
      </c>
      <c r="Z738" s="59" t="str">
        <f>IF([2]道具信息!Z738="","",[2]道具信息!Z738)</f>
        <v/>
      </c>
    </row>
    <row r="739" spans="1:26" x14ac:dyDescent="0.15">
      <c r="A739" s="59" t="str">
        <f>IF([2]道具信息!A739="","",[2]道具信息!A739)</f>
        <v/>
      </c>
      <c r="B739" s="59" t="str">
        <f>IF([2]道具信息!B739="","",[2]道具信息!B739)</f>
        <v/>
      </c>
      <c r="C739" s="59" t="str">
        <f>IF([2]道具信息!C739="","",[2]道具信息!C739)</f>
        <v/>
      </c>
      <c r="D739" s="59" t="str">
        <f>IF([2]道具信息!D739="","",[2]道具信息!D739)</f>
        <v/>
      </c>
      <c r="E739" s="59" t="str">
        <f>IF([2]道具信息!E739="","",[2]道具信息!E739)</f>
        <v/>
      </c>
      <c r="F739" s="59" t="str">
        <f>IF([2]道具信息!F739="","",[2]道具信息!F739)</f>
        <v/>
      </c>
      <c r="G739" s="59" t="str">
        <f>IF([2]道具信息!G739="","",[2]道具信息!G739)</f>
        <v/>
      </c>
      <c r="H739" s="59" t="str">
        <f>IF([2]道具信息!H739="","",[2]道具信息!H739)</f>
        <v/>
      </c>
      <c r="I739" s="59" t="str">
        <f>IF([2]道具信息!I739="","",[2]道具信息!I739)</f>
        <v/>
      </c>
      <c r="J739" s="59" t="str">
        <f>IF([2]道具信息!J739="","",[2]道具信息!J739)</f>
        <v/>
      </c>
      <c r="K739" s="59" t="str">
        <f>IF([2]道具信息!K739="","",[2]道具信息!K739)</f>
        <v/>
      </c>
      <c r="L739" s="59" t="str">
        <f>IF([2]道具信息!L739="","",[2]道具信息!L739)</f>
        <v/>
      </c>
      <c r="M739" s="59" t="str">
        <f>IF([2]道具信息!M739="","",[2]道具信息!M739)</f>
        <v/>
      </c>
      <c r="N739" s="59" t="str">
        <f>IF([2]道具信息!N739="","",[2]道具信息!N739)</f>
        <v/>
      </c>
      <c r="O739" s="59" t="str">
        <f>IF([2]道具信息!O739="","",[2]道具信息!O739)</f>
        <v/>
      </c>
      <c r="P739" s="59" t="str">
        <f>IF([2]道具信息!P739="","",[2]道具信息!P739)</f>
        <v/>
      </c>
      <c r="Q739" s="59" t="str">
        <f>IF([2]道具信息!Q739="","",[2]道具信息!Q739)</f>
        <v/>
      </c>
      <c r="R739" s="59" t="str">
        <f>IF([2]道具信息!R739="","",[2]道具信息!R739)</f>
        <v/>
      </c>
      <c r="S739" s="59" t="str">
        <f>IF([2]道具信息!S739="","",[2]道具信息!S739)</f>
        <v/>
      </c>
      <c r="T739" s="59" t="str">
        <f>IF([2]道具信息!T739="","",[2]道具信息!T739)</f>
        <v/>
      </c>
      <c r="U739" s="59" t="str">
        <f>IF([2]道具信息!U739="","",[2]道具信息!U739)</f>
        <v/>
      </c>
      <c r="V739" s="59" t="str">
        <f>IF([2]道具信息!V739="","",[2]道具信息!V739)</f>
        <v/>
      </c>
      <c r="W739" s="59" t="str">
        <f>IF([2]道具信息!W739="","",[2]道具信息!W739)</f>
        <v/>
      </c>
      <c r="X739" s="59" t="str">
        <f>IF([2]道具信息!X739="","",[2]道具信息!X739)</f>
        <v/>
      </c>
      <c r="Y739" s="59" t="str">
        <f>IF([2]道具信息!Y739="","",[2]道具信息!Y739)</f>
        <v/>
      </c>
      <c r="Z739" s="59" t="str">
        <f>IF([2]道具信息!Z739="","",[2]道具信息!Z739)</f>
        <v/>
      </c>
    </row>
    <row r="740" spans="1:26" x14ac:dyDescent="0.15">
      <c r="A740" s="59" t="str">
        <f>IF([2]道具信息!A740="","",[2]道具信息!A740)</f>
        <v/>
      </c>
      <c r="B740" s="59" t="str">
        <f>IF([2]道具信息!B740="","",[2]道具信息!B740)</f>
        <v/>
      </c>
      <c r="C740" s="59" t="str">
        <f>IF([2]道具信息!C740="","",[2]道具信息!C740)</f>
        <v/>
      </c>
      <c r="D740" s="59" t="str">
        <f>IF([2]道具信息!D740="","",[2]道具信息!D740)</f>
        <v/>
      </c>
      <c r="E740" s="59" t="str">
        <f>IF([2]道具信息!E740="","",[2]道具信息!E740)</f>
        <v/>
      </c>
      <c r="F740" s="59" t="str">
        <f>IF([2]道具信息!F740="","",[2]道具信息!F740)</f>
        <v/>
      </c>
      <c r="G740" s="59" t="str">
        <f>IF([2]道具信息!G740="","",[2]道具信息!G740)</f>
        <v/>
      </c>
      <c r="H740" s="59" t="str">
        <f>IF([2]道具信息!H740="","",[2]道具信息!H740)</f>
        <v/>
      </c>
      <c r="I740" s="59" t="str">
        <f>IF([2]道具信息!I740="","",[2]道具信息!I740)</f>
        <v/>
      </c>
      <c r="J740" s="59" t="str">
        <f>IF([2]道具信息!J740="","",[2]道具信息!J740)</f>
        <v/>
      </c>
      <c r="K740" s="59" t="str">
        <f>IF([2]道具信息!K740="","",[2]道具信息!K740)</f>
        <v/>
      </c>
      <c r="L740" s="59" t="str">
        <f>IF([2]道具信息!L740="","",[2]道具信息!L740)</f>
        <v/>
      </c>
      <c r="M740" s="59" t="str">
        <f>IF([2]道具信息!M740="","",[2]道具信息!M740)</f>
        <v/>
      </c>
      <c r="N740" s="59" t="str">
        <f>IF([2]道具信息!N740="","",[2]道具信息!N740)</f>
        <v/>
      </c>
      <c r="O740" s="59" t="str">
        <f>IF([2]道具信息!O740="","",[2]道具信息!O740)</f>
        <v/>
      </c>
      <c r="P740" s="59" t="str">
        <f>IF([2]道具信息!P740="","",[2]道具信息!P740)</f>
        <v/>
      </c>
      <c r="Q740" s="59" t="str">
        <f>IF([2]道具信息!Q740="","",[2]道具信息!Q740)</f>
        <v/>
      </c>
      <c r="R740" s="59" t="str">
        <f>IF([2]道具信息!R740="","",[2]道具信息!R740)</f>
        <v/>
      </c>
      <c r="S740" s="59" t="str">
        <f>IF([2]道具信息!S740="","",[2]道具信息!S740)</f>
        <v/>
      </c>
      <c r="T740" s="59" t="str">
        <f>IF([2]道具信息!T740="","",[2]道具信息!T740)</f>
        <v/>
      </c>
      <c r="U740" s="59" t="str">
        <f>IF([2]道具信息!U740="","",[2]道具信息!U740)</f>
        <v/>
      </c>
      <c r="V740" s="59" t="str">
        <f>IF([2]道具信息!V740="","",[2]道具信息!V740)</f>
        <v/>
      </c>
      <c r="W740" s="59" t="str">
        <f>IF([2]道具信息!W740="","",[2]道具信息!W740)</f>
        <v/>
      </c>
      <c r="X740" s="59" t="str">
        <f>IF([2]道具信息!X740="","",[2]道具信息!X740)</f>
        <v/>
      </c>
      <c r="Y740" s="59" t="str">
        <f>IF([2]道具信息!Y740="","",[2]道具信息!Y740)</f>
        <v/>
      </c>
      <c r="Z740" s="59" t="str">
        <f>IF([2]道具信息!Z740="","",[2]道具信息!Z740)</f>
        <v/>
      </c>
    </row>
    <row r="741" spans="1:26" x14ac:dyDescent="0.15">
      <c r="A741" s="59" t="str">
        <f>IF([2]道具信息!A741="","",[2]道具信息!A741)</f>
        <v/>
      </c>
      <c r="B741" s="59" t="str">
        <f>IF([2]道具信息!B741="","",[2]道具信息!B741)</f>
        <v/>
      </c>
      <c r="C741" s="59" t="str">
        <f>IF([2]道具信息!C741="","",[2]道具信息!C741)</f>
        <v/>
      </c>
      <c r="D741" s="59" t="str">
        <f>IF([2]道具信息!D741="","",[2]道具信息!D741)</f>
        <v/>
      </c>
      <c r="E741" s="59" t="str">
        <f>IF([2]道具信息!E741="","",[2]道具信息!E741)</f>
        <v/>
      </c>
      <c r="F741" s="59" t="str">
        <f>IF([2]道具信息!F741="","",[2]道具信息!F741)</f>
        <v/>
      </c>
      <c r="G741" s="59" t="str">
        <f>IF([2]道具信息!G741="","",[2]道具信息!G741)</f>
        <v/>
      </c>
      <c r="H741" s="59" t="str">
        <f>IF([2]道具信息!H741="","",[2]道具信息!H741)</f>
        <v/>
      </c>
      <c r="I741" s="59" t="str">
        <f>IF([2]道具信息!I741="","",[2]道具信息!I741)</f>
        <v/>
      </c>
      <c r="J741" s="59" t="str">
        <f>IF([2]道具信息!J741="","",[2]道具信息!J741)</f>
        <v/>
      </c>
      <c r="K741" s="59" t="str">
        <f>IF([2]道具信息!K741="","",[2]道具信息!K741)</f>
        <v/>
      </c>
      <c r="L741" s="59" t="str">
        <f>IF([2]道具信息!L741="","",[2]道具信息!L741)</f>
        <v/>
      </c>
      <c r="M741" s="59" t="str">
        <f>IF([2]道具信息!M741="","",[2]道具信息!M741)</f>
        <v/>
      </c>
      <c r="N741" s="59" t="str">
        <f>IF([2]道具信息!N741="","",[2]道具信息!N741)</f>
        <v/>
      </c>
      <c r="O741" s="59" t="str">
        <f>IF([2]道具信息!O741="","",[2]道具信息!O741)</f>
        <v/>
      </c>
      <c r="P741" s="59" t="str">
        <f>IF([2]道具信息!P741="","",[2]道具信息!P741)</f>
        <v/>
      </c>
      <c r="Q741" s="59" t="str">
        <f>IF([2]道具信息!Q741="","",[2]道具信息!Q741)</f>
        <v/>
      </c>
      <c r="R741" s="59" t="str">
        <f>IF([2]道具信息!R741="","",[2]道具信息!R741)</f>
        <v/>
      </c>
      <c r="S741" s="59" t="str">
        <f>IF([2]道具信息!S741="","",[2]道具信息!S741)</f>
        <v/>
      </c>
      <c r="T741" s="59" t="str">
        <f>IF([2]道具信息!T741="","",[2]道具信息!T741)</f>
        <v/>
      </c>
      <c r="U741" s="59" t="str">
        <f>IF([2]道具信息!U741="","",[2]道具信息!U741)</f>
        <v/>
      </c>
      <c r="V741" s="59" t="str">
        <f>IF([2]道具信息!V741="","",[2]道具信息!V741)</f>
        <v/>
      </c>
      <c r="W741" s="59" t="str">
        <f>IF([2]道具信息!W741="","",[2]道具信息!W741)</f>
        <v/>
      </c>
      <c r="X741" s="59" t="str">
        <f>IF([2]道具信息!X741="","",[2]道具信息!X741)</f>
        <v/>
      </c>
      <c r="Y741" s="59" t="str">
        <f>IF([2]道具信息!Y741="","",[2]道具信息!Y741)</f>
        <v/>
      </c>
      <c r="Z741" s="59" t="str">
        <f>IF([2]道具信息!Z741="","",[2]道具信息!Z741)</f>
        <v/>
      </c>
    </row>
    <row r="742" spans="1:26" x14ac:dyDescent="0.15">
      <c r="A742" s="59" t="str">
        <f>IF([2]道具信息!A742="","",[2]道具信息!A742)</f>
        <v/>
      </c>
      <c r="B742" s="59" t="str">
        <f>IF([2]道具信息!B742="","",[2]道具信息!B742)</f>
        <v/>
      </c>
      <c r="C742" s="59" t="str">
        <f>IF([2]道具信息!C742="","",[2]道具信息!C742)</f>
        <v/>
      </c>
      <c r="D742" s="59" t="str">
        <f>IF([2]道具信息!D742="","",[2]道具信息!D742)</f>
        <v/>
      </c>
      <c r="E742" s="59" t="str">
        <f>IF([2]道具信息!E742="","",[2]道具信息!E742)</f>
        <v/>
      </c>
      <c r="F742" s="59" t="str">
        <f>IF([2]道具信息!F742="","",[2]道具信息!F742)</f>
        <v/>
      </c>
      <c r="G742" s="59" t="str">
        <f>IF([2]道具信息!G742="","",[2]道具信息!G742)</f>
        <v/>
      </c>
      <c r="H742" s="59" t="str">
        <f>IF([2]道具信息!H742="","",[2]道具信息!H742)</f>
        <v/>
      </c>
      <c r="I742" s="59" t="str">
        <f>IF([2]道具信息!I742="","",[2]道具信息!I742)</f>
        <v/>
      </c>
      <c r="J742" s="59" t="str">
        <f>IF([2]道具信息!J742="","",[2]道具信息!J742)</f>
        <v/>
      </c>
      <c r="K742" s="59" t="str">
        <f>IF([2]道具信息!K742="","",[2]道具信息!K742)</f>
        <v/>
      </c>
      <c r="L742" s="59" t="str">
        <f>IF([2]道具信息!L742="","",[2]道具信息!L742)</f>
        <v/>
      </c>
      <c r="M742" s="59" t="str">
        <f>IF([2]道具信息!M742="","",[2]道具信息!M742)</f>
        <v/>
      </c>
      <c r="N742" s="59" t="str">
        <f>IF([2]道具信息!N742="","",[2]道具信息!N742)</f>
        <v/>
      </c>
      <c r="O742" s="59" t="str">
        <f>IF([2]道具信息!O742="","",[2]道具信息!O742)</f>
        <v/>
      </c>
      <c r="P742" s="59" t="str">
        <f>IF([2]道具信息!P742="","",[2]道具信息!P742)</f>
        <v/>
      </c>
      <c r="Q742" s="59" t="str">
        <f>IF([2]道具信息!Q742="","",[2]道具信息!Q742)</f>
        <v/>
      </c>
      <c r="R742" s="59" t="str">
        <f>IF([2]道具信息!R742="","",[2]道具信息!R742)</f>
        <v/>
      </c>
      <c r="S742" s="59" t="str">
        <f>IF([2]道具信息!S742="","",[2]道具信息!S742)</f>
        <v/>
      </c>
      <c r="T742" s="59" t="str">
        <f>IF([2]道具信息!T742="","",[2]道具信息!T742)</f>
        <v/>
      </c>
      <c r="U742" s="59" t="str">
        <f>IF([2]道具信息!U742="","",[2]道具信息!U742)</f>
        <v/>
      </c>
      <c r="V742" s="59" t="str">
        <f>IF([2]道具信息!V742="","",[2]道具信息!V742)</f>
        <v/>
      </c>
      <c r="W742" s="59" t="str">
        <f>IF([2]道具信息!W742="","",[2]道具信息!W742)</f>
        <v/>
      </c>
      <c r="X742" s="59" t="str">
        <f>IF([2]道具信息!X742="","",[2]道具信息!X742)</f>
        <v/>
      </c>
      <c r="Y742" s="59" t="str">
        <f>IF([2]道具信息!Y742="","",[2]道具信息!Y742)</f>
        <v/>
      </c>
      <c r="Z742" s="59" t="str">
        <f>IF([2]道具信息!Z742="","",[2]道具信息!Z742)</f>
        <v/>
      </c>
    </row>
    <row r="743" spans="1:26" x14ac:dyDescent="0.15">
      <c r="A743" s="59" t="str">
        <f>IF([2]道具信息!A743="","",[2]道具信息!A743)</f>
        <v/>
      </c>
      <c r="B743" s="59" t="str">
        <f>IF([2]道具信息!B743="","",[2]道具信息!B743)</f>
        <v/>
      </c>
      <c r="C743" s="59" t="str">
        <f>IF([2]道具信息!C743="","",[2]道具信息!C743)</f>
        <v/>
      </c>
      <c r="D743" s="59" t="str">
        <f>IF([2]道具信息!D743="","",[2]道具信息!D743)</f>
        <v/>
      </c>
      <c r="E743" s="59" t="str">
        <f>IF([2]道具信息!E743="","",[2]道具信息!E743)</f>
        <v/>
      </c>
      <c r="F743" s="59" t="str">
        <f>IF([2]道具信息!F743="","",[2]道具信息!F743)</f>
        <v/>
      </c>
      <c r="G743" s="59" t="str">
        <f>IF([2]道具信息!G743="","",[2]道具信息!G743)</f>
        <v/>
      </c>
      <c r="H743" s="59" t="str">
        <f>IF([2]道具信息!H743="","",[2]道具信息!H743)</f>
        <v/>
      </c>
      <c r="I743" s="59" t="str">
        <f>IF([2]道具信息!I743="","",[2]道具信息!I743)</f>
        <v/>
      </c>
      <c r="J743" s="59" t="str">
        <f>IF([2]道具信息!J743="","",[2]道具信息!J743)</f>
        <v/>
      </c>
      <c r="K743" s="59" t="str">
        <f>IF([2]道具信息!K743="","",[2]道具信息!K743)</f>
        <v/>
      </c>
      <c r="L743" s="59" t="str">
        <f>IF([2]道具信息!L743="","",[2]道具信息!L743)</f>
        <v/>
      </c>
      <c r="M743" s="59" t="str">
        <f>IF([2]道具信息!M743="","",[2]道具信息!M743)</f>
        <v/>
      </c>
      <c r="N743" s="59" t="str">
        <f>IF([2]道具信息!N743="","",[2]道具信息!N743)</f>
        <v/>
      </c>
      <c r="O743" s="59" t="str">
        <f>IF([2]道具信息!O743="","",[2]道具信息!O743)</f>
        <v/>
      </c>
      <c r="P743" s="59" t="str">
        <f>IF([2]道具信息!P743="","",[2]道具信息!P743)</f>
        <v/>
      </c>
      <c r="Q743" s="59" t="str">
        <f>IF([2]道具信息!Q743="","",[2]道具信息!Q743)</f>
        <v/>
      </c>
      <c r="R743" s="59" t="str">
        <f>IF([2]道具信息!R743="","",[2]道具信息!R743)</f>
        <v/>
      </c>
      <c r="S743" s="59" t="str">
        <f>IF([2]道具信息!S743="","",[2]道具信息!S743)</f>
        <v/>
      </c>
      <c r="T743" s="59" t="str">
        <f>IF([2]道具信息!T743="","",[2]道具信息!T743)</f>
        <v/>
      </c>
      <c r="U743" s="59" t="str">
        <f>IF([2]道具信息!U743="","",[2]道具信息!U743)</f>
        <v/>
      </c>
      <c r="V743" s="59" t="str">
        <f>IF([2]道具信息!V743="","",[2]道具信息!V743)</f>
        <v/>
      </c>
      <c r="W743" s="59" t="str">
        <f>IF([2]道具信息!W743="","",[2]道具信息!W743)</f>
        <v/>
      </c>
      <c r="X743" s="59" t="str">
        <f>IF([2]道具信息!X743="","",[2]道具信息!X743)</f>
        <v/>
      </c>
      <c r="Y743" s="59" t="str">
        <f>IF([2]道具信息!Y743="","",[2]道具信息!Y743)</f>
        <v/>
      </c>
      <c r="Z743" s="59" t="str">
        <f>IF([2]道具信息!Z743="","",[2]道具信息!Z743)</f>
        <v/>
      </c>
    </row>
    <row r="744" spans="1:26" x14ac:dyDescent="0.15">
      <c r="A744" s="59" t="str">
        <f>IF([2]道具信息!A744="","",[2]道具信息!A744)</f>
        <v/>
      </c>
      <c r="B744" s="59" t="str">
        <f>IF([2]道具信息!B744="","",[2]道具信息!B744)</f>
        <v/>
      </c>
      <c r="C744" s="59" t="str">
        <f>IF([2]道具信息!C744="","",[2]道具信息!C744)</f>
        <v/>
      </c>
      <c r="D744" s="59" t="str">
        <f>IF([2]道具信息!D744="","",[2]道具信息!D744)</f>
        <v/>
      </c>
      <c r="E744" s="59" t="str">
        <f>IF([2]道具信息!E744="","",[2]道具信息!E744)</f>
        <v/>
      </c>
      <c r="F744" s="59" t="str">
        <f>IF([2]道具信息!F744="","",[2]道具信息!F744)</f>
        <v/>
      </c>
      <c r="G744" s="59" t="str">
        <f>IF([2]道具信息!G744="","",[2]道具信息!G744)</f>
        <v/>
      </c>
      <c r="H744" s="59" t="str">
        <f>IF([2]道具信息!H744="","",[2]道具信息!H744)</f>
        <v/>
      </c>
      <c r="I744" s="59" t="str">
        <f>IF([2]道具信息!I744="","",[2]道具信息!I744)</f>
        <v/>
      </c>
      <c r="J744" s="59" t="str">
        <f>IF([2]道具信息!J744="","",[2]道具信息!J744)</f>
        <v/>
      </c>
      <c r="K744" s="59" t="str">
        <f>IF([2]道具信息!K744="","",[2]道具信息!K744)</f>
        <v/>
      </c>
      <c r="L744" s="59" t="str">
        <f>IF([2]道具信息!L744="","",[2]道具信息!L744)</f>
        <v/>
      </c>
      <c r="M744" s="59" t="str">
        <f>IF([2]道具信息!M744="","",[2]道具信息!M744)</f>
        <v/>
      </c>
      <c r="N744" s="59" t="str">
        <f>IF([2]道具信息!N744="","",[2]道具信息!N744)</f>
        <v/>
      </c>
      <c r="O744" s="59" t="str">
        <f>IF([2]道具信息!O744="","",[2]道具信息!O744)</f>
        <v/>
      </c>
      <c r="P744" s="59" t="str">
        <f>IF([2]道具信息!P744="","",[2]道具信息!P744)</f>
        <v/>
      </c>
      <c r="Q744" s="59" t="str">
        <f>IF([2]道具信息!Q744="","",[2]道具信息!Q744)</f>
        <v/>
      </c>
      <c r="R744" s="59" t="str">
        <f>IF([2]道具信息!R744="","",[2]道具信息!R744)</f>
        <v/>
      </c>
      <c r="S744" s="59" t="str">
        <f>IF([2]道具信息!S744="","",[2]道具信息!S744)</f>
        <v/>
      </c>
      <c r="T744" s="59" t="str">
        <f>IF([2]道具信息!T744="","",[2]道具信息!T744)</f>
        <v/>
      </c>
      <c r="U744" s="59" t="str">
        <f>IF([2]道具信息!U744="","",[2]道具信息!U744)</f>
        <v/>
      </c>
      <c r="V744" s="59" t="str">
        <f>IF([2]道具信息!V744="","",[2]道具信息!V744)</f>
        <v/>
      </c>
      <c r="W744" s="59" t="str">
        <f>IF([2]道具信息!W744="","",[2]道具信息!W744)</f>
        <v/>
      </c>
      <c r="X744" s="59" t="str">
        <f>IF([2]道具信息!X744="","",[2]道具信息!X744)</f>
        <v/>
      </c>
      <c r="Y744" s="59" t="str">
        <f>IF([2]道具信息!Y744="","",[2]道具信息!Y744)</f>
        <v/>
      </c>
      <c r="Z744" s="59" t="str">
        <f>IF([2]道具信息!Z744="","",[2]道具信息!Z744)</f>
        <v/>
      </c>
    </row>
    <row r="745" spans="1:26" x14ac:dyDescent="0.15">
      <c r="A745" s="59" t="str">
        <f>IF([2]道具信息!A745="","",[2]道具信息!A745)</f>
        <v/>
      </c>
      <c r="B745" s="59" t="str">
        <f>IF([2]道具信息!B745="","",[2]道具信息!B745)</f>
        <v/>
      </c>
      <c r="C745" s="59" t="str">
        <f>IF([2]道具信息!C745="","",[2]道具信息!C745)</f>
        <v/>
      </c>
      <c r="D745" s="59" t="str">
        <f>IF([2]道具信息!D745="","",[2]道具信息!D745)</f>
        <v/>
      </c>
      <c r="E745" s="59" t="str">
        <f>IF([2]道具信息!E745="","",[2]道具信息!E745)</f>
        <v/>
      </c>
      <c r="F745" s="59" t="str">
        <f>IF([2]道具信息!F745="","",[2]道具信息!F745)</f>
        <v/>
      </c>
      <c r="G745" s="59" t="str">
        <f>IF([2]道具信息!G745="","",[2]道具信息!G745)</f>
        <v/>
      </c>
      <c r="H745" s="59" t="str">
        <f>IF([2]道具信息!H745="","",[2]道具信息!H745)</f>
        <v/>
      </c>
      <c r="I745" s="59" t="str">
        <f>IF([2]道具信息!I745="","",[2]道具信息!I745)</f>
        <v/>
      </c>
      <c r="J745" s="59" t="str">
        <f>IF([2]道具信息!J745="","",[2]道具信息!J745)</f>
        <v/>
      </c>
      <c r="K745" s="59" t="str">
        <f>IF([2]道具信息!K745="","",[2]道具信息!K745)</f>
        <v/>
      </c>
      <c r="L745" s="59" t="str">
        <f>IF([2]道具信息!L745="","",[2]道具信息!L745)</f>
        <v/>
      </c>
      <c r="M745" s="59" t="str">
        <f>IF([2]道具信息!M745="","",[2]道具信息!M745)</f>
        <v/>
      </c>
      <c r="N745" s="59" t="str">
        <f>IF([2]道具信息!N745="","",[2]道具信息!N745)</f>
        <v/>
      </c>
      <c r="O745" s="59" t="str">
        <f>IF([2]道具信息!O745="","",[2]道具信息!O745)</f>
        <v/>
      </c>
      <c r="P745" s="59" t="str">
        <f>IF([2]道具信息!P745="","",[2]道具信息!P745)</f>
        <v/>
      </c>
      <c r="Q745" s="59" t="str">
        <f>IF([2]道具信息!Q745="","",[2]道具信息!Q745)</f>
        <v/>
      </c>
      <c r="R745" s="59" t="str">
        <f>IF([2]道具信息!R745="","",[2]道具信息!R745)</f>
        <v/>
      </c>
      <c r="S745" s="59" t="str">
        <f>IF([2]道具信息!S745="","",[2]道具信息!S745)</f>
        <v/>
      </c>
      <c r="T745" s="59" t="str">
        <f>IF([2]道具信息!T745="","",[2]道具信息!T745)</f>
        <v/>
      </c>
      <c r="U745" s="59" t="str">
        <f>IF([2]道具信息!U745="","",[2]道具信息!U745)</f>
        <v/>
      </c>
      <c r="V745" s="59" t="str">
        <f>IF([2]道具信息!V745="","",[2]道具信息!V745)</f>
        <v/>
      </c>
      <c r="W745" s="59" t="str">
        <f>IF([2]道具信息!W745="","",[2]道具信息!W745)</f>
        <v/>
      </c>
      <c r="X745" s="59" t="str">
        <f>IF([2]道具信息!X745="","",[2]道具信息!X745)</f>
        <v/>
      </c>
      <c r="Y745" s="59" t="str">
        <f>IF([2]道具信息!Y745="","",[2]道具信息!Y745)</f>
        <v/>
      </c>
      <c r="Z745" s="59" t="str">
        <f>IF([2]道具信息!Z745="","",[2]道具信息!Z745)</f>
        <v/>
      </c>
    </row>
    <row r="746" spans="1:26" x14ac:dyDescent="0.15">
      <c r="A746" s="59" t="str">
        <f>IF([2]道具信息!A746="","",[2]道具信息!A746)</f>
        <v/>
      </c>
      <c r="B746" s="59" t="str">
        <f>IF([2]道具信息!B746="","",[2]道具信息!B746)</f>
        <v/>
      </c>
      <c r="C746" s="59" t="str">
        <f>IF([2]道具信息!C746="","",[2]道具信息!C746)</f>
        <v/>
      </c>
      <c r="D746" s="59" t="str">
        <f>IF([2]道具信息!D746="","",[2]道具信息!D746)</f>
        <v/>
      </c>
      <c r="E746" s="59" t="str">
        <f>IF([2]道具信息!E746="","",[2]道具信息!E746)</f>
        <v/>
      </c>
      <c r="F746" s="59" t="str">
        <f>IF([2]道具信息!F746="","",[2]道具信息!F746)</f>
        <v/>
      </c>
      <c r="G746" s="59" t="str">
        <f>IF([2]道具信息!G746="","",[2]道具信息!G746)</f>
        <v/>
      </c>
      <c r="H746" s="59" t="str">
        <f>IF([2]道具信息!H746="","",[2]道具信息!H746)</f>
        <v/>
      </c>
      <c r="I746" s="59" t="str">
        <f>IF([2]道具信息!I746="","",[2]道具信息!I746)</f>
        <v/>
      </c>
      <c r="J746" s="59" t="str">
        <f>IF([2]道具信息!J746="","",[2]道具信息!J746)</f>
        <v/>
      </c>
      <c r="K746" s="59" t="str">
        <f>IF([2]道具信息!K746="","",[2]道具信息!K746)</f>
        <v/>
      </c>
      <c r="L746" s="59" t="str">
        <f>IF([2]道具信息!L746="","",[2]道具信息!L746)</f>
        <v/>
      </c>
      <c r="M746" s="59" t="str">
        <f>IF([2]道具信息!M746="","",[2]道具信息!M746)</f>
        <v/>
      </c>
      <c r="N746" s="59" t="str">
        <f>IF([2]道具信息!N746="","",[2]道具信息!N746)</f>
        <v/>
      </c>
      <c r="O746" s="59" t="str">
        <f>IF([2]道具信息!O746="","",[2]道具信息!O746)</f>
        <v/>
      </c>
      <c r="P746" s="59" t="str">
        <f>IF([2]道具信息!P746="","",[2]道具信息!P746)</f>
        <v/>
      </c>
      <c r="Q746" s="59" t="str">
        <f>IF([2]道具信息!Q746="","",[2]道具信息!Q746)</f>
        <v/>
      </c>
      <c r="R746" s="59" t="str">
        <f>IF([2]道具信息!R746="","",[2]道具信息!R746)</f>
        <v/>
      </c>
      <c r="S746" s="59" t="str">
        <f>IF([2]道具信息!S746="","",[2]道具信息!S746)</f>
        <v/>
      </c>
      <c r="T746" s="59" t="str">
        <f>IF([2]道具信息!T746="","",[2]道具信息!T746)</f>
        <v/>
      </c>
      <c r="U746" s="59" t="str">
        <f>IF([2]道具信息!U746="","",[2]道具信息!U746)</f>
        <v/>
      </c>
      <c r="V746" s="59" t="str">
        <f>IF([2]道具信息!V746="","",[2]道具信息!V746)</f>
        <v/>
      </c>
      <c r="W746" s="59" t="str">
        <f>IF([2]道具信息!W746="","",[2]道具信息!W746)</f>
        <v/>
      </c>
      <c r="X746" s="59" t="str">
        <f>IF([2]道具信息!X746="","",[2]道具信息!X746)</f>
        <v/>
      </c>
      <c r="Y746" s="59" t="str">
        <f>IF([2]道具信息!Y746="","",[2]道具信息!Y746)</f>
        <v/>
      </c>
      <c r="Z746" s="59" t="str">
        <f>IF([2]道具信息!Z746="","",[2]道具信息!Z746)</f>
        <v/>
      </c>
    </row>
    <row r="747" spans="1:26" x14ac:dyDescent="0.15">
      <c r="A747" s="59" t="str">
        <f>IF([2]道具信息!A747="","",[2]道具信息!A747)</f>
        <v/>
      </c>
      <c r="B747" s="59" t="str">
        <f>IF([2]道具信息!B747="","",[2]道具信息!B747)</f>
        <v/>
      </c>
      <c r="C747" s="59" t="str">
        <f>IF([2]道具信息!C747="","",[2]道具信息!C747)</f>
        <v/>
      </c>
      <c r="D747" s="59" t="str">
        <f>IF([2]道具信息!D747="","",[2]道具信息!D747)</f>
        <v/>
      </c>
      <c r="E747" s="59" t="str">
        <f>IF([2]道具信息!E747="","",[2]道具信息!E747)</f>
        <v/>
      </c>
      <c r="F747" s="59" t="str">
        <f>IF([2]道具信息!F747="","",[2]道具信息!F747)</f>
        <v/>
      </c>
      <c r="G747" s="59" t="str">
        <f>IF([2]道具信息!G747="","",[2]道具信息!G747)</f>
        <v/>
      </c>
      <c r="H747" s="59" t="str">
        <f>IF([2]道具信息!H747="","",[2]道具信息!H747)</f>
        <v/>
      </c>
      <c r="I747" s="59" t="str">
        <f>IF([2]道具信息!I747="","",[2]道具信息!I747)</f>
        <v/>
      </c>
      <c r="J747" s="59" t="str">
        <f>IF([2]道具信息!J747="","",[2]道具信息!J747)</f>
        <v/>
      </c>
      <c r="K747" s="59" t="str">
        <f>IF([2]道具信息!K747="","",[2]道具信息!K747)</f>
        <v/>
      </c>
      <c r="L747" s="59" t="str">
        <f>IF([2]道具信息!L747="","",[2]道具信息!L747)</f>
        <v/>
      </c>
      <c r="M747" s="59" t="str">
        <f>IF([2]道具信息!M747="","",[2]道具信息!M747)</f>
        <v/>
      </c>
      <c r="N747" s="59" t="str">
        <f>IF([2]道具信息!N747="","",[2]道具信息!N747)</f>
        <v/>
      </c>
      <c r="O747" s="59" t="str">
        <f>IF([2]道具信息!O747="","",[2]道具信息!O747)</f>
        <v/>
      </c>
      <c r="P747" s="59" t="str">
        <f>IF([2]道具信息!P747="","",[2]道具信息!P747)</f>
        <v/>
      </c>
      <c r="Q747" s="59" t="str">
        <f>IF([2]道具信息!Q747="","",[2]道具信息!Q747)</f>
        <v/>
      </c>
      <c r="R747" s="59" t="str">
        <f>IF([2]道具信息!R747="","",[2]道具信息!R747)</f>
        <v/>
      </c>
      <c r="S747" s="59" t="str">
        <f>IF([2]道具信息!S747="","",[2]道具信息!S747)</f>
        <v/>
      </c>
      <c r="T747" s="59" t="str">
        <f>IF([2]道具信息!T747="","",[2]道具信息!T747)</f>
        <v/>
      </c>
      <c r="U747" s="59" t="str">
        <f>IF([2]道具信息!U747="","",[2]道具信息!U747)</f>
        <v/>
      </c>
      <c r="V747" s="59" t="str">
        <f>IF([2]道具信息!V747="","",[2]道具信息!V747)</f>
        <v/>
      </c>
      <c r="W747" s="59" t="str">
        <f>IF([2]道具信息!W747="","",[2]道具信息!W747)</f>
        <v/>
      </c>
      <c r="X747" s="59" t="str">
        <f>IF([2]道具信息!X747="","",[2]道具信息!X747)</f>
        <v/>
      </c>
      <c r="Y747" s="59" t="str">
        <f>IF([2]道具信息!Y747="","",[2]道具信息!Y747)</f>
        <v/>
      </c>
      <c r="Z747" s="59" t="str">
        <f>IF([2]道具信息!Z747="","",[2]道具信息!Z747)</f>
        <v/>
      </c>
    </row>
    <row r="748" spans="1:26" x14ac:dyDescent="0.15">
      <c r="A748" s="59" t="str">
        <f>IF([2]道具信息!A748="","",[2]道具信息!A748)</f>
        <v/>
      </c>
      <c r="B748" s="59" t="str">
        <f>IF([2]道具信息!B748="","",[2]道具信息!B748)</f>
        <v/>
      </c>
      <c r="C748" s="59" t="str">
        <f>IF([2]道具信息!C748="","",[2]道具信息!C748)</f>
        <v/>
      </c>
      <c r="D748" s="59" t="str">
        <f>IF([2]道具信息!D748="","",[2]道具信息!D748)</f>
        <v/>
      </c>
      <c r="E748" s="59" t="str">
        <f>IF([2]道具信息!E748="","",[2]道具信息!E748)</f>
        <v/>
      </c>
      <c r="F748" s="59" t="str">
        <f>IF([2]道具信息!F748="","",[2]道具信息!F748)</f>
        <v/>
      </c>
      <c r="G748" s="59" t="str">
        <f>IF([2]道具信息!G748="","",[2]道具信息!G748)</f>
        <v/>
      </c>
      <c r="H748" s="59" t="str">
        <f>IF([2]道具信息!H748="","",[2]道具信息!H748)</f>
        <v/>
      </c>
      <c r="I748" s="59" t="str">
        <f>IF([2]道具信息!I748="","",[2]道具信息!I748)</f>
        <v/>
      </c>
      <c r="J748" s="59" t="str">
        <f>IF([2]道具信息!J748="","",[2]道具信息!J748)</f>
        <v/>
      </c>
      <c r="K748" s="59" t="str">
        <f>IF([2]道具信息!K748="","",[2]道具信息!K748)</f>
        <v/>
      </c>
      <c r="L748" s="59" t="str">
        <f>IF([2]道具信息!L748="","",[2]道具信息!L748)</f>
        <v/>
      </c>
      <c r="M748" s="59" t="str">
        <f>IF([2]道具信息!M748="","",[2]道具信息!M748)</f>
        <v/>
      </c>
      <c r="N748" s="59" t="str">
        <f>IF([2]道具信息!N748="","",[2]道具信息!N748)</f>
        <v/>
      </c>
      <c r="O748" s="59" t="str">
        <f>IF([2]道具信息!O748="","",[2]道具信息!O748)</f>
        <v/>
      </c>
      <c r="P748" s="59" t="str">
        <f>IF([2]道具信息!P748="","",[2]道具信息!P748)</f>
        <v/>
      </c>
      <c r="Q748" s="59" t="str">
        <f>IF([2]道具信息!Q748="","",[2]道具信息!Q748)</f>
        <v/>
      </c>
      <c r="R748" s="59" t="str">
        <f>IF([2]道具信息!R748="","",[2]道具信息!R748)</f>
        <v/>
      </c>
      <c r="S748" s="59" t="str">
        <f>IF([2]道具信息!S748="","",[2]道具信息!S748)</f>
        <v/>
      </c>
      <c r="T748" s="59" t="str">
        <f>IF([2]道具信息!T748="","",[2]道具信息!T748)</f>
        <v/>
      </c>
      <c r="U748" s="59" t="str">
        <f>IF([2]道具信息!U748="","",[2]道具信息!U748)</f>
        <v/>
      </c>
      <c r="V748" s="59" t="str">
        <f>IF([2]道具信息!V748="","",[2]道具信息!V748)</f>
        <v/>
      </c>
      <c r="W748" s="59" t="str">
        <f>IF([2]道具信息!W748="","",[2]道具信息!W748)</f>
        <v/>
      </c>
      <c r="X748" s="59" t="str">
        <f>IF([2]道具信息!X748="","",[2]道具信息!X748)</f>
        <v/>
      </c>
      <c r="Y748" s="59" t="str">
        <f>IF([2]道具信息!Y748="","",[2]道具信息!Y748)</f>
        <v/>
      </c>
      <c r="Z748" s="59" t="str">
        <f>IF([2]道具信息!Z748="","",[2]道具信息!Z748)</f>
        <v/>
      </c>
    </row>
    <row r="749" spans="1:26" x14ac:dyDescent="0.15">
      <c r="A749" s="59" t="str">
        <f>IF([2]道具信息!A749="","",[2]道具信息!A749)</f>
        <v/>
      </c>
      <c r="B749" s="59" t="str">
        <f>IF([2]道具信息!B749="","",[2]道具信息!B749)</f>
        <v/>
      </c>
      <c r="C749" s="59" t="str">
        <f>IF([2]道具信息!C749="","",[2]道具信息!C749)</f>
        <v/>
      </c>
      <c r="D749" s="59" t="str">
        <f>IF([2]道具信息!D749="","",[2]道具信息!D749)</f>
        <v/>
      </c>
      <c r="E749" s="59" t="str">
        <f>IF([2]道具信息!E749="","",[2]道具信息!E749)</f>
        <v/>
      </c>
      <c r="F749" s="59" t="str">
        <f>IF([2]道具信息!F749="","",[2]道具信息!F749)</f>
        <v/>
      </c>
      <c r="G749" s="59" t="str">
        <f>IF([2]道具信息!G749="","",[2]道具信息!G749)</f>
        <v/>
      </c>
      <c r="H749" s="59" t="str">
        <f>IF([2]道具信息!H749="","",[2]道具信息!H749)</f>
        <v/>
      </c>
      <c r="I749" s="59" t="str">
        <f>IF([2]道具信息!I749="","",[2]道具信息!I749)</f>
        <v/>
      </c>
      <c r="J749" s="59" t="str">
        <f>IF([2]道具信息!J749="","",[2]道具信息!J749)</f>
        <v/>
      </c>
      <c r="K749" s="59" t="str">
        <f>IF([2]道具信息!K749="","",[2]道具信息!K749)</f>
        <v/>
      </c>
      <c r="L749" s="59" t="str">
        <f>IF([2]道具信息!L749="","",[2]道具信息!L749)</f>
        <v/>
      </c>
      <c r="M749" s="59" t="str">
        <f>IF([2]道具信息!M749="","",[2]道具信息!M749)</f>
        <v/>
      </c>
      <c r="N749" s="59" t="str">
        <f>IF([2]道具信息!N749="","",[2]道具信息!N749)</f>
        <v/>
      </c>
      <c r="O749" s="59" t="str">
        <f>IF([2]道具信息!O749="","",[2]道具信息!O749)</f>
        <v/>
      </c>
      <c r="P749" s="59" t="str">
        <f>IF([2]道具信息!P749="","",[2]道具信息!P749)</f>
        <v/>
      </c>
      <c r="Q749" s="59" t="str">
        <f>IF([2]道具信息!Q749="","",[2]道具信息!Q749)</f>
        <v/>
      </c>
      <c r="R749" s="59" t="str">
        <f>IF([2]道具信息!R749="","",[2]道具信息!R749)</f>
        <v/>
      </c>
      <c r="S749" s="59" t="str">
        <f>IF([2]道具信息!S749="","",[2]道具信息!S749)</f>
        <v/>
      </c>
      <c r="T749" s="59" t="str">
        <f>IF([2]道具信息!T749="","",[2]道具信息!T749)</f>
        <v/>
      </c>
      <c r="U749" s="59" t="str">
        <f>IF([2]道具信息!U749="","",[2]道具信息!U749)</f>
        <v/>
      </c>
      <c r="V749" s="59" t="str">
        <f>IF([2]道具信息!V749="","",[2]道具信息!V749)</f>
        <v/>
      </c>
      <c r="W749" s="59" t="str">
        <f>IF([2]道具信息!W749="","",[2]道具信息!W749)</f>
        <v/>
      </c>
      <c r="X749" s="59" t="str">
        <f>IF([2]道具信息!X749="","",[2]道具信息!X749)</f>
        <v/>
      </c>
      <c r="Y749" s="59" t="str">
        <f>IF([2]道具信息!Y749="","",[2]道具信息!Y749)</f>
        <v/>
      </c>
      <c r="Z749" s="59" t="str">
        <f>IF([2]道具信息!Z749="","",[2]道具信息!Z749)</f>
        <v/>
      </c>
    </row>
    <row r="750" spans="1:26" x14ac:dyDescent="0.15">
      <c r="A750" s="59" t="str">
        <f>IF([2]道具信息!A750="","",[2]道具信息!A750)</f>
        <v/>
      </c>
      <c r="B750" s="59" t="str">
        <f>IF([2]道具信息!B750="","",[2]道具信息!B750)</f>
        <v/>
      </c>
      <c r="C750" s="59" t="str">
        <f>IF([2]道具信息!C750="","",[2]道具信息!C750)</f>
        <v/>
      </c>
      <c r="D750" s="59" t="str">
        <f>IF([2]道具信息!D750="","",[2]道具信息!D750)</f>
        <v/>
      </c>
      <c r="E750" s="59" t="str">
        <f>IF([2]道具信息!E750="","",[2]道具信息!E750)</f>
        <v/>
      </c>
      <c r="F750" s="59" t="str">
        <f>IF([2]道具信息!F750="","",[2]道具信息!F750)</f>
        <v/>
      </c>
      <c r="G750" s="59" t="str">
        <f>IF([2]道具信息!G750="","",[2]道具信息!G750)</f>
        <v/>
      </c>
      <c r="H750" s="59" t="str">
        <f>IF([2]道具信息!H750="","",[2]道具信息!H750)</f>
        <v/>
      </c>
      <c r="I750" s="59" t="str">
        <f>IF([2]道具信息!I750="","",[2]道具信息!I750)</f>
        <v/>
      </c>
      <c r="J750" s="59" t="str">
        <f>IF([2]道具信息!J750="","",[2]道具信息!J750)</f>
        <v/>
      </c>
      <c r="K750" s="59" t="str">
        <f>IF([2]道具信息!K750="","",[2]道具信息!K750)</f>
        <v/>
      </c>
      <c r="L750" s="59" t="str">
        <f>IF([2]道具信息!L750="","",[2]道具信息!L750)</f>
        <v/>
      </c>
      <c r="M750" s="59" t="str">
        <f>IF([2]道具信息!M750="","",[2]道具信息!M750)</f>
        <v/>
      </c>
      <c r="N750" s="59" t="str">
        <f>IF([2]道具信息!N750="","",[2]道具信息!N750)</f>
        <v/>
      </c>
      <c r="O750" s="59" t="str">
        <f>IF([2]道具信息!O750="","",[2]道具信息!O750)</f>
        <v/>
      </c>
      <c r="P750" s="59" t="str">
        <f>IF([2]道具信息!P750="","",[2]道具信息!P750)</f>
        <v/>
      </c>
      <c r="Q750" s="59" t="str">
        <f>IF([2]道具信息!Q750="","",[2]道具信息!Q750)</f>
        <v/>
      </c>
      <c r="R750" s="59" t="str">
        <f>IF([2]道具信息!R750="","",[2]道具信息!R750)</f>
        <v/>
      </c>
      <c r="S750" s="59" t="str">
        <f>IF([2]道具信息!S750="","",[2]道具信息!S750)</f>
        <v/>
      </c>
      <c r="T750" s="59" t="str">
        <f>IF([2]道具信息!T750="","",[2]道具信息!T750)</f>
        <v/>
      </c>
      <c r="U750" s="59" t="str">
        <f>IF([2]道具信息!U750="","",[2]道具信息!U750)</f>
        <v/>
      </c>
      <c r="V750" s="59" t="str">
        <f>IF([2]道具信息!V750="","",[2]道具信息!V750)</f>
        <v/>
      </c>
      <c r="W750" s="59" t="str">
        <f>IF([2]道具信息!W750="","",[2]道具信息!W750)</f>
        <v/>
      </c>
      <c r="X750" s="59" t="str">
        <f>IF([2]道具信息!X750="","",[2]道具信息!X750)</f>
        <v/>
      </c>
      <c r="Y750" s="59" t="str">
        <f>IF([2]道具信息!Y750="","",[2]道具信息!Y750)</f>
        <v/>
      </c>
      <c r="Z750" s="59" t="str">
        <f>IF([2]道具信息!Z750="","",[2]道具信息!Z750)</f>
        <v/>
      </c>
    </row>
    <row r="751" spans="1:26" x14ac:dyDescent="0.15">
      <c r="A751" s="59" t="str">
        <f>IF([2]道具信息!A751="","",[2]道具信息!A751)</f>
        <v/>
      </c>
      <c r="B751" s="59" t="str">
        <f>IF([2]道具信息!B751="","",[2]道具信息!B751)</f>
        <v/>
      </c>
      <c r="C751" s="59" t="str">
        <f>IF([2]道具信息!C751="","",[2]道具信息!C751)</f>
        <v/>
      </c>
      <c r="D751" s="59" t="str">
        <f>IF([2]道具信息!D751="","",[2]道具信息!D751)</f>
        <v/>
      </c>
      <c r="E751" s="59" t="str">
        <f>IF([2]道具信息!E751="","",[2]道具信息!E751)</f>
        <v/>
      </c>
      <c r="F751" s="59" t="str">
        <f>IF([2]道具信息!F751="","",[2]道具信息!F751)</f>
        <v/>
      </c>
      <c r="G751" s="59" t="str">
        <f>IF([2]道具信息!G751="","",[2]道具信息!G751)</f>
        <v/>
      </c>
      <c r="H751" s="59" t="str">
        <f>IF([2]道具信息!H751="","",[2]道具信息!H751)</f>
        <v/>
      </c>
      <c r="I751" s="59" t="str">
        <f>IF([2]道具信息!I751="","",[2]道具信息!I751)</f>
        <v/>
      </c>
      <c r="J751" s="59" t="str">
        <f>IF([2]道具信息!J751="","",[2]道具信息!J751)</f>
        <v/>
      </c>
      <c r="K751" s="59" t="str">
        <f>IF([2]道具信息!K751="","",[2]道具信息!K751)</f>
        <v/>
      </c>
      <c r="L751" s="59" t="str">
        <f>IF([2]道具信息!L751="","",[2]道具信息!L751)</f>
        <v/>
      </c>
      <c r="M751" s="59" t="str">
        <f>IF([2]道具信息!M751="","",[2]道具信息!M751)</f>
        <v/>
      </c>
      <c r="N751" s="59" t="str">
        <f>IF([2]道具信息!N751="","",[2]道具信息!N751)</f>
        <v/>
      </c>
      <c r="O751" s="59" t="str">
        <f>IF([2]道具信息!O751="","",[2]道具信息!O751)</f>
        <v/>
      </c>
      <c r="P751" s="59" t="str">
        <f>IF([2]道具信息!P751="","",[2]道具信息!P751)</f>
        <v/>
      </c>
      <c r="Q751" s="59" t="str">
        <f>IF([2]道具信息!Q751="","",[2]道具信息!Q751)</f>
        <v/>
      </c>
      <c r="R751" s="59" t="str">
        <f>IF([2]道具信息!R751="","",[2]道具信息!R751)</f>
        <v/>
      </c>
      <c r="S751" s="59" t="str">
        <f>IF([2]道具信息!S751="","",[2]道具信息!S751)</f>
        <v/>
      </c>
      <c r="T751" s="59" t="str">
        <f>IF([2]道具信息!T751="","",[2]道具信息!T751)</f>
        <v/>
      </c>
      <c r="U751" s="59" t="str">
        <f>IF([2]道具信息!U751="","",[2]道具信息!U751)</f>
        <v/>
      </c>
      <c r="V751" s="59" t="str">
        <f>IF([2]道具信息!V751="","",[2]道具信息!V751)</f>
        <v/>
      </c>
      <c r="W751" s="59" t="str">
        <f>IF([2]道具信息!W751="","",[2]道具信息!W751)</f>
        <v/>
      </c>
      <c r="X751" s="59" t="str">
        <f>IF([2]道具信息!X751="","",[2]道具信息!X751)</f>
        <v/>
      </c>
      <c r="Y751" s="59" t="str">
        <f>IF([2]道具信息!Y751="","",[2]道具信息!Y751)</f>
        <v/>
      </c>
      <c r="Z751" s="59" t="str">
        <f>IF([2]道具信息!Z751="","",[2]道具信息!Z751)</f>
        <v/>
      </c>
    </row>
    <row r="752" spans="1:26" x14ac:dyDescent="0.15">
      <c r="A752" s="59" t="str">
        <f>IF([2]道具信息!A752="","",[2]道具信息!A752)</f>
        <v/>
      </c>
      <c r="B752" s="59" t="str">
        <f>IF([2]道具信息!B752="","",[2]道具信息!B752)</f>
        <v/>
      </c>
      <c r="C752" s="59" t="str">
        <f>IF([2]道具信息!C752="","",[2]道具信息!C752)</f>
        <v/>
      </c>
      <c r="D752" s="59" t="str">
        <f>IF([2]道具信息!D752="","",[2]道具信息!D752)</f>
        <v/>
      </c>
      <c r="E752" s="59" t="str">
        <f>IF([2]道具信息!E752="","",[2]道具信息!E752)</f>
        <v/>
      </c>
      <c r="F752" s="59" t="str">
        <f>IF([2]道具信息!F752="","",[2]道具信息!F752)</f>
        <v/>
      </c>
      <c r="G752" s="59" t="str">
        <f>IF([2]道具信息!G752="","",[2]道具信息!G752)</f>
        <v/>
      </c>
      <c r="H752" s="59" t="str">
        <f>IF([2]道具信息!H752="","",[2]道具信息!H752)</f>
        <v/>
      </c>
      <c r="I752" s="59" t="str">
        <f>IF([2]道具信息!I752="","",[2]道具信息!I752)</f>
        <v/>
      </c>
      <c r="J752" s="59" t="str">
        <f>IF([2]道具信息!J752="","",[2]道具信息!J752)</f>
        <v/>
      </c>
      <c r="K752" s="59" t="str">
        <f>IF([2]道具信息!K752="","",[2]道具信息!K752)</f>
        <v/>
      </c>
      <c r="L752" s="59" t="str">
        <f>IF([2]道具信息!L752="","",[2]道具信息!L752)</f>
        <v/>
      </c>
      <c r="M752" s="59" t="str">
        <f>IF([2]道具信息!M752="","",[2]道具信息!M752)</f>
        <v/>
      </c>
      <c r="N752" s="59" t="str">
        <f>IF([2]道具信息!N752="","",[2]道具信息!N752)</f>
        <v/>
      </c>
      <c r="O752" s="59" t="str">
        <f>IF([2]道具信息!O752="","",[2]道具信息!O752)</f>
        <v/>
      </c>
      <c r="P752" s="59" t="str">
        <f>IF([2]道具信息!P752="","",[2]道具信息!P752)</f>
        <v/>
      </c>
      <c r="Q752" s="59" t="str">
        <f>IF([2]道具信息!Q752="","",[2]道具信息!Q752)</f>
        <v/>
      </c>
      <c r="R752" s="59" t="str">
        <f>IF([2]道具信息!R752="","",[2]道具信息!R752)</f>
        <v/>
      </c>
      <c r="S752" s="59" t="str">
        <f>IF([2]道具信息!S752="","",[2]道具信息!S752)</f>
        <v/>
      </c>
      <c r="T752" s="59" t="str">
        <f>IF([2]道具信息!T752="","",[2]道具信息!T752)</f>
        <v/>
      </c>
      <c r="U752" s="59" t="str">
        <f>IF([2]道具信息!U752="","",[2]道具信息!U752)</f>
        <v/>
      </c>
      <c r="V752" s="59" t="str">
        <f>IF([2]道具信息!V752="","",[2]道具信息!V752)</f>
        <v/>
      </c>
      <c r="W752" s="59" t="str">
        <f>IF([2]道具信息!W752="","",[2]道具信息!W752)</f>
        <v/>
      </c>
      <c r="X752" s="59" t="str">
        <f>IF([2]道具信息!X752="","",[2]道具信息!X752)</f>
        <v/>
      </c>
      <c r="Y752" s="59" t="str">
        <f>IF([2]道具信息!Y752="","",[2]道具信息!Y752)</f>
        <v/>
      </c>
      <c r="Z752" s="59" t="str">
        <f>IF([2]道具信息!Z752="","",[2]道具信息!Z752)</f>
        <v/>
      </c>
    </row>
    <row r="753" spans="1:26" x14ac:dyDescent="0.15">
      <c r="A753" s="59" t="str">
        <f>IF([2]道具信息!A753="","",[2]道具信息!A753)</f>
        <v/>
      </c>
      <c r="B753" s="59" t="str">
        <f>IF([2]道具信息!B753="","",[2]道具信息!B753)</f>
        <v/>
      </c>
      <c r="C753" s="59" t="str">
        <f>IF([2]道具信息!C753="","",[2]道具信息!C753)</f>
        <v/>
      </c>
      <c r="D753" s="59" t="str">
        <f>IF([2]道具信息!D753="","",[2]道具信息!D753)</f>
        <v/>
      </c>
      <c r="E753" s="59" t="str">
        <f>IF([2]道具信息!E753="","",[2]道具信息!E753)</f>
        <v/>
      </c>
      <c r="F753" s="59" t="str">
        <f>IF([2]道具信息!F753="","",[2]道具信息!F753)</f>
        <v/>
      </c>
      <c r="G753" s="59" t="str">
        <f>IF([2]道具信息!G753="","",[2]道具信息!G753)</f>
        <v/>
      </c>
      <c r="H753" s="59" t="str">
        <f>IF([2]道具信息!H753="","",[2]道具信息!H753)</f>
        <v/>
      </c>
      <c r="I753" s="59" t="str">
        <f>IF([2]道具信息!I753="","",[2]道具信息!I753)</f>
        <v/>
      </c>
      <c r="J753" s="59" t="str">
        <f>IF([2]道具信息!J753="","",[2]道具信息!J753)</f>
        <v/>
      </c>
      <c r="K753" s="59" t="str">
        <f>IF([2]道具信息!K753="","",[2]道具信息!K753)</f>
        <v/>
      </c>
      <c r="L753" s="59" t="str">
        <f>IF([2]道具信息!L753="","",[2]道具信息!L753)</f>
        <v/>
      </c>
      <c r="M753" s="59" t="str">
        <f>IF([2]道具信息!M753="","",[2]道具信息!M753)</f>
        <v/>
      </c>
      <c r="N753" s="59" t="str">
        <f>IF([2]道具信息!N753="","",[2]道具信息!N753)</f>
        <v/>
      </c>
      <c r="O753" s="59" t="str">
        <f>IF([2]道具信息!O753="","",[2]道具信息!O753)</f>
        <v/>
      </c>
      <c r="P753" s="59" t="str">
        <f>IF([2]道具信息!P753="","",[2]道具信息!P753)</f>
        <v/>
      </c>
      <c r="Q753" s="59" t="str">
        <f>IF([2]道具信息!Q753="","",[2]道具信息!Q753)</f>
        <v/>
      </c>
      <c r="R753" s="59" t="str">
        <f>IF([2]道具信息!R753="","",[2]道具信息!R753)</f>
        <v/>
      </c>
      <c r="S753" s="59" t="str">
        <f>IF([2]道具信息!S753="","",[2]道具信息!S753)</f>
        <v/>
      </c>
      <c r="T753" s="59" t="str">
        <f>IF([2]道具信息!T753="","",[2]道具信息!T753)</f>
        <v/>
      </c>
      <c r="U753" s="59" t="str">
        <f>IF([2]道具信息!U753="","",[2]道具信息!U753)</f>
        <v/>
      </c>
      <c r="V753" s="59" t="str">
        <f>IF([2]道具信息!V753="","",[2]道具信息!V753)</f>
        <v/>
      </c>
      <c r="W753" s="59" t="str">
        <f>IF([2]道具信息!W753="","",[2]道具信息!W753)</f>
        <v/>
      </c>
      <c r="X753" s="59" t="str">
        <f>IF([2]道具信息!X753="","",[2]道具信息!X753)</f>
        <v/>
      </c>
      <c r="Y753" s="59" t="str">
        <f>IF([2]道具信息!Y753="","",[2]道具信息!Y753)</f>
        <v/>
      </c>
      <c r="Z753" s="59" t="str">
        <f>IF([2]道具信息!Z753="","",[2]道具信息!Z753)</f>
        <v/>
      </c>
    </row>
    <row r="754" spans="1:26" x14ac:dyDescent="0.15">
      <c r="A754" s="59" t="str">
        <f>IF([2]道具信息!A754="","",[2]道具信息!A754)</f>
        <v/>
      </c>
      <c r="B754" s="59" t="str">
        <f>IF([2]道具信息!B754="","",[2]道具信息!B754)</f>
        <v/>
      </c>
      <c r="C754" s="59" t="str">
        <f>IF([2]道具信息!C754="","",[2]道具信息!C754)</f>
        <v/>
      </c>
      <c r="D754" s="59" t="str">
        <f>IF([2]道具信息!D754="","",[2]道具信息!D754)</f>
        <v/>
      </c>
      <c r="E754" s="59" t="str">
        <f>IF([2]道具信息!E754="","",[2]道具信息!E754)</f>
        <v/>
      </c>
      <c r="F754" s="59" t="str">
        <f>IF([2]道具信息!F754="","",[2]道具信息!F754)</f>
        <v/>
      </c>
      <c r="G754" s="59" t="str">
        <f>IF([2]道具信息!G754="","",[2]道具信息!G754)</f>
        <v/>
      </c>
      <c r="H754" s="59" t="str">
        <f>IF([2]道具信息!H754="","",[2]道具信息!H754)</f>
        <v/>
      </c>
      <c r="I754" s="59" t="str">
        <f>IF([2]道具信息!I754="","",[2]道具信息!I754)</f>
        <v/>
      </c>
      <c r="J754" s="59" t="str">
        <f>IF([2]道具信息!J754="","",[2]道具信息!J754)</f>
        <v/>
      </c>
      <c r="K754" s="59" t="str">
        <f>IF([2]道具信息!K754="","",[2]道具信息!K754)</f>
        <v/>
      </c>
      <c r="L754" s="59" t="str">
        <f>IF([2]道具信息!L754="","",[2]道具信息!L754)</f>
        <v/>
      </c>
      <c r="M754" s="59" t="str">
        <f>IF([2]道具信息!M754="","",[2]道具信息!M754)</f>
        <v/>
      </c>
      <c r="N754" s="59" t="str">
        <f>IF([2]道具信息!N754="","",[2]道具信息!N754)</f>
        <v/>
      </c>
      <c r="O754" s="59" t="str">
        <f>IF([2]道具信息!O754="","",[2]道具信息!O754)</f>
        <v/>
      </c>
      <c r="P754" s="59" t="str">
        <f>IF([2]道具信息!P754="","",[2]道具信息!P754)</f>
        <v/>
      </c>
      <c r="Q754" s="59" t="str">
        <f>IF([2]道具信息!Q754="","",[2]道具信息!Q754)</f>
        <v/>
      </c>
      <c r="R754" s="59" t="str">
        <f>IF([2]道具信息!R754="","",[2]道具信息!R754)</f>
        <v/>
      </c>
      <c r="S754" s="59" t="str">
        <f>IF([2]道具信息!S754="","",[2]道具信息!S754)</f>
        <v/>
      </c>
      <c r="T754" s="59" t="str">
        <f>IF([2]道具信息!T754="","",[2]道具信息!T754)</f>
        <v/>
      </c>
      <c r="U754" s="59" t="str">
        <f>IF([2]道具信息!U754="","",[2]道具信息!U754)</f>
        <v/>
      </c>
      <c r="V754" s="59" t="str">
        <f>IF([2]道具信息!V754="","",[2]道具信息!V754)</f>
        <v/>
      </c>
      <c r="W754" s="59" t="str">
        <f>IF([2]道具信息!W754="","",[2]道具信息!W754)</f>
        <v/>
      </c>
      <c r="X754" s="59" t="str">
        <f>IF([2]道具信息!X754="","",[2]道具信息!X754)</f>
        <v/>
      </c>
      <c r="Y754" s="59" t="str">
        <f>IF([2]道具信息!Y754="","",[2]道具信息!Y754)</f>
        <v/>
      </c>
      <c r="Z754" s="59" t="str">
        <f>IF([2]道具信息!Z754="","",[2]道具信息!Z754)</f>
        <v/>
      </c>
    </row>
    <row r="755" spans="1:26" x14ac:dyDescent="0.15">
      <c r="A755" s="59" t="str">
        <f>IF([2]道具信息!A755="","",[2]道具信息!A755)</f>
        <v/>
      </c>
      <c r="B755" s="59" t="str">
        <f>IF([2]道具信息!B755="","",[2]道具信息!B755)</f>
        <v/>
      </c>
      <c r="C755" s="59" t="str">
        <f>IF([2]道具信息!C755="","",[2]道具信息!C755)</f>
        <v/>
      </c>
      <c r="D755" s="59" t="str">
        <f>IF([2]道具信息!D755="","",[2]道具信息!D755)</f>
        <v/>
      </c>
      <c r="E755" s="59" t="str">
        <f>IF([2]道具信息!E755="","",[2]道具信息!E755)</f>
        <v/>
      </c>
      <c r="F755" s="59" t="str">
        <f>IF([2]道具信息!F755="","",[2]道具信息!F755)</f>
        <v/>
      </c>
      <c r="G755" s="59" t="str">
        <f>IF([2]道具信息!G755="","",[2]道具信息!G755)</f>
        <v/>
      </c>
      <c r="H755" s="59" t="str">
        <f>IF([2]道具信息!H755="","",[2]道具信息!H755)</f>
        <v/>
      </c>
      <c r="I755" s="59" t="str">
        <f>IF([2]道具信息!I755="","",[2]道具信息!I755)</f>
        <v/>
      </c>
      <c r="J755" s="59" t="str">
        <f>IF([2]道具信息!J755="","",[2]道具信息!J755)</f>
        <v/>
      </c>
      <c r="K755" s="59" t="str">
        <f>IF([2]道具信息!K755="","",[2]道具信息!K755)</f>
        <v/>
      </c>
      <c r="L755" s="59" t="str">
        <f>IF([2]道具信息!L755="","",[2]道具信息!L755)</f>
        <v/>
      </c>
      <c r="M755" s="59" t="str">
        <f>IF([2]道具信息!M755="","",[2]道具信息!M755)</f>
        <v/>
      </c>
      <c r="N755" s="59" t="str">
        <f>IF([2]道具信息!N755="","",[2]道具信息!N755)</f>
        <v/>
      </c>
      <c r="O755" s="59" t="str">
        <f>IF([2]道具信息!O755="","",[2]道具信息!O755)</f>
        <v/>
      </c>
      <c r="P755" s="59" t="str">
        <f>IF([2]道具信息!P755="","",[2]道具信息!P755)</f>
        <v/>
      </c>
      <c r="Q755" s="59" t="str">
        <f>IF([2]道具信息!Q755="","",[2]道具信息!Q755)</f>
        <v/>
      </c>
      <c r="R755" s="59" t="str">
        <f>IF([2]道具信息!R755="","",[2]道具信息!R755)</f>
        <v/>
      </c>
      <c r="S755" s="59" t="str">
        <f>IF([2]道具信息!S755="","",[2]道具信息!S755)</f>
        <v/>
      </c>
      <c r="T755" s="59" t="str">
        <f>IF([2]道具信息!T755="","",[2]道具信息!T755)</f>
        <v/>
      </c>
      <c r="U755" s="59" t="str">
        <f>IF([2]道具信息!U755="","",[2]道具信息!U755)</f>
        <v/>
      </c>
      <c r="V755" s="59" t="str">
        <f>IF([2]道具信息!V755="","",[2]道具信息!V755)</f>
        <v/>
      </c>
      <c r="W755" s="59" t="str">
        <f>IF([2]道具信息!W755="","",[2]道具信息!W755)</f>
        <v/>
      </c>
      <c r="X755" s="59" t="str">
        <f>IF([2]道具信息!X755="","",[2]道具信息!X755)</f>
        <v/>
      </c>
      <c r="Y755" s="59" t="str">
        <f>IF([2]道具信息!Y755="","",[2]道具信息!Y755)</f>
        <v/>
      </c>
      <c r="Z755" s="59" t="str">
        <f>IF([2]道具信息!Z755="","",[2]道具信息!Z755)</f>
        <v/>
      </c>
    </row>
    <row r="756" spans="1:26" x14ac:dyDescent="0.15">
      <c r="A756" s="59" t="str">
        <f>IF([2]道具信息!A756="","",[2]道具信息!A756)</f>
        <v/>
      </c>
      <c r="B756" s="59" t="str">
        <f>IF([2]道具信息!B756="","",[2]道具信息!B756)</f>
        <v/>
      </c>
      <c r="C756" s="59" t="str">
        <f>IF([2]道具信息!C756="","",[2]道具信息!C756)</f>
        <v/>
      </c>
      <c r="D756" s="59" t="str">
        <f>IF([2]道具信息!D756="","",[2]道具信息!D756)</f>
        <v/>
      </c>
      <c r="E756" s="59" t="str">
        <f>IF([2]道具信息!E756="","",[2]道具信息!E756)</f>
        <v/>
      </c>
      <c r="F756" s="59" t="str">
        <f>IF([2]道具信息!F756="","",[2]道具信息!F756)</f>
        <v/>
      </c>
      <c r="G756" s="59" t="str">
        <f>IF([2]道具信息!G756="","",[2]道具信息!G756)</f>
        <v/>
      </c>
      <c r="H756" s="59" t="str">
        <f>IF([2]道具信息!H756="","",[2]道具信息!H756)</f>
        <v/>
      </c>
      <c r="I756" s="59" t="str">
        <f>IF([2]道具信息!I756="","",[2]道具信息!I756)</f>
        <v/>
      </c>
      <c r="J756" s="59" t="str">
        <f>IF([2]道具信息!J756="","",[2]道具信息!J756)</f>
        <v/>
      </c>
      <c r="K756" s="59" t="str">
        <f>IF([2]道具信息!K756="","",[2]道具信息!K756)</f>
        <v/>
      </c>
      <c r="L756" s="59" t="str">
        <f>IF([2]道具信息!L756="","",[2]道具信息!L756)</f>
        <v/>
      </c>
      <c r="M756" s="59" t="str">
        <f>IF([2]道具信息!M756="","",[2]道具信息!M756)</f>
        <v/>
      </c>
      <c r="N756" s="59" t="str">
        <f>IF([2]道具信息!N756="","",[2]道具信息!N756)</f>
        <v/>
      </c>
      <c r="O756" s="59" t="str">
        <f>IF([2]道具信息!O756="","",[2]道具信息!O756)</f>
        <v/>
      </c>
      <c r="P756" s="59" t="str">
        <f>IF([2]道具信息!P756="","",[2]道具信息!P756)</f>
        <v/>
      </c>
      <c r="Q756" s="59" t="str">
        <f>IF([2]道具信息!Q756="","",[2]道具信息!Q756)</f>
        <v/>
      </c>
      <c r="R756" s="59" t="str">
        <f>IF([2]道具信息!R756="","",[2]道具信息!R756)</f>
        <v/>
      </c>
      <c r="S756" s="59" t="str">
        <f>IF([2]道具信息!S756="","",[2]道具信息!S756)</f>
        <v/>
      </c>
      <c r="T756" s="59" t="str">
        <f>IF([2]道具信息!T756="","",[2]道具信息!T756)</f>
        <v/>
      </c>
      <c r="U756" s="59" t="str">
        <f>IF([2]道具信息!U756="","",[2]道具信息!U756)</f>
        <v/>
      </c>
      <c r="V756" s="59" t="str">
        <f>IF([2]道具信息!V756="","",[2]道具信息!V756)</f>
        <v/>
      </c>
      <c r="W756" s="59" t="str">
        <f>IF([2]道具信息!W756="","",[2]道具信息!W756)</f>
        <v/>
      </c>
      <c r="X756" s="59" t="str">
        <f>IF([2]道具信息!X756="","",[2]道具信息!X756)</f>
        <v/>
      </c>
      <c r="Y756" s="59" t="str">
        <f>IF([2]道具信息!Y756="","",[2]道具信息!Y756)</f>
        <v/>
      </c>
      <c r="Z756" s="59" t="str">
        <f>IF([2]道具信息!Z756="","",[2]道具信息!Z756)</f>
        <v/>
      </c>
    </row>
    <row r="757" spans="1:26" x14ac:dyDescent="0.15">
      <c r="A757" s="59" t="str">
        <f>IF([2]道具信息!A757="","",[2]道具信息!A757)</f>
        <v/>
      </c>
      <c r="B757" s="59" t="str">
        <f>IF([2]道具信息!B757="","",[2]道具信息!B757)</f>
        <v/>
      </c>
      <c r="C757" s="59" t="str">
        <f>IF([2]道具信息!C757="","",[2]道具信息!C757)</f>
        <v/>
      </c>
      <c r="D757" s="59" t="str">
        <f>IF([2]道具信息!D757="","",[2]道具信息!D757)</f>
        <v/>
      </c>
      <c r="E757" s="59" t="str">
        <f>IF([2]道具信息!E757="","",[2]道具信息!E757)</f>
        <v/>
      </c>
      <c r="F757" s="59" t="str">
        <f>IF([2]道具信息!F757="","",[2]道具信息!F757)</f>
        <v/>
      </c>
      <c r="G757" s="59" t="str">
        <f>IF([2]道具信息!G757="","",[2]道具信息!G757)</f>
        <v/>
      </c>
      <c r="H757" s="59" t="str">
        <f>IF([2]道具信息!H757="","",[2]道具信息!H757)</f>
        <v/>
      </c>
      <c r="I757" s="59" t="str">
        <f>IF([2]道具信息!I757="","",[2]道具信息!I757)</f>
        <v/>
      </c>
      <c r="J757" s="59" t="str">
        <f>IF([2]道具信息!J757="","",[2]道具信息!J757)</f>
        <v/>
      </c>
      <c r="K757" s="59" t="str">
        <f>IF([2]道具信息!K757="","",[2]道具信息!K757)</f>
        <v/>
      </c>
      <c r="L757" s="59" t="str">
        <f>IF([2]道具信息!L757="","",[2]道具信息!L757)</f>
        <v/>
      </c>
      <c r="M757" s="59" t="str">
        <f>IF([2]道具信息!M757="","",[2]道具信息!M757)</f>
        <v/>
      </c>
      <c r="N757" s="59" t="str">
        <f>IF([2]道具信息!N757="","",[2]道具信息!N757)</f>
        <v/>
      </c>
      <c r="O757" s="59" t="str">
        <f>IF([2]道具信息!O757="","",[2]道具信息!O757)</f>
        <v/>
      </c>
      <c r="P757" s="59" t="str">
        <f>IF([2]道具信息!P757="","",[2]道具信息!P757)</f>
        <v/>
      </c>
      <c r="Q757" s="59" t="str">
        <f>IF([2]道具信息!Q757="","",[2]道具信息!Q757)</f>
        <v/>
      </c>
      <c r="R757" s="59" t="str">
        <f>IF([2]道具信息!R757="","",[2]道具信息!R757)</f>
        <v/>
      </c>
      <c r="S757" s="59" t="str">
        <f>IF([2]道具信息!S757="","",[2]道具信息!S757)</f>
        <v/>
      </c>
      <c r="T757" s="59" t="str">
        <f>IF([2]道具信息!T757="","",[2]道具信息!T757)</f>
        <v/>
      </c>
      <c r="U757" s="59" t="str">
        <f>IF([2]道具信息!U757="","",[2]道具信息!U757)</f>
        <v/>
      </c>
      <c r="V757" s="59" t="str">
        <f>IF([2]道具信息!V757="","",[2]道具信息!V757)</f>
        <v/>
      </c>
      <c r="W757" s="59" t="str">
        <f>IF([2]道具信息!W757="","",[2]道具信息!W757)</f>
        <v/>
      </c>
      <c r="X757" s="59" t="str">
        <f>IF([2]道具信息!X757="","",[2]道具信息!X757)</f>
        <v/>
      </c>
      <c r="Y757" s="59" t="str">
        <f>IF([2]道具信息!Y757="","",[2]道具信息!Y757)</f>
        <v/>
      </c>
      <c r="Z757" s="59" t="str">
        <f>IF([2]道具信息!Z757="","",[2]道具信息!Z757)</f>
        <v/>
      </c>
    </row>
    <row r="758" spans="1:26" x14ac:dyDescent="0.15">
      <c r="A758" s="59" t="str">
        <f>IF([2]道具信息!A758="","",[2]道具信息!A758)</f>
        <v/>
      </c>
      <c r="B758" s="59" t="str">
        <f>IF([2]道具信息!B758="","",[2]道具信息!B758)</f>
        <v/>
      </c>
      <c r="C758" s="59" t="str">
        <f>IF([2]道具信息!C758="","",[2]道具信息!C758)</f>
        <v/>
      </c>
      <c r="D758" s="59" t="str">
        <f>IF([2]道具信息!D758="","",[2]道具信息!D758)</f>
        <v/>
      </c>
      <c r="E758" s="59" t="str">
        <f>IF([2]道具信息!E758="","",[2]道具信息!E758)</f>
        <v/>
      </c>
      <c r="F758" s="59" t="str">
        <f>IF([2]道具信息!F758="","",[2]道具信息!F758)</f>
        <v/>
      </c>
      <c r="G758" s="59" t="str">
        <f>IF([2]道具信息!G758="","",[2]道具信息!G758)</f>
        <v/>
      </c>
      <c r="H758" s="59" t="str">
        <f>IF([2]道具信息!H758="","",[2]道具信息!H758)</f>
        <v/>
      </c>
      <c r="I758" s="59" t="str">
        <f>IF([2]道具信息!I758="","",[2]道具信息!I758)</f>
        <v/>
      </c>
      <c r="J758" s="59" t="str">
        <f>IF([2]道具信息!J758="","",[2]道具信息!J758)</f>
        <v/>
      </c>
      <c r="K758" s="59" t="str">
        <f>IF([2]道具信息!K758="","",[2]道具信息!K758)</f>
        <v/>
      </c>
      <c r="L758" s="59" t="str">
        <f>IF([2]道具信息!L758="","",[2]道具信息!L758)</f>
        <v/>
      </c>
      <c r="M758" s="59" t="str">
        <f>IF([2]道具信息!M758="","",[2]道具信息!M758)</f>
        <v/>
      </c>
      <c r="N758" s="59" t="str">
        <f>IF([2]道具信息!N758="","",[2]道具信息!N758)</f>
        <v/>
      </c>
      <c r="O758" s="59" t="str">
        <f>IF([2]道具信息!O758="","",[2]道具信息!O758)</f>
        <v/>
      </c>
      <c r="P758" s="59" t="str">
        <f>IF([2]道具信息!P758="","",[2]道具信息!P758)</f>
        <v/>
      </c>
      <c r="Q758" s="59" t="str">
        <f>IF([2]道具信息!Q758="","",[2]道具信息!Q758)</f>
        <v/>
      </c>
      <c r="R758" s="59" t="str">
        <f>IF([2]道具信息!R758="","",[2]道具信息!R758)</f>
        <v/>
      </c>
      <c r="S758" s="59" t="str">
        <f>IF([2]道具信息!S758="","",[2]道具信息!S758)</f>
        <v/>
      </c>
      <c r="T758" s="59" t="str">
        <f>IF([2]道具信息!T758="","",[2]道具信息!T758)</f>
        <v/>
      </c>
      <c r="U758" s="59" t="str">
        <f>IF([2]道具信息!U758="","",[2]道具信息!U758)</f>
        <v/>
      </c>
      <c r="V758" s="59" t="str">
        <f>IF([2]道具信息!V758="","",[2]道具信息!V758)</f>
        <v/>
      </c>
      <c r="W758" s="59" t="str">
        <f>IF([2]道具信息!W758="","",[2]道具信息!W758)</f>
        <v/>
      </c>
      <c r="X758" s="59" t="str">
        <f>IF([2]道具信息!X758="","",[2]道具信息!X758)</f>
        <v/>
      </c>
      <c r="Y758" s="59" t="str">
        <f>IF([2]道具信息!Y758="","",[2]道具信息!Y758)</f>
        <v/>
      </c>
      <c r="Z758" s="59" t="str">
        <f>IF([2]道具信息!Z758="","",[2]道具信息!Z758)</f>
        <v/>
      </c>
    </row>
    <row r="759" spans="1:26" x14ac:dyDescent="0.15">
      <c r="A759" s="59" t="str">
        <f>IF([2]道具信息!A759="","",[2]道具信息!A759)</f>
        <v/>
      </c>
      <c r="B759" s="59" t="str">
        <f>IF([2]道具信息!B759="","",[2]道具信息!B759)</f>
        <v/>
      </c>
      <c r="C759" s="59" t="str">
        <f>IF([2]道具信息!C759="","",[2]道具信息!C759)</f>
        <v/>
      </c>
      <c r="D759" s="59" t="str">
        <f>IF([2]道具信息!D759="","",[2]道具信息!D759)</f>
        <v/>
      </c>
      <c r="E759" s="59" t="str">
        <f>IF([2]道具信息!E759="","",[2]道具信息!E759)</f>
        <v/>
      </c>
      <c r="F759" s="59" t="str">
        <f>IF([2]道具信息!F759="","",[2]道具信息!F759)</f>
        <v/>
      </c>
      <c r="G759" s="59" t="str">
        <f>IF([2]道具信息!G759="","",[2]道具信息!G759)</f>
        <v/>
      </c>
      <c r="H759" s="59" t="str">
        <f>IF([2]道具信息!H759="","",[2]道具信息!H759)</f>
        <v/>
      </c>
      <c r="I759" s="59" t="str">
        <f>IF([2]道具信息!I759="","",[2]道具信息!I759)</f>
        <v/>
      </c>
      <c r="J759" s="59" t="str">
        <f>IF([2]道具信息!J759="","",[2]道具信息!J759)</f>
        <v/>
      </c>
      <c r="K759" s="59" t="str">
        <f>IF([2]道具信息!K759="","",[2]道具信息!K759)</f>
        <v/>
      </c>
      <c r="L759" s="59" t="str">
        <f>IF([2]道具信息!L759="","",[2]道具信息!L759)</f>
        <v/>
      </c>
      <c r="M759" s="59" t="str">
        <f>IF([2]道具信息!M759="","",[2]道具信息!M759)</f>
        <v/>
      </c>
      <c r="N759" s="59" t="str">
        <f>IF([2]道具信息!N759="","",[2]道具信息!N759)</f>
        <v/>
      </c>
      <c r="O759" s="59" t="str">
        <f>IF([2]道具信息!O759="","",[2]道具信息!O759)</f>
        <v/>
      </c>
      <c r="P759" s="59" t="str">
        <f>IF([2]道具信息!P759="","",[2]道具信息!P759)</f>
        <v/>
      </c>
      <c r="Q759" s="59" t="str">
        <f>IF([2]道具信息!Q759="","",[2]道具信息!Q759)</f>
        <v/>
      </c>
      <c r="R759" s="59" t="str">
        <f>IF([2]道具信息!R759="","",[2]道具信息!R759)</f>
        <v/>
      </c>
      <c r="S759" s="59" t="str">
        <f>IF([2]道具信息!S759="","",[2]道具信息!S759)</f>
        <v/>
      </c>
      <c r="T759" s="59" t="str">
        <f>IF([2]道具信息!T759="","",[2]道具信息!T759)</f>
        <v/>
      </c>
      <c r="U759" s="59" t="str">
        <f>IF([2]道具信息!U759="","",[2]道具信息!U759)</f>
        <v/>
      </c>
      <c r="V759" s="59" t="str">
        <f>IF([2]道具信息!V759="","",[2]道具信息!V759)</f>
        <v/>
      </c>
      <c r="W759" s="59" t="str">
        <f>IF([2]道具信息!W759="","",[2]道具信息!W759)</f>
        <v/>
      </c>
      <c r="X759" s="59" t="str">
        <f>IF([2]道具信息!X759="","",[2]道具信息!X759)</f>
        <v/>
      </c>
      <c r="Y759" s="59" t="str">
        <f>IF([2]道具信息!Y759="","",[2]道具信息!Y759)</f>
        <v/>
      </c>
      <c r="Z759" s="59" t="str">
        <f>IF([2]道具信息!Z759="","",[2]道具信息!Z759)</f>
        <v/>
      </c>
    </row>
    <row r="760" spans="1:26" x14ac:dyDescent="0.15">
      <c r="A760" s="59" t="str">
        <f>IF([2]道具信息!A760="","",[2]道具信息!A760)</f>
        <v/>
      </c>
      <c r="B760" s="59" t="str">
        <f>IF([2]道具信息!B760="","",[2]道具信息!B760)</f>
        <v/>
      </c>
      <c r="C760" s="59" t="str">
        <f>IF([2]道具信息!C760="","",[2]道具信息!C760)</f>
        <v/>
      </c>
      <c r="D760" s="59" t="str">
        <f>IF([2]道具信息!D760="","",[2]道具信息!D760)</f>
        <v/>
      </c>
      <c r="E760" s="59" t="str">
        <f>IF([2]道具信息!E760="","",[2]道具信息!E760)</f>
        <v/>
      </c>
      <c r="F760" s="59" t="str">
        <f>IF([2]道具信息!F760="","",[2]道具信息!F760)</f>
        <v/>
      </c>
      <c r="G760" s="59" t="str">
        <f>IF([2]道具信息!G760="","",[2]道具信息!G760)</f>
        <v/>
      </c>
      <c r="H760" s="59" t="str">
        <f>IF([2]道具信息!H760="","",[2]道具信息!H760)</f>
        <v/>
      </c>
      <c r="I760" s="59" t="str">
        <f>IF([2]道具信息!I760="","",[2]道具信息!I760)</f>
        <v/>
      </c>
      <c r="J760" s="59" t="str">
        <f>IF([2]道具信息!J760="","",[2]道具信息!J760)</f>
        <v/>
      </c>
      <c r="K760" s="59" t="str">
        <f>IF([2]道具信息!K760="","",[2]道具信息!K760)</f>
        <v/>
      </c>
      <c r="L760" s="59" t="str">
        <f>IF([2]道具信息!L760="","",[2]道具信息!L760)</f>
        <v/>
      </c>
      <c r="M760" s="59" t="str">
        <f>IF([2]道具信息!M760="","",[2]道具信息!M760)</f>
        <v/>
      </c>
      <c r="N760" s="59" t="str">
        <f>IF([2]道具信息!N760="","",[2]道具信息!N760)</f>
        <v/>
      </c>
      <c r="O760" s="59" t="str">
        <f>IF([2]道具信息!O760="","",[2]道具信息!O760)</f>
        <v/>
      </c>
      <c r="P760" s="59" t="str">
        <f>IF([2]道具信息!P760="","",[2]道具信息!P760)</f>
        <v/>
      </c>
      <c r="Q760" s="59" t="str">
        <f>IF([2]道具信息!Q760="","",[2]道具信息!Q760)</f>
        <v/>
      </c>
      <c r="R760" s="59" t="str">
        <f>IF([2]道具信息!R760="","",[2]道具信息!R760)</f>
        <v/>
      </c>
      <c r="S760" s="59" t="str">
        <f>IF([2]道具信息!S760="","",[2]道具信息!S760)</f>
        <v/>
      </c>
      <c r="T760" s="59" t="str">
        <f>IF([2]道具信息!T760="","",[2]道具信息!T760)</f>
        <v/>
      </c>
      <c r="U760" s="59" t="str">
        <f>IF([2]道具信息!U760="","",[2]道具信息!U760)</f>
        <v/>
      </c>
      <c r="V760" s="59" t="str">
        <f>IF([2]道具信息!V760="","",[2]道具信息!V760)</f>
        <v/>
      </c>
      <c r="W760" s="59" t="str">
        <f>IF([2]道具信息!W760="","",[2]道具信息!W760)</f>
        <v/>
      </c>
      <c r="X760" s="59" t="str">
        <f>IF([2]道具信息!X760="","",[2]道具信息!X760)</f>
        <v/>
      </c>
      <c r="Y760" s="59" t="str">
        <f>IF([2]道具信息!Y760="","",[2]道具信息!Y760)</f>
        <v/>
      </c>
      <c r="Z760" s="59" t="str">
        <f>IF([2]道具信息!Z760="","",[2]道具信息!Z760)</f>
        <v/>
      </c>
    </row>
    <row r="761" spans="1:26" x14ac:dyDescent="0.15">
      <c r="A761" s="59" t="str">
        <f>IF([2]道具信息!A761="","",[2]道具信息!A761)</f>
        <v/>
      </c>
      <c r="B761" s="59" t="str">
        <f>IF([2]道具信息!B761="","",[2]道具信息!B761)</f>
        <v/>
      </c>
      <c r="C761" s="59" t="str">
        <f>IF([2]道具信息!C761="","",[2]道具信息!C761)</f>
        <v/>
      </c>
      <c r="D761" s="59" t="str">
        <f>IF([2]道具信息!D761="","",[2]道具信息!D761)</f>
        <v/>
      </c>
      <c r="E761" s="59" t="str">
        <f>IF([2]道具信息!E761="","",[2]道具信息!E761)</f>
        <v/>
      </c>
      <c r="F761" s="59" t="str">
        <f>IF([2]道具信息!F761="","",[2]道具信息!F761)</f>
        <v/>
      </c>
      <c r="G761" s="59" t="str">
        <f>IF([2]道具信息!G761="","",[2]道具信息!G761)</f>
        <v/>
      </c>
      <c r="H761" s="59" t="str">
        <f>IF([2]道具信息!H761="","",[2]道具信息!H761)</f>
        <v/>
      </c>
      <c r="I761" s="59" t="str">
        <f>IF([2]道具信息!I761="","",[2]道具信息!I761)</f>
        <v/>
      </c>
      <c r="J761" s="59" t="str">
        <f>IF([2]道具信息!J761="","",[2]道具信息!J761)</f>
        <v/>
      </c>
      <c r="K761" s="59" t="str">
        <f>IF([2]道具信息!K761="","",[2]道具信息!K761)</f>
        <v/>
      </c>
      <c r="L761" s="59" t="str">
        <f>IF([2]道具信息!L761="","",[2]道具信息!L761)</f>
        <v/>
      </c>
      <c r="M761" s="59" t="str">
        <f>IF([2]道具信息!M761="","",[2]道具信息!M761)</f>
        <v/>
      </c>
      <c r="N761" s="59" t="str">
        <f>IF([2]道具信息!N761="","",[2]道具信息!N761)</f>
        <v/>
      </c>
      <c r="O761" s="59" t="str">
        <f>IF([2]道具信息!O761="","",[2]道具信息!O761)</f>
        <v/>
      </c>
      <c r="P761" s="59" t="str">
        <f>IF([2]道具信息!P761="","",[2]道具信息!P761)</f>
        <v/>
      </c>
      <c r="Q761" s="59" t="str">
        <f>IF([2]道具信息!Q761="","",[2]道具信息!Q761)</f>
        <v/>
      </c>
      <c r="R761" s="59" t="str">
        <f>IF([2]道具信息!R761="","",[2]道具信息!R761)</f>
        <v/>
      </c>
      <c r="S761" s="59" t="str">
        <f>IF([2]道具信息!S761="","",[2]道具信息!S761)</f>
        <v/>
      </c>
      <c r="T761" s="59" t="str">
        <f>IF([2]道具信息!T761="","",[2]道具信息!T761)</f>
        <v/>
      </c>
      <c r="U761" s="59" t="str">
        <f>IF([2]道具信息!U761="","",[2]道具信息!U761)</f>
        <v/>
      </c>
      <c r="V761" s="59" t="str">
        <f>IF([2]道具信息!V761="","",[2]道具信息!V761)</f>
        <v/>
      </c>
      <c r="W761" s="59" t="str">
        <f>IF([2]道具信息!W761="","",[2]道具信息!W761)</f>
        <v/>
      </c>
      <c r="X761" s="59" t="str">
        <f>IF([2]道具信息!X761="","",[2]道具信息!X761)</f>
        <v/>
      </c>
      <c r="Y761" s="59" t="str">
        <f>IF([2]道具信息!Y761="","",[2]道具信息!Y761)</f>
        <v/>
      </c>
      <c r="Z761" s="59" t="str">
        <f>IF([2]道具信息!Z761="","",[2]道具信息!Z761)</f>
        <v/>
      </c>
    </row>
    <row r="762" spans="1:26" x14ac:dyDescent="0.15">
      <c r="A762" s="59" t="str">
        <f>IF([2]道具信息!A762="","",[2]道具信息!A762)</f>
        <v/>
      </c>
      <c r="B762" s="59" t="str">
        <f>IF([2]道具信息!B762="","",[2]道具信息!B762)</f>
        <v/>
      </c>
      <c r="C762" s="59" t="str">
        <f>IF([2]道具信息!C762="","",[2]道具信息!C762)</f>
        <v/>
      </c>
      <c r="D762" s="59" t="str">
        <f>IF([2]道具信息!D762="","",[2]道具信息!D762)</f>
        <v/>
      </c>
      <c r="E762" s="59" t="str">
        <f>IF([2]道具信息!E762="","",[2]道具信息!E762)</f>
        <v/>
      </c>
      <c r="F762" s="59" t="str">
        <f>IF([2]道具信息!F762="","",[2]道具信息!F762)</f>
        <v/>
      </c>
      <c r="G762" s="59" t="str">
        <f>IF([2]道具信息!G762="","",[2]道具信息!G762)</f>
        <v/>
      </c>
      <c r="H762" s="59" t="str">
        <f>IF([2]道具信息!H762="","",[2]道具信息!H762)</f>
        <v/>
      </c>
      <c r="I762" s="59" t="str">
        <f>IF([2]道具信息!I762="","",[2]道具信息!I762)</f>
        <v/>
      </c>
      <c r="J762" s="59" t="str">
        <f>IF([2]道具信息!J762="","",[2]道具信息!J762)</f>
        <v/>
      </c>
      <c r="K762" s="59" t="str">
        <f>IF([2]道具信息!K762="","",[2]道具信息!K762)</f>
        <v/>
      </c>
      <c r="L762" s="59" t="str">
        <f>IF([2]道具信息!L762="","",[2]道具信息!L762)</f>
        <v/>
      </c>
      <c r="M762" s="59" t="str">
        <f>IF([2]道具信息!M762="","",[2]道具信息!M762)</f>
        <v/>
      </c>
      <c r="N762" s="59" t="str">
        <f>IF([2]道具信息!N762="","",[2]道具信息!N762)</f>
        <v/>
      </c>
      <c r="O762" s="59" t="str">
        <f>IF([2]道具信息!O762="","",[2]道具信息!O762)</f>
        <v/>
      </c>
      <c r="P762" s="59" t="str">
        <f>IF([2]道具信息!P762="","",[2]道具信息!P762)</f>
        <v/>
      </c>
      <c r="Q762" s="59" t="str">
        <f>IF([2]道具信息!Q762="","",[2]道具信息!Q762)</f>
        <v/>
      </c>
      <c r="R762" s="59" t="str">
        <f>IF([2]道具信息!R762="","",[2]道具信息!R762)</f>
        <v/>
      </c>
      <c r="S762" s="59" t="str">
        <f>IF([2]道具信息!S762="","",[2]道具信息!S762)</f>
        <v/>
      </c>
      <c r="T762" s="59" t="str">
        <f>IF([2]道具信息!T762="","",[2]道具信息!T762)</f>
        <v/>
      </c>
      <c r="U762" s="59" t="str">
        <f>IF([2]道具信息!U762="","",[2]道具信息!U762)</f>
        <v/>
      </c>
      <c r="V762" s="59" t="str">
        <f>IF([2]道具信息!V762="","",[2]道具信息!V762)</f>
        <v/>
      </c>
      <c r="W762" s="59" t="str">
        <f>IF([2]道具信息!W762="","",[2]道具信息!W762)</f>
        <v/>
      </c>
      <c r="X762" s="59" t="str">
        <f>IF([2]道具信息!X762="","",[2]道具信息!X762)</f>
        <v/>
      </c>
      <c r="Y762" s="59" t="str">
        <f>IF([2]道具信息!Y762="","",[2]道具信息!Y762)</f>
        <v/>
      </c>
      <c r="Z762" s="59" t="str">
        <f>IF([2]道具信息!Z762="","",[2]道具信息!Z762)</f>
        <v/>
      </c>
    </row>
    <row r="763" spans="1:26" x14ac:dyDescent="0.15">
      <c r="A763" s="59" t="str">
        <f>IF([2]道具信息!A763="","",[2]道具信息!A763)</f>
        <v/>
      </c>
      <c r="B763" s="59" t="str">
        <f>IF([2]道具信息!B763="","",[2]道具信息!B763)</f>
        <v/>
      </c>
      <c r="C763" s="59" t="str">
        <f>IF([2]道具信息!C763="","",[2]道具信息!C763)</f>
        <v/>
      </c>
      <c r="D763" s="59" t="str">
        <f>IF([2]道具信息!D763="","",[2]道具信息!D763)</f>
        <v/>
      </c>
      <c r="E763" s="59" t="str">
        <f>IF([2]道具信息!E763="","",[2]道具信息!E763)</f>
        <v/>
      </c>
      <c r="F763" s="59" t="str">
        <f>IF([2]道具信息!F763="","",[2]道具信息!F763)</f>
        <v/>
      </c>
      <c r="G763" s="59" t="str">
        <f>IF([2]道具信息!G763="","",[2]道具信息!G763)</f>
        <v/>
      </c>
      <c r="H763" s="59" t="str">
        <f>IF([2]道具信息!H763="","",[2]道具信息!H763)</f>
        <v/>
      </c>
      <c r="I763" s="59" t="str">
        <f>IF([2]道具信息!I763="","",[2]道具信息!I763)</f>
        <v/>
      </c>
      <c r="J763" s="59" t="str">
        <f>IF([2]道具信息!J763="","",[2]道具信息!J763)</f>
        <v/>
      </c>
      <c r="K763" s="59" t="str">
        <f>IF([2]道具信息!K763="","",[2]道具信息!K763)</f>
        <v/>
      </c>
      <c r="L763" s="59" t="str">
        <f>IF([2]道具信息!L763="","",[2]道具信息!L763)</f>
        <v/>
      </c>
      <c r="M763" s="59" t="str">
        <f>IF([2]道具信息!M763="","",[2]道具信息!M763)</f>
        <v/>
      </c>
      <c r="N763" s="59" t="str">
        <f>IF([2]道具信息!N763="","",[2]道具信息!N763)</f>
        <v/>
      </c>
      <c r="O763" s="59" t="str">
        <f>IF([2]道具信息!O763="","",[2]道具信息!O763)</f>
        <v/>
      </c>
      <c r="P763" s="59" t="str">
        <f>IF([2]道具信息!P763="","",[2]道具信息!P763)</f>
        <v/>
      </c>
      <c r="Q763" s="59" t="str">
        <f>IF([2]道具信息!Q763="","",[2]道具信息!Q763)</f>
        <v/>
      </c>
      <c r="R763" s="59" t="str">
        <f>IF([2]道具信息!R763="","",[2]道具信息!R763)</f>
        <v/>
      </c>
      <c r="S763" s="59" t="str">
        <f>IF([2]道具信息!S763="","",[2]道具信息!S763)</f>
        <v/>
      </c>
      <c r="T763" s="59" t="str">
        <f>IF([2]道具信息!T763="","",[2]道具信息!T763)</f>
        <v/>
      </c>
      <c r="U763" s="59" t="str">
        <f>IF([2]道具信息!U763="","",[2]道具信息!U763)</f>
        <v/>
      </c>
      <c r="V763" s="59" t="str">
        <f>IF([2]道具信息!V763="","",[2]道具信息!V763)</f>
        <v/>
      </c>
      <c r="W763" s="59" t="str">
        <f>IF([2]道具信息!W763="","",[2]道具信息!W763)</f>
        <v/>
      </c>
      <c r="X763" s="59" t="str">
        <f>IF([2]道具信息!X763="","",[2]道具信息!X763)</f>
        <v/>
      </c>
      <c r="Y763" s="59" t="str">
        <f>IF([2]道具信息!Y763="","",[2]道具信息!Y763)</f>
        <v/>
      </c>
      <c r="Z763" s="59" t="str">
        <f>IF([2]道具信息!Z763="","",[2]道具信息!Z763)</f>
        <v/>
      </c>
    </row>
    <row r="764" spans="1:26" x14ac:dyDescent="0.15">
      <c r="A764" s="59" t="str">
        <f>IF([2]道具信息!A764="","",[2]道具信息!A764)</f>
        <v/>
      </c>
      <c r="B764" s="59" t="str">
        <f>IF([2]道具信息!B764="","",[2]道具信息!B764)</f>
        <v/>
      </c>
      <c r="C764" s="59" t="str">
        <f>IF([2]道具信息!C764="","",[2]道具信息!C764)</f>
        <v/>
      </c>
      <c r="D764" s="59" t="str">
        <f>IF([2]道具信息!D764="","",[2]道具信息!D764)</f>
        <v/>
      </c>
      <c r="E764" s="59" t="str">
        <f>IF([2]道具信息!E764="","",[2]道具信息!E764)</f>
        <v/>
      </c>
      <c r="F764" s="59" t="str">
        <f>IF([2]道具信息!F764="","",[2]道具信息!F764)</f>
        <v/>
      </c>
      <c r="G764" s="59" t="str">
        <f>IF([2]道具信息!G764="","",[2]道具信息!G764)</f>
        <v/>
      </c>
      <c r="H764" s="59" t="str">
        <f>IF([2]道具信息!H764="","",[2]道具信息!H764)</f>
        <v/>
      </c>
      <c r="I764" s="59" t="str">
        <f>IF([2]道具信息!I764="","",[2]道具信息!I764)</f>
        <v/>
      </c>
      <c r="J764" s="59" t="str">
        <f>IF([2]道具信息!J764="","",[2]道具信息!J764)</f>
        <v/>
      </c>
      <c r="K764" s="59" t="str">
        <f>IF([2]道具信息!K764="","",[2]道具信息!K764)</f>
        <v/>
      </c>
      <c r="L764" s="59" t="str">
        <f>IF([2]道具信息!L764="","",[2]道具信息!L764)</f>
        <v/>
      </c>
      <c r="M764" s="59" t="str">
        <f>IF([2]道具信息!M764="","",[2]道具信息!M764)</f>
        <v/>
      </c>
      <c r="N764" s="59" t="str">
        <f>IF([2]道具信息!N764="","",[2]道具信息!N764)</f>
        <v/>
      </c>
      <c r="O764" s="59" t="str">
        <f>IF([2]道具信息!O764="","",[2]道具信息!O764)</f>
        <v/>
      </c>
      <c r="P764" s="59" t="str">
        <f>IF([2]道具信息!P764="","",[2]道具信息!P764)</f>
        <v/>
      </c>
      <c r="Q764" s="59" t="str">
        <f>IF([2]道具信息!Q764="","",[2]道具信息!Q764)</f>
        <v/>
      </c>
      <c r="R764" s="59" t="str">
        <f>IF([2]道具信息!R764="","",[2]道具信息!R764)</f>
        <v/>
      </c>
      <c r="S764" s="59" t="str">
        <f>IF([2]道具信息!S764="","",[2]道具信息!S764)</f>
        <v/>
      </c>
      <c r="T764" s="59" t="str">
        <f>IF([2]道具信息!T764="","",[2]道具信息!T764)</f>
        <v/>
      </c>
      <c r="U764" s="59" t="str">
        <f>IF([2]道具信息!U764="","",[2]道具信息!U764)</f>
        <v/>
      </c>
      <c r="V764" s="59" t="str">
        <f>IF([2]道具信息!V764="","",[2]道具信息!V764)</f>
        <v/>
      </c>
      <c r="W764" s="59" t="str">
        <f>IF([2]道具信息!W764="","",[2]道具信息!W764)</f>
        <v/>
      </c>
      <c r="X764" s="59" t="str">
        <f>IF([2]道具信息!X764="","",[2]道具信息!X764)</f>
        <v/>
      </c>
      <c r="Y764" s="59" t="str">
        <f>IF([2]道具信息!Y764="","",[2]道具信息!Y764)</f>
        <v/>
      </c>
      <c r="Z764" s="59" t="str">
        <f>IF([2]道具信息!Z764="","",[2]道具信息!Z764)</f>
        <v/>
      </c>
    </row>
    <row r="765" spans="1:26" x14ac:dyDescent="0.15">
      <c r="A765" s="59" t="str">
        <f>IF([2]道具信息!A765="","",[2]道具信息!A765)</f>
        <v/>
      </c>
      <c r="B765" s="59" t="str">
        <f>IF([2]道具信息!B765="","",[2]道具信息!B765)</f>
        <v/>
      </c>
      <c r="C765" s="59" t="str">
        <f>IF([2]道具信息!C765="","",[2]道具信息!C765)</f>
        <v/>
      </c>
      <c r="D765" s="59" t="str">
        <f>IF([2]道具信息!D765="","",[2]道具信息!D765)</f>
        <v/>
      </c>
      <c r="E765" s="59" t="str">
        <f>IF([2]道具信息!E765="","",[2]道具信息!E765)</f>
        <v/>
      </c>
      <c r="F765" s="59" t="str">
        <f>IF([2]道具信息!F765="","",[2]道具信息!F765)</f>
        <v/>
      </c>
      <c r="G765" s="59" t="str">
        <f>IF([2]道具信息!G765="","",[2]道具信息!G765)</f>
        <v/>
      </c>
      <c r="H765" s="59" t="str">
        <f>IF([2]道具信息!H765="","",[2]道具信息!H765)</f>
        <v/>
      </c>
      <c r="I765" s="59" t="str">
        <f>IF([2]道具信息!I765="","",[2]道具信息!I765)</f>
        <v/>
      </c>
      <c r="J765" s="59" t="str">
        <f>IF([2]道具信息!J765="","",[2]道具信息!J765)</f>
        <v/>
      </c>
      <c r="K765" s="59" t="str">
        <f>IF([2]道具信息!K765="","",[2]道具信息!K765)</f>
        <v/>
      </c>
      <c r="L765" s="59" t="str">
        <f>IF([2]道具信息!L765="","",[2]道具信息!L765)</f>
        <v/>
      </c>
      <c r="M765" s="59" t="str">
        <f>IF([2]道具信息!M765="","",[2]道具信息!M765)</f>
        <v/>
      </c>
      <c r="N765" s="59" t="str">
        <f>IF([2]道具信息!N765="","",[2]道具信息!N765)</f>
        <v/>
      </c>
      <c r="O765" s="59" t="str">
        <f>IF([2]道具信息!O765="","",[2]道具信息!O765)</f>
        <v/>
      </c>
      <c r="P765" s="59" t="str">
        <f>IF([2]道具信息!P765="","",[2]道具信息!P765)</f>
        <v/>
      </c>
      <c r="Q765" s="59" t="str">
        <f>IF([2]道具信息!Q765="","",[2]道具信息!Q765)</f>
        <v/>
      </c>
      <c r="R765" s="59" t="str">
        <f>IF([2]道具信息!R765="","",[2]道具信息!R765)</f>
        <v/>
      </c>
      <c r="S765" s="59" t="str">
        <f>IF([2]道具信息!S765="","",[2]道具信息!S765)</f>
        <v/>
      </c>
      <c r="T765" s="59" t="str">
        <f>IF([2]道具信息!T765="","",[2]道具信息!T765)</f>
        <v/>
      </c>
      <c r="U765" s="59" t="str">
        <f>IF([2]道具信息!U765="","",[2]道具信息!U765)</f>
        <v/>
      </c>
      <c r="V765" s="59" t="str">
        <f>IF([2]道具信息!V765="","",[2]道具信息!V765)</f>
        <v/>
      </c>
      <c r="W765" s="59" t="str">
        <f>IF([2]道具信息!W765="","",[2]道具信息!W765)</f>
        <v/>
      </c>
      <c r="X765" s="59" t="str">
        <f>IF([2]道具信息!X765="","",[2]道具信息!X765)</f>
        <v/>
      </c>
      <c r="Y765" s="59" t="str">
        <f>IF([2]道具信息!Y765="","",[2]道具信息!Y765)</f>
        <v/>
      </c>
      <c r="Z765" s="59" t="str">
        <f>IF([2]道具信息!Z765="","",[2]道具信息!Z765)</f>
        <v/>
      </c>
    </row>
    <row r="766" spans="1:26" x14ac:dyDescent="0.15">
      <c r="A766" s="59" t="str">
        <f>IF([2]道具信息!A766="","",[2]道具信息!A766)</f>
        <v/>
      </c>
      <c r="B766" s="59" t="str">
        <f>IF([2]道具信息!B766="","",[2]道具信息!B766)</f>
        <v/>
      </c>
      <c r="C766" s="59" t="str">
        <f>IF([2]道具信息!C766="","",[2]道具信息!C766)</f>
        <v/>
      </c>
      <c r="D766" s="59" t="str">
        <f>IF([2]道具信息!D766="","",[2]道具信息!D766)</f>
        <v/>
      </c>
      <c r="E766" s="59" t="str">
        <f>IF([2]道具信息!E766="","",[2]道具信息!E766)</f>
        <v/>
      </c>
      <c r="F766" s="59" t="str">
        <f>IF([2]道具信息!F766="","",[2]道具信息!F766)</f>
        <v/>
      </c>
      <c r="G766" s="59" t="str">
        <f>IF([2]道具信息!G766="","",[2]道具信息!G766)</f>
        <v/>
      </c>
      <c r="H766" s="59" t="str">
        <f>IF([2]道具信息!H766="","",[2]道具信息!H766)</f>
        <v/>
      </c>
      <c r="I766" s="59" t="str">
        <f>IF([2]道具信息!I766="","",[2]道具信息!I766)</f>
        <v/>
      </c>
      <c r="J766" s="59" t="str">
        <f>IF([2]道具信息!J766="","",[2]道具信息!J766)</f>
        <v/>
      </c>
      <c r="K766" s="59" t="str">
        <f>IF([2]道具信息!K766="","",[2]道具信息!K766)</f>
        <v/>
      </c>
      <c r="L766" s="59" t="str">
        <f>IF([2]道具信息!L766="","",[2]道具信息!L766)</f>
        <v/>
      </c>
      <c r="M766" s="59" t="str">
        <f>IF([2]道具信息!M766="","",[2]道具信息!M766)</f>
        <v/>
      </c>
      <c r="N766" s="59" t="str">
        <f>IF([2]道具信息!N766="","",[2]道具信息!N766)</f>
        <v/>
      </c>
      <c r="O766" s="59" t="str">
        <f>IF([2]道具信息!O766="","",[2]道具信息!O766)</f>
        <v/>
      </c>
      <c r="P766" s="59" t="str">
        <f>IF([2]道具信息!P766="","",[2]道具信息!P766)</f>
        <v/>
      </c>
      <c r="Q766" s="59" t="str">
        <f>IF([2]道具信息!Q766="","",[2]道具信息!Q766)</f>
        <v/>
      </c>
      <c r="R766" s="59" t="str">
        <f>IF([2]道具信息!R766="","",[2]道具信息!R766)</f>
        <v/>
      </c>
      <c r="S766" s="59" t="str">
        <f>IF([2]道具信息!S766="","",[2]道具信息!S766)</f>
        <v/>
      </c>
      <c r="T766" s="59" t="str">
        <f>IF([2]道具信息!T766="","",[2]道具信息!T766)</f>
        <v/>
      </c>
      <c r="U766" s="59" t="str">
        <f>IF([2]道具信息!U766="","",[2]道具信息!U766)</f>
        <v/>
      </c>
      <c r="V766" s="59" t="str">
        <f>IF([2]道具信息!V766="","",[2]道具信息!V766)</f>
        <v/>
      </c>
      <c r="W766" s="59" t="str">
        <f>IF([2]道具信息!W766="","",[2]道具信息!W766)</f>
        <v/>
      </c>
      <c r="X766" s="59" t="str">
        <f>IF([2]道具信息!X766="","",[2]道具信息!X766)</f>
        <v/>
      </c>
      <c r="Y766" s="59" t="str">
        <f>IF([2]道具信息!Y766="","",[2]道具信息!Y766)</f>
        <v/>
      </c>
      <c r="Z766" s="59" t="str">
        <f>IF([2]道具信息!Z766="","",[2]道具信息!Z766)</f>
        <v/>
      </c>
    </row>
    <row r="767" spans="1:26" x14ac:dyDescent="0.15">
      <c r="A767" s="59" t="str">
        <f>IF([2]道具信息!A767="","",[2]道具信息!A767)</f>
        <v/>
      </c>
      <c r="B767" s="59" t="str">
        <f>IF([2]道具信息!B767="","",[2]道具信息!B767)</f>
        <v/>
      </c>
      <c r="C767" s="59" t="str">
        <f>IF([2]道具信息!C767="","",[2]道具信息!C767)</f>
        <v/>
      </c>
      <c r="D767" s="59" t="str">
        <f>IF([2]道具信息!D767="","",[2]道具信息!D767)</f>
        <v/>
      </c>
      <c r="E767" s="59" t="str">
        <f>IF([2]道具信息!E767="","",[2]道具信息!E767)</f>
        <v/>
      </c>
      <c r="F767" s="59" t="str">
        <f>IF([2]道具信息!F767="","",[2]道具信息!F767)</f>
        <v/>
      </c>
      <c r="G767" s="59" t="str">
        <f>IF([2]道具信息!G767="","",[2]道具信息!G767)</f>
        <v/>
      </c>
      <c r="H767" s="59" t="str">
        <f>IF([2]道具信息!H767="","",[2]道具信息!H767)</f>
        <v/>
      </c>
      <c r="I767" s="59" t="str">
        <f>IF([2]道具信息!I767="","",[2]道具信息!I767)</f>
        <v/>
      </c>
      <c r="J767" s="59" t="str">
        <f>IF([2]道具信息!J767="","",[2]道具信息!J767)</f>
        <v/>
      </c>
      <c r="K767" s="59" t="str">
        <f>IF([2]道具信息!K767="","",[2]道具信息!K767)</f>
        <v/>
      </c>
      <c r="L767" s="59" t="str">
        <f>IF([2]道具信息!L767="","",[2]道具信息!L767)</f>
        <v/>
      </c>
      <c r="M767" s="59" t="str">
        <f>IF([2]道具信息!M767="","",[2]道具信息!M767)</f>
        <v/>
      </c>
      <c r="N767" s="59" t="str">
        <f>IF([2]道具信息!N767="","",[2]道具信息!N767)</f>
        <v/>
      </c>
      <c r="O767" s="59" t="str">
        <f>IF([2]道具信息!O767="","",[2]道具信息!O767)</f>
        <v/>
      </c>
      <c r="P767" s="59" t="str">
        <f>IF([2]道具信息!P767="","",[2]道具信息!P767)</f>
        <v/>
      </c>
      <c r="Q767" s="59" t="str">
        <f>IF([2]道具信息!Q767="","",[2]道具信息!Q767)</f>
        <v/>
      </c>
      <c r="R767" s="59" t="str">
        <f>IF([2]道具信息!R767="","",[2]道具信息!R767)</f>
        <v/>
      </c>
      <c r="S767" s="59" t="str">
        <f>IF([2]道具信息!S767="","",[2]道具信息!S767)</f>
        <v/>
      </c>
      <c r="T767" s="59" t="str">
        <f>IF([2]道具信息!T767="","",[2]道具信息!T767)</f>
        <v/>
      </c>
      <c r="U767" s="59" t="str">
        <f>IF([2]道具信息!U767="","",[2]道具信息!U767)</f>
        <v/>
      </c>
      <c r="V767" s="59" t="str">
        <f>IF([2]道具信息!V767="","",[2]道具信息!V767)</f>
        <v/>
      </c>
      <c r="W767" s="59" t="str">
        <f>IF([2]道具信息!W767="","",[2]道具信息!W767)</f>
        <v/>
      </c>
      <c r="X767" s="59" t="str">
        <f>IF([2]道具信息!X767="","",[2]道具信息!X767)</f>
        <v/>
      </c>
      <c r="Y767" s="59" t="str">
        <f>IF([2]道具信息!Y767="","",[2]道具信息!Y767)</f>
        <v/>
      </c>
      <c r="Z767" s="59" t="str">
        <f>IF([2]道具信息!Z767="","",[2]道具信息!Z767)</f>
        <v/>
      </c>
    </row>
    <row r="768" spans="1:26" x14ac:dyDescent="0.15">
      <c r="A768" s="59" t="str">
        <f>IF([2]道具信息!A768="","",[2]道具信息!A768)</f>
        <v/>
      </c>
      <c r="B768" s="59" t="str">
        <f>IF([2]道具信息!B768="","",[2]道具信息!B768)</f>
        <v/>
      </c>
      <c r="C768" s="59" t="str">
        <f>IF([2]道具信息!C768="","",[2]道具信息!C768)</f>
        <v/>
      </c>
      <c r="D768" s="59" t="str">
        <f>IF([2]道具信息!D768="","",[2]道具信息!D768)</f>
        <v/>
      </c>
      <c r="E768" s="59" t="str">
        <f>IF([2]道具信息!E768="","",[2]道具信息!E768)</f>
        <v/>
      </c>
      <c r="F768" s="59" t="str">
        <f>IF([2]道具信息!F768="","",[2]道具信息!F768)</f>
        <v/>
      </c>
      <c r="G768" s="59" t="str">
        <f>IF([2]道具信息!G768="","",[2]道具信息!G768)</f>
        <v/>
      </c>
      <c r="H768" s="59" t="str">
        <f>IF([2]道具信息!H768="","",[2]道具信息!H768)</f>
        <v/>
      </c>
      <c r="I768" s="59" t="str">
        <f>IF([2]道具信息!I768="","",[2]道具信息!I768)</f>
        <v/>
      </c>
      <c r="J768" s="59" t="str">
        <f>IF([2]道具信息!J768="","",[2]道具信息!J768)</f>
        <v/>
      </c>
      <c r="K768" s="59" t="str">
        <f>IF([2]道具信息!K768="","",[2]道具信息!K768)</f>
        <v/>
      </c>
      <c r="L768" s="59" t="str">
        <f>IF([2]道具信息!L768="","",[2]道具信息!L768)</f>
        <v/>
      </c>
      <c r="M768" s="59" t="str">
        <f>IF([2]道具信息!M768="","",[2]道具信息!M768)</f>
        <v/>
      </c>
      <c r="N768" s="59" t="str">
        <f>IF([2]道具信息!N768="","",[2]道具信息!N768)</f>
        <v/>
      </c>
      <c r="O768" s="59" t="str">
        <f>IF([2]道具信息!O768="","",[2]道具信息!O768)</f>
        <v/>
      </c>
      <c r="P768" s="59" t="str">
        <f>IF([2]道具信息!P768="","",[2]道具信息!P768)</f>
        <v/>
      </c>
      <c r="Q768" s="59" t="str">
        <f>IF([2]道具信息!Q768="","",[2]道具信息!Q768)</f>
        <v/>
      </c>
      <c r="R768" s="59" t="str">
        <f>IF([2]道具信息!R768="","",[2]道具信息!R768)</f>
        <v/>
      </c>
      <c r="S768" s="59" t="str">
        <f>IF([2]道具信息!S768="","",[2]道具信息!S768)</f>
        <v/>
      </c>
      <c r="T768" s="59" t="str">
        <f>IF([2]道具信息!T768="","",[2]道具信息!T768)</f>
        <v/>
      </c>
      <c r="U768" s="59" t="str">
        <f>IF([2]道具信息!U768="","",[2]道具信息!U768)</f>
        <v/>
      </c>
      <c r="V768" s="59" t="str">
        <f>IF([2]道具信息!V768="","",[2]道具信息!V768)</f>
        <v/>
      </c>
      <c r="W768" s="59" t="str">
        <f>IF([2]道具信息!W768="","",[2]道具信息!W768)</f>
        <v/>
      </c>
      <c r="X768" s="59" t="str">
        <f>IF([2]道具信息!X768="","",[2]道具信息!X768)</f>
        <v/>
      </c>
      <c r="Y768" s="59" t="str">
        <f>IF([2]道具信息!Y768="","",[2]道具信息!Y768)</f>
        <v/>
      </c>
      <c r="Z768" s="59" t="str">
        <f>IF([2]道具信息!Z768="","",[2]道具信息!Z768)</f>
        <v/>
      </c>
    </row>
    <row r="769" spans="1:26" x14ac:dyDescent="0.15">
      <c r="A769" s="59" t="str">
        <f>IF([2]道具信息!A769="","",[2]道具信息!A769)</f>
        <v/>
      </c>
      <c r="B769" s="59" t="str">
        <f>IF([2]道具信息!B769="","",[2]道具信息!B769)</f>
        <v/>
      </c>
      <c r="C769" s="59" t="str">
        <f>IF([2]道具信息!C769="","",[2]道具信息!C769)</f>
        <v/>
      </c>
      <c r="D769" s="59" t="str">
        <f>IF([2]道具信息!D769="","",[2]道具信息!D769)</f>
        <v/>
      </c>
      <c r="E769" s="59" t="str">
        <f>IF([2]道具信息!E769="","",[2]道具信息!E769)</f>
        <v/>
      </c>
      <c r="F769" s="59" t="str">
        <f>IF([2]道具信息!F769="","",[2]道具信息!F769)</f>
        <v/>
      </c>
      <c r="G769" s="59" t="str">
        <f>IF([2]道具信息!G769="","",[2]道具信息!G769)</f>
        <v/>
      </c>
      <c r="H769" s="59" t="str">
        <f>IF([2]道具信息!H769="","",[2]道具信息!H769)</f>
        <v/>
      </c>
      <c r="I769" s="59" t="str">
        <f>IF([2]道具信息!I769="","",[2]道具信息!I769)</f>
        <v/>
      </c>
      <c r="J769" s="59" t="str">
        <f>IF([2]道具信息!J769="","",[2]道具信息!J769)</f>
        <v/>
      </c>
      <c r="K769" s="59" t="str">
        <f>IF([2]道具信息!K769="","",[2]道具信息!K769)</f>
        <v/>
      </c>
      <c r="L769" s="59" t="str">
        <f>IF([2]道具信息!L769="","",[2]道具信息!L769)</f>
        <v/>
      </c>
      <c r="M769" s="59" t="str">
        <f>IF([2]道具信息!M769="","",[2]道具信息!M769)</f>
        <v/>
      </c>
      <c r="N769" s="59" t="str">
        <f>IF([2]道具信息!N769="","",[2]道具信息!N769)</f>
        <v/>
      </c>
      <c r="O769" s="59" t="str">
        <f>IF([2]道具信息!O769="","",[2]道具信息!O769)</f>
        <v/>
      </c>
      <c r="P769" s="59" t="str">
        <f>IF([2]道具信息!P769="","",[2]道具信息!P769)</f>
        <v/>
      </c>
      <c r="Q769" s="59" t="str">
        <f>IF([2]道具信息!Q769="","",[2]道具信息!Q769)</f>
        <v/>
      </c>
      <c r="R769" s="59" t="str">
        <f>IF([2]道具信息!R769="","",[2]道具信息!R769)</f>
        <v/>
      </c>
      <c r="S769" s="59" t="str">
        <f>IF([2]道具信息!S769="","",[2]道具信息!S769)</f>
        <v/>
      </c>
      <c r="T769" s="59" t="str">
        <f>IF([2]道具信息!T769="","",[2]道具信息!T769)</f>
        <v/>
      </c>
      <c r="U769" s="59" t="str">
        <f>IF([2]道具信息!U769="","",[2]道具信息!U769)</f>
        <v/>
      </c>
      <c r="V769" s="59" t="str">
        <f>IF([2]道具信息!V769="","",[2]道具信息!V769)</f>
        <v/>
      </c>
      <c r="W769" s="59" t="str">
        <f>IF([2]道具信息!W769="","",[2]道具信息!W769)</f>
        <v/>
      </c>
      <c r="X769" s="59" t="str">
        <f>IF([2]道具信息!X769="","",[2]道具信息!X769)</f>
        <v/>
      </c>
      <c r="Y769" s="59" t="str">
        <f>IF([2]道具信息!Y769="","",[2]道具信息!Y769)</f>
        <v/>
      </c>
      <c r="Z769" s="59" t="str">
        <f>IF([2]道具信息!Z769="","",[2]道具信息!Z769)</f>
        <v/>
      </c>
    </row>
    <row r="770" spans="1:26" x14ac:dyDescent="0.15">
      <c r="A770" s="59" t="str">
        <f>IF([2]道具信息!A770="","",[2]道具信息!A770)</f>
        <v/>
      </c>
      <c r="B770" s="59" t="str">
        <f>IF([2]道具信息!B770="","",[2]道具信息!B770)</f>
        <v/>
      </c>
      <c r="C770" s="59" t="str">
        <f>IF([2]道具信息!C770="","",[2]道具信息!C770)</f>
        <v/>
      </c>
      <c r="D770" s="59" t="str">
        <f>IF([2]道具信息!D770="","",[2]道具信息!D770)</f>
        <v/>
      </c>
      <c r="E770" s="59" t="str">
        <f>IF([2]道具信息!E770="","",[2]道具信息!E770)</f>
        <v/>
      </c>
      <c r="F770" s="59" t="str">
        <f>IF([2]道具信息!F770="","",[2]道具信息!F770)</f>
        <v/>
      </c>
      <c r="G770" s="59" t="str">
        <f>IF([2]道具信息!G770="","",[2]道具信息!G770)</f>
        <v/>
      </c>
      <c r="H770" s="59" t="str">
        <f>IF([2]道具信息!H770="","",[2]道具信息!H770)</f>
        <v/>
      </c>
      <c r="I770" s="59" t="str">
        <f>IF([2]道具信息!I770="","",[2]道具信息!I770)</f>
        <v/>
      </c>
      <c r="J770" s="59" t="str">
        <f>IF([2]道具信息!J770="","",[2]道具信息!J770)</f>
        <v/>
      </c>
      <c r="K770" s="59" t="str">
        <f>IF([2]道具信息!K770="","",[2]道具信息!K770)</f>
        <v/>
      </c>
      <c r="L770" s="59" t="str">
        <f>IF([2]道具信息!L770="","",[2]道具信息!L770)</f>
        <v/>
      </c>
      <c r="M770" s="59" t="str">
        <f>IF([2]道具信息!M770="","",[2]道具信息!M770)</f>
        <v/>
      </c>
      <c r="N770" s="59" t="str">
        <f>IF([2]道具信息!N770="","",[2]道具信息!N770)</f>
        <v/>
      </c>
      <c r="O770" s="59" t="str">
        <f>IF([2]道具信息!O770="","",[2]道具信息!O770)</f>
        <v/>
      </c>
      <c r="P770" s="59" t="str">
        <f>IF([2]道具信息!P770="","",[2]道具信息!P770)</f>
        <v/>
      </c>
      <c r="Q770" s="59" t="str">
        <f>IF([2]道具信息!Q770="","",[2]道具信息!Q770)</f>
        <v/>
      </c>
      <c r="R770" s="59" t="str">
        <f>IF([2]道具信息!R770="","",[2]道具信息!R770)</f>
        <v/>
      </c>
      <c r="S770" s="59" t="str">
        <f>IF([2]道具信息!S770="","",[2]道具信息!S770)</f>
        <v/>
      </c>
      <c r="T770" s="59" t="str">
        <f>IF([2]道具信息!T770="","",[2]道具信息!T770)</f>
        <v/>
      </c>
      <c r="U770" s="59" t="str">
        <f>IF([2]道具信息!U770="","",[2]道具信息!U770)</f>
        <v/>
      </c>
      <c r="V770" s="59" t="str">
        <f>IF([2]道具信息!V770="","",[2]道具信息!V770)</f>
        <v/>
      </c>
      <c r="W770" s="59" t="str">
        <f>IF([2]道具信息!W770="","",[2]道具信息!W770)</f>
        <v/>
      </c>
      <c r="X770" s="59" t="str">
        <f>IF([2]道具信息!X770="","",[2]道具信息!X770)</f>
        <v/>
      </c>
      <c r="Y770" s="59" t="str">
        <f>IF([2]道具信息!Y770="","",[2]道具信息!Y770)</f>
        <v/>
      </c>
      <c r="Z770" s="59" t="str">
        <f>IF([2]道具信息!Z770="","",[2]道具信息!Z770)</f>
        <v/>
      </c>
    </row>
    <row r="771" spans="1:26" x14ac:dyDescent="0.15">
      <c r="A771" s="59" t="str">
        <f>IF([2]道具信息!A771="","",[2]道具信息!A771)</f>
        <v/>
      </c>
      <c r="B771" s="59" t="str">
        <f>IF([2]道具信息!B771="","",[2]道具信息!B771)</f>
        <v/>
      </c>
      <c r="C771" s="59" t="str">
        <f>IF([2]道具信息!C771="","",[2]道具信息!C771)</f>
        <v/>
      </c>
      <c r="D771" s="59" t="str">
        <f>IF([2]道具信息!D771="","",[2]道具信息!D771)</f>
        <v/>
      </c>
      <c r="E771" s="59" t="str">
        <f>IF([2]道具信息!E771="","",[2]道具信息!E771)</f>
        <v/>
      </c>
      <c r="F771" s="59" t="str">
        <f>IF([2]道具信息!F771="","",[2]道具信息!F771)</f>
        <v/>
      </c>
      <c r="G771" s="59" t="str">
        <f>IF([2]道具信息!G771="","",[2]道具信息!G771)</f>
        <v/>
      </c>
      <c r="H771" s="59" t="str">
        <f>IF([2]道具信息!H771="","",[2]道具信息!H771)</f>
        <v/>
      </c>
      <c r="I771" s="59" t="str">
        <f>IF([2]道具信息!I771="","",[2]道具信息!I771)</f>
        <v/>
      </c>
      <c r="J771" s="59" t="str">
        <f>IF([2]道具信息!J771="","",[2]道具信息!J771)</f>
        <v/>
      </c>
      <c r="K771" s="59" t="str">
        <f>IF([2]道具信息!K771="","",[2]道具信息!K771)</f>
        <v/>
      </c>
      <c r="L771" s="59" t="str">
        <f>IF([2]道具信息!L771="","",[2]道具信息!L771)</f>
        <v/>
      </c>
      <c r="M771" s="59" t="str">
        <f>IF([2]道具信息!M771="","",[2]道具信息!M771)</f>
        <v/>
      </c>
      <c r="N771" s="59" t="str">
        <f>IF([2]道具信息!N771="","",[2]道具信息!N771)</f>
        <v/>
      </c>
      <c r="O771" s="59" t="str">
        <f>IF([2]道具信息!O771="","",[2]道具信息!O771)</f>
        <v/>
      </c>
      <c r="P771" s="59" t="str">
        <f>IF([2]道具信息!P771="","",[2]道具信息!P771)</f>
        <v/>
      </c>
      <c r="Q771" s="59" t="str">
        <f>IF([2]道具信息!Q771="","",[2]道具信息!Q771)</f>
        <v/>
      </c>
      <c r="R771" s="59" t="str">
        <f>IF([2]道具信息!R771="","",[2]道具信息!R771)</f>
        <v/>
      </c>
      <c r="S771" s="59" t="str">
        <f>IF([2]道具信息!S771="","",[2]道具信息!S771)</f>
        <v/>
      </c>
      <c r="T771" s="59" t="str">
        <f>IF([2]道具信息!T771="","",[2]道具信息!T771)</f>
        <v/>
      </c>
      <c r="U771" s="59" t="str">
        <f>IF([2]道具信息!U771="","",[2]道具信息!U771)</f>
        <v/>
      </c>
      <c r="V771" s="59" t="str">
        <f>IF([2]道具信息!V771="","",[2]道具信息!V771)</f>
        <v/>
      </c>
      <c r="W771" s="59" t="str">
        <f>IF([2]道具信息!W771="","",[2]道具信息!W771)</f>
        <v/>
      </c>
      <c r="X771" s="59" t="str">
        <f>IF([2]道具信息!X771="","",[2]道具信息!X771)</f>
        <v/>
      </c>
      <c r="Y771" s="59" t="str">
        <f>IF([2]道具信息!Y771="","",[2]道具信息!Y771)</f>
        <v/>
      </c>
      <c r="Z771" s="59" t="str">
        <f>IF([2]道具信息!Z771="","",[2]道具信息!Z771)</f>
        <v/>
      </c>
    </row>
    <row r="772" spans="1:26" x14ac:dyDescent="0.15">
      <c r="A772" s="59" t="str">
        <f>IF([2]道具信息!A772="","",[2]道具信息!A772)</f>
        <v/>
      </c>
      <c r="B772" s="59" t="str">
        <f>IF([2]道具信息!B772="","",[2]道具信息!B772)</f>
        <v/>
      </c>
      <c r="C772" s="59" t="str">
        <f>IF([2]道具信息!C772="","",[2]道具信息!C772)</f>
        <v/>
      </c>
      <c r="D772" s="59" t="str">
        <f>IF([2]道具信息!D772="","",[2]道具信息!D772)</f>
        <v/>
      </c>
      <c r="E772" s="59" t="str">
        <f>IF([2]道具信息!E772="","",[2]道具信息!E772)</f>
        <v/>
      </c>
      <c r="F772" s="59" t="str">
        <f>IF([2]道具信息!F772="","",[2]道具信息!F772)</f>
        <v/>
      </c>
      <c r="G772" s="59" t="str">
        <f>IF([2]道具信息!G772="","",[2]道具信息!G772)</f>
        <v/>
      </c>
      <c r="H772" s="59" t="str">
        <f>IF([2]道具信息!H772="","",[2]道具信息!H772)</f>
        <v/>
      </c>
      <c r="I772" s="59" t="str">
        <f>IF([2]道具信息!I772="","",[2]道具信息!I772)</f>
        <v/>
      </c>
      <c r="J772" s="59" t="str">
        <f>IF([2]道具信息!J772="","",[2]道具信息!J772)</f>
        <v/>
      </c>
      <c r="K772" s="59" t="str">
        <f>IF([2]道具信息!K772="","",[2]道具信息!K772)</f>
        <v/>
      </c>
      <c r="L772" s="59" t="str">
        <f>IF([2]道具信息!L772="","",[2]道具信息!L772)</f>
        <v/>
      </c>
      <c r="M772" s="59" t="str">
        <f>IF([2]道具信息!M772="","",[2]道具信息!M772)</f>
        <v/>
      </c>
      <c r="N772" s="59" t="str">
        <f>IF([2]道具信息!N772="","",[2]道具信息!N772)</f>
        <v/>
      </c>
      <c r="O772" s="59" t="str">
        <f>IF([2]道具信息!O772="","",[2]道具信息!O772)</f>
        <v/>
      </c>
      <c r="P772" s="59" t="str">
        <f>IF([2]道具信息!P772="","",[2]道具信息!P772)</f>
        <v/>
      </c>
      <c r="Q772" s="59" t="str">
        <f>IF([2]道具信息!Q772="","",[2]道具信息!Q772)</f>
        <v/>
      </c>
      <c r="R772" s="59" t="str">
        <f>IF([2]道具信息!R772="","",[2]道具信息!R772)</f>
        <v/>
      </c>
      <c r="S772" s="59" t="str">
        <f>IF([2]道具信息!S772="","",[2]道具信息!S772)</f>
        <v/>
      </c>
      <c r="T772" s="59" t="str">
        <f>IF([2]道具信息!T772="","",[2]道具信息!T772)</f>
        <v/>
      </c>
      <c r="U772" s="59" t="str">
        <f>IF([2]道具信息!U772="","",[2]道具信息!U772)</f>
        <v/>
      </c>
      <c r="V772" s="59" t="str">
        <f>IF([2]道具信息!V772="","",[2]道具信息!V772)</f>
        <v/>
      </c>
      <c r="W772" s="59" t="str">
        <f>IF([2]道具信息!W772="","",[2]道具信息!W772)</f>
        <v/>
      </c>
      <c r="X772" s="59" t="str">
        <f>IF([2]道具信息!X772="","",[2]道具信息!X772)</f>
        <v/>
      </c>
      <c r="Y772" s="59" t="str">
        <f>IF([2]道具信息!Y772="","",[2]道具信息!Y772)</f>
        <v/>
      </c>
      <c r="Z772" s="59" t="str">
        <f>IF([2]道具信息!Z772="","",[2]道具信息!Z772)</f>
        <v/>
      </c>
    </row>
    <row r="773" spans="1:26" x14ac:dyDescent="0.15">
      <c r="A773" s="59" t="str">
        <f>IF([2]道具信息!A773="","",[2]道具信息!A773)</f>
        <v/>
      </c>
      <c r="B773" s="59" t="str">
        <f>IF([2]道具信息!B773="","",[2]道具信息!B773)</f>
        <v/>
      </c>
      <c r="C773" s="59" t="str">
        <f>IF([2]道具信息!C773="","",[2]道具信息!C773)</f>
        <v/>
      </c>
      <c r="D773" s="59" t="str">
        <f>IF([2]道具信息!D773="","",[2]道具信息!D773)</f>
        <v/>
      </c>
      <c r="E773" s="59" t="str">
        <f>IF([2]道具信息!E773="","",[2]道具信息!E773)</f>
        <v/>
      </c>
      <c r="F773" s="59" t="str">
        <f>IF([2]道具信息!F773="","",[2]道具信息!F773)</f>
        <v/>
      </c>
      <c r="G773" s="59" t="str">
        <f>IF([2]道具信息!G773="","",[2]道具信息!G773)</f>
        <v/>
      </c>
      <c r="H773" s="59" t="str">
        <f>IF([2]道具信息!H773="","",[2]道具信息!H773)</f>
        <v/>
      </c>
      <c r="I773" s="59" t="str">
        <f>IF([2]道具信息!I773="","",[2]道具信息!I773)</f>
        <v/>
      </c>
      <c r="J773" s="59" t="str">
        <f>IF([2]道具信息!J773="","",[2]道具信息!J773)</f>
        <v/>
      </c>
      <c r="K773" s="59" t="str">
        <f>IF([2]道具信息!K773="","",[2]道具信息!K773)</f>
        <v/>
      </c>
      <c r="L773" s="59" t="str">
        <f>IF([2]道具信息!L773="","",[2]道具信息!L773)</f>
        <v/>
      </c>
      <c r="M773" s="59" t="str">
        <f>IF([2]道具信息!M773="","",[2]道具信息!M773)</f>
        <v/>
      </c>
      <c r="N773" s="59" t="str">
        <f>IF([2]道具信息!N773="","",[2]道具信息!N773)</f>
        <v/>
      </c>
      <c r="O773" s="59" t="str">
        <f>IF([2]道具信息!O773="","",[2]道具信息!O773)</f>
        <v/>
      </c>
      <c r="P773" s="59" t="str">
        <f>IF([2]道具信息!P773="","",[2]道具信息!P773)</f>
        <v/>
      </c>
      <c r="Q773" s="59" t="str">
        <f>IF([2]道具信息!Q773="","",[2]道具信息!Q773)</f>
        <v/>
      </c>
      <c r="R773" s="59" t="str">
        <f>IF([2]道具信息!R773="","",[2]道具信息!R773)</f>
        <v/>
      </c>
      <c r="S773" s="59" t="str">
        <f>IF([2]道具信息!S773="","",[2]道具信息!S773)</f>
        <v/>
      </c>
      <c r="T773" s="59" t="str">
        <f>IF([2]道具信息!T773="","",[2]道具信息!T773)</f>
        <v/>
      </c>
      <c r="U773" s="59" t="str">
        <f>IF([2]道具信息!U773="","",[2]道具信息!U773)</f>
        <v/>
      </c>
      <c r="V773" s="59" t="str">
        <f>IF([2]道具信息!V773="","",[2]道具信息!V773)</f>
        <v/>
      </c>
      <c r="W773" s="59" t="str">
        <f>IF([2]道具信息!W773="","",[2]道具信息!W773)</f>
        <v/>
      </c>
      <c r="X773" s="59" t="str">
        <f>IF([2]道具信息!X773="","",[2]道具信息!X773)</f>
        <v/>
      </c>
      <c r="Y773" s="59" t="str">
        <f>IF([2]道具信息!Y773="","",[2]道具信息!Y773)</f>
        <v/>
      </c>
      <c r="Z773" s="59" t="str">
        <f>IF([2]道具信息!Z773="","",[2]道具信息!Z773)</f>
        <v/>
      </c>
    </row>
    <row r="774" spans="1:26" x14ac:dyDescent="0.15">
      <c r="A774" s="59" t="str">
        <f>IF([2]道具信息!A774="","",[2]道具信息!A774)</f>
        <v/>
      </c>
      <c r="B774" s="59" t="str">
        <f>IF([2]道具信息!B774="","",[2]道具信息!B774)</f>
        <v/>
      </c>
      <c r="C774" s="59" t="str">
        <f>IF([2]道具信息!C774="","",[2]道具信息!C774)</f>
        <v/>
      </c>
      <c r="D774" s="59" t="str">
        <f>IF([2]道具信息!D774="","",[2]道具信息!D774)</f>
        <v/>
      </c>
      <c r="E774" s="59" t="str">
        <f>IF([2]道具信息!E774="","",[2]道具信息!E774)</f>
        <v/>
      </c>
      <c r="F774" s="59" t="str">
        <f>IF([2]道具信息!F774="","",[2]道具信息!F774)</f>
        <v/>
      </c>
      <c r="G774" s="59" t="str">
        <f>IF([2]道具信息!G774="","",[2]道具信息!G774)</f>
        <v/>
      </c>
      <c r="H774" s="59" t="str">
        <f>IF([2]道具信息!H774="","",[2]道具信息!H774)</f>
        <v/>
      </c>
      <c r="I774" s="59" t="str">
        <f>IF([2]道具信息!I774="","",[2]道具信息!I774)</f>
        <v/>
      </c>
      <c r="J774" s="59" t="str">
        <f>IF([2]道具信息!J774="","",[2]道具信息!J774)</f>
        <v/>
      </c>
      <c r="K774" s="59" t="str">
        <f>IF([2]道具信息!K774="","",[2]道具信息!K774)</f>
        <v/>
      </c>
      <c r="L774" s="59" t="str">
        <f>IF([2]道具信息!L774="","",[2]道具信息!L774)</f>
        <v/>
      </c>
      <c r="M774" s="59" t="str">
        <f>IF([2]道具信息!M774="","",[2]道具信息!M774)</f>
        <v/>
      </c>
      <c r="N774" s="59" t="str">
        <f>IF([2]道具信息!N774="","",[2]道具信息!N774)</f>
        <v/>
      </c>
      <c r="O774" s="59" t="str">
        <f>IF([2]道具信息!O774="","",[2]道具信息!O774)</f>
        <v/>
      </c>
      <c r="P774" s="59" t="str">
        <f>IF([2]道具信息!P774="","",[2]道具信息!P774)</f>
        <v/>
      </c>
      <c r="Q774" s="59" t="str">
        <f>IF([2]道具信息!Q774="","",[2]道具信息!Q774)</f>
        <v/>
      </c>
      <c r="R774" s="59" t="str">
        <f>IF([2]道具信息!R774="","",[2]道具信息!R774)</f>
        <v/>
      </c>
      <c r="S774" s="59" t="str">
        <f>IF([2]道具信息!S774="","",[2]道具信息!S774)</f>
        <v/>
      </c>
      <c r="T774" s="59" t="str">
        <f>IF([2]道具信息!T774="","",[2]道具信息!T774)</f>
        <v/>
      </c>
      <c r="U774" s="59" t="str">
        <f>IF([2]道具信息!U774="","",[2]道具信息!U774)</f>
        <v/>
      </c>
      <c r="V774" s="59" t="str">
        <f>IF([2]道具信息!V774="","",[2]道具信息!V774)</f>
        <v/>
      </c>
      <c r="W774" s="59" t="str">
        <f>IF([2]道具信息!W774="","",[2]道具信息!W774)</f>
        <v/>
      </c>
      <c r="X774" s="59" t="str">
        <f>IF([2]道具信息!X774="","",[2]道具信息!X774)</f>
        <v/>
      </c>
      <c r="Y774" s="59" t="str">
        <f>IF([2]道具信息!Y774="","",[2]道具信息!Y774)</f>
        <v/>
      </c>
      <c r="Z774" s="59" t="str">
        <f>IF([2]道具信息!Z774="","",[2]道具信息!Z774)</f>
        <v/>
      </c>
    </row>
    <row r="775" spans="1:26" x14ac:dyDescent="0.15">
      <c r="A775" s="59" t="str">
        <f>IF([2]道具信息!A775="","",[2]道具信息!A775)</f>
        <v/>
      </c>
      <c r="B775" s="59" t="str">
        <f>IF([2]道具信息!B775="","",[2]道具信息!B775)</f>
        <v/>
      </c>
      <c r="C775" s="59" t="str">
        <f>IF([2]道具信息!C775="","",[2]道具信息!C775)</f>
        <v/>
      </c>
      <c r="D775" s="59" t="str">
        <f>IF([2]道具信息!D775="","",[2]道具信息!D775)</f>
        <v/>
      </c>
      <c r="E775" s="59" t="str">
        <f>IF([2]道具信息!E775="","",[2]道具信息!E775)</f>
        <v/>
      </c>
      <c r="F775" s="59" t="str">
        <f>IF([2]道具信息!F775="","",[2]道具信息!F775)</f>
        <v/>
      </c>
      <c r="G775" s="59" t="str">
        <f>IF([2]道具信息!G775="","",[2]道具信息!G775)</f>
        <v/>
      </c>
      <c r="H775" s="59" t="str">
        <f>IF([2]道具信息!H775="","",[2]道具信息!H775)</f>
        <v/>
      </c>
      <c r="I775" s="59" t="str">
        <f>IF([2]道具信息!I775="","",[2]道具信息!I775)</f>
        <v/>
      </c>
      <c r="J775" s="59" t="str">
        <f>IF([2]道具信息!J775="","",[2]道具信息!J775)</f>
        <v/>
      </c>
      <c r="K775" s="59" t="str">
        <f>IF([2]道具信息!K775="","",[2]道具信息!K775)</f>
        <v/>
      </c>
      <c r="L775" s="59" t="str">
        <f>IF([2]道具信息!L775="","",[2]道具信息!L775)</f>
        <v/>
      </c>
      <c r="M775" s="59" t="str">
        <f>IF([2]道具信息!M775="","",[2]道具信息!M775)</f>
        <v/>
      </c>
      <c r="N775" s="59" t="str">
        <f>IF([2]道具信息!N775="","",[2]道具信息!N775)</f>
        <v/>
      </c>
      <c r="O775" s="59" t="str">
        <f>IF([2]道具信息!O775="","",[2]道具信息!O775)</f>
        <v/>
      </c>
      <c r="P775" s="59" t="str">
        <f>IF([2]道具信息!P775="","",[2]道具信息!P775)</f>
        <v/>
      </c>
      <c r="Q775" s="59" t="str">
        <f>IF([2]道具信息!Q775="","",[2]道具信息!Q775)</f>
        <v/>
      </c>
      <c r="R775" s="59" t="str">
        <f>IF([2]道具信息!R775="","",[2]道具信息!R775)</f>
        <v/>
      </c>
      <c r="S775" s="59" t="str">
        <f>IF([2]道具信息!S775="","",[2]道具信息!S775)</f>
        <v/>
      </c>
      <c r="T775" s="59" t="str">
        <f>IF([2]道具信息!T775="","",[2]道具信息!T775)</f>
        <v/>
      </c>
      <c r="U775" s="59" t="str">
        <f>IF([2]道具信息!U775="","",[2]道具信息!U775)</f>
        <v/>
      </c>
      <c r="V775" s="59" t="str">
        <f>IF([2]道具信息!V775="","",[2]道具信息!V775)</f>
        <v/>
      </c>
      <c r="W775" s="59" t="str">
        <f>IF([2]道具信息!W775="","",[2]道具信息!W775)</f>
        <v/>
      </c>
      <c r="X775" s="59" t="str">
        <f>IF([2]道具信息!X775="","",[2]道具信息!X775)</f>
        <v/>
      </c>
      <c r="Y775" s="59" t="str">
        <f>IF([2]道具信息!Y775="","",[2]道具信息!Y775)</f>
        <v/>
      </c>
      <c r="Z775" s="59" t="str">
        <f>IF([2]道具信息!Z775="","",[2]道具信息!Z775)</f>
        <v/>
      </c>
    </row>
    <row r="776" spans="1:26" x14ac:dyDescent="0.15">
      <c r="A776" s="59" t="str">
        <f>IF([2]道具信息!A776="","",[2]道具信息!A776)</f>
        <v/>
      </c>
      <c r="B776" s="59" t="str">
        <f>IF([2]道具信息!B776="","",[2]道具信息!B776)</f>
        <v/>
      </c>
      <c r="C776" s="59" t="str">
        <f>IF([2]道具信息!C776="","",[2]道具信息!C776)</f>
        <v/>
      </c>
      <c r="D776" s="59" t="str">
        <f>IF([2]道具信息!D776="","",[2]道具信息!D776)</f>
        <v/>
      </c>
      <c r="E776" s="59" t="str">
        <f>IF([2]道具信息!E776="","",[2]道具信息!E776)</f>
        <v/>
      </c>
      <c r="F776" s="59" t="str">
        <f>IF([2]道具信息!F776="","",[2]道具信息!F776)</f>
        <v/>
      </c>
      <c r="G776" s="59" t="str">
        <f>IF([2]道具信息!G776="","",[2]道具信息!G776)</f>
        <v/>
      </c>
      <c r="H776" s="59" t="str">
        <f>IF([2]道具信息!H776="","",[2]道具信息!H776)</f>
        <v/>
      </c>
      <c r="I776" s="59" t="str">
        <f>IF([2]道具信息!I776="","",[2]道具信息!I776)</f>
        <v/>
      </c>
      <c r="J776" s="59" t="str">
        <f>IF([2]道具信息!J776="","",[2]道具信息!J776)</f>
        <v/>
      </c>
      <c r="K776" s="59" t="str">
        <f>IF([2]道具信息!K776="","",[2]道具信息!K776)</f>
        <v/>
      </c>
      <c r="L776" s="59" t="str">
        <f>IF([2]道具信息!L776="","",[2]道具信息!L776)</f>
        <v/>
      </c>
      <c r="M776" s="59" t="str">
        <f>IF([2]道具信息!M776="","",[2]道具信息!M776)</f>
        <v/>
      </c>
      <c r="N776" s="59" t="str">
        <f>IF([2]道具信息!N776="","",[2]道具信息!N776)</f>
        <v/>
      </c>
      <c r="O776" s="59" t="str">
        <f>IF([2]道具信息!O776="","",[2]道具信息!O776)</f>
        <v/>
      </c>
      <c r="P776" s="59" t="str">
        <f>IF([2]道具信息!P776="","",[2]道具信息!P776)</f>
        <v/>
      </c>
      <c r="Q776" s="59" t="str">
        <f>IF([2]道具信息!Q776="","",[2]道具信息!Q776)</f>
        <v/>
      </c>
      <c r="R776" s="59" t="str">
        <f>IF([2]道具信息!R776="","",[2]道具信息!R776)</f>
        <v/>
      </c>
      <c r="S776" s="59" t="str">
        <f>IF([2]道具信息!S776="","",[2]道具信息!S776)</f>
        <v/>
      </c>
      <c r="T776" s="59" t="str">
        <f>IF([2]道具信息!T776="","",[2]道具信息!T776)</f>
        <v/>
      </c>
      <c r="U776" s="59" t="str">
        <f>IF([2]道具信息!U776="","",[2]道具信息!U776)</f>
        <v/>
      </c>
      <c r="V776" s="59" t="str">
        <f>IF([2]道具信息!V776="","",[2]道具信息!V776)</f>
        <v/>
      </c>
      <c r="W776" s="59" t="str">
        <f>IF([2]道具信息!W776="","",[2]道具信息!W776)</f>
        <v/>
      </c>
      <c r="X776" s="59" t="str">
        <f>IF([2]道具信息!X776="","",[2]道具信息!X776)</f>
        <v/>
      </c>
      <c r="Y776" s="59" t="str">
        <f>IF([2]道具信息!Y776="","",[2]道具信息!Y776)</f>
        <v/>
      </c>
      <c r="Z776" s="59" t="str">
        <f>IF([2]道具信息!Z776="","",[2]道具信息!Z776)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节奏总纲</vt:lpstr>
      <vt:lpstr>关卡地图</vt:lpstr>
      <vt:lpstr>关卡设计</vt:lpstr>
      <vt:lpstr>奖励设计</vt:lpstr>
      <vt:lpstr>道具信息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2022-05-26T03:27:31Z</dcterms:modified>
</cp:coreProperties>
</file>